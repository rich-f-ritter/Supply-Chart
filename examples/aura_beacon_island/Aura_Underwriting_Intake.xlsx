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Acquisitions - Texas/houston/aura beacon island/2026/UW Intake/"/>
    </mc:Choice>
  </mc:AlternateContent>
  <xr:revisionPtr revIDLastSave="1" documentId="8_{9FD674DC-DAC1-4AD7-ACF0-DBA8E4E626C4}" xr6:coauthVersionLast="47" xr6:coauthVersionMax="47" xr10:uidLastSave="{A247B32D-86CB-4F96-AED1-BFD6F9A11481}"/>
  <bookViews>
    <workbookView xWindow="14760" yWindow="-16320" windowWidth="29040" windowHeight="15720" xr2:uid="{00000000-000D-0000-FFFF-FFFF00000000}"/>
  </bookViews>
  <sheets>
    <sheet name="Dashboard" sheetId="1" r:id="rId1"/>
    <sheet name="T12 Categorized" sheetId="2" r:id="rId2"/>
    <sheet name="OS Summary" sheetId="3" r:id="rId3"/>
    <sheet name="Rent Roll (One-Line) 05-23-26" sheetId="4" r:id="rId4"/>
    <sheet name="Rent Roll (One-Line) 02-26-24" sheetId="5" r:id="rId5"/>
    <sheet name="Lease Trend" sheetId="6" r:id="rId6"/>
    <sheet name="HelloData" sheetId="7" r:id="rId7"/>
    <sheet name="Reconciliation" sheetId="8" r:id="rId8"/>
    <sheet name="Codes" sheetId="9" r:id="rId9"/>
  </sheets>
  <definedNames>
    <definedName name="CodeList">Codes!$A$5:$A$59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  <c r="E9" i="8" s="1"/>
  <c r="D8" i="8"/>
  <c r="E8" i="8" s="1"/>
  <c r="D7" i="8"/>
  <c r="E7" i="8" s="1"/>
  <c r="D6" i="8"/>
  <c r="E6" i="8" s="1"/>
  <c r="D56" i="6"/>
  <c r="D55" i="6"/>
  <c r="D54" i="6"/>
  <c r="D53" i="6"/>
  <c r="D52" i="6"/>
  <c r="D51" i="6"/>
  <c r="D50" i="6"/>
  <c r="D49" i="6"/>
  <c r="D48" i="6"/>
  <c r="D47" i="6"/>
  <c r="D46" i="6"/>
  <c r="Z293" i="5"/>
  <c r="Y293" i="5"/>
  <c r="X293" i="5"/>
  <c r="W293" i="5"/>
  <c r="V293" i="5"/>
  <c r="U293" i="5"/>
  <c r="T293" i="5"/>
  <c r="S293" i="5"/>
  <c r="R293" i="5"/>
  <c r="Q293" i="5"/>
  <c r="P293" i="5"/>
  <c r="O293" i="5"/>
  <c r="J293" i="5"/>
  <c r="I293" i="5"/>
  <c r="H293" i="5"/>
  <c r="C293" i="5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J293" i="4"/>
  <c r="I293" i="4"/>
  <c r="H293" i="4"/>
  <c r="C293" i="4"/>
  <c r="Q72" i="3"/>
  <c r="P72" i="3"/>
  <c r="O72" i="3"/>
  <c r="N72" i="3"/>
  <c r="M72" i="3"/>
  <c r="L72" i="3"/>
  <c r="K72" i="3"/>
  <c r="J72" i="3"/>
  <c r="I72" i="3"/>
  <c r="H72" i="3"/>
  <c r="G72" i="3"/>
  <c r="F72" i="3"/>
  <c r="Q71" i="3"/>
  <c r="P71" i="3"/>
  <c r="O71" i="3"/>
  <c r="N71" i="3"/>
  <c r="M71" i="3"/>
  <c r="L71" i="3"/>
  <c r="K71" i="3"/>
  <c r="J71" i="3"/>
  <c r="I71" i="3"/>
  <c r="H71" i="3"/>
  <c r="G71" i="3"/>
  <c r="F71" i="3"/>
  <c r="Q70" i="3"/>
  <c r="P70" i="3"/>
  <c r="O70" i="3"/>
  <c r="N70" i="3"/>
  <c r="M70" i="3"/>
  <c r="L70" i="3"/>
  <c r="K70" i="3"/>
  <c r="J70" i="3"/>
  <c r="I70" i="3"/>
  <c r="H70" i="3"/>
  <c r="G70" i="3"/>
  <c r="F70" i="3"/>
  <c r="Q69" i="3"/>
  <c r="P69" i="3"/>
  <c r="O69" i="3"/>
  <c r="N69" i="3"/>
  <c r="M69" i="3"/>
  <c r="L69" i="3"/>
  <c r="K69" i="3"/>
  <c r="J69" i="3"/>
  <c r="I69" i="3"/>
  <c r="H69" i="3"/>
  <c r="G69" i="3"/>
  <c r="F69" i="3"/>
  <c r="Q68" i="3"/>
  <c r="P68" i="3"/>
  <c r="O68" i="3"/>
  <c r="N68" i="3"/>
  <c r="M68" i="3"/>
  <c r="L68" i="3"/>
  <c r="K68" i="3"/>
  <c r="J68" i="3"/>
  <c r="I68" i="3"/>
  <c r="H68" i="3"/>
  <c r="G68" i="3"/>
  <c r="F68" i="3"/>
  <c r="Q67" i="3"/>
  <c r="P67" i="3"/>
  <c r="O67" i="3"/>
  <c r="N67" i="3"/>
  <c r="M67" i="3"/>
  <c r="L67" i="3"/>
  <c r="K67" i="3"/>
  <c r="J67" i="3"/>
  <c r="I67" i="3"/>
  <c r="H67" i="3"/>
  <c r="G67" i="3"/>
  <c r="F67" i="3"/>
  <c r="Q66" i="3"/>
  <c r="P66" i="3"/>
  <c r="O66" i="3"/>
  <c r="N66" i="3"/>
  <c r="M66" i="3"/>
  <c r="L66" i="3"/>
  <c r="K66" i="3"/>
  <c r="J66" i="3"/>
  <c r="I66" i="3"/>
  <c r="H66" i="3"/>
  <c r="G66" i="3"/>
  <c r="F66" i="3"/>
  <c r="Q65" i="3"/>
  <c r="P65" i="3"/>
  <c r="O65" i="3"/>
  <c r="N65" i="3"/>
  <c r="M65" i="3"/>
  <c r="L65" i="3"/>
  <c r="K65" i="3"/>
  <c r="J65" i="3"/>
  <c r="I65" i="3"/>
  <c r="H65" i="3"/>
  <c r="G65" i="3"/>
  <c r="F65" i="3"/>
  <c r="Q64" i="3"/>
  <c r="P64" i="3"/>
  <c r="O64" i="3"/>
  <c r="N64" i="3"/>
  <c r="M64" i="3"/>
  <c r="L64" i="3"/>
  <c r="K64" i="3"/>
  <c r="J64" i="3"/>
  <c r="I64" i="3"/>
  <c r="H64" i="3"/>
  <c r="G64" i="3"/>
  <c r="F64" i="3"/>
  <c r="Q63" i="3"/>
  <c r="P63" i="3"/>
  <c r="O63" i="3"/>
  <c r="N63" i="3"/>
  <c r="M63" i="3"/>
  <c r="L63" i="3"/>
  <c r="K63" i="3"/>
  <c r="J63" i="3"/>
  <c r="I63" i="3"/>
  <c r="H63" i="3"/>
  <c r="G63" i="3"/>
  <c r="F63" i="3"/>
  <c r="Q62" i="3"/>
  <c r="P62" i="3"/>
  <c r="O62" i="3"/>
  <c r="N62" i="3"/>
  <c r="M62" i="3"/>
  <c r="L62" i="3"/>
  <c r="K62" i="3"/>
  <c r="J62" i="3"/>
  <c r="I62" i="3"/>
  <c r="H62" i="3"/>
  <c r="G62" i="3"/>
  <c r="F62" i="3"/>
  <c r="Q61" i="3"/>
  <c r="P61" i="3"/>
  <c r="O61" i="3"/>
  <c r="N61" i="3"/>
  <c r="M61" i="3"/>
  <c r="L61" i="3"/>
  <c r="K61" i="3"/>
  <c r="J61" i="3"/>
  <c r="I61" i="3"/>
  <c r="H61" i="3"/>
  <c r="G61" i="3"/>
  <c r="F61" i="3"/>
  <c r="Q60" i="3"/>
  <c r="P60" i="3"/>
  <c r="O60" i="3"/>
  <c r="N60" i="3"/>
  <c r="M60" i="3"/>
  <c r="L60" i="3"/>
  <c r="K60" i="3"/>
  <c r="J60" i="3"/>
  <c r="I60" i="3"/>
  <c r="H60" i="3"/>
  <c r="G60" i="3"/>
  <c r="F60" i="3"/>
  <c r="Q59" i="3"/>
  <c r="P59" i="3"/>
  <c r="O59" i="3"/>
  <c r="N59" i="3"/>
  <c r="M59" i="3"/>
  <c r="L59" i="3"/>
  <c r="K59" i="3"/>
  <c r="J59" i="3"/>
  <c r="I59" i="3"/>
  <c r="H59" i="3"/>
  <c r="G59" i="3"/>
  <c r="F59" i="3"/>
  <c r="Q58" i="3"/>
  <c r="P58" i="3"/>
  <c r="O58" i="3"/>
  <c r="N58" i="3"/>
  <c r="M58" i="3"/>
  <c r="L58" i="3"/>
  <c r="K58" i="3"/>
  <c r="J58" i="3"/>
  <c r="I58" i="3"/>
  <c r="H58" i="3"/>
  <c r="G58" i="3"/>
  <c r="F58" i="3"/>
  <c r="Q57" i="3"/>
  <c r="P57" i="3"/>
  <c r="O57" i="3"/>
  <c r="N57" i="3"/>
  <c r="M57" i="3"/>
  <c r="L57" i="3"/>
  <c r="K57" i="3"/>
  <c r="J57" i="3"/>
  <c r="I57" i="3"/>
  <c r="H57" i="3"/>
  <c r="G57" i="3"/>
  <c r="F57" i="3"/>
  <c r="Q56" i="3"/>
  <c r="P56" i="3"/>
  <c r="O56" i="3"/>
  <c r="N56" i="3"/>
  <c r="M56" i="3"/>
  <c r="L56" i="3"/>
  <c r="K56" i="3"/>
  <c r="J56" i="3"/>
  <c r="I56" i="3"/>
  <c r="H56" i="3"/>
  <c r="G56" i="3"/>
  <c r="F56" i="3"/>
  <c r="Q55" i="3"/>
  <c r="P55" i="3"/>
  <c r="O55" i="3"/>
  <c r="N55" i="3"/>
  <c r="M55" i="3"/>
  <c r="L55" i="3"/>
  <c r="K55" i="3"/>
  <c r="J55" i="3"/>
  <c r="I55" i="3"/>
  <c r="H55" i="3"/>
  <c r="G55" i="3"/>
  <c r="F55" i="3"/>
  <c r="Q54" i="3"/>
  <c r="P54" i="3"/>
  <c r="O54" i="3"/>
  <c r="N54" i="3"/>
  <c r="M54" i="3"/>
  <c r="L54" i="3"/>
  <c r="K54" i="3"/>
  <c r="J54" i="3"/>
  <c r="I54" i="3"/>
  <c r="H54" i="3"/>
  <c r="G54" i="3"/>
  <c r="F54" i="3"/>
  <c r="Q53" i="3"/>
  <c r="P53" i="3"/>
  <c r="O53" i="3"/>
  <c r="N53" i="3"/>
  <c r="M53" i="3"/>
  <c r="L53" i="3"/>
  <c r="K53" i="3"/>
  <c r="J53" i="3"/>
  <c r="I53" i="3"/>
  <c r="H53" i="3"/>
  <c r="G53" i="3"/>
  <c r="F53" i="3"/>
  <c r="Q52" i="3"/>
  <c r="P52" i="3"/>
  <c r="O52" i="3"/>
  <c r="N52" i="3"/>
  <c r="M52" i="3"/>
  <c r="L52" i="3"/>
  <c r="K52" i="3"/>
  <c r="J52" i="3"/>
  <c r="I52" i="3"/>
  <c r="H52" i="3"/>
  <c r="G52" i="3"/>
  <c r="F52" i="3"/>
  <c r="Q51" i="3"/>
  <c r="Q73" i="3" s="1"/>
  <c r="P51" i="3"/>
  <c r="P73" i="3" s="1"/>
  <c r="O51" i="3"/>
  <c r="O73" i="3" s="1"/>
  <c r="N51" i="3"/>
  <c r="N73" i="3" s="1"/>
  <c r="M51" i="3"/>
  <c r="L51" i="3"/>
  <c r="L73" i="3" s="1"/>
  <c r="K51" i="3"/>
  <c r="K73" i="3" s="1"/>
  <c r="J51" i="3"/>
  <c r="J73" i="3" s="1"/>
  <c r="I51" i="3"/>
  <c r="I73" i="3" s="1"/>
  <c r="H51" i="3"/>
  <c r="H73" i="3" s="1"/>
  <c r="G51" i="3"/>
  <c r="G73" i="3" s="1"/>
  <c r="F51" i="3"/>
  <c r="F73" i="3" s="1"/>
  <c r="Q47" i="3"/>
  <c r="Q48" i="3" s="1"/>
  <c r="P47" i="3"/>
  <c r="P48" i="3" s="1"/>
  <c r="O47" i="3"/>
  <c r="O48" i="3" s="1"/>
  <c r="N47" i="3"/>
  <c r="N48" i="3" s="1"/>
  <c r="M47" i="3"/>
  <c r="M48" i="3" s="1"/>
  <c r="L47" i="3"/>
  <c r="L48" i="3" s="1"/>
  <c r="K47" i="3"/>
  <c r="K48" i="3" s="1"/>
  <c r="J47" i="3"/>
  <c r="J48" i="3" s="1"/>
  <c r="I47" i="3"/>
  <c r="I48" i="3" s="1"/>
  <c r="H47" i="3"/>
  <c r="H48" i="3" s="1"/>
  <c r="G47" i="3"/>
  <c r="G48" i="3" s="1"/>
  <c r="F47" i="3"/>
  <c r="F48" i="3" s="1"/>
  <c r="Q41" i="3"/>
  <c r="P41" i="3"/>
  <c r="O41" i="3"/>
  <c r="N41" i="3"/>
  <c r="M41" i="3"/>
  <c r="L41" i="3"/>
  <c r="K41" i="3"/>
  <c r="J41" i="3"/>
  <c r="I41" i="3"/>
  <c r="H41" i="3"/>
  <c r="G41" i="3"/>
  <c r="F41" i="3"/>
  <c r="Q40" i="3"/>
  <c r="P40" i="3"/>
  <c r="O40" i="3"/>
  <c r="N40" i="3"/>
  <c r="M40" i="3"/>
  <c r="L40" i="3"/>
  <c r="K40" i="3"/>
  <c r="J40" i="3"/>
  <c r="I40" i="3"/>
  <c r="H40" i="3"/>
  <c r="G40" i="3"/>
  <c r="F40" i="3"/>
  <c r="Q39" i="3"/>
  <c r="P39" i="3"/>
  <c r="O39" i="3"/>
  <c r="N39" i="3"/>
  <c r="M39" i="3"/>
  <c r="L39" i="3"/>
  <c r="K39" i="3"/>
  <c r="J39" i="3"/>
  <c r="I39" i="3"/>
  <c r="H39" i="3"/>
  <c r="G39" i="3"/>
  <c r="F39" i="3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F35" i="3"/>
  <c r="Q34" i="3"/>
  <c r="P34" i="3"/>
  <c r="O34" i="3"/>
  <c r="N34" i="3"/>
  <c r="M34" i="3"/>
  <c r="L34" i="3"/>
  <c r="K34" i="3"/>
  <c r="J34" i="3"/>
  <c r="I34" i="3"/>
  <c r="H34" i="3"/>
  <c r="G34" i="3"/>
  <c r="F34" i="3"/>
  <c r="Q33" i="3"/>
  <c r="P33" i="3"/>
  <c r="O33" i="3"/>
  <c r="N33" i="3"/>
  <c r="M33" i="3"/>
  <c r="L33" i="3"/>
  <c r="K33" i="3"/>
  <c r="J33" i="3"/>
  <c r="I33" i="3"/>
  <c r="H33" i="3"/>
  <c r="G33" i="3"/>
  <c r="F33" i="3"/>
  <c r="Q32" i="3"/>
  <c r="P32" i="3"/>
  <c r="O32" i="3"/>
  <c r="N32" i="3"/>
  <c r="M32" i="3"/>
  <c r="L32" i="3"/>
  <c r="K32" i="3"/>
  <c r="J32" i="3"/>
  <c r="I32" i="3"/>
  <c r="H32" i="3"/>
  <c r="G32" i="3"/>
  <c r="F32" i="3"/>
  <c r="Q31" i="3"/>
  <c r="P31" i="3"/>
  <c r="O31" i="3"/>
  <c r="N31" i="3"/>
  <c r="M31" i="3"/>
  <c r="L31" i="3"/>
  <c r="K31" i="3"/>
  <c r="J31" i="3"/>
  <c r="I31" i="3"/>
  <c r="H31" i="3"/>
  <c r="G31" i="3"/>
  <c r="F31" i="3"/>
  <c r="Q30" i="3"/>
  <c r="P30" i="3"/>
  <c r="O30" i="3"/>
  <c r="N30" i="3"/>
  <c r="M30" i="3"/>
  <c r="L30" i="3"/>
  <c r="K30" i="3"/>
  <c r="J30" i="3"/>
  <c r="I30" i="3"/>
  <c r="H30" i="3"/>
  <c r="G30" i="3"/>
  <c r="F30" i="3"/>
  <c r="Q29" i="3"/>
  <c r="P29" i="3"/>
  <c r="O29" i="3"/>
  <c r="N29" i="3"/>
  <c r="M29" i="3"/>
  <c r="L29" i="3"/>
  <c r="K29" i="3"/>
  <c r="J29" i="3"/>
  <c r="I29" i="3"/>
  <c r="H29" i="3"/>
  <c r="G29" i="3"/>
  <c r="F29" i="3"/>
  <c r="Q28" i="3"/>
  <c r="P28" i="3"/>
  <c r="O28" i="3"/>
  <c r="N28" i="3"/>
  <c r="M28" i="3"/>
  <c r="L28" i="3"/>
  <c r="K28" i="3"/>
  <c r="J28" i="3"/>
  <c r="I28" i="3"/>
  <c r="H28" i="3"/>
  <c r="G28" i="3"/>
  <c r="F28" i="3"/>
  <c r="Q27" i="3"/>
  <c r="P27" i="3"/>
  <c r="O27" i="3"/>
  <c r="N27" i="3"/>
  <c r="M27" i="3"/>
  <c r="L27" i="3"/>
  <c r="K27" i="3"/>
  <c r="J27" i="3"/>
  <c r="I27" i="3"/>
  <c r="H27" i="3"/>
  <c r="G27" i="3"/>
  <c r="F27" i="3"/>
  <c r="Q26" i="3"/>
  <c r="P26" i="3"/>
  <c r="O26" i="3"/>
  <c r="N26" i="3"/>
  <c r="M26" i="3"/>
  <c r="L26" i="3"/>
  <c r="K26" i="3"/>
  <c r="J26" i="3"/>
  <c r="I26" i="3"/>
  <c r="H26" i="3"/>
  <c r="G26" i="3"/>
  <c r="F26" i="3"/>
  <c r="Q25" i="3"/>
  <c r="P25" i="3"/>
  <c r="O25" i="3"/>
  <c r="N25" i="3"/>
  <c r="M25" i="3"/>
  <c r="L25" i="3"/>
  <c r="K25" i="3"/>
  <c r="J25" i="3"/>
  <c r="I25" i="3"/>
  <c r="H25" i="3"/>
  <c r="G25" i="3"/>
  <c r="F25" i="3"/>
  <c r="Q24" i="3"/>
  <c r="P24" i="3"/>
  <c r="O24" i="3"/>
  <c r="N24" i="3"/>
  <c r="M24" i="3"/>
  <c r="L24" i="3"/>
  <c r="K24" i="3"/>
  <c r="J24" i="3"/>
  <c r="I24" i="3"/>
  <c r="H24" i="3"/>
  <c r="G24" i="3"/>
  <c r="F24" i="3"/>
  <c r="Q23" i="3"/>
  <c r="Q42" i="3" s="1"/>
  <c r="P23" i="3"/>
  <c r="P42" i="3" s="1"/>
  <c r="O23" i="3"/>
  <c r="O42" i="3" s="1"/>
  <c r="N23" i="3"/>
  <c r="N42" i="3" s="1"/>
  <c r="M23" i="3"/>
  <c r="M42" i="3" s="1"/>
  <c r="L23" i="3"/>
  <c r="L42" i="3" s="1"/>
  <c r="K23" i="3"/>
  <c r="K42" i="3" s="1"/>
  <c r="J23" i="3"/>
  <c r="J42" i="3" s="1"/>
  <c r="I23" i="3"/>
  <c r="I42" i="3" s="1"/>
  <c r="H23" i="3"/>
  <c r="H42" i="3" s="1"/>
  <c r="G23" i="3"/>
  <c r="G42" i="3" s="1"/>
  <c r="F23" i="3"/>
  <c r="F42" i="3" s="1"/>
  <c r="Q19" i="3"/>
  <c r="P19" i="3"/>
  <c r="O19" i="3"/>
  <c r="N19" i="3"/>
  <c r="M19" i="3"/>
  <c r="L19" i="3"/>
  <c r="K19" i="3"/>
  <c r="J19" i="3"/>
  <c r="I19" i="3"/>
  <c r="H19" i="3"/>
  <c r="G19" i="3"/>
  <c r="F19" i="3"/>
  <c r="Q18" i="3"/>
  <c r="P18" i="3"/>
  <c r="O18" i="3"/>
  <c r="N18" i="3"/>
  <c r="M18" i="3"/>
  <c r="L18" i="3"/>
  <c r="K18" i="3"/>
  <c r="J18" i="3"/>
  <c r="I18" i="3"/>
  <c r="H18" i="3"/>
  <c r="G18" i="3"/>
  <c r="F18" i="3"/>
  <c r="Q17" i="3"/>
  <c r="P17" i="3"/>
  <c r="O17" i="3"/>
  <c r="N17" i="3"/>
  <c r="M17" i="3"/>
  <c r="L17" i="3"/>
  <c r="K17" i="3"/>
  <c r="J17" i="3"/>
  <c r="I17" i="3"/>
  <c r="H17" i="3"/>
  <c r="G17" i="3"/>
  <c r="F17" i="3"/>
  <c r="Q16" i="3"/>
  <c r="P16" i="3"/>
  <c r="O16" i="3"/>
  <c r="N16" i="3"/>
  <c r="M16" i="3"/>
  <c r="L16" i="3"/>
  <c r="K16" i="3"/>
  <c r="J16" i="3"/>
  <c r="I16" i="3"/>
  <c r="H16" i="3"/>
  <c r="G16" i="3"/>
  <c r="F16" i="3"/>
  <c r="Q15" i="3"/>
  <c r="P15" i="3"/>
  <c r="O15" i="3"/>
  <c r="N15" i="3"/>
  <c r="M15" i="3"/>
  <c r="L15" i="3"/>
  <c r="K15" i="3"/>
  <c r="J15" i="3"/>
  <c r="I15" i="3"/>
  <c r="H15" i="3"/>
  <c r="G15" i="3"/>
  <c r="F15" i="3"/>
  <c r="Q14" i="3"/>
  <c r="P14" i="3"/>
  <c r="O14" i="3"/>
  <c r="N14" i="3"/>
  <c r="M14" i="3"/>
  <c r="L14" i="3"/>
  <c r="K14" i="3"/>
  <c r="J14" i="3"/>
  <c r="I14" i="3"/>
  <c r="H14" i="3"/>
  <c r="G14" i="3"/>
  <c r="F14" i="3"/>
  <c r="Q13" i="3"/>
  <c r="P13" i="3"/>
  <c r="O13" i="3"/>
  <c r="N13" i="3"/>
  <c r="M13" i="3"/>
  <c r="L13" i="3"/>
  <c r="K13" i="3"/>
  <c r="J13" i="3"/>
  <c r="I13" i="3"/>
  <c r="H13" i="3"/>
  <c r="G13" i="3"/>
  <c r="F13" i="3"/>
  <c r="Q12" i="3"/>
  <c r="P12" i="3"/>
  <c r="O12" i="3"/>
  <c r="N12" i="3"/>
  <c r="M12" i="3"/>
  <c r="L12" i="3"/>
  <c r="K12" i="3"/>
  <c r="J12" i="3"/>
  <c r="I12" i="3"/>
  <c r="H12" i="3"/>
  <c r="G12" i="3"/>
  <c r="F12" i="3"/>
  <c r="Q11" i="3"/>
  <c r="P11" i="3"/>
  <c r="O11" i="3"/>
  <c r="N11" i="3"/>
  <c r="M11" i="3"/>
  <c r="L11" i="3"/>
  <c r="K11" i="3"/>
  <c r="J11" i="3"/>
  <c r="I11" i="3"/>
  <c r="H11" i="3"/>
  <c r="G11" i="3"/>
  <c r="F11" i="3"/>
  <c r="Q10" i="3"/>
  <c r="P10" i="3"/>
  <c r="O10" i="3"/>
  <c r="N10" i="3"/>
  <c r="M10" i="3"/>
  <c r="L10" i="3"/>
  <c r="K10" i="3"/>
  <c r="J10" i="3"/>
  <c r="I10" i="3"/>
  <c r="H10" i="3"/>
  <c r="G10" i="3"/>
  <c r="F10" i="3"/>
  <c r="Q9" i="3"/>
  <c r="P9" i="3"/>
  <c r="O9" i="3"/>
  <c r="N9" i="3"/>
  <c r="M9" i="3"/>
  <c r="L9" i="3"/>
  <c r="K9" i="3"/>
  <c r="J9" i="3"/>
  <c r="I9" i="3"/>
  <c r="H9" i="3"/>
  <c r="G9" i="3"/>
  <c r="F9" i="3"/>
  <c r="Q8" i="3"/>
  <c r="P8" i="3"/>
  <c r="O8" i="3"/>
  <c r="N8" i="3"/>
  <c r="M8" i="3"/>
  <c r="L8" i="3"/>
  <c r="K8" i="3"/>
  <c r="J8" i="3"/>
  <c r="I8" i="3"/>
  <c r="H8" i="3"/>
  <c r="G8" i="3"/>
  <c r="F8" i="3"/>
  <c r="Q7" i="3"/>
  <c r="Q20" i="3" s="1"/>
  <c r="Q44" i="3" s="1"/>
  <c r="Q75" i="3" s="1"/>
  <c r="P7" i="3"/>
  <c r="P20" i="3" s="1"/>
  <c r="P44" i="3" s="1"/>
  <c r="P75" i="3" s="1"/>
  <c r="O7" i="3"/>
  <c r="O20" i="3" s="1"/>
  <c r="O44" i="3" s="1"/>
  <c r="O75" i="3" s="1"/>
  <c r="N7" i="3"/>
  <c r="N20" i="3" s="1"/>
  <c r="N44" i="3" s="1"/>
  <c r="N75" i="3" s="1"/>
  <c r="M7" i="3"/>
  <c r="M20" i="3" s="1"/>
  <c r="M44" i="3" s="1"/>
  <c r="L7" i="3"/>
  <c r="L20" i="3" s="1"/>
  <c r="L44" i="3" s="1"/>
  <c r="L75" i="3" s="1"/>
  <c r="K7" i="3"/>
  <c r="K20" i="3" s="1"/>
  <c r="K44" i="3" s="1"/>
  <c r="K75" i="3" s="1"/>
  <c r="J7" i="3"/>
  <c r="J20" i="3" s="1"/>
  <c r="I7" i="3"/>
  <c r="I20" i="3" s="1"/>
  <c r="I44" i="3" s="1"/>
  <c r="I75" i="3" s="1"/>
  <c r="H7" i="3"/>
  <c r="H20" i="3" s="1"/>
  <c r="H44" i="3" s="1"/>
  <c r="H75" i="3" s="1"/>
  <c r="G7" i="3"/>
  <c r="G20" i="3" s="1"/>
  <c r="G44" i="3" s="1"/>
  <c r="G75" i="3" s="1"/>
  <c r="F7" i="3"/>
  <c r="F20" i="3" s="1"/>
  <c r="F44" i="3" s="1"/>
  <c r="F75" i="3" s="1"/>
  <c r="P137" i="2"/>
  <c r="B137" i="2"/>
  <c r="P136" i="2"/>
  <c r="B136" i="2"/>
  <c r="P135" i="2"/>
  <c r="B135" i="2"/>
  <c r="P134" i="2"/>
  <c r="B134" i="2"/>
  <c r="P133" i="2"/>
  <c r="B133" i="2"/>
  <c r="P132" i="2"/>
  <c r="B132" i="2"/>
  <c r="P131" i="2"/>
  <c r="B131" i="2"/>
  <c r="P130" i="2"/>
  <c r="B130" i="2"/>
  <c r="P129" i="2"/>
  <c r="B129" i="2"/>
  <c r="P128" i="2"/>
  <c r="B128" i="2"/>
  <c r="P127" i="2"/>
  <c r="B127" i="2"/>
  <c r="P126" i="2"/>
  <c r="B126" i="2"/>
  <c r="P125" i="2"/>
  <c r="B125" i="2"/>
  <c r="P124" i="2"/>
  <c r="B124" i="2"/>
  <c r="P123" i="2"/>
  <c r="B123" i="2"/>
  <c r="P122" i="2"/>
  <c r="B122" i="2"/>
  <c r="P121" i="2"/>
  <c r="B121" i="2"/>
  <c r="P120" i="2"/>
  <c r="B120" i="2"/>
  <c r="P119" i="2"/>
  <c r="B119" i="2"/>
  <c r="P118" i="2"/>
  <c r="B118" i="2"/>
  <c r="P117" i="2"/>
  <c r="B117" i="2"/>
  <c r="P116" i="2"/>
  <c r="B116" i="2"/>
  <c r="P115" i="2"/>
  <c r="B115" i="2"/>
  <c r="P114" i="2"/>
  <c r="B114" i="2"/>
  <c r="P113" i="2"/>
  <c r="B113" i="2"/>
  <c r="P112" i="2"/>
  <c r="B112" i="2"/>
  <c r="P111" i="2"/>
  <c r="B111" i="2"/>
  <c r="P110" i="2"/>
  <c r="B110" i="2"/>
  <c r="P109" i="2"/>
  <c r="B109" i="2"/>
  <c r="P108" i="2"/>
  <c r="B108" i="2"/>
  <c r="P107" i="2"/>
  <c r="B107" i="2"/>
  <c r="P106" i="2"/>
  <c r="B106" i="2"/>
  <c r="P105" i="2"/>
  <c r="B105" i="2"/>
  <c r="P104" i="2"/>
  <c r="B104" i="2"/>
  <c r="P103" i="2"/>
  <c r="B103" i="2"/>
  <c r="P102" i="2"/>
  <c r="B102" i="2"/>
  <c r="P101" i="2"/>
  <c r="B101" i="2"/>
  <c r="P100" i="2"/>
  <c r="B100" i="2"/>
  <c r="P99" i="2"/>
  <c r="B99" i="2"/>
  <c r="P98" i="2"/>
  <c r="B98" i="2"/>
  <c r="P97" i="2"/>
  <c r="B97" i="2"/>
  <c r="P96" i="2"/>
  <c r="B96" i="2"/>
  <c r="P95" i="2"/>
  <c r="B95" i="2"/>
  <c r="P94" i="2"/>
  <c r="B94" i="2"/>
  <c r="P93" i="2"/>
  <c r="B93" i="2"/>
  <c r="P92" i="2"/>
  <c r="B92" i="2"/>
  <c r="P91" i="2"/>
  <c r="B91" i="2"/>
  <c r="P90" i="2"/>
  <c r="B90" i="2"/>
  <c r="P89" i="2"/>
  <c r="B89" i="2"/>
  <c r="P88" i="2"/>
  <c r="B88" i="2"/>
  <c r="P87" i="2"/>
  <c r="B87" i="2"/>
  <c r="P86" i="2"/>
  <c r="B86" i="2"/>
  <c r="P85" i="2"/>
  <c r="B85" i="2"/>
  <c r="P84" i="2"/>
  <c r="B84" i="2"/>
  <c r="P83" i="2"/>
  <c r="B83" i="2"/>
  <c r="P82" i="2"/>
  <c r="B82" i="2"/>
  <c r="P81" i="2"/>
  <c r="B81" i="2"/>
  <c r="P80" i="2"/>
  <c r="B80" i="2"/>
  <c r="P79" i="2"/>
  <c r="B79" i="2"/>
  <c r="P78" i="2"/>
  <c r="B78" i="2"/>
  <c r="P77" i="2"/>
  <c r="B77" i="2"/>
  <c r="P76" i="2"/>
  <c r="B76" i="2"/>
  <c r="P75" i="2"/>
  <c r="B75" i="2"/>
  <c r="P74" i="2"/>
  <c r="B74" i="2"/>
  <c r="P73" i="2"/>
  <c r="B73" i="2"/>
  <c r="P72" i="2"/>
  <c r="B72" i="2"/>
  <c r="P71" i="2"/>
  <c r="B71" i="2"/>
  <c r="P70" i="2"/>
  <c r="B70" i="2"/>
  <c r="P69" i="2"/>
  <c r="B69" i="2"/>
  <c r="P68" i="2"/>
  <c r="B68" i="2"/>
  <c r="P67" i="2"/>
  <c r="B67" i="2"/>
  <c r="P66" i="2"/>
  <c r="B66" i="2"/>
  <c r="P65" i="2"/>
  <c r="B65" i="2"/>
  <c r="P64" i="2"/>
  <c r="B64" i="2"/>
  <c r="P63" i="2"/>
  <c r="B63" i="2"/>
  <c r="P62" i="2"/>
  <c r="B62" i="2"/>
  <c r="P61" i="2"/>
  <c r="B61" i="2"/>
  <c r="P60" i="2"/>
  <c r="B60" i="2"/>
  <c r="P59" i="2"/>
  <c r="B59" i="2"/>
  <c r="P58" i="2"/>
  <c r="B58" i="2"/>
  <c r="P57" i="2"/>
  <c r="B57" i="2"/>
  <c r="P56" i="2"/>
  <c r="B56" i="2"/>
  <c r="P55" i="2"/>
  <c r="B55" i="2"/>
  <c r="P54" i="2"/>
  <c r="B54" i="2"/>
  <c r="P53" i="2"/>
  <c r="B53" i="2"/>
  <c r="P52" i="2"/>
  <c r="B52" i="2"/>
  <c r="P51" i="2"/>
  <c r="B51" i="2"/>
  <c r="P50" i="2"/>
  <c r="B50" i="2"/>
  <c r="P49" i="2"/>
  <c r="B49" i="2"/>
  <c r="P48" i="2"/>
  <c r="B48" i="2"/>
  <c r="P47" i="2"/>
  <c r="B47" i="2"/>
  <c r="P46" i="2"/>
  <c r="B46" i="2"/>
  <c r="P45" i="2"/>
  <c r="B45" i="2"/>
  <c r="P44" i="2"/>
  <c r="B44" i="2"/>
  <c r="P43" i="2"/>
  <c r="B43" i="2"/>
  <c r="P42" i="2"/>
  <c r="B42" i="2"/>
  <c r="P41" i="2"/>
  <c r="B41" i="2"/>
  <c r="P40" i="2"/>
  <c r="B40" i="2"/>
  <c r="P39" i="2"/>
  <c r="B39" i="2"/>
  <c r="P38" i="2"/>
  <c r="B38" i="2"/>
  <c r="P37" i="2"/>
  <c r="B37" i="2"/>
  <c r="P36" i="2"/>
  <c r="B36" i="2"/>
  <c r="P35" i="2"/>
  <c r="B35" i="2"/>
  <c r="P33" i="2"/>
  <c r="B33" i="2"/>
  <c r="P32" i="2"/>
  <c r="B32" i="2"/>
  <c r="P31" i="2"/>
  <c r="B31" i="2"/>
  <c r="P30" i="2"/>
  <c r="B30" i="2"/>
  <c r="P29" i="2"/>
  <c r="B29" i="2"/>
  <c r="P28" i="2"/>
  <c r="B28" i="2"/>
  <c r="P27" i="2"/>
  <c r="B27" i="2"/>
  <c r="P26" i="2"/>
  <c r="B26" i="2"/>
  <c r="P25" i="2"/>
  <c r="B25" i="2"/>
  <c r="P24" i="2"/>
  <c r="B24" i="2"/>
  <c r="P23" i="2"/>
  <c r="B23" i="2"/>
  <c r="P22" i="2"/>
  <c r="B22" i="2"/>
  <c r="P21" i="2"/>
  <c r="B21" i="2"/>
  <c r="P20" i="2"/>
  <c r="B20" i="2"/>
  <c r="P19" i="2"/>
  <c r="B19" i="2"/>
  <c r="P18" i="2"/>
  <c r="B18" i="2"/>
  <c r="P17" i="2"/>
  <c r="B17" i="2"/>
  <c r="P16" i="2"/>
  <c r="B16" i="2"/>
  <c r="P15" i="2"/>
  <c r="B15" i="2"/>
  <c r="P14" i="2"/>
  <c r="B14" i="2"/>
  <c r="P13" i="2"/>
  <c r="B13" i="2"/>
  <c r="P12" i="2"/>
  <c r="B12" i="2"/>
  <c r="P11" i="2"/>
  <c r="B11" i="2"/>
  <c r="P10" i="2"/>
  <c r="B10" i="2"/>
  <c r="P9" i="2"/>
  <c r="B9" i="2"/>
  <c r="P8" i="2"/>
  <c r="B8" i="2"/>
  <c r="P7" i="2"/>
  <c r="B7" i="2"/>
  <c r="P6" i="2"/>
  <c r="B6" i="2"/>
  <c r="P5" i="2"/>
  <c r="B5" i="2"/>
  <c r="P4" i="2"/>
  <c r="B4" i="2"/>
  <c r="P3" i="2"/>
  <c r="B3" i="2"/>
  <c r="M73" i="3" l="1"/>
  <c r="M75" i="3" s="1"/>
  <c r="J44" i="3"/>
  <c r="J75" i="3" s="1"/>
</calcChain>
</file>

<file path=xl/sharedStrings.xml><?xml version="1.0" encoding="utf-8"?>
<sst xmlns="http://schemas.openxmlformats.org/spreadsheetml/2006/main" count="5812" uniqueCount="879">
  <si>
    <t>Aura Beacon Island — Underwriting Intake</t>
  </si>
  <si>
    <t>Generated June 23, 2026  ·  RR-T12 Processor intake  ·  Operating period May 2025 – Apr 2026 (12 mo)</t>
  </si>
  <si>
    <t>Data vintage  ·  Rent roll as-of 05/23/2026  ·  Latest financial statement thru Apr 2026</t>
  </si>
  <si>
    <t>SNAPSHOT</t>
  </si>
  <si>
    <t>UNIT MIX  —  mix-weighted market-rent indicators</t>
  </si>
  <si>
    <t>Units</t>
  </si>
  <si>
    <t>Floor Plan</t>
  </si>
  <si>
    <t>Bed</t>
  </si>
  <si>
    <t>Bath</t>
  </si>
  <si>
    <t>Occ</t>
  </si>
  <si>
    <t>Vac</t>
  </si>
  <si>
    <t>Avg SF</t>
  </si>
  <si>
    <t>Avg Market Rent
(per RR — not a
mkt signal)</t>
  </si>
  <si>
    <t>Avg Contract
Rent</t>
  </si>
  <si>
    <t>New
Leases</t>
  </si>
  <si>
    <t>Renew
Leases</t>
  </si>
  <si>
    <t>Avg New-Lease
(last 5)</t>
  </si>
  <si>
    <t>New #1</t>
  </si>
  <si>
    <t>New #2</t>
  </si>
  <si>
    <t>New #3</t>
  </si>
  <si>
    <t>New #4</t>
  </si>
  <si>
    <t>New #5</t>
  </si>
  <si>
    <t>HD T90
Asking</t>
  </si>
  <si>
    <t>HD T90
Effective</t>
  </si>
  <si>
    <t>HD T365
Asking</t>
  </si>
  <si>
    <t>HD T365
Effective</t>
  </si>
  <si>
    <t>HD90 YoY
Asking</t>
  </si>
  <si>
    <t>HD90 YoY
Effective</t>
  </si>
  <si>
    <t>Bed/Bath
Src</t>
  </si>
  <si>
    <t>HD Plan
(website)</t>
  </si>
  <si>
    <t>Occupied / Vacant / Non-Rev</t>
  </si>
  <si>
    <t>272 / 18 / 0</t>
  </si>
  <si>
    <t>A1-abi</t>
  </si>
  <si>
    <t>HelloData</t>
  </si>
  <si>
    <t>A1</t>
  </si>
  <si>
    <t>Occupancy %</t>
  </si>
  <si>
    <t>A2-abi</t>
  </si>
  <si>
    <t>A2</t>
  </si>
  <si>
    <t>Total Rentable SF</t>
  </si>
  <si>
    <t>A3-abi</t>
  </si>
  <si>
    <t>A3</t>
  </si>
  <si>
    <t>New / Renewal leases</t>
  </si>
  <si>
    <t>0 / 0</t>
  </si>
  <si>
    <t>A3.8-abi</t>
  </si>
  <si>
    <t>— Market Rent Indicators (true signal) —</t>
  </si>
  <si>
    <t>A4-abi</t>
  </si>
  <si>
    <t>A4</t>
  </si>
  <si>
    <t>HelloData asking, T90 (mix-wtd)</t>
  </si>
  <si>
    <t>A5-abi</t>
  </si>
  <si>
    <t>A5</t>
  </si>
  <si>
    <t>HelloData effective, T90 (mix-wtd)</t>
  </si>
  <si>
    <t>A5.3-abi</t>
  </si>
  <si>
    <t>New-lease contract, T90 (avg)</t>
  </si>
  <si>
    <t>A6-abi</t>
  </si>
  <si>
    <t>A6</t>
  </si>
  <si>
    <t>— T12 Annualized (most recent 12 mo.) —</t>
  </si>
  <si>
    <t>A7-abi</t>
  </si>
  <si>
    <t>A7</t>
  </si>
  <si>
    <t>Effective Gross Revenue (T12)</t>
  </si>
  <si>
    <t>B1-abi</t>
  </si>
  <si>
    <t>B1</t>
  </si>
  <si>
    <t>Operating Expenses (T12)</t>
  </si>
  <si>
    <t>B1.7-abi</t>
  </si>
  <si>
    <t>Net Operating Income (T12)</t>
  </si>
  <si>
    <t>B2-abi</t>
  </si>
  <si>
    <t>B2</t>
  </si>
  <si>
    <t>Operating Margin (T12)</t>
  </si>
  <si>
    <t>B2.3-abi</t>
  </si>
  <si>
    <t>B3-abi</t>
  </si>
  <si>
    <t>B3</t>
  </si>
  <si>
    <t>TH-abi</t>
  </si>
  <si>
    <t>HelloData(unit)</t>
  </si>
  <si>
    <t>TH1</t>
  </si>
  <si>
    <t>TH.1-abi</t>
  </si>
  <si>
    <t>C1-abi</t>
  </si>
  <si>
    <t>C1</t>
  </si>
  <si>
    <t>C1.2-abi</t>
  </si>
  <si>
    <t>TH.2-abi</t>
  </si>
  <si>
    <t>unknown</t>
  </si>
  <si>
    <t>TOTAL / AVG</t>
  </si>
  <si>
    <t>New-lease = lease start ≤ move-in (renewals excluded). HD T90/T365 = executed (off-market) asking/effective; HD90 YoY compares the trailing 90 days to the same window a year ago.</t>
  </si>
  <si>
    <t>⚑ UNDERWRITING FLAGS</t>
  </si>
  <si>
    <t>•  HelloData reflects the website 'Total Monthly', which can bundle mandatory fees. HD market rent here is shown NET of $15.00/mo (explicit override). See 'Reconciliation → HelloData Asking: Fee Netting' for the full derivation.</t>
  </si>
  <si>
    <t>•  New-Lease Contract / unit history draws on 2 rent rolls (current 05/23/2026 + older 02/26/2024); older rolls supply signings that have since turned over. The dashboard and unit mix use the current rent roll only.</t>
  </si>
  <si>
    <t>•  Seasonality: executed asking rents peak in Apr and trough in Nov (~15% spread across the HelloData history).</t>
  </si>
  <si>
    <t>•  HelloData asking-rent YoY (same calendar month): -1.7% average across 25 month-pair(s).</t>
  </si>
  <si>
    <t>•  Annualized EGR: T3 $5,989,462 vs T12 $6,032,933 (-0.7%) -- recent run-rate is below the trailing year.</t>
  </si>
  <si>
    <t>•  Annualized NOI: T3 $3,479,043 vs T12 $3,401,721 (+2.3%).</t>
  </si>
  <si>
    <t>HOW TO USE → paste into the TMG acquisition model</t>
  </si>
  <si>
    <t>1.  Review 'T12 Categorized' col A (amber). Every GL line appears once with all months flowing across; edit a code via the dropdown to re-map. Category (col B) and OS Summary roll up automatically.</t>
  </si>
  <si>
    <t>2.  'OS Summary' is the standardized chart of accounts (live SUMIFS, most recent 12 months). Copy A1:Q77 → model 'OS Summary Dump' A1 (Paste Special → Values).</t>
  </si>
  <si>
    <t>3.  'T12 Categorized' → copy Code, Category, Line Item + the most recent 12 month columns (NOT the Total column) → model 'T12 Dump' A2.</t>
  </si>
  <si>
    <t>4.  'Rent Roll (One-Line) 05-23-26' (newest rent roll) → copy the core columns A2:M(last) → model 'RR Dump' A2.  (The per-unit charge-code columns to the right of the gap are reference detail, not a model paste target.)</t>
  </si>
  <si>
    <t>5.  'HelloData' → copy A2:U(last) → model 'HD Dump' A2.</t>
  </si>
  <si>
    <t>6.  The unit mix (with new-lease + HD T90/T365/YoY market-rent indicators) is on this Dashboard; check 'Lease Trend' (seasonality / market-rent trajectory) and 'Reconciliation' (contract-rent ↔ AGPR tie-out) before underwriting. Paste targets only — do NOT populate the model itself from here.</t>
  </si>
  <si>
    <t>Code</t>
  </si>
  <si>
    <t>Category</t>
  </si>
  <si>
    <t>Line Item (raw GL)</t>
  </si>
  <si>
    <t>Total</t>
  </si>
  <si>
    <t>INCOME</t>
  </si>
  <si>
    <t>Rentinc</t>
  </si>
  <si>
    <t>Gross Mkt Rent Potential</t>
  </si>
  <si>
    <t>ltl</t>
  </si>
  <si>
    <t>Gain/Loss To Lease</t>
  </si>
  <si>
    <t>vac</t>
  </si>
  <si>
    <t>Vacancy</t>
  </si>
  <si>
    <t>nr</t>
  </si>
  <si>
    <t>Models</t>
  </si>
  <si>
    <t>Employee Units</t>
  </si>
  <si>
    <t>conc</t>
  </si>
  <si>
    <t>Non-Recurring Concessions</t>
  </si>
  <si>
    <t>cl</t>
  </si>
  <si>
    <t>Less: Writeoffs</t>
  </si>
  <si>
    <t>Write Off Rent Recovery</t>
  </si>
  <si>
    <t>park</t>
  </si>
  <si>
    <t>Garage</t>
  </si>
  <si>
    <t>Carport</t>
  </si>
  <si>
    <t>Storage</t>
  </si>
  <si>
    <t>Mtm Premium</t>
  </si>
  <si>
    <t>OI</t>
  </si>
  <si>
    <t>Pet Premium</t>
  </si>
  <si>
    <t>Application Fees</t>
  </si>
  <si>
    <t>Nsf Fees</t>
  </si>
  <si>
    <t>Late Fees</t>
  </si>
  <si>
    <t>Initial Pet Fees</t>
  </si>
  <si>
    <t>Administrative Fees</t>
  </si>
  <si>
    <t>Transfer Fees</t>
  </si>
  <si>
    <t>Gate Card Income</t>
  </si>
  <si>
    <t>Lease Cancellation Fees</t>
  </si>
  <si>
    <t>Damages/Cleaning</t>
  </si>
  <si>
    <t>Miscellaneous</t>
  </si>
  <si>
    <t>Forfeited Security Deposit</t>
  </si>
  <si>
    <t>Amenities Income</t>
  </si>
  <si>
    <t>Keys/Lock Fees</t>
  </si>
  <si>
    <t>RF</t>
  </si>
  <si>
    <t>Electric - Rebill</t>
  </si>
  <si>
    <t>RWS</t>
  </si>
  <si>
    <t>Water / Sewer Rebill</t>
  </si>
  <si>
    <t>RT</t>
  </si>
  <si>
    <t>Trash Removal Rebill</t>
  </si>
  <si>
    <t>Utility Rebill Services</t>
  </si>
  <si>
    <t>Reimbursed Pest Control</t>
  </si>
  <si>
    <t>OPERATING EXPENSES</t>
  </si>
  <si>
    <t>Pay</t>
  </si>
  <si>
    <t>Manager</t>
  </si>
  <si>
    <t>Assistant Manager</t>
  </si>
  <si>
    <t>Leasing Consultant</t>
  </si>
  <si>
    <t>Divisional Maint Mgr</t>
  </si>
  <si>
    <t>Maintenance Manager</t>
  </si>
  <si>
    <t>Asst Maintenance Mgr</t>
  </si>
  <si>
    <t>Maintenance Technician</t>
  </si>
  <si>
    <t>Porter/Grounds Person</t>
  </si>
  <si>
    <t>Housekeeper</t>
  </si>
  <si>
    <t>PBo</t>
  </si>
  <si>
    <t>Bonuses</t>
  </si>
  <si>
    <t>PB</t>
  </si>
  <si>
    <t>Payroll Taxes - Administrative</t>
  </si>
  <si>
    <t>Payroll Taxes - Maintenance</t>
  </si>
  <si>
    <t>ret</t>
  </si>
  <si>
    <t>Ins. Benefits - Administrative</t>
  </si>
  <si>
    <t>Ins. Benefits - Maintenance</t>
  </si>
  <si>
    <t>401k Contr - Administrative</t>
  </si>
  <si>
    <t>401k Contr - Maintenance</t>
  </si>
  <si>
    <t>Workers Comp - Administrative</t>
  </si>
  <si>
    <t>Workers Comp - Maintenance</t>
  </si>
  <si>
    <t>GA</t>
  </si>
  <si>
    <t>Uniform</t>
  </si>
  <si>
    <t>Temp Help - Maintenance</t>
  </si>
  <si>
    <t>OT - For All Positions</t>
  </si>
  <si>
    <t>Other - Payroll Fees</t>
  </si>
  <si>
    <t>UC</t>
  </si>
  <si>
    <t>Electricity-Vacant</t>
  </si>
  <si>
    <t>Electricity-Common Area</t>
  </si>
  <si>
    <t>Gas-Common Area</t>
  </si>
  <si>
    <t>UWS</t>
  </si>
  <si>
    <t>Water</t>
  </si>
  <si>
    <t>Water Irrigation</t>
  </si>
  <si>
    <t>Sewer</t>
  </si>
  <si>
    <t>cont</t>
  </si>
  <si>
    <t>Trash Removal</t>
  </si>
  <si>
    <t>Trash - Recycling</t>
  </si>
  <si>
    <t>Other Utilities</t>
  </si>
  <si>
    <t>turn</t>
  </si>
  <si>
    <t>Painting</t>
  </si>
  <si>
    <t>Contract Cleaning</t>
  </si>
  <si>
    <t>Landscape Contract</t>
  </si>
  <si>
    <t>Seasonal Color</t>
  </si>
  <si>
    <t>Plants &amp; Plant Maintenance</t>
  </si>
  <si>
    <t>Alarms &amp; Monitoring</t>
  </si>
  <si>
    <t>Pest Control</t>
  </si>
  <si>
    <t>Contract Cable</t>
  </si>
  <si>
    <t>Contract Common Area Cleaning</t>
  </si>
  <si>
    <t>inter/exte</t>
  </si>
  <si>
    <t>Electrical Supplies</t>
  </si>
  <si>
    <t>Plumbing</t>
  </si>
  <si>
    <t>Plumbing Supplies</t>
  </si>
  <si>
    <t>Hvac</t>
  </si>
  <si>
    <t>Hvac Supplies</t>
  </si>
  <si>
    <t>Appliances/Equipment</t>
  </si>
  <si>
    <t>Roof</t>
  </si>
  <si>
    <t>Pool &amp; Spa</t>
  </si>
  <si>
    <t>Pool Supplies</t>
  </si>
  <si>
    <t>Lighting</t>
  </si>
  <si>
    <t>Access Gates &amp; Fences</t>
  </si>
  <si>
    <t>Grounds</t>
  </si>
  <si>
    <t>Janitorial Contract</t>
  </si>
  <si>
    <t>Windows/Screens/Doors</t>
  </si>
  <si>
    <t>General Supplies</t>
  </si>
  <si>
    <t>Tools/Equipment</t>
  </si>
  <si>
    <t>Cleaning &amp; Supplies</t>
  </si>
  <si>
    <t>Fire/Life Safety</t>
  </si>
  <si>
    <t>Safety Tool Equipment/Rep/Sup</t>
  </si>
  <si>
    <t>Golf Carts/Vehicle</t>
  </si>
  <si>
    <t>Painting Supplies</t>
  </si>
  <si>
    <t>Locks &amp; Keys</t>
  </si>
  <si>
    <t>adv</t>
  </si>
  <si>
    <t>Internet Listing Service (ILS)</t>
  </si>
  <si>
    <t>Digital Search Advertising</t>
  </si>
  <si>
    <t>Printed Collateral Materials</t>
  </si>
  <si>
    <t>Banners/Flags</t>
  </si>
  <si>
    <t>Signage</t>
  </si>
  <si>
    <t>Model Furniture/Accessories</t>
  </si>
  <si>
    <t>Promotions</t>
  </si>
  <si>
    <t>Prospect Refreshments</t>
  </si>
  <si>
    <t>Resident Functions/Parties</t>
  </si>
  <si>
    <t>Resident Referral</t>
  </si>
  <si>
    <t>Locator/Broker Fees</t>
  </si>
  <si>
    <t>Marketing Dues &amp; Subscriptions</t>
  </si>
  <si>
    <t>Other Marketing</t>
  </si>
  <si>
    <t>Telephone</t>
  </si>
  <si>
    <t>Cell Phone</t>
  </si>
  <si>
    <t>Internet Service</t>
  </si>
  <si>
    <t>Answering Service</t>
  </si>
  <si>
    <t>Employee Recruiting</t>
  </si>
  <si>
    <t>Training &amp; Education</t>
  </si>
  <si>
    <t>Employee Travel/Mileage</t>
  </si>
  <si>
    <t>Meals &amp; Entertainment - Admin</t>
  </si>
  <si>
    <t>Employee Recognition</t>
  </si>
  <si>
    <t>Office Supplies</t>
  </si>
  <si>
    <t>Postal/Express Mail</t>
  </si>
  <si>
    <t>Dues And Subscriptions</t>
  </si>
  <si>
    <t>Credit Verification Fees</t>
  </si>
  <si>
    <t>Eviction Legal Fees</t>
  </si>
  <si>
    <t>Inspection Fees &amp; Permits</t>
  </si>
  <si>
    <t>Banking Fees/Charges</t>
  </si>
  <si>
    <t>Computer Services &amp; Fees</t>
  </si>
  <si>
    <t>Software Licenses/Maintenance Fees</t>
  </si>
  <si>
    <t>Apt Association Dues</t>
  </si>
  <si>
    <t>Print/Copy/Fax</t>
  </si>
  <si>
    <t>Quality Assurance Program</t>
  </si>
  <si>
    <t>mgt</t>
  </si>
  <si>
    <t>Management Fee</t>
  </si>
  <si>
    <t>ins</t>
  </si>
  <si>
    <t>Property Insurance</t>
  </si>
  <si>
    <t>Real Estate Property Taxes</t>
  </si>
  <si>
    <t>Personal Property Taxes</t>
  </si>
  <si>
    <t>Tax Service Consultants</t>
  </si>
  <si>
    <t>Special Assessments</t>
  </si>
  <si>
    <t>Homeowners Association Fees</t>
  </si>
  <si>
    <t>Outliers &amp; Notable Patterns  (amber month cells = &gt; 3.5× that line's median)</t>
  </si>
  <si>
    <t>•  Plumbing Supplies: Aug 2025 = $5,655  (55.4× the line's median) — one-off / reclass worth checking.</t>
  </si>
  <si>
    <t>•  Marketing Dues &amp; Subscriptions: Dec 2025 = $4,639  (10.9× the line's median) — one-off / reclass worth checking.</t>
  </si>
  <si>
    <t>•  Internet Listing Service (ILS): May 2025 = $5,290  (7.0× the line's median) — one-off / reclass worth checking.</t>
  </si>
  <si>
    <t>•  Training &amp; Education: May 2025 = $2,708  (5.3× the line's median) — one-off / reclass worth checking.</t>
  </si>
  <si>
    <t>•  Fire/Life Safety: May 2025 = $8,341  (4.9× the line's median) — one-off / reclass worth checking.</t>
  </si>
  <si>
    <t>•  Locator/Broker Fees: Jul 2025 = $9,580  (4.7× the line's median) — one-off / reclass worth checking.</t>
  </si>
  <si>
    <t>•  Water Irrigation: Jul 2025 = $5,908  (4.2× the line's median) — one-off / reclass worth checking.</t>
  </si>
  <si>
    <t>•  Temp Help - Maintenance: Jun 2025 = $11,823  (4.1× the line's median) — one-off / reclass worth checking.</t>
  </si>
  <si>
    <t>Aura Beacon Island</t>
  </si>
  <si>
    <t>Operating Statement — Standardized (live rollup)</t>
  </si>
  <si>
    <t>Adjusted Amounts ($ totals) — model paste target (A1:Q77)</t>
  </si>
  <si>
    <t>Annual</t>
  </si>
  <si>
    <t>Monthly</t>
  </si>
  <si>
    <t>Effective Gross Revenue</t>
  </si>
  <si>
    <t>Rental Income</t>
  </si>
  <si>
    <t>Other Income</t>
  </si>
  <si>
    <t>Rubs Water / Sewage</t>
  </si>
  <si>
    <t>Rubs Trash</t>
  </si>
  <si>
    <t>Rubs Fees</t>
  </si>
  <si>
    <t>Garage / Parking</t>
  </si>
  <si>
    <t>CI</t>
  </si>
  <si>
    <t>Corporate Income</t>
  </si>
  <si>
    <t>cable</t>
  </si>
  <si>
    <t>Cable Income</t>
  </si>
  <si>
    <t>(Loss to Lease) / Gain to Lease</t>
  </si>
  <si>
    <t>Collection Loss / Bad Debt</t>
  </si>
  <si>
    <t>Non-Revenue Units</t>
  </si>
  <si>
    <t>Concessions</t>
  </si>
  <si>
    <t>Operating Expenses</t>
  </si>
  <si>
    <t>Payroll</t>
  </si>
  <si>
    <t>Payroll Burden</t>
  </si>
  <si>
    <t>Payroll Bonuses</t>
  </si>
  <si>
    <t>Marketing / Advertising</t>
  </si>
  <si>
    <t>General &amp; Administrative</t>
  </si>
  <si>
    <t>Turnover</t>
  </si>
  <si>
    <t>R&amp;M Interior / Exterior</t>
  </si>
  <si>
    <t>Contract</t>
  </si>
  <si>
    <t>Safe</t>
  </si>
  <si>
    <t>Life Safety / Elevators</t>
  </si>
  <si>
    <t>HAF</t>
  </si>
  <si>
    <t>UT</t>
  </si>
  <si>
    <t>Utilities Trash</t>
  </si>
  <si>
    <t>Utilities Water Sewer</t>
  </si>
  <si>
    <t>Utilities Common</t>
  </si>
  <si>
    <t>UF</t>
  </si>
  <si>
    <t>Utilities Fees</t>
  </si>
  <si>
    <t>Property Management Fee</t>
  </si>
  <si>
    <t>Insurance</t>
  </si>
  <si>
    <t>Real Estate Taxes</t>
  </si>
  <si>
    <t>NI</t>
  </si>
  <si>
    <t>Not Included</t>
  </si>
  <si>
    <t>site</t>
  </si>
  <si>
    <t>R&amp;M Site</t>
  </si>
  <si>
    <t>Net Operating Income</t>
  </si>
  <si>
    <t>Non-Operating Revenue</t>
  </si>
  <si>
    <t>dispro</t>
  </si>
  <si>
    <t>Disposition Proceeds</t>
  </si>
  <si>
    <t>Non-Operating Expenses</t>
  </si>
  <si>
    <t>rd</t>
  </si>
  <si>
    <t>Replacement Reserve Deposits</t>
  </si>
  <si>
    <t>capx</t>
  </si>
  <si>
    <t>Capital Improvements</t>
  </si>
  <si>
    <t>aex</t>
  </si>
  <si>
    <t>Appliance Expenditures</t>
  </si>
  <si>
    <t>ece</t>
  </si>
  <si>
    <t>Extraordinary Capital Expenditure</t>
  </si>
  <si>
    <t>tird</t>
  </si>
  <si>
    <t>TI&amp;LC Reserve Deposits</t>
  </si>
  <si>
    <t>tirw</t>
  </si>
  <si>
    <t>TI&amp;LC Reserve Withdrawls</t>
  </si>
  <si>
    <t>tiae</t>
  </si>
  <si>
    <t>TI&amp;LC Actual Expenditures</t>
  </si>
  <si>
    <t>intex</t>
  </si>
  <si>
    <t>Interest</t>
  </si>
  <si>
    <t>prin</t>
  </si>
  <si>
    <t>Principal</t>
  </si>
  <si>
    <t>draw</t>
  </si>
  <si>
    <t>Loan Draws</t>
  </si>
  <si>
    <t>repay</t>
  </si>
  <si>
    <t>Loan Repayments</t>
  </si>
  <si>
    <t>othdf</t>
  </si>
  <si>
    <t>Other Debt Fees</t>
  </si>
  <si>
    <t>ord</t>
  </si>
  <si>
    <t>Other Reserves Funded / Used / Released</t>
  </si>
  <si>
    <t>icd</t>
  </si>
  <si>
    <t>Investor Contributions and Distributions</t>
  </si>
  <si>
    <t>scd</t>
  </si>
  <si>
    <t>Sponsor Contributions and Distributions</t>
  </si>
  <si>
    <t>entex</t>
  </si>
  <si>
    <t>Entity Expenses</t>
  </si>
  <si>
    <t>pfex</t>
  </si>
  <si>
    <t>Partnership Fees and Expenses</t>
  </si>
  <si>
    <t>purch</t>
  </si>
  <si>
    <t>Purchase Price</t>
  </si>
  <si>
    <t>acqex</t>
  </si>
  <si>
    <t>Acquisition Expenses</t>
  </si>
  <si>
    <t>disex</t>
  </si>
  <si>
    <t>Disposition Expenses</t>
  </si>
  <si>
    <t>depex</t>
  </si>
  <si>
    <t>Depreciation</t>
  </si>
  <si>
    <t>onoe</t>
  </si>
  <si>
    <t>Other Non-Operating Expense</t>
  </si>
  <si>
    <t>Net Income</t>
  </si>
  <si>
    <t>Generated 06/23/2026 — live SUMIFS over 'T12 Categorized' code column</t>
  </si>
  <si>
    <t>Unit No.</t>
  </si>
  <si>
    <t>Net sf</t>
  </si>
  <si>
    <t>Lease Type</t>
  </si>
  <si>
    <t>Occupancy Status</t>
  </si>
  <si>
    <t>Market Rent</t>
  </si>
  <si>
    <t>Contractual Rent</t>
  </si>
  <si>
    <t>Net Effective Rent</t>
  </si>
  <si>
    <t>Lease Start Date</t>
  </si>
  <si>
    <t>Lease Expiration</t>
  </si>
  <si>
    <t>Move In Date</t>
  </si>
  <si>
    <t>Scheduled Charges by Code (monthly $)</t>
  </si>
  <si>
    <t>rent</t>
  </si>
  <si>
    <t>upco</t>
  </si>
  <si>
    <t>garr</t>
  </si>
  <si>
    <t>trtra</t>
  </si>
  <si>
    <t>amfee</t>
  </si>
  <si>
    <t>cpor</t>
  </si>
  <si>
    <t>petp</t>
  </si>
  <si>
    <t>petd</t>
  </si>
  <si>
    <t>mtom</t>
  </si>
  <si>
    <t>sdep</t>
  </si>
  <si>
    <t>stor</t>
  </si>
  <si>
    <t>trvtras</t>
  </si>
  <si>
    <t>llock</t>
  </si>
  <si>
    <t>vtras</t>
  </si>
  <si>
    <t>1102</t>
  </si>
  <si>
    <t>Market</t>
  </si>
  <si>
    <t>Occupied</t>
  </si>
  <si>
    <t>1104</t>
  </si>
  <si>
    <t>1106</t>
  </si>
  <si>
    <t>1108</t>
  </si>
  <si>
    <t>1109</t>
  </si>
  <si>
    <t>1110</t>
  </si>
  <si>
    <t>Vacant</t>
  </si>
  <si>
    <t>1112</t>
  </si>
  <si>
    <t>1113</t>
  </si>
  <si>
    <t>1114</t>
  </si>
  <si>
    <t>1116</t>
  </si>
  <si>
    <t>1118</t>
  </si>
  <si>
    <t>1120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</si>
  <si>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</si>
  <si>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</si>
  <si>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</si>
  <si>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</si>
  <si>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</si>
  <si>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</si>
  <si>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</si>
  <si>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</si>
  <si>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</si>
  <si>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</si>
  <si>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</si>
  <si>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</si>
  <si>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</si>
  <si>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</si>
  <si>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</si>
  <si>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</si>
  <si>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</si>
  <si>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</si>
  <si>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</si>
  <si>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</si>
  <si>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</si>
  <si>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</si>
  <si>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</si>
  <si>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</si>
  <si>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</si>
  <si>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</si>
  <si>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</si>
  <si>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</si>
  <si>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</si>
  <si>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</si>
  <si>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</si>
  <si>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</si>
  <si>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</si>
  <si>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</si>
  <si>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</si>
  <si>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</si>
  <si>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</si>
  <si>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</si>
  <si>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</si>
  <si>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</si>
  <si>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2102</t>
  </si>
  <si>
    <t>2104</t>
  </si>
  <si>
    <t>2106</t>
  </si>
  <si>
    <t>2108</t>
  </si>
  <si>
    <t>2110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</si>
  <si>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</si>
  <si>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</si>
  <si>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</si>
  <si>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</si>
  <si>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</si>
  <si>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</si>
  <si>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</si>
  <si>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</si>
  <si>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</si>
  <si>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</si>
  <si>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</si>
  <si>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</si>
  <si>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</si>
  <si>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</si>
  <si>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</si>
  <si>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</si>
  <si>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</si>
  <si>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</si>
  <si>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</si>
  <si>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</si>
  <si>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3104</t>
  </si>
  <si>
    <t>3106</t>
  </si>
  <si>
    <t>3108</t>
  </si>
  <si>
    <t>3109</t>
  </si>
  <si>
    <t>3110</t>
  </si>
  <si>
    <t>3112</t>
  </si>
  <si>
    <t>3114</t>
  </si>
  <si>
    <t>3115</t>
  </si>
  <si>
    <t>3116</t>
  </si>
  <si>
    <t>3118</t>
  </si>
  <si>
    <t>3120</t>
  </si>
  <si>
    <t>3122</t>
  </si>
  <si>
    <t>3201</t>
  </si>
  <si>
    <t>3202</t>
  </si>
  <si>
    <t>3203</t>
  </si>
  <si>
    <t>3204</t>
  </si>
  <si>
    <t>3205</t>
  </si>
  <si>
    <t>3206</t>
  </si>
  <si>
    <t>3208</t>
  </si>
  <si>
    <t>3209</t>
  </si>
  <si>
    <t>3210</t>
  </si>
  <si>
    <t>3212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</si>
  <si>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</si>
  <si>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</si>
  <si>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</si>
  <si>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</si>
  <si>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</si>
  <si>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</si>
  <si>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</si>
  <si>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</si>
  <si>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</si>
  <si>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3301</t>
  </si>
  <si>
    <t>3302</t>
  </si>
  <si>
    <t>3303</t>
  </si>
  <si>
    <t>3304</t>
  </si>
  <si>
    <t>3305</t>
  </si>
  <si>
    <t>3306</t>
  </si>
  <si>
    <t>3308</t>
  </si>
  <si>
    <t>3309</t>
  </si>
  <si>
    <t>3310</t>
  </si>
  <si>
    <t>3312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</si>
  <si>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</si>
  <si>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</si>
  <si>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</si>
  <si>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</si>
  <si>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</si>
  <si>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</si>
  <si>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</si>
  <si>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</si>
  <si>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</si>
  <si>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4102</t>
  </si>
  <si>
    <t>4104</t>
  </si>
  <si>
    <t>4106</t>
  </si>
  <si>
    <t>4108</t>
  </si>
  <si>
    <t>4109</t>
  </si>
  <si>
    <t>4110</t>
  </si>
  <si>
    <t>4112</t>
  </si>
  <si>
    <t>4114</t>
  </si>
  <si>
    <t>4115</t>
  </si>
  <si>
    <t>4116</t>
  </si>
  <si>
    <t>4118</t>
  </si>
  <si>
    <t>4120</t>
  </si>
  <si>
    <t>4122</t>
  </si>
  <si>
    <t>4201</t>
  </si>
  <si>
    <t>4202</t>
  </si>
  <si>
    <t>4203</t>
  </si>
  <si>
    <t>4204</t>
  </si>
  <si>
    <t>4205</t>
  </si>
  <si>
    <t>4206</t>
  </si>
  <si>
    <t>4208</t>
  </si>
  <si>
    <t>4209</t>
  </si>
  <si>
    <t>4210</t>
  </si>
  <si>
    <t>4212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</si>
  <si>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</si>
  <si>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</si>
  <si>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</si>
  <si>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</si>
  <si>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</si>
  <si>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</si>
  <si>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</si>
  <si>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</si>
  <si>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</si>
  <si>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4301</t>
  </si>
  <si>
    <t>4302</t>
  </si>
  <si>
    <t>4303</t>
  </si>
  <si>
    <t>4304</t>
  </si>
  <si>
    <t>4305</t>
  </si>
  <si>
    <t>4306</t>
  </si>
  <si>
    <t>4308</t>
  </si>
  <si>
    <t>4309</t>
  </si>
  <si>
    <t>4310</t>
  </si>
  <si>
    <t>4312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</si>
  <si>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</si>
  <si>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</si>
  <si>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</si>
  <si>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</si>
  <si>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</si>
  <si>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</si>
  <si>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</si>
  <si>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</si>
  <si>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</si>
  <si>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5102</t>
  </si>
  <si>
    <t>5104</t>
  </si>
  <si>
    <t>5106</t>
  </si>
  <si>
    <t>5108</t>
  </si>
  <si>
    <t>5201</t>
  </si>
  <si>
    <t>5202</t>
  </si>
  <si>
    <t>5203</t>
  </si>
  <si>
    <t>5204</t>
  </si>
  <si>
    <t>5205</t>
  </si>
  <si>
    <t>5206</t>
  </si>
  <si>
    <t>5207</t>
  </si>
  <si>
    <t>5208</t>
  </si>
  <si>
    <t>5301</t>
  </si>
  <si>
    <t>5302</t>
  </si>
  <si>
    <t>5303</t>
  </si>
  <si>
    <t>5304</t>
  </si>
  <si>
    <t>5305</t>
  </si>
  <si>
    <t>5306</t>
  </si>
  <si>
    <t>5307</t>
  </si>
  <si>
    <t>5308</t>
  </si>
  <si>
    <t>6102</t>
  </si>
  <si>
    <t>6104</t>
  </si>
  <si>
    <t>6106</t>
  </si>
  <si>
    <t>6108</t>
  </si>
  <si>
    <t>6110</t>
  </si>
  <si>
    <t>6112</t>
  </si>
  <si>
    <t>6114</t>
  </si>
  <si>
    <t>6115</t>
  </si>
  <si>
    <t>6116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</si>
  <si>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</si>
  <si>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</si>
  <si>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</si>
  <si>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</si>
  <si>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</si>
  <si>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</si>
  <si>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</si>
  <si>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</si>
  <si>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</si>
  <si>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</si>
  <si>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</si>
  <si>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</si>
  <si>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</si>
  <si>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</si>
  <si>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</si>
  <si>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</si>
  <si>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</si>
  <si>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</si>
  <si>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</si>
  <si>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</si>
  <si>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</si>
  <si>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</si>
  <si>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</si>
  <si>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</si>
  <si>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</si>
  <si>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</si>
  <si>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</si>
  <si>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</si>
  <si>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</si>
  <si>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</si>
  <si>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</si>
  <si>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</si>
  <si>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7101</t>
  </si>
  <si>
    <t>7102</t>
  </si>
  <si>
    <t>7104</t>
  </si>
  <si>
    <t>7106</t>
  </si>
  <si>
    <t>7108</t>
  </si>
  <si>
    <t>7110</t>
  </si>
  <si>
    <t>7112</t>
  </si>
  <si>
    <t>7114</t>
  </si>
  <si>
    <t>7116</t>
  </si>
  <si>
    <t>7117</t>
  </si>
  <si>
    <t>7118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</si>
  <si>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</si>
  <si>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</si>
  <si>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</si>
  <si>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</si>
  <si>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</si>
  <si>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</si>
  <si>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</si>
  <si>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</si>
  <si>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</si>
  <si>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</si>
  <si>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</si>
  <si>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</si>
  <si>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</si>
  <si>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</si>
  <si>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</si>
  <si>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</si>
  <si>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</si>
  <si>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</si>
  <si>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</si>
  <si>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</si>
  <si>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</si>
  <si>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</si>
  <si>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</si>
  <si>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</si>
  <si>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</si>
  <si>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</si>
  <si>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</si>
  <si>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</si>
  <si>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</si>
  <si>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</si>
  <si>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</si>
  <si>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</si>
  <si>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</si>
  <si>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</si>
  <si>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</si>
  <si>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</si>
  <si>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8101</t>
  </si>
  <si>
    <t>8102</t>
  </si>
  <si>
    <t>8103</t>
  </si>
  <si>
    <t>8104</t>
  </si>
  <si>
    <t>empl</t>
  </si>
  <si>
    <t>edsc</t>
  </si>
  <si>
    <t>Lease Trend &amp; Operating History (monthly)</t>
  </si>
  <si>
    <t>True market rent from HelloData executed leases (mix-weighted by floor plan) + new-lease signings; loss-to-lease backed into from T12 AGPR; concessions compared T12 vs HelloData. Months flow left-to-right; renewals excluded from market reads.</t>
  </si>
  <si>
    <t>Month →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</si>
  <si>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</si>
  <si>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</si>
  <si>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</si>
  <si>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</si>
  <si>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</si>
  <si>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</si>
  <si>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</si>
  <si>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</si>
  <si>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</si>
  <si>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</si>
  <si>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</si>
  <si>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</si>
  <si>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</si>
  <si>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</si>
  <si>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</si>
  <si>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</si>
  <si>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</si>
  <si>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</si>
  <si>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</si>
  <si>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</si>
  <si>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</si>
  <si>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</si>
  <si>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</si>
  <si>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</si>
  <si>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</si>
  <si>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</si>
  <si>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</si>
  <si>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</si>
  <si>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</si>
  <si>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</si>
  <si>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</si>
  <si>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</si>
  <si>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</si>
  <si>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</si>
  <si>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</si>
  <si>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</si>
  <si>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</si>
  <si>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</si>
  <si>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</si>
  <si>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</si>
  <si>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</si>
  <si>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</si>
  <si>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MARKET RENT — HelloData executed (mix-weighted) + new-lease signings</t>
  </si>
  <si>
    <t>HD Market Rent / unit (asking)</t>
  </si>
  <si>
    <t>HD Effective Rent / unit</t>
  </si>
  <si>
    <t>HD Concession % (1 − eff/ask)</t>
  </si>
  <si>
    <t>HD Executed Leases (#)</t>
  </si>
  <si>
    <t>New-Lease Contract / unit (rent roll)</t>
  </si>
  <si>
    <t>New Leases (#)</t>
  </si>
  <si>
    <t>OCCUPANCY &amp; RENT POSITION — from financial statements</t>
  </si>
  <si>
    <t>Physical Occupancy % (T12: 1 − vac/AGPR)</t>
  </si>
  <si>
    <t>Contract Rent / unit — AGPR (T12)</t>
  </si>
  <si>
    <t>Market Rent / unit — GPR basis (T12, ref only)</t>
  </si>
  <si>
    <t>Loss-to-Lease / unit (HD mkt − AGPR)</t>
  </si>
  <si>
    <t>Loss-to-Lease % (vs HD market)</t>
  </si>
  <si>
    <t>CONCESSIONS — T12 (portfolio) vs HelloData (new-lease)</t>
  </si>
  <si>
    <t>T12 Concessions ($/mo)</t>
  </si>
  <si>
    <t>T12 Concessions % of AGPR</t>
  </si>
  <si>
    <t>HD Concession % (new-lease)</t>
  </si>
  <si>
    <t>OPERATING TREND — from stitched T12</t>
  </si>
  <si>
    <t>TRAILING ANNUALIZATIONS</t>
  </si>
  <si>
    <t>T12</t>
  </si>
  <si>
    <t>T6</t>
  </si>
  <si>
    <t>T3</t>
  </si>
  <si>
    <t>EGR (annualized)</t>
  </si>
  <si>
    <t>NOI</t>
  </si>
  <si>
    <t>Observations</t>
  </si>
  <si>
    <t xml:space="preserve">•  Concessions by source: the T12 books concessions across the WHOLE portfolio (~6.4% of AGPR here), while HelloData's is per NEW lease (~12.4% here). The portfolio figure ≈ new-lease concession × the share of units on a recently-signed lease — here ~0% of in-place leases are new (lease-up), so the two run close (little dilution). On a stabilized deal with ~40–50% annual turnover, expect the T12 figure nearer half the new-lease rate. </t>
  </si>
  <si>
    <t>Trailing-90-Day Executed by Floor Plan (HelloData)</t>
  </si>
  <si>
    <t>Base Plan</t>
  </si>
  <si>
    <t>T90 Asking</t>
  </si>
  <si>
    <t>T90 Effective</t>
  </si>
  <si>
    <t>Concession %</t>
  </si>
  <si>
    <t>Exec (n)</t>
  </si>
  <si>
    <t>Last 5 New Leases by Floor Plan (rent roll)</t>
  </si>
  <si>
    <t>Unit</t>
  </si>
  <si>
    <t>Lease Start</t>
  </si>
  <si>
    <t>Contract Rent</t>
  </si>
  <si>
    <t>Rent PSF (mo.)</t>
  </si>
  <si>
    <t>Property Name</t>
  </si>
  <si>
    <t>Floorplan</t>
  </si>
  <si>
    <t>Floor</t>
  </si>
  <si>
    <t>Bedrooms</t>
  </si>
  <si>
    <t>Bathrooms</t>
  </si>
  <si>
    <t>Partial Bathrooms</t>
  </si>
  <si>
    <t>SF</t>
  </si>
  <si>
    <t>Available On</t>
  </si>
  <si>
    <t>Deposit</t>
  </si>
  <si>
    <t>Term</t>
  </si>
  <si>
    <t>AMI Level</t>
  </si>
  <si>
    <t>Last Asking Rent</t>
  </si>
  <si>
    <t>Asking Rent PSF</t>
  </si>
  <si>
    <t>Last Effective Rent</t>
  </si>
  <si>
    <t>Effective Rent PSF</t>
  </si>
  <si>
    <t>On Market Date</t>
  </si>
  <si>
    <t>Off Market Date</t>
  </si>
  <si>
    <t>Days on Market</t>
  </si>
  <si>
    <t>Days Vacant</t>
  </si>
  <si>
    <t>Floorplan Mapped</t>
  </si>
  <si>
    <t>80%</t>
  </si>
  <si>
    <t>120%</t>
  </si>
  <si>
    <t>--</t>
  </si>
  <si>
    <t>Reconciliation — Rent Roll ↔ T12</t>
  </si>
  <si>
    <t>Latest T12 month: Apr 2026.  'In Contract Rent?' flags which charges roll into contract rent.</t>
  </si>
  <si>
    <t>Control Tie-Outs (rent roll vs latest T12 month)</t>
  </si>
  <si>
    <t>Measure</t>
  </si>
  <si>
    <t>Rent Roll</t>
  </si>
  <si>
    <t>T12 (latest mo. / ann.)</t>
  </si>
  <si>
    <t>Variance</t>
  </si>
  <si>
    <t>Var %</t>
  </si>
  <si>
    <t>Note</t>
  </si>
  <si>
    <t>Gross Market Rent (asking), monthly</t>
  </si>
  <si>
    <t>RR Market column ↔ T12 GPR — both are seller-set ASKING rents and are NOT a market-rent signal (either can be set at will). True market rent = latest new-lease contract rents + HelloData executed asking; see the unit mix and Lease Trend tabs. Shown here only as a data-integrity check that the two files describe the same property/period.</t>
  </si>
  <si>
    <t>Contract Rent (occupied), monthly</t>
  </si>
  <si>
    <t>RR contract rent ↔ T12 contract net of vacancy (Rentinc+LtL+Vac+NonRev)</t>
  </si>
  <si>
    <t>T1 AGPR, annualized</t>
  </si>
  <si>
    <t>RR contract ×12 ↔ T12 latest-month AGPR ×12 (Rentinc+LtL).</t>
  </si>
  <si>
    <t>Other Income (recurring), monthly</t>
  </si>
  <si>
    <t>RR ancillary charges ↔ T12 other-income codes</t>
  </si>
  <si>
    <t>HelloData Market Rent: Fee Netting (asking AND effective)</t>
  </si>
  <si>
    <t>Amount</t>
  </si>
  <si>
    <t>HelloData T90 asking — gross (mix-wtd)</t>
  </si>
  <si>
    <t>What HelloData scrapes: the website 'Total Monthly', which can bundle mandatory fees.</t>
  </si>
  <si>
    <t>HelloData T90 effective — gross (mix-wtd)</t>
  </si>
  <si>
    <t>HD effective (net of concessions) — also carries the bundled fee, so it is netted too.</t>
  </si>
  <si>
    <t>Rent-roll new-lease base rent (T90)</t>
  </si>
  <si>
    <t>Recently signed base/contract rent from the rent roll — no bundled fees.</t>
  </si>
  <si>
    <t>Implied gap (gross HD asking − base)</t>
  </si>
  <si>
    <t>If HD sits a roughly constant amount above base across units, that delta is a bundled fee.</t>
  </si>
  <si>
    <t>Fee netted (from BOTH asking &amp; effective)</t>
  </si>
  <si>
    <t>Explicit override (--hd-fee-offset) — confirmed against the property website 'Total Monthly'.</t>
  </si>
  <si>
    <t>HelloData T90 asking — net of fee</t>
  </si>
  <si>
    <t>Net asking shown on the Lease Trend / Unit Mix tabs.</t>
  </si>
  <si>
    <t>HelloData T90 effective — net of fee</t>
  </si>
  <si>
    <t>Net effective shown on the Lease Trend / Unit Mix tabs. The same fee is removed from T365 and the YoY reads as well.</t>
  </si>
  <si>
    <t>Candidate flat fees on rent roll</t>
  </si>
  <si>
    <t>trtra $25.00, amfee $10.00  (disclosure only — NOT auto-netted; confirm against the property website before netting)</t>
  </si>
  <si>
    <t>Charge-Code Map (rent roll scheduled, monthly)</t>
  </si>
  <si>
    <t>Charge Code</t>
  </si>
  <si>
    <t>Mapped Code</t>
  </si>
  <si>
    <t>Yardi Type</t>
  </si>
  <si>
    <t>Monthly $</t>
  </si>
  <si>
    <t>In Contract Rent?</t>
  </si>
  <si>
    <t>Yes</t>
  </si>
  <si>
    <t>No</t>
  </si>
  <si>
    <t>Charge → T12 Placement (empirical contract-rent test)</t>
  </si>
  <si>
    <t>Where each rent-roll charge actually LANDS on the T12 — matched by $ (and name) to a real T12 line — decides what's in contract rent, not the charge name. RUBS recoveries are booked as contra-expenses, so both sides are searched.</t>
  </si>
  <si>
    <t>Charge</t>
  </si>
  <si>
    <t>RR $/mo</t>
  </si>
  <si>
    <t>T12 placement</t>
  </si>
  <si>
    <t>Conf.</t>
  </si>
  <si>
    <t>In contract rent?</t>
  </si>
  <si>
    <t>Basis</t>
  </si>
  <si>
    <t>Contract rent</t>
  </si>
  <si>
    <t>high</t>
  </si>
  <si>
    <t>Base contract rent — ties to the T12 Rental Income section.</t>
  </si>
  <si>
    <t>Ties to T12 'Vacancy' (-41,838/mo, Potential Rent); 1% from rent-roll -42,182/mo.  ⚠ Categorization calls this non-contract, but the T12 placement says contract rent — review the Code column.</t>
  </si>
  <si>
    <t>Other income</t>
  </si>
  <si>
    <t>Ties to T12 'Garage' (17,953/mo, Other Income); 0% from rent-roll 17,965/mo.</t>
  </si>
  <si>
    <t>Utility/RUBS recovery</t>
  </si>
  <si>
    <t>Ties to the T12's RUBS/utility-rebill block (~6,942/mo, booked as a contra-expense) — a resident recovery, not contract rent.</t>
  </si>
  <si>
    <t>Ties to T12 'Amenities Income' (2,739/mo, Other Income); 1% from rent-roll 2,780/mo.</t>
  </si>
  <si>
    <t>Ties to T12 'Carport' (2,100/mo, Other Income); 2% from rent-roll 2,050/mo.</t>
  </si>
  <si>
    <t>med</t>
  </si>
  <si>
    <t>Ties to T12 'Pet Premium' (1,371/mo, Other Income); 9% from rent-roll 1,500/mo.</t>
  </si>
  <si>
    <t>Ties to T12 'Initial Pet Fees' (851/mo, Other Income); 18% from rent-roll 700/mo.</t>
  </si>
  <si>
    <t>low</t>
  </si>
  <si>
    <t>No T12 income/rebill line ties to 650/mo — treated as other income / pass-through (per the charge categorization).</t>
  </si>
  <si>
    <t>No T12 income/rebill line ties to 600/mo — treated as other income / pass-through (per the charge categorization).</t>
  </si>
  <si>
    <t>No T12 income/rebill line ties to 240/mo — treated as other income / pass-through (per the charge categorization).</t>
  </si>
  <si>
    <t>No T12 income/rebill line ties to 75/mo — treated as other income / pass-through (per the charge categorization).</t>
  </si>
  <si>
    <t>No T12 income/rebill line ties to 29/mo — treated as other income / pass-through (per the charge categorization).</t>
  </si>
  <si>
    <t>No T12 income/rebill line ties to 25/mo — treated as other income / pass-through (per the charge categorization).</t>
  </si>
  <si>
    <t>Correlated Cross-Checks (rent-roll counts/charges ↔ T12 income)</t>
  </si>
  <si>
    <t>Parking</t>
  </si>
  <si>
    <t>RR: 0 units billed parking, $0/mo (avg $0/space)  ↔  T12 parking income $20,217/mo</t>
  </si>
  <si>
    <t>Utility recapture (RUBS)</t>
  </si>
  <si>
    <t>T12 utility expense $12,788/mo (UWS+UC+UF+UT)  ↔  RUBS/billback income $14,261/mo (RWS+RT+RF)  =  112% recaptured  ·  water/sewer alone 86% ($6,942/$8,088)</t>
  </si>
  <si>
    <t>NOI Tie-Out to Operator Statement (each source statement, annual $)</t>
  </si>
  <si>
    <t>Statement</t>
  </si>
  <si>
    <t>Reported NOI</t>
  </si>
  <si>
    <t>Standardized NOI</t>
  </si>
  <si>
    <t>Δ</t>
  </si>
  <si>
    <t>2026-04</t>
  </si>
  <si>
    <t>Ties to the operator's reported NOI (RUBS gross-up nets to zero).</t>
  </si>
  <si>
    <t>Standardized Code Legend</t>
  </si>
  <si>
    <t>Source list for the 'T12 Categorized' dropdown. Col A drives VLOOKUP &amp; SUMIFS.</t>
  </si>
  <si>
    <t>Section</t>
  </si>
  <si>
    <t>rev</t>
  </si>
  <si>
    <t>opex</t>
  </si>
  <si>
    <t>nonop-rev</t>
  </si>
  <si>
    <t>nonop-exp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</si>
</sst>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mmm\ yyyy"/>
    <numFmt numFmtId="166" formatCode="#,##0;\(#,##0\);&quot;-&quot;"/>
    <numFmt numFmtId="167" formatCode="mm/dd/yyyy"/>
    <numFmt numFmtId="168" formatCode="0.0%;\(0.0%\);&quot;-&quot;"/>
    <numFmt numFmtId="169" formatCode="#,##0.00;\(#,##0.00\);&quot;-&quot;"/>
    <numFmt numFmtId="171" formatCode="0.0%"/>
  </numFmts>
  <fonts count="26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10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808080"/>
      <name val="Arial"/>
      <family val="2"/>
    </font>
    <font>
      <b/>
      <sz val="10"/>
      <color rgb="FF1F3864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843C0C"/>
      <name val="Arial"/>
      <family val="2"/>
    </font>
    <font>
      <b/>
      <sz val="13"/>
      <color rgb="FF1F3864"/>
      <name val="Arial"/>
      <family val="2"/>
    </font>
    <font>
      <i/>
      <sz val="9"/>
      <color rgb="FF808080"/>
      <name val="Arial"/>
      <family val="2"/>
    </font>
    <font>
      <b/>
      <sz val="9"/>
      <color rgb="FF808080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b/>
      <sz val="10"/>
      <color rgb="FF008000"/>
      <name val="Arial"/>
      <family val="2"/>
    </font>
    <font>
      <sz val="10"/>
      <color rgb="FF1F3864"/>
      <name val="Arial"/>
      <family val="2"/>
    </font>
    <font>
      <sz val="10"/>
      <color rgb="FFC00000"/>
      <name val="Arial"/>
      <family val="2"/>
    </font>
    <font>
      <sz val="9"/>
      <color rgb="FF843C0C"/>
      <name val="Arial"/>
      <family val="2"/>
    </font>
    <font>
      <b/>
      <sz val="16"/>
      <color rgb="FF1F3864"/>
      <name val="Arial"/>
      <family val="2"/>
    </font>
    <font>
      <b/>
      <sz val="10"/>
      <color rgb="FF843C0C"/>
      <name val="Arial"/>
      <family val="2"/>
    </font>
    <font>
      <sz val="9"/>
      <color rgb="FF1F3864"/>
      <name val="Arial"/>
      <family val="2"/>
    </font>
    <font>
      <i/>
      <sz val="8"/>
      <color rgb="FF8080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A22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8EAADB"/>
      </patternFill>
    </fill>
    <fill>
      <patternFill patternType="solid">
        <fgColor rgb="FFF2F5FB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/>
      <right/>
      <top style="thin">
        <color rgb="FF404040"/>
      </top>
      <bottom/>
      <diagonal/>
    </border>
    <border>
      <left/>
      <right/>
      <top style="double">
        <color rgb="FF40404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2" fillId="0" borderId="0" xfId="0" applyFont="1"/>
    <xf numFmtId="0" fontId="2" fillId="0" borderId="0" xfId="0" applyFont="1"/>
    <xf numFmtId="0" fontId="3" fillId="6" borderId="0" xfId="0" applyFont="1" applyFill="1"/>
    <xf numFmtId="0" fontId="0" fillId="6" borderId="0" xfId="0" applyFill="1"/>
    <xf numFmtId="0" fontId="5" fillId="0" borderId="0" xfId="0" applyFont="1"/>
    <xf numFmtId="1" fontId="9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/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  <xf numFmtId="166" fontId="23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71" fontId="9" fillId="0" borderId="0" xfId="0" applyNumberFormat="1" applyFont="1" applyAlignment="1">
      <alignment horizontal="right" vertical="center"/>
    </xf>
    <xf numFmtId="0" fontId="9" fillId="7" borderId="0" xfId="0" applyFont="1" applyFill="1"/>
    <xf numFmtId="1" fontId="5" fillId="7" borderId="0" xfId="0" applyNumberFormat="1" applyFont="1" applyFill="1" applyAlignment="1">
      <alignment horizontal="center" vertical="center"/>
    </xf>
    <xf numFmtId="166" fontId="5" fillId="7" borderId="0" xfId="0" applyNumberFormat="1" applyFont="1" applyFill="1" applyAlignment="1">
      <alignment horizontal="right" vertical="center"/>
    </xf>
    <xf numFmtId="166" fontId="23" fillId="7" borderId="0" xfId="0" applyNumberFormat="1" applyFont="1" applyFill="1" applyAlignment="1">
      <alignment horizontal="right" vertical="center"/>
    </xf>
    <xf numFmtId="166" fontId="18" fillId="7" borderId="0" xfId="0" applyNumberFormat="1" applyFont="1" applyFill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left" vertical="center"/>
    </xf>
    <xf numFmtId="166" fontId="9" fillId="0" borderId="0" xfId="0" applyNumberFormat="1" applyFont="1" applyAlignment="1">
      <alignment horizontal="right" vertical="center"/>
    </xf>
    <xf numFmtId="0" fontId="7" fillId="0" borderId="0" xfId="0" applyFont="1"/>
    <xf numFmtId="0" fontId="7" fillId="0" borderId="2" xfId="0" applyFont="1" applyBorder="1"/>
    <xf numFmtId="0" fontId="0" fillId="0" borderId="2" xfId="0" applyBorder="1"/>
    <xf numFmtId="1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right" vertical="center"/>
    </xf>
    <xf numFmtId="166" fontId="23" fillId="0" borderId="2" xfId="0" applyNumberFormat="1" applyFont="1" applyBorder="1" applyAlignment="1">
      <alignment horizontal="right" vertical="center"/>
    </xf>
    <xf numFmtId="166" fontId="18" fillId="0" borderId="2" xfId="0" applyNumberFormat="1" applyFont="1" applyBorder="1" applyAlignment="1">
      <alignment horizontal="right" vertical="center"/>
    </xf>
    <xf numFmtId="168" fontId="7" fillId="0" borderId="2" xfId="0" applyNumberFormat="1" applyFont="1" applyBorder="1" applyAlignment="1">
      <alignment horizontal="right" vertical="center"/>
    </xf>
    <xf numFmtId="0" fontId="25" fillId="0" borderId="0" xfId="0" applyFont="1"/>
    <xf numFmtId="0" fontId="3" fillId="8" borderId="0" xfId="0" applyFont="1" applyFill="1"/>
    <xf numFmtId="0" fontId="0" fillId="8" borderId="0" xfId="0" applyFill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/>
    <xf numFmtId="0" fontId="4" fillId="0" borderId="0" xfId="0" applyFont="1" applyAlignment="1">
      <alignment horizontal="center" vertical="center"/>
    </xf>
    <xf numFmtId="0" fontId="8" fillId="0" borderId="0" xfId="0" applyFont="1"/>
    <xf numFmtId="166" fontId="5" fillId="0" borderId="0" xfId="0" applyNumberFormat="1" applyFont="1"/>
    <xf numFmtId="166" fontId="9" fillId="0" borderId="0" xfId="0" applyNumberFormat="1" applyFont="1"/>
    <xf numFmtId="166" fontId="5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8" fillId="0" borderId="0" xfId="0" applyNumberFormat="1" applyFont="1"/>
    <xf numFmtId="166" fontId="9" fillId="4" borderId="1" xfId="0" applyNumberFormat="1" applyFont="1" applyFill="1" applyBorder="1"/>
    <xf numFmtId="0" fontId="15" fillId="2" borderId="0" xfId="0" applyFont="1" applyFill="1"/>
    <xf numFmtId="166" fontId="15" fillId="2" borderId="2" xfId="0" applyNumberFormat="1" applyFont="1" applyFill="1" applyBorder="1"/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1" fillId="0" borderId="0" xfId="0" applyFont="1"/>
    <xf numFmtId="1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7" fontId="5" fillId="0" borderId="0" xfId="0" applyNumberFormat="1" applyFont="1"/>
    <xf numFmtId="0" fontId="6" fillId="0" borderId="0" xfId="0" applyFont="1" applyAlignment="1">
      <alignment vertical="center" wrapText="1"/>
    </xf>
    <xf numFmtId="166" fontId="16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7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6" borderId="0" xfId="0" applyFont="1" applyFill="1"/>
    <xf numFmtId="0" fontId="1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showGridLines="0" tabSelected="1" workbookViewId="0">
      <selection activeCell="R13" sqref="R13"/>
    </sheetView>
  </sheetViews>
  <sheetFormatPr defaultRowHeight="14.4" x14ac:dyDescent="0.3"/>
  <cols>
    <col min="1" max="1" width="40" customWidth="1"/>
    <col min="2" max="2" width="18" customWidth="1"/>
    <col min="3" max="3" width="2" customWidth="1"/>
    <col min="4" max="4" width="12" customWidth="1"/>
    <col min="5" max="6" width="5" customWidth="1"/>
    <col min="7" max="7" width="6" customWidth="1"/>
    <col min="8" max="9" width="5" customWidth="1"/>
    <col min="10" max="10" width="8" customWidth="1"/>
    <col min="11" max="11" width="11" customWidth="1"/>
    <col min="12" max="12" width="12" customWidth="1"/>
    <col min="13" max="14" width="7" customWidth="1"/>
    <col min="15" max="15" width="12" customWidth="1"/>
    <col min="16" max="20" width="9" customWidth="1"/>
    <col min="21" max="26" width="10" customWidth="1"/>
    <col min="27" max="27" width="9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3" spans="1:28" x14ac:dyDescent="0.3">
      <c r="A3" s="2" t="s">
        <v>2</v>
      </c>
    </row>
    <row r="4" spans="1:28" x14ac:dyDescent="0.3">
      <c r="A4" s="3" t="s">
        <v>3</v>
      </c>
      <c r="B4" s="4"/>
      <c r="D4" s="3" t="s">
        <v>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66" x14ac:dyDescent="0.3">
      <c r="A5" s="5" t="s">
        <v>5</v>
      </c>
      <c r="B5" s="6">
        <v>290</v>
      </c>
      <c r="D5" s="7" t="s">
        <v>6</v>
      </c>
      <c r="E5" s="7" t="s">
        <v>7</v>
      </c>
      <c r="F5" s="7" t="s">
        <v>8</v>
      </c>
      <c r="G5" s="7" t="s">
        <v>5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7" t="s">
        <v>19</v>
      </c>
      <c r="S5" s="7" t="s">
        <v>20</v>
      </c>
      <c r="T5" s="7" t="s">
        <v>21</v>
      </c>
      <c r="U5" s="7" t="s">
        <v>22</v>
      </c>
      <c r="V5" s="7" t="s">
        <v>23</v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7" t="s">
        <v>29</v>
      </c>
    </row>
    <row r="6" spans="1:28" x14ac:dyDescent="0.3">
      <c r="A6" s="5" t="s">
        <v>30</v>
      </c>
      <c r="B6" s="8" t="s">
        <v>31</v>
      </c>
      <c r="D6" s="9" t="s">
        <v>32</v>
      </c>
      <c r="E6" s="10">
        <v>1</v>
      </c>
      <c r="F6" s="10">
        <v>1</v>
      </c>
      <c r="G6" s="10">
        <v>14</v>
      </c>
      <c r="H6" s="10">
        <v>12</v>
      </c>
      <c r="I6" s="10">
        <v>2</v>
      </c>
      <c r="J6" s="11">
        <v>690</v>
      </c>
      <c r="K6" s="11">
        <v>1577</v>
      </c>
      <c r="L6" s="11">
        <v>1433</v>
      </c>
      <c r="M6" s="10">
        <v>4</v>
      </c>
      <c r="N6" s="10">
        <v>8</v>
      </c>
      <c r="O6" s="12">
        <v>1374</v>
      </c>
      <c r="P6" s="11">
        <v>1350</v>
      </c>
      <c r="Q6" s="11">
        <v>1350</v>
      </c>
      <c r="R6" s="11">
        <v>1299</v>
      </c>
      <c r="S6" s="11">
        <v>1499</v>
      </c>
      <c r="T6" s="11"/>
      <c r="U6" s="11">
        <v>1505</v>
      </c>
      <c r="V6" s="13">
        <v>1336</v>
      </c>
      <c r="W6" s="11">
        <v>1440</v>
      </c>
      <c r="X6" s="11">
        <v>1256</v>
      </c>
      <c r="Y6" s="14">
        <v>1.415094339622636E-2</v>
      </c>
      <c r="Z6" s="14">
        <v>-9.9561994609164373E-2</v>
      </c>
      <c r="AA6" s="15" t="s">
        <v>33</v>
      </c>
      <c r="AB6" s="16" t="s">
        <v>34</v>
      </c>
    </row>
    <row r="7" spans="1:28" x14ac:dyDescent="0.3">
      <c r="A7" s="5" t="s">
        <v>35</v>
      </c>
      <c r="B7" s="17">
        <v>0.93793103448275861</v>
      </c>
      <c r="D7" s="18" t="s">
        <v>36</v>
      </c>
      <c r="E7" s="19">
        <v>1</v>
      </c>
      <c r="F7" s="19">
        <v>1</v>
      </c>
      <c r="G7" s="19">
        <v>29</v>
      </c>
      <c r="H7" s="19">
        <v>26</v>
      </c>
      <c r="I7" s="19">
        <v>3</v>
      </c>
      <c r="J7" s="20">
        <v>698</v>
      </c>
      <c r="K7" s="20">
        <v>1712</v>
      </c>
      <c r="L7" s="20">
        <v>1503</v>
      </c>
      <c r="M7" s="19">
        <v>16</v>
      </c>
      <c r="N7" s="19">
        <v>10</v>
      </c>
      <c r="O7" s="21">
        <v>1449</v>
      </c>
      <c r="P7" s="20">
        <v>1660</v>
      </c>
      <c r="Q7" s="20">
        <v>1399</v>
      </c>
      <c r="R7" s="20">
        <v>1399</v>
      </c>
      <c r="S7" s="20">
        <v>1399</v>
      </c>
      <c r="T7" s="20">
        <v>1387</v>
      </c>
      <c r="U7" s="20">
        <v>1590</v>
      </c>
      <c r="V7" s="22">
        <v>1448</v>
      </c>
      <c r="W7" s="20">
        <v>1510</v>
      </c>
      <c r="X7" s="20">
        <v>1309</v>
      </c>
      <c r="Y7" s="23">
        <v>-5.376984126984119E-2</v>
      </c>
      <c r="Z7" s="23">
        <v>-7.1991772368872331E-3</v>
      </c>
      <c r="AA7" s="24" t="s">
        <v>33</v>
      </c>
      <c r="AB7" s="25" t="s">
        <v>37</v>
      </c>
    </row>
    <row r="8" spans="1:28" x14ac:dyDescent="0.3">
      <c r="A8" s="5" t="s">
        <v>38</v>
      </c>
      <c r="B8" s="26">
        <v>266411</v>
      </c>
      <c r="D8" s="9" t="s">
        <v>39</v>
      </c>
      <c r="E8" s="10">
        <v>1</v>
      </c>
      <c r="F8" s="10">
        <v>1</v>
      </c>
      <c r="G8" s="10">
        <v>46</v>
      </c>
      <c r="H8" s="10">
        <v>42</v>
      </c>
      <c r="I8" s="10">
        <v>4</v>
      </c>
      <c r="J8" s="11">
        <v>719</v>
      </c>
      <c r="K8" s="11">
        <v>1592</v>
      </c>
      <c r="L8" s="11">
        <v>1490</v>
      </c>
      <c r="M8" s="10">
        <v>24</v>
      </c>
      <c r="N8" s="10">
        <v>18</v>
      </c>
      <c r="O8" s="12">
        <v>1575</v>
      </c>
      <c r="P8" s="11">
        <v>1550</v>
      </c>
      <c r="Q8" s="11">
        <v>1550</v>
      </c>
      <c r="R8" s="11">
        <v>1595</v>
      </c>
      <c r="S8" s="11">
        <v>1630</v>
      </c>
      <c r="T8" s="11">
        <v>1550</v>
      </c>
      <c r="U8" s="11">
        <v>1549</v>
      </c>
      <c r="V8" s="13">
        <v>1357</v>
      </c>
      <c r="W8" s="11">
        <v>1493</v>
      </c>
      <c r="X8" s="11">
        <v>1284</v>
      </c>
      <c r="Y8" s="14">
        <v>-1.7195431472081139E-2</v>
      </c>
      <c r="Z8" s="14">
        <v>4.5776818742293557E-2</v>
      </c>
      <c r="AA8" s="15" t="s">
        <v>33</v>
      </c>
      <c r="AB8" s="16" t="s">
        <v>40</v>
      </c>
    </row>
    <row r="9" spans="1:28" x14ac:dyDescent="0.3">
      <c r="A9" s="5" t="s">
        <v>41</v>
      </c>
      <c r="B9" s="8" t="s">
        <v>42</v>
      </c>
      <c r="D9" s="18" t="s">
        <v>43</v>
      </c>
      <c r="E9" s="19">
        <v>1</v>
      </c>
      <c r="F9" s="19">
        <v>1</v>
      </c>
      <c r="G9" s="19">
        <v>2</v>
      </c>
      <c r="H9" s="19">
        <v>2</v>
      </c>
      <c r="I9" s="19">
        <v>0</v>
      </c>
      <c r="J9" s="20">
        <v>739</v>
      </c>
      <c r="K9" s="20">
        <v>1565</v>
      </c>
      <c r="L9" s="20">
        <v>1460</v>
      </c>
      <c r="M9" s="19">
        <v>0</v>
      </c>
      <c r="N9" s="19">
        <v>2</v>
      </c>
      <c r="O9" s="21"/>
      <c r="P9" s="20"/>
      <c r="Q9" s="20"/>
      <c r="R9" s="20"/>
      <c r="S9" s="20"/>
      <c r="T9" s="20"/>
      <c r="U9" s="20"/>
      <c r="V9" s="22"/>
      <c r="W9" s="20"/>
      <c r="X9" s="20"/>
      <c r="Y9" s="23"/>
      <c r="Z9" s="23"/>
      <c r="AA9" s="24" t="s">
        <v>33</v>
      </c>
      <c r="AB9" s="25" t="s">
        <v>40</v>
      </c>
    </row>
    <row r="10" spans="1:28" x14ac:dyDescent="0.3">
      <c r="A10" s="27" t="s">
        <v>44</v>
      </c>
      <c r="D10" s="9" t="s">
        <v>45</v>
      </c>
      <c r="E10" s="10">
        <v>1</v>
      </c>
      <c r="F10" s="10">
        <v>1</v>
      </c>
      <c r="G10" s="10">
        <v>18</v>
      </c>
      <c r="H10" s="10">
        <v>18</v>
      </c>
      <c r="I10" s="10">
        <v>0</v>
      </c>
      <c r="J10" s="11">
        <v>736</v>
      </c>
      <c r="K10" s="11">
        <v>1687</v>
      </c>
      <c r="L10" s="11">
        <v>1522</v>
      </c>
      <c r="M10" s="10">
        <v>8</v>
      </c>
      <c r="N10" s="10">
        <v>10</v>
      </c>
      <c r="O10" s="12">
        <v>1386</v>
      </c>
      <c r="P10" s="11">
        <v>1384</v>
      </c>
      <c r="Q10" s="11">
        <v>1304</v>
      </c>
      <c r="R10" s="11">
        <v>1395</v>
      </c>
      <c r="S10" s="11">
        <v>1395</v>
      </c>
      <c r="T10" s="11">
        <v>1450</v>
      </c>
      <c r="U10" s="11"/>
      <c r="V10" s="13"/>
      <c r="W10" s="11">
        <v>1417</v>
      </c>
      <c r="X10" s="11">
        <v>1178</v>
      </c>
      <c r="Y10" s="14"/>
      <c r="Z10" s="14"/>
      <c r="AA10" s="15" t="s">
        <v>33</v>
      </c>
      <c r="AB10" s="16" t="s">
        <v>46</v>
      </c>
    </row>
    <row r="11" spans="1:28" x14ac:dyDescent="0.3">
      <c r="A11" s="5" t="s">
        <v>47</v>
      </c>
      <c r="B11" s="26">
        <v>1832</v>
      </c>
      <c r="D11" s="18" t="s">
        <v>48</v>
      </c>
      <c r="E11" s="19">
        <v>1</v>
      </c>
      <c r="F11" s="19">
        <v>1</v>
      </c>
      <c r="G11" s="19">
        <v>21</v>
      </c>
      <c r="H11" s="19">
        <v>21</v>
      </c>
      <c r="I11" s="19">
        <v>0</v>
      </c>
      <c r="J11" s="20">
        <v>762</v>
      </c>
      <c r="K11" s="20">
        <v>1601</v>
      </c>
      <c r="L11" s="20">
        <v>1567</v>
      </c>
      <c r="M11" s="19">
        <v>10</v>
      </c>
      <c r="N11" s="19">
        <v>11</v>
      </c>
      <c r="O11" s="21">
        <v>1613</v>
      </c>
      <c r="P11" s="20">
        <v>2272</v>
      </c>
      <c r="Q11" s="20">
        <v>1565</v>
      </c>
      <c r="R11" s="20">
        <v>1398</v>
      </c>
      <c r="S11" s="20">
        <v>1433</v>
      </c>
      <c r="T11" s="20">
        <v>1398</v>
      </c>
      <c r="U11" s="20">
        <v>1565</v>
      </c>
      <c r="V11" s="22">
        <v>1339</v>
      </c>
      <c r="W11" s="20">
        <v>1466</v>
      </c>
      <c r="X11" s="20">
        <v>1225</v>
      </c>
      <c r="Y11" s="23">
        <v>-3.9877300613496917E-2</v>
      </c>
      <c r="Z11" s="23">
        <v>-2.7596223674655081E-2</v>
      </c>
      <c r="AA11" s="24" t="s">
        <v>33</v>
      </c>
      <c r="AB11" s="25" t="s">
        <v>49</v>
      </c>
    </row>
    <row r="12" spans="1:28" x14ac:dyDescent="0.3">
      <c r="A12" s="5" t="s">
        <v>50</v>
      </c>
      <c r="B12" s="26">
        <v>1623</v>
      </c>
      <c r="D12" s="9" t="s">
        <v>51</v>
      </c>
      <c r="E12" s="10">
        <v>1</v>
      </c>
      <c r="F12" s="10">
        <v>1</v>
      </c>
      <c r="G12" s="10">
        <v>3</v>
      </c>
      <c r="H12" s="10">
        <v>3</v>
      </c>
      <c r="I12" s="10">
        <v>0</v>
      </c>
      <c r="J12" s="11">
        <v>762</v>
      </c>
      <c r="K12" s="11">
        <v>1605</v>
      </c>
      <c r="L12" s="11">
        <v>1500</v>
      </c>
      <c r="M12" s="10">
        <v>2</v>
      </c>
      <c r="N12" s="10">
        <v>1</v>
      </c>
      <c r="O12" s="12">
        <v>1495</v>
      </c>
      <c r="P12" s="11">
        <v>1385</v>
      </c>
      <c r="Q12" s="11">
        <v>1605</v>
      </c>
      <c r="R12" s="11"/>
      <c r="S12" s="11"/>
      <c r="T12" s="11"/>
      <c r="U12" s="11">
        <v>1590</v>
      </c>
      <c r="V12" s="13">
        <v>1418</v>
      </c>
      <c r="W12" s="11">
        <v>1517</v>
      </c>
      <c r="X12" s="11">
        <v>1398</v>
      </c>
      <c r="Y12" s="14"/>
      <c r="Z12" s="14"/>
      <c r="AA12" s="15" t="s">
        <v>33</v>
      </c>
      <c r="AB12" s="16" t="s">
        <v>49</v>
      </c>
    </row>
    <row r="13" spans="1:28" x14ac:dyDescent="0.3">
      <c r="A13" s="5" t="s">
        <v>52</v>
      </c>
      <c r="B13" s="26">
        <v>1823</v>
      </c>
      <c r="D13" s="18" t="s">
        <v>53</v>
      </c>
      <c r="E13" s="19">
        <v>1</v>
      </c>
      <c r="F13" s="19">
        <v>1</v>
      </c>
      <c r="G13" s="19">
        <v>26</v>
      </c>
      <c r="H13" s="19">
        <v>24</v>
      </c>
      <c r="I13" s="19">
        <v>2</v>
      </c>
      <c r="J13" s="20">
        <v>803</v>
      </c>
      <c r="K13" s="20">
        <v>1755</v>
      </c>
      <c r="L13" s="20">
        <v>1709</v>
      </c>
      <c r="M13" s="19">
        <v>12</v>
      </c>
      <c r="N13" s="19">
        <v>12</v>
      </c>
      <c r="O13" s="21">
        <v>1608</v>
      </c>
      <c r="P13" s="20">
        <v>1600</v>
      </c>
      <c r="Q13" s="20">
        <v>1599</v>
      </c>
      <c r="R13" s="20">
        <v>1510</v>
      </c>
      <c r="S13" s="20">
        <v>1510</v>
      </c>
      <c r="T13" s="20">
        <v>1820</v>
      </c>
      <c r="U13" s="20">
        <v>1717</v>
      </c>
      <c r="V13" s="22">
        <v>1469</v>
      </c>
      <c r="W13" s="20">
        <v>1698</v>
      </c>
      <c r="X13" s="20">
        <v>1451</v>
      </c>
      <c r="Y13" s="23">
        <v>-1.529636711281057E-2</v>
      </c>
      <c r="Z13" s="23">
        <v>-5.8936579115951293E-2</v>
      </c>
      <c r="AA13" s="24" t="s">
        <v>33</v>
      </c>
      <c r="AB13" s="25" t="s">
        <v>54</v>
      </c>
    </row>
    <row r="14" spans="1:28" x14ac:dyDescent="0.3">
      <c r="A14" s="27" t="s">
        <v>55</v>
      </c>
      <c r="D14" s="9" t="s">
        <v>56</v>
      </c>
      <c r="E14" s="10">
        <v>1</v>
      </c>
      <c r="F14" s="10">
        <v>1</v>
      </c>
      <c r="G14" s="10">
        <v>18</v>
      </c>
      <c r="H14" s="10">
        <v>17</v>
      </c>
      <c r="I14" s="10">
        <v>1</v>
      </c>
      <c r="J14" s="11">
        <v>941</v>
      </c>
      <c r="K14" s="11">
        <v>1857</v>
      </c>
      <c r="L14" s="11">
        <v>1841</v>
      </c>
      <c r="M14" s="10">
        <v>12</v>
      </c>
      <c r="N14" s="10">
        <v>5</v>
      </c>
      <c r="O14" s="12">
        <v>1795</v>
      </c>
      <c r="P14" s="11">
        <v>1860</v>
      </c>
      <c r="Q14" s="11">
        <v>1800</v>
      </c>
      <c r="R14" s="11">
        <v>1769</v>
      </c>
      <c r="S14" s="11">
        <v>1895</v>
      </c>
      <c r="T14" s="11">
        <v>1650</v>
      </c>
      <c r="U14" s="11">
        <v>1845</v>
      </c>
      <c r="V14" s="13">
        <v>1712</v>
      </c>
      <c r="W14" s="11">
        <v>1818</v>
      </c>
      <c r="X14" s="11">
        <v>1598</v>
      </c>
      <c r="Y14" s="14">
        <v>3.3990482664854049E-3</v>
      </c>
      <c r="Z14" s="14">
        <v>9.4339622641510523E-3</v>
      </c>
      <c r="AA14" s="15" t="s">
        <v>33</v>
      </c>
      <c r="AB14" s="16" t="s">
        <v>57</v>
      </c>
    </row>
    <row r="15" spans="1:28" x14ac:dyDescent="0.3">
      <c r="A15" s="5" t="s">
        <v>58</v>
      </c>
      <c r="B15" s="26">
        <v>6032932.9800000004</v>
      </c>
      <c r="D15" s="18" t="s">
        <v>59</v>
      </c>
      <c r="E15" s="19">
        <v>2</v>
      </c>
      <c r="F15" s="19">
        <v>2</v>
      </c>
      <c r="G15" s="19">
        <v>48</v>
      </c>
      <c r="H15" s="19">
        <v>46</v>
      </c>
      <c r="I15" s="19">
        <v>2</v>
      </c>
      <c r="J15" s="20">
        <v>1082</v>
      </c>
      <c r="K15" s="20">
        <v>2254</v>
      </c>
      <c r="L15" s="20">
        <v>2165</v>
      </c>
      <c r="M15" s="19">
        <v>24</v>
      </c>
      <c r="N15" s="19">
        <v>22</v>
      </c>
      <c r="O15" s="21">
        <v>2606</v>
      </c>
      <c r="P15" s="20">
        <v>4170</v>
      </c>
      <c r="Q15" s="20">
        <v>2165</v>
      </c>
      <c r="R15" s="20">
        <v>2305</v>
      </c>
      <c r="S15" s="20">
        <v>2130</v>
      </c>
      <c r="T15" s="20">
        <v>2260</v>
      </c>
      <c r="U15" s="20">
        <v>2200</v>
      </c>
      <c r="V15" s="22">
        <v>2014</v>
      </c>
      <c r="W15" s="20">
        <v>2103</v>
      </c>
      <c r="X15" s="20">
        <v>1842</v>
      </c>
      <c r="Y15" s="23">
        <v>2.246320681642144E-2</v>
      </c>
      <c r="Z15" s="23">
        <v>2.3981018557749371E-2</v>
      </c>
      <c r="AA15" s="24" t="s">
        <v>33</v>
      </c>
      <c r="AB15" s="25" t="s">
        <v>60</v>
      </c>
    </row>
    <row r="16" spans="1:28" x14ac:dyDescent="0.3">
      <c r="A16" s="5" t="s">
        <v>61</v>
      </c>
      <c r="B16" s="26">
        <v>2631211.92</v>
      </c>
      <c r="D16" s="9" t="s">
        <v>62</v>
      </c>
      <c r="E16" s="10">
        <v>2</v>
      </c>
      <c r="F16" s="10">
        <v>2</v>
      </c>
      <c r="G16" s="10">
        <v>2</v>
      </c>
      <c r="H16" s="10">
        <v>2</v>
      </c>
      <c r="I16" s="10">
        <v>0</v>
      </c>
      <c r="J16" s="11">
        <v>1082</v>
      </c>
      <c r="K16" s="11">
        <v>2238</v>
      </c>
      <c r="L16" s="11">
        <v>2044</v>
      </c>
      <c r="M16" s="10">
        <v>2</v>
      </c>
      <c r="N16" s="10">
        <v>0</v>
      </c>
      <c r="O16" s="12">
        <v>2044</v>
      </c>
      <c r="P16" s="11">
        <v>1899</v>
      </c>
      <c r="Q16" s="11">
        <v>2190</v>
      </c>
      <c r="R16" s="11"/>
      <c r="S16" s="11"/>
      <c r="T16" s="11"/>
      <c r="U16" s="11"/>
      <c r="V16" s="13"/>
      <c r="W16" s="11">
        <v>1884</v>
      </c>
      <c r="X16" s="11">
        <v>1519</v>
      </c>
      <c r="Y16" s="14"/>
      <c r="Z16" s="14"/>
      <c r="AA16" s="15" t="s">
        <v>33</v>
      </c>
      <c r="AB16" s="16" t="s">
        <v>60</v>
      </c>
    </row>
    <row r="17" spans="1:28" x14ac:dyDescent="0.3">
      <c r="A17" s="5" t="s">
        <v>63</v>
      </c>
      <c r="B17" s="26">
        <v>3401721.060000001</v>
      </c>
      <c r="D17" s="18" t="s">
        <v>64</v>
      </c>
      <c r="E17" s="19">
        <v>2</v>
      </c>
      <c r="F17" s="19">
        <v>2</v>
      </c>
      <c r="G17" s="19">
        <v>27</v>
      </c>
      <c r="H17" s="19">
        <v>26</v>
      </c>
      <c r="I17" s="19">
        <v>1</v>
      </c>
      <c r="J17" s="20">
        <v>1109</v>
      </c>
      <c r="K17" s="20">
        <v>2127</v>
      </c>
      <c r="L17" s="20">
        <v>2089</v>
      </c>
      <c r="M17" s="19">
        <v>12</v>
      </c>
      <c r="N17" s="19">
        <v>14</v>
      </c>
      <c r="O17" s="21">
        <v>2123</v>
      </c>
      <c r="P17" s="20">
        <v>2035</v>
      </c>
      <c r="Q17" s="20">
        <v>2115</v>
      </c>
      <c r="R17" s="20">
        <v>2080</v>
      </c>
      <c r="S17" s="20">
        <v>2035</v>
      </c>
      <c r="T17" s="20">
        <v>2350</v>
      </c>
      <c r="U17" s="20">
        <v>2105</v>
      </c>
      <c r="V17" s="22">
        <v>1815</v>
      </c>
      <c r="W17" s="20">
        <v>2060</v>
      </c>
      <c r="X17" s="20">
        <v>1839</v>
      </c>
      <c r="Y17" s="23">
        <v>-7.0640176600441529E-2</v>
      </c>
      <c r="Z17" s="23">
        <v>-8.4898130644822545E-2</v>
      </c>
      <c r="AA17" s="24" t="s">
        <v>33</v>
      </c>
      <c r="AB17" s="25" t="s">
        <v>65</v>
      </c>
    </row>
    <row r="18" spans="1:28" x14ac:dyDescent="0.3">
      <c r="A18" s="5" t="s">
        <v>66</v>
      </c>
      <c r="B18" s="17">
        <v>0.56385858607698314</v>
      </c>
      <c r="D18" s="9" t="s">
        <v>67</v>
      </c>
      <c r="E18" s="10">
        <v>2</v>
      </c>
      <c r="F18" s="10">
        <v>2</v>
      </c>
      <c r="G18" s="10">
        <v>2</v>
      </c>
      <c r="H18" s="10">
        <v>2</v>
      </c>
      <c r="I18" s="10">
        <v>0</v>
      </c>
      <c r="J18" s="11">
        <v>1155</v>
      </c>
      <c r="K18" s="11">
        <v>2328</v>
      </c>
      <c r="L18" s="11">
        <v>2298</v>
      </c>
      <c r="M18" s="10">
        <v>1</v>
      </c>
      <c r="N18" s="10">
        <v>1</v>
      </c>
      <c r="O18" s="12">
        <v>2350</v>
      </c>
      <c r="P18" s="11">
        <v>2350</v>
      </c>
      <c r="Q18" s="11"/>
      <c r="R18" s="11"/>
      <c r="S18" s="11"/>
      <c r="T18" s="11"/>
      <c r="U18" s="11"/>
      <c r="V18" s="13"/>
      <c r="W18" s="11">
        <v>2335</v>
      </c>
      <c r="X18" s="11">
        <v>1973</v>
      </c>
      <c r="Y18" s="14"/>
      <c r="Z18" s="14"/>
      <c r="AA18" s="15" t="s">
        <v>33</v>
      </c>
      <c r="AB18" s="16" t="s">
        <v>65</v>
      </c>
    </row>
    <row r="19" spans="1:28" x14ac:dyDescent="0.3">
      <c r="D19" s="18" t="s">
        <v>68</v>
      </c>
      <c r="E19" s="19">
        <v>2</v>
      </c>
      <c r="F19" s="19">
        <v>2</v>
      </c>
      <c r="G19" s="19">
        <v>18</v>
      </c>
      <c r="H19" s="19">
        <v>18</v>
      </c>
      <c r="I19" s="19">
        <v>0</v>
      </c>
      <c r="J19" s="20">
        <v>1213</v>
      </c>
      <c r="K19" s="20">
        <v>2172</v>
      </c>
      <c r="L19" s="20">
        <v>2135</v>
      </c>
      <c r="M19" s="19">
        <v>9</v>
      </c>
      <c r="N19" s="19">
        <v>9</v>
      </c>
      <c r="O19" s="21">
        <v>2142</v>
      </c>
      <c r="P19" s="20">
        <v>2175</v>
      </c>
      <c r="Q19" s="20">
        <v>2130</v>
      </c>
      <c r="R19" s="20">
        <v>2175</v>
      </c>
      <c r="S19" s="20">
        <v>2130</v>
      </c>
      <c r="T19" s="20">
        <v>2099</v>
      </c>
      <c r="U19" s="20">
        <v>2145</v>
      </c>
      <c r="V19" s="22">
        <v>1836</v>
      </c>
      <c r="W19" s="20">
        <v>2128</v>
      </c>
      <c r="X19" s="20">
        <v>1773</v>
      </c>
      <c r="Y19" s="23">
        <v>-6.9444444444444198E-3</v>
      </c>
      <c r="Z19" s="23">
        <v>6.2100456621003719E-3</v>
      </c>
      <c r="AA19" s="24" t="s">
        <v>33</v>
      </c>
      <c r="AB19" s="25" t="s">
        <v>69</v>
      </c>
    </row>
    <row r="20" spans="1:28" x14ac:dyDescent="0.3">
      <c r="D20" s="9" t="s">
        <v>70</v>
      </c>
      <c r="E20" s="10">
        <v>2</v>
      </c>
      <c r="F20" s="10">
        <v>2</v>
      </c>
      <c r="G20" s="10">
        <v>2</v>
      </c>
      <c r="H20" s="10">
        <v>2</v>
      </c>
      <c r="I20" s="10">
        <v>0</v>
      </c>
      <c r="J20" s="11">
        <v>1381</v>
      </c>
      <c r="K20" s="11">
        <v>3410</v>
      </c>
      <c r="L20" s="11">
        <v>3022</v>
      </c>
      <c r="M20" s="10">
        <v>1</v>
      </c>
      <c r="N20" s="10">
        <v>1</v>
      </c>
      <c r="O20" s="12">
        <v>3410</v>
      </c>
      <c r="P20" s="11">
        <v>3410</v>
      </c>
      <c r="Q20" s="11"/>
      <c r="R20" s="11"/>
      <c r="S20" s="11"/>
      <c r="T20" s="11"/>
      <c r="U20" s="11">
        <v>3395</v>
      </c>
      <c r="V20" s="13">
        <v>2908</v>
      </c>
      <c r="W20" s="11">
        <v>3395</v>
      </c>
      <c r="X20" s="11">
        <v>2889</v>
      </c>
      <c r="Y20" s="14">
        <v>0</v>
      </c>
      <c r="Z20" s="14">
        <v>1.3240418118466881E-2</v>
      </c>
      <c r="AA20" s="15" t="s">
        <v>71</v>
      </c>
      <c r="AB20" s="16" t="s">
        <v>72</v>
      </c>
    </row>
    <row r="21" spans="1:28" x14ac:dyDescent="0.3">
      <c r="D21" s="18" t="s">
        <v>73</v>
      </c>
      <c r="E21" s="19">
        <v>2</v>
      </c>
      <c r="F21" s="19">
        <v>2</v>
      </c>
      <c r="G21" s="19">
        <v>1</v>
      </c>
      <c r="H21" s="19">
        <v>0</v>
      </c>
      <c r="I21" s="19">
        <v>1</v>
      </c>
      <c r="J21" s="20">
        <v>1461</v>
      </c>
      <c r="K21" s="20">
        <v>3785</v>
      </c>
      <c r="L21" s="20">
        <v>0</v>
      </c>
      <c r="M21" s="19">
        <v>0</v>
      </c>
      <c r="N21" s="19">
        <v>0</v>
      </c>
      <c r="O21" s="21"/>
      <c r="P21" s="20"/>
      <c r="Q21" s="20"/>
      <c r="R21" s="20"/>
      <c r="S21" s="20"/>
      <c r="T21" s="20"/>
      <c r="U21" s="20"/>
      <c r="V21" s="22"/>
      <c r="W21" s="20"/>
      <c r="X21" s="20"/>
      <c r="Y21" s="23"/>
      <c r="Z21" s="23"/>
      <c r="AA21" s="24" t="s">
        <v>71</v>
      </c>
      <c r="AB21" s="25" t="s">
        <v>72</v>
      </c>
    </row>
    <row r="22" spans="1:28" x14ac:dyDescent="0.3">
      <c r="D22" s="9" t="s">
        <v>74</v>
      </c>
      <c r="E22" s="10">
        <v>3</v>
      </c>
      <c r="F22" s="10">
        <v>2</v>
      </c>
      <c r="G22" s="10">
        <v>11</v>
      </c>
      <c r="H22" s="10">
        <v>9</v>
      </c>
      <c r="I22" s="10">
        <v>2</v>
      </c>
      <c r="J22" s="11">
        <v>1564</v>
      </c>
      <c r="K22" s="11">
        <v>2898</v>
      </c>
      <c r="L22" s="11">
        <v>2739</v>
      </c>
      <c r="M22" s="10">
        <v>2</v>
      </c>
      <c r="N22" s="10">
        <v>7</v>
      </c>
      <c r="O22" s="12">
        <v>2778</v>
      </c>
      <c r="P22" s="11">
        <v>2905</v>
      </c>
      <c r="Q22" s="11">
        <v>2650</v>
      </c>
      <c r="R22" s="11"/>
      <c r="S22" s="11"/>
      <c r="T22" s="11"/>
      <c r="U22" s="11"/>
      <c r="V22" s="13"/>
      <c r="W22" s="11">
        <v>2762</v>
      </c>
      <c r="X22" s="11">
        <v>2299</v>
      </c>
      <c r="Y22" s="14"/>
      <c r="Z22" s="14"/>
      <c r="AA22" s="15" t="s">
        <v>33</v>
      </c>
      <c r="AB22" s="16" t="s">
        <v>75</v>
      </c>
    </row>
    <row r="23" spans="1:28" x14ac:dyDescent="0.3">
      <c r="D23" s="18" t="s">
        <v>76</v>
      </c>
      <c r="E23" s="19">
        <v>3</v>
      </c>
      <c r="F23" s="19">
        <v>2</v>
      </c>
      <c r="G23" s="19">
        <v>1</v>
      </c>
      <c r="H23" s="19">
        <v>1</v>
      </c>
      <c r="I23" s="19">
        <v>0</v>
      </c>
      <c r="J23" s="20">
        <v>1564</v>
      </c>
      <c r="K23" s="20">
        <v>2925</v>
      </c>
      <c r="L23" s="20">
        <v>2550</v>
      </c>
      <c r="M23" s="19">
        <v>1</v>
      </c>
      <c r="N23" s="19">
        <v>0</v>
      </c>
      <c r="O23" s="21">
        <v>2550</v>
      </c>
      <c r="P23" s="20">
        <v>2550</v>
      </c>
      <c r="Q23" s="20"/>
      <c r="R23" s="20"/>
      <c r="S23" s="20"/>
      <c r="T23" s="20"/>
      <c r="U23" s="20"/>
      <c r="V23" s="22"/>
      <c r="W23" s="20">
        <v>2535</v>
      </c>
      <c r="X23" s="20">
        <v>2044</v>
      </c>
      <c r="Y23" s="23"/>
      <c r="Z23" s="23"/>
      <c r="AA23" s="24" t="s">
        <v>33</v>
      </c>
      <c r="AB23" s="25" t="s">
        <v>75</v>
      </c>
    </row>
    <row r="24" spans="1:28" x14ac:dyDescent="0.3">
      <c r="D24" s="9" t="s">
        <v>77</v>
      </c>
      <c r="E24" s="10"/>
      <c r="F24" s="10"/>
      <c r="G24" s="10">
        <v>1</v>
      </c>
      <c r="H24" s="10">
        <v>1</v>
      </c>
      <c r="I24" s="10">
        <v>0</v>
      </c>
      <c r="J24" s="11">
        <v>1427</v>
      </c>
      <c r="K24" s="11">
        <v>3955</v>
      </c>
      <c r="L24" s="11">
        <v>3955</v>
      </c>
      <c r="M24" s="10">
        <v>0</v>
      </c>
      <c r="N24" s="10">
        <v>1</v>
      </c>
      <c r="O24" s="12"/>
      <c r="P24" s="11"/>
      <c r="Q24" s="11"/>
      <c r="R24" s="11"/>
      <c r="S24" s="11"/>
      <c r="T24" s="11"/>
      <c r="U24" s="11"/>
      <c r="V24" s="13"/>
      <c r="W24" s="11"/>
      <c r="X24" s="11"/>
      <c r="Y24" s="14"/>
      <c r="Z24" s="14"/>
      <c r="AA24" s="15" t="s">
        <v>78</v>
      </c>
      <c r="AB24" s="16"/>
    </row>
    <row r="25" spans="1:28" x14ac:dyDescent="0.3">
      <c r="D25" s="28" t="s">
        <v>79</v>
      </c>
      <c r="E25" s="29"/>
      <c r="F25" s="29"/>
      <c r="G25" s="30">
        <v>290</v>
      </c>
      <c r="H25" s="30">
        <v>272</v>
      </c>
      <c r="I25" s="30">
        <v>18</v>
      </c>
      <c r="J25" s="31">
        <v>919</v>
      </c>
      <c r="K25" s="31">
        <v>1928</v>
      </c>
      <c r="L25" s="31">
        <v>1826</v>
      </c>
      <c r="M25" s="30">
        <v>140</v>
      </c>
      <c r="N25" s="30">
        <v>132</v>
      </c>
      <c r="O25" s="32">
        <v>1877</v>
      </c>
      <c r="P25" s="29"/>
      <c r="Q25" s="29"/>
      <c r="R25" s="29"/>
      <c r="S25" s="29"/>
      <c r="T25" s="29"/>
      <c r="U25" s="31">
        <v>1832</v>
      </c>
      <c r="V25" s="33">
        <v>1623</v>
      </c>
      <c r="W25" s="31">
        <v>1795</v>
      </c>
      <c r="X25" s="31">
        <v>1547</v>
      </c>
      <c r="Y25" s="34">
        <v>-1.718955368288122E-2</v>
      </c>
      <c r="Z25" s="34">
        <v>-9.8067060809791072E-3</v>
      </c>
      <c r="AA25" s="29"/>
      <c r="AB25" s="29"/>
    </row>
    <row r="26" spans="1:28" x14ac:dyDescent="0.3">
      <c r="D26" s="35" t="s">
        <v>80</v>
      </c>
    </row>
    <row r="28" spans="1:28" x14ac:dyDescent="0.3">
      <c r="A28" s="36" t="s">
        <v>81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28" ht="28.05" customHeight="1" x14ac:dyDescent="0.3">
      <c r="A29" s="76" t="s">
        <v>82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</row>
    <row r="30" spans="1:28" ht="28.05" customHeight="1" x14ac:dyDescent="0.3">
      <c r="A30" s="76" t="s">
        <v>83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</row>
    <row r="31" spans="1:28" ht="28.05" customHeight="1" x14ac:dyDescent="0.3">
      <c r="A31" s="76" t="s">
        <v>84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</row>
    <row r="32" spans="1:28" ht="28.05" customHeight="1" x14ac:dyDescent="0.3">
      <c r="A32" s="76" t="s">
        <v>85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</row>
    <row r="33" spans="1:12" ht="28.05" customHeight="1" x14ac:dyDescent="0.3">
      <c r="A33" s="76" t="s">
        <v>86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</row>
    <row r="34" spans="1:12" ht="28.05" customHeight="1" x14ac:dyDescent="0.3">
      <c r="A34" s="76" t="s">
        <v>87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6" spans="1:12" x14ac:dyDescent="0.3">
      <c r="A36" s="38" t="s">
        <v>88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ht="31.95" customHeight="1" x14ac:dyDescent="0.3">
      <c r="A37" s="78" t="s">
        <v>89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</row>
    <row r="38" spans="1:12" ht="31.95" customHeight="1" x14ac:dyDescent="0.3">
      <c r="A38" s="78" t="s">
        <v>90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</row>
    <row r="39" spans="1:12" ht="31.95" customHeight="1" x14ac:dyDescent="0.3">
      <c r="A39" s="78" t="s">
        <v>91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</row>
    <row r="40" spans="1:12" ht="31.95" customHeight="1" x14ac:dyDescent="0.3">
      <c r="A40" s="78" t="s">
        <v>92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</row>
    <row r="41" spans="1:12" ht="31.95" customHeight="1" x14ac:dyDescent="0.3">
      <c r="A41" s="78" t="s">
        <v>93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</row>
    <row r="42" spans="1:12" ht="31.95" customHeight="1" x14ac:dyDescent="0.3">
      <c r="A42" s="78" t="s">
        <v>94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</row>
  </sheetData>
  <mergeCells count="12">
    <mergeCell ref="A30:L30"/>
    <mergeCell ref="A38:L38"/>
    <mergeCell ref="A29:L29"/>
    <mergeCell ref="A42:L42"/>
    <mergeCell ref="A41:L41"/>
    <mergeCell ref="A33:L33"/>
    <mergeCell ref="A37:L37"/>
    <mergeCell ref="A32:L32"/>
    <mergeCell ref="A31:L31"/>
    <mergeCell ref="A40:L40"/>
    <mergeCell ref="A39:L39"/>
    <mergeCell ref="A34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7"/>
  <sheetViews>
    <sheetView showGridLines="0" workbookViewId="0">
      <pane xSplit="3" ySplit="1" topLeftCell="D29" activePane="bottomRight" state="frozen"/>
      <selection pane="topRight"/>
      <selection pane="bottomLeft"/>
      <selection pane="bottomRight" activeCell="C52" sqref="C52"/>
    </sheetView>
  </sheetViews>
  <sheetFormatPr defaultRowHeight="14.4" x14ac:dyDescent="0.3"/>
  <cols>
    <col min="1" max="1" width="11" customWidth="1"/>
    <col min="2" max="2" width="30" customWidth="1"/>
    <col min="3" max="3" width="42" customWidth="1"/>
    <col min="4" max="15" width="12" customWidth="1"/>
    <col min="16" max="16" width="13" customWidth="1"/>
  </cols>
  <sheetData>
    <row r="1" spans="1:16" x14ac:dyDescent="0.3">
      <c r="A1" s="40" t="s">
        <v>95</v>
      </c>
      <c r="B1" s="41" t="s">
        <v>96</v>
      </c>
      <c r="C1" s="38" t="s">
        <v>97</v>
      </c>
      <c r="D1" s="42">
        <v>45778</v>
      </c>
      <c r="E1" s="42">
        <v>45809</v>
      </c>
      <c r="F1" s="42">
        <v>45839</v>
      </c>
      <c r="G1" s="42">
        <v>45870</v>
      </c>
      <c r="H1" s="42">
        <v>45901</v>
      </c>
      <c r="I1" s="42">
        <v>45931</v>
      </c>
      <c r="J1" s="42">
        <v>45962</v>
      </c>
      <c r="K1" s="42">
        <v>45992</v>
      </c>
      <c r="L1" s="42">
        <v>46023</v>
      </c>
      <c r="M1" s="42">
        <v>46054</v>
      </c>
      <c r="N1" s="42">
        <v>46082</v>
      </c>
      <c r="O1" s="42">
        <v>46113</v>
      </c>
      <c r="P1" s="7" t="s">
        <v>98</v>
      </c>
    </row>
    <row r="2" spans="1:16" x14ac:dyDescent="0.3">
      <c r="A2" s="43"/>
      <c r="B2" s="43"/>
      <c r="C2" s="44" t="s">
        <v>99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x14ac:dyDescent="0.3">
      <c r="A3" s="45" t="s">
        <v>100</v>
      </c>
      <c r="B3" s="46" t="str">
        <f>IFERROR(VLOOKUP($A3,Codes!$A:$B,2,FALSE()),"")</f>
        <v>Rental Income</v>
      </c>
      <c r="C3" s="5" t="s">
        <v>101</v>
      </c>
      <c r="D3" s="47">
        <v>559150</v>
      </c>
      <c r="E3" s="47">
        <v>559150</v>
      </c>
      <c r="F3" s="47">
        <v>559150</v>
      </c>
      <c r="G3" s="47">
        <v>559150</v>
      </c>
      <c r="H3" s="47">
        <v>559150</v>
      </c>
      <c r="I3" s="47">
        <v>559150</v>
      </c>
      <c r="J3" s="47">
        <v>559150</v>
      </c>
      <c r="K3" s="47">
        <v>559150</v>
      </c>
      <c r="L3" s="47">
        <v>559150</v>
      </c>
      <c r="M3" s="47">
        <v>559150</v>
      </c>
      <c r="N3" s="47">
        <v>559150</v>
      </c>
      <c r="O3" s="47">
        <v>559150</v>
      </c>
      <c r="P3" s="48">
        <f t="shared" ref="P3:P33" si="0">SUM(D3:O3)</f>
        <v>6709800</v>
      </c>
    </row>
    <row r="4" spans="1:16" x14ac:dyDescent="0.3">
      <c r="A4" s="45" t="s">
        <v>102</v>
      </c>
      <c r="B4" s="46" t="str">
        <f>IFERROR(VLOOKUP($A4,Codes!$A:$B,2,FALSE()),"")</f>
        <v>(Loss to Lease) / Gain to Lease</v>
      </c>
      <c r="C4" s="5" t="s">
        <v>103</v>
      </c>
      <c r="D4" s="47">
        <v>-27581</v>
      </c>
      <c r="E4" s="47">
        <v>-27745</v>
      </c>
      <c r="F4" s="47">
        <v>-26926</v>
      </c>
      <c r="G4" s="47">
        <v>-25054</v>
      </c>
      <c r="H4" s="47">
        <v>-24168</v>
      </c>
      <c r="I4" s="47">
        <v>-23750</v>
      </c>
      <c r="J4" s="47">
        <v>-24711</v>
      </c>
      <c r="K4" s="47">
        <v>-24276</v>
      </c>
      <c r="L4" s="47">
        <v>-24152</v>
      </c>
      <c r="M4" s="47">
        <v>-27423</v>
      </c>
      <c r="N4" s="47">
        <v>-28527</v>
      </c>
      <c r="O4" s="47">
        <v>-28582</v>
      </c>
      <c r="P4" s="48">
        <f t="shared" si="0"/>
        <v>-312895</v>
      </c>
    </row>
    <row r="5" spans="1:16" x14ac:dyDescent="0.3">
      <c r="A5" s="45" t="s">
        <v>104</v>
      </c>
      <c r="B5" s="46" t="str">
        <f>IFERROR(VLOOKUP($A5,Codes!$A:$B,2,FALSE()),"")</f>
        <v>Vacancy</v>
      </c>
      <c r="C5" s="5" t="s">
        <v>105</v>
      </c>
      <c r="D5" s="47">
        <v>-32059.41</v>
      </c>
      <c r="E5" s="47">
        <v>-39950.81</v>
      </c>
      <c r="F5" s="47">
        <v>-32160.7</v>
      </c>
      <c r="G5" s="47">
        <v>-36295.85</v>
      </c>
      <c r="H5" s="47">
        <v>-45481.47</v>
      </c>
      <c r="I5" s="47">
        <v>-33225.96</v>
      </c>
      <c r="J5" s="47">
        <v>-39789.69</v>
      </c>
      <c r="K5" s="47">
        <v>-54891.16</v>
      </c>
      <c r="L5" s="47">
        <v>-63024.55</v>
      </c>
      <c r="M5" s="47">
        <v>-51062.94</v>
      </c>
      <c r="N5" s="47">
        <v>-37121.019999999997</v>
      </c>
      <c r="O5" s="47">
        <v>-36993.26</v>
      </c>
      <c r="P5" s="48">
        <f t="shared" si="0"/>
        <v>-502056.82</v>
      </c>
    </row>
    <row r="6" spans="1:16" x14ac:dyDescent="0.3">
      <c r="A6" s="45" t="s">
        <v>106</v>
      </c>
      <c r="B6" s="46" t="str">
        <f>IFERROR(VLOOKUP($A6,Codes!$A:$B,2,FALSE()),"")</f>
        <v>Non-Revenue Units</v>
      </c>
      <c r="C6" s="5" t="s">
        <v>107</v>
      </c>
      <c r="D6" s="47">
        <v>-2340</v>
      </c>
      <c r="E6" s="47">
        <v>-2340</v>
      </c>
      <c r="F6" s="47">
        <v>-2340</v>
      </c>
      <c r="G6" s="47">
        <v>-2340</v>
      </c>
      <c r="H6" s="47">
        <v>-2340</v>
      </c>
      <c r="I6" s="47">
        <v>-2340</v>
      </c>
      <c r="J6" s="47">
        <v>-2340</v>
      </c>
      <c r="K6" s="47">
        <v>-2340</v>
      </c>
      <c r="L6" s="47">
        <v>-2340</v>
      </c>
      <c r="M6" s="47">
        <v>-2340</v>
      </c>
      <c r="N6" s="47">
        <v>-2340</v>
      </c>
      <c r="O6" s="47">
        <v>-2340</v>
      </c>
      <c r="P6" s="48">
        <f t="shared" si="0"/>
        <v>-28080</v>
      </c>
    </row>
    <row r="7" spans="1:16" x14ac:dyDescent="0.3">
      <c r="A7" s="45" t="s">
        <v>106</v>
      </c>
      <c r="B7" s="46" t="str">
        <f>IFERROR(VLOOKUP($A7,Codes!$A:$B,2,FALSE()),"")</f>
        <v>Non-Revenue Units</v>
      </c>
      <c r="C7" s="5" t="s">
        <v>108</v>
      </c>
      <c r="D7" s="47">
        <v>-780</v>
      </c>
      <c r="E7" s="47">
        <v>-780</v>
      </c>
      <c r="F7" s="47">
        <v>-780</v>
      </c>
      <c r="G7" s="47">
        <v>-780</v>
      </c>
      <c r="H7" s="47">
        <v>-780</v>
      </c>
      <c r="I7" s="47">
        <v>-780</v>
      </c>
      <c r="J7" s="47">
        <v>-780</v>
      </c>
      <c r="K7" s="47">
        <v>-780</v>
      </c>
      <c r="L7" s="47">
        <v>-780</v>
      </c>
      <c r="M7" s="47">
        <v>-780</v>
      </c>
      <c r="N7" s="47">
        <v>-780</v>
      </c>
      <c r="O7" s="47">
        <v>0</v>
      </c>
      <c r="P7" s="48">
        <f t="shared" si="0"/>
        <v>-8580</v>
      </c>
    </row>
    <row r="8" spans="1:16" x14ac:dyDescent="0.3">
      <c r="A8" s="45" t="s">
        <v>109</v>
      </c>
      <c r="B8" s="46" t="str">
        <f>IFERROR(VLOOKUP($A8,Codes!$A:$B,2,FALSE()),"")</f>
        <v>Concessions</v>
      </c>
      <c r="C8" s="5" t="s">
        <v>110</v>
      </c>
      <c r="D8" s="47">
        <v>-51396.97</v>
      </c>
      <c r="E8" s="47">
        <v>-36344.5</v>
      </c>
      <c r="F8" s="47">
        <v>-41734.5</v>
      </c>
      <c r="G8" s="47">
        <v>-40560</v>
      </c>
      <c r="H8" s="47">
        <v>-23142</v>
      </c>
      <c r="I8" s="47">
        <v>-21379.5</v>
      </c>
      <c r="J8" s="47">
        <v>-23729</v>
      </c>
      <c r="K8" s="47">
        <v>-23776</v>
      </c>
      <c r="L8" s="47">
        <v>-29613.919999999998</v>
      </c>
      <c r="M8" s="47">
        <v>-31630</v>
      </c>
      <c r="N8" s="47">
        <v>-41571.5</v>
      </c>
      <c r="O8" s="47">
        <v>-45133.5</v>
      </c>
      <c r="P8" s="48">
        <f t="shared" si="0"/>
        <v>-410011.39</v>
      </c>
    </row>
    <row r="9" spans="1:16" x14ac:dyDescent="0.3">
      <c r="A9" s="45" t="s">
        <v>111</v>
      </c>
      <c r="B9" s="46" t="str">
        <f>IFERROR(VLOOKUP($A9,Codes!$A:$B,2,FALSE()),"")</f>
        <v>Collection Loss / Bad Debt</v>
      </c>
      <c r="C9" s="5" t="s">
        <v>112</v>
      </c>
      <c r="D9" s="47">
        <v>0</v>
      </c>
      <c r="E9" s="47">
        <v>-1848.4</v>
      </c>
      <c r="F9" s="47">
        <v>0</v>
      </c>
      <c r="G9" s="47">
        <v>0</v>
      </c>
      <c r="H9" s="47">
        <v>0</v>
      </c>
      <c r="I9" s="47">
        <v>-228</v>
      </c>
      <c r="J9" s="47">
        <v>0</v>
      </c>
      <c r="K9" s="47">
        <v>0</v>
      </c>
      <c r="L9" s="47">
        <v>-590.33000000000004</v>
      </c>
      <c r="M9" s="47">
        <v>-35.6</v>
      </c>
      <c r="N9" s="47">
        <v>0</v>
      </c>
      <c r="O9" s="47">
        <v>0</v>
      </c>
      <c r="P9" s="48">
        <f t="shared" si="0"/>
        <v>-2702.33</v>
      </c>
    </row>
    <row r="10" spans="1:16" x14ac:dyDescent="0.3">
      <c r="A10" s="45" t="s">
        <v>111</v>
      </c>
      <c r="B10" s="46" t="str">
        <f>IFERROR(VLOOKUP($A10,Codes!$A:$B,2,FALSE()),"")</f>
        <v>Collection Loss / Bad Debt</v>
      </c>
      <c r="C10" s="5" t="s">
        <v>113</v>
      </c>
      <c r="D10" s="47">
        <v>578.27</v>
      </c>
      <c r="E10" s="47">
        <v>1879.47</v>
      </c>
      <c r="F10" s="47">
        <v>769.11</v>
      </c>
      <c r="G10" s="47">
        <v>435.61</v>
      </c>
      <c r="H10" s="47">
        <v>1925.3</v>
      </c>
      <c r="I10" s="47">
        <v>589.48</v>
      </c>
      <c r="J10" s="47">
        <v>717.3</v>
      </c>
      <c r="K10" s="47">
        <v>655.42</v>
      </c>
      <c r="L10" s="47">
        <v>599.36</v>
      </c>
      <c r="M10" s="47">
        <v>779.74</v>
      </c>
      <c r="N10" s="47">
        <v>317.12</v>
      </c>
      <c r="O10" s="47">
        <v>794.2</v>
      </c>
      <c r="P10" s="48">
        <f t="shared" si="0"/>
        <v>10040.380000000001</v>
      </c>
    </row>
    <row r="11" spans="1:16" x14ac:dyDescent="0.3">
      <c r="A11" s="45" t="s">
        <v>114</v>
      </c>
      <c r="B11" s="46" t="str">
        <f>IFERROR(VLOOKUP($A11,Codes!$A:$B,2,FALSE()),"")</f>
        <v>Garage / Parking</v>
      </c>
      <c r="C11" s="5" t="s">
        <v>115</v>
      </c>
      <c r="D11" s="47">
        <v>17933.169999999998</v>
      </c>
      <c r="E11" s="47">
        <v>17644.060000000001</v>
      </c>
      <c r="F11" s="47">
        <v>17812.97</v>
      </c>
      <c r="G11" s="47">
        <v>17705.810000000001</v>
      </c>
      <c r="H11" s="47">
        <v>17039.62</v>
      </c>
      <c r="I11" s="47">
        <v>18121.150000000001</v>
      </c>
      <c r="J11" s="47">
        <v>19020.189999999999</v>
      </c>
      <c r="K11" s="47">
        <v>18158.39</v>
      </c>
      <c r="L11" s="47">
        <v>18462.740000000002</v>
      </c>
      <c r="M11" s="47">
        <v>17206.53</v>
      </c>
      <c r="N11" s="47">
        <v>18794.28</v>
      </c>
      <c r="O11" s="47">
        <v>17540.68</v>
      </c>
      <c r="P11" s="48">
        <f t="shared" si="0"/>
        <v>215439.58999999997</v>
      </c>
    </row>
    <row r="12" spans="1:16" x14ac:dyDescent="0.3">
      <c r="A12" s="45" t="s">
        <v>114</v>
      </c>
      <c r="B12" s="46" t="str">
        <f>IFERROR(VLOOKUP($A12,Codes!$A:$B,2,FALSE()),"")</f>
        <v>Garage / Parking</v>
      </c>
      <c r="C12" s="5" t="s">
        <v>116</v>
      </c>
      <c r="D12" s="47">
        <v>2127.33</v>
      </c>
      <c r="E12" s="47">
        <v>2102.4499999999998</v>
      </c>
      <c r="F12" s="47">
        <v>2038.51</v>
      </c>
      <c r="G12" s="47">
        <v>2079.5300000000002</v>
      </c>
      <c r="H12" s="47">
        <v>2420.92</v>
      </c>
      <c r="I12" s="47">
        <v>2363.1799999999998</v>
      </c>
      <c r="J12" s="47">
        <v>2017.34</v>
      </c>
      <c r="K12" s="47">
        <v>1968.54</v>
      </c>
      <c r="L12" s="47">
        <v>2014.68</v>
      </c>
      <c r="M12" s="47">
        <v>1888.53</v>
      </c>
      <c r="N12" s="47">
        <v>2091.9699999999998</v>
      </c>
      <c r="O12" s="47">
        <v>2092.5500000000002</v>
      </c>
      <c r="P12" s="48">
        <f t="shared" si="0"/>
        <v>25205.53</v>
      </c>
    </row>
    <row r="13" spans="1:16" x14ac:dyDescent="0.3">
      <c r="A13" s="45" t="s">
        <v>114</v>
      </c>
      <c r="B13" s="46" t="str">
        <f>IFERROR(VLOOKUP($A13,Codes!$A:$B,2,FALSE()),"")</f>
        <v>Garage / Parking</v>
      </c>
      <c r="C13" s="5" t="s">
        <v>117</v>
      </c>
      <c r="D13" s="47">
        <v>145</v>
      </c>
      <c r="E13" s="47">
        <v>203.06</v>
      </c>
      <c r="F13" s="47">
        <v>165.65</v>
      </c>
      <c r="G13" s="47">
        <v>145</v>
      </c>
      <c r="H13" s="47">
        <v>145</v>
      </c>
      <c r="I13" s="47">
        <v>172.1</v>
      </c>
      <c r="J13" s="47">
        <v>183.83</v>
      </c>
      <c r="K13" s="47">
        <v>160</v>
      </c>
      <c r="L13" s="47">
        <v>160</v>
      </c>
      <c r="M13" s="47">
        <v>160</v>
      </c>
      <c r="N13" s="47">
        <v>160</v>
      </c>
      <c r="O13" s="47">
        <v>160</v>
      </c>
      <c r="P13" s="48">
        <f t="shared" si="0"/>
        <v>1959.64</v>
      </c>
    </row>
    <row r="14" spans="1:16" x14ac:dyDescent="0.3">
      <c r="A14" s="45" t="s">
        <v>100</v>
      </c>
      <c r="B14" s="46" t="str">
        <f>IFERROR(VLOOKUP($A14,Codes!$A:$B,2,FALSE()),"")</f>
        <v>Rental Income</v>
      </c>
      <c r="C14" s="5" t="s">
        <v>118</v>
      </c>
      <c r="D14" s="47">
        <v>1212.9000000000001</v>
      </c>
      <c r="E14" s="47">
        <v>1133.33</v>
      </c>
      <c r="F14" s="47">
        <v>1122.58</v>
      </c>
      <c r="G14" s="47">
        <v>464.52</v>
      </c>
      <c r="H14" s="47">
        <v>400</v>
      </c>
      <c r="I14" s="47">
        <v>619.35</v>
      </c>
      <c r="J14" s="47">
        <v>200</v>
      </c>
      <c r="K14" s="47">
        <v>670.97</v>
      </c>
      <c r="L14" s="47">
        <v>516.13</v>
      </c>
      <c r="M14" s="47">
        <v>557.14</v>
      </c>
      <c r="N14" s="47">
        <v>982.26</v>
      </c>
      <c r="O14" s="47">
        <v>736.66</v>
      </c>
      <c r="P14" s="48">
        <f t="shared" si="0"/>
        <v>8615.840000000002</v>
      </c>
    </row>
    <row r="15" spans="1:16" x14ac:dyDescent="0.3">
      <c r="A15" s="45" t="s">
        <v>119</v>
      </c>
      <c r="B15" s="46" t="str">
        <f>IFERROR(VLOOKUP($A15,Codes!$A:$B,2,FALSE()),"")</f>
        <v>Other Income</v>
      </c>
      <c r="C15" s="5" t="s">
        <v>120</v>
      </c>
      <c r="D15" s="47">
        <v>1450</v>
      </c>
      <c r="E15" s="47">
        <v>1497.12</v>
      </c>
      <c r="F15" s="47">
        <v>1462.09</v>
      </c>
      <c r="G15" s="47">
        <v>1450.81</v>
      </c>
      <c r="H15" s="47">
        <v>1410</v>
      </c>
      <c r="I15" s="47">
        <v>1345.19</v>
      </c>
      <c r="J15" s="47">
        <v>1266.9000000000001</v>
      </c>
      <c r="K15" s="47">
        <v>1261.29</v>
      </c>
      <c r="L15" s="47">
        <v>1241.1300000000001</v>
      </c>
      <c r="M15" s="47">
        <v>1380.45</v>
      </c>
      <c r="N15" s="47">
        <v>1275</v>
      </c>
      <c r="O15" s="47">
        <v>1417.36</v>
      </c>
      <c r="P15" s="48">
        <f t="shared" si="0"/>
        <v>16457.340000000004</v>
      </c>
    </row>
    <row r="16" spans="1:16" x14ac:dyDescent="0.3">
      <c r="A16" s="45" t="s">
        <v>119</v>
      </c>
      <c r="B16" s="46" t="str">
        <f>IFERROR(VLOOKUP($A16,Codes!$A:$B,2,FALSE()),"")</f>
        <v>Other Income</v>
      </c>
      <c r="C16" s="5" t="s">
        <v>121</v>
      </c>
      <c r="D16" s="47">
        <v>1024</v>
      </c>
      <c r="E16" s="47">
        <v>1425</v>
      </c>
      <c r="F16" s="47">
        <v>900</v>
      </c>
      <c r="G16" s="47">
        <v>675</v>
      </c>
      <c r="H16" s="47">
        <v>622</v>
      </c>
      <c r="I16" s="47">
        <v>1419</v>
      </c>
      <c r="J16" s="47">
        <v>1114</v>
      </c>
      <c r="K16" s="47">
        <v>539</v>
      </c>
      <c r="L16" s="47">
        <v>1872</v>
      </c>
      <c r="M16" s="47">
        <v>1708</v>
      </c>
      <c r="N16" s="47">
        <v>1200</v>
      </c>
      <c r="O16" s="47">
        <v>1875</v>
      </c>
      <c r="P16" s="48">
        <f t="shared" si="0"/>
        <v>14373</v>
      </c>
    </row>
    <row r="17" spans="1:16" x14ac:dyDescent="0.3">
      <c r="A17" s="45" t="s">
        <v>119</v>
      </c>
      <c r="B17" s="46" t="str">
        <f>IFERROR(VLOOKUP($A17,Codes!$A:$B,2,FALSE()),"")</f>
        <v>Other Income</v>
      </c>
      <c r="C17" s="5" t="s">
        <v>122</v>
      </c>
      <c r="D17" s="47">
        <v>300</v>
      </c>
      <c r="E17" s="47">
        <v>0.72</v>
      </c>
      <c r="F17" s="47">
        <v>100</v>
      </c>
      <c r="G17" s="47">
        <v>100</v>
      </c>
      <c r="H17" s="47">
        <v>-100</v>
      </c>
      <c r="I17" s="47">
        <v>0</v>
      </c>
      <c r="J17" s="47">
        <v>200</v>
      </c>
      <c r="K17" s="47">
        <v>300</v>
      </c>
      <c r="L17" s="47">
        <v>300</v>
      </c>
      <c r="M17" s="47">
        <v>0</v>
      </c>
      <c r="N17" s="47">
        <v>200</v>
      </c>
      <c r="O17" s="47">
        <v>200</v>
      </c>
      <c r="P17" s="48">
        <f t="shared" si="0"/>
        <v>1600.72</v>
      </c>
    </row>
    <row r="18" spans="1:16" x14ac:dyDescent="0.3">
      <c r="A18" s="45" t="s">
        <v>119</v>
      </c>
      <c r="B18" s="46" t="str">
        <f>IFERROR(VLOOKUP($A18,Codes!$A:$B,2,FALSE()),"")</f>
        <v>Other Income</v>
      </c>
      <c r="C18" s="5" t="s">
        <v>123</v>
      </c>
      <c r="D18" s="47">
        <v>1217.6300000000001</v>
      </c>
      <c r="E18" s="47">
        <v>1329</v>
      </c>
      <c r="F18" s="47">
        <v>720.71</v>
      </c>
      <c r="G18" s="47">
        <v>2340.19</v>
      </c>
      <c r="H18" s="47">
        <v>1907</v>
      </c>
      <c r="I18" s="47">
        <v>1766.76</v>
      </c>
      <c r="J18" s="47">
        <v>1446.3</v>
      </c>
      <c r="K18" s="47">
        <v>443.4</v>
      </c>
      <c r="L18" s="47">
        <v>1370.11</v>
      </c>
      <c r="M18" s="47">
        <v>2.2999999999999998</v>
      </c>
      <c r="N18" s="47">
        <v>1881.12</v>
      </c>
      <c r="O18" s="47">
        <v>2706.7</v>
      </c>
      <c r="P18" s="48">
        <f t="shared" si="0"/>
        <v>17131.22</v>
      </c>
    </row>
    <row r="19" spans="1:16" x14ac:dyDescent="0.3">
      <c r="A19" s="45" t="s">
        <v>119</v>
      </c>
      <c r="B19" s="46" t="str">
        <f>IFERROR(VLOOKUP($A19,Codes!$A:$B,2,FALSE()),"")</f>
        <v>Other Income</v>
      </c>
      <c r="C19" s="5" t="s">
        <v>124</v>
      </c>
      <c r="D19" s="47">
        <v>350</v>
      </c>
      <c r="E19" s="47">
        <v>1050</v>
      </c>
      <c r="F19" s="47">
        <v>0</v>
      </c>
      <c r="G19" s="47">
        <v>350</v>
      </c>
      <c r="H19" s="47">
        <v>0</v>
      </c>
      <c r="I19" s="47">
        <v>700</v>
      </c>
      <c r="J19" s="47">
        <v>1075</v>
      </c>
      <c r="K19" s="47">
        <v>725</v>
      </c>
      <c r="L19" s="47">
        <v>1057.26</v>
      </c>
      <c r="M19" s="47">
        <v>1925</v>
      </c>
      <c r="N19" s="47">
        <v>175</v>
      </c>
      <c r="O19" s="47">
        <v>2800</v>
      </c>
      <c r="P19" s="48">
        <f t="shared" si="0"/>
        <v>10207.26</v>
      </c>
    </row>
    <row r="20" spans="1:16" x14ac:dyDescent="0.3">
      <c r="A20" s="45" t="s">
        <v>119</v>
      </c>
      <c r="B20" s="46" t="str">
        <f>IFERROR(VLOOKUP($A20,Codes!$A:$B,2,FALSE()),"")</f>
        <v>Other Income</v>
      </c>
      <c r="C20" s="5" t="s">
        <v>125</v>
      </c>
      <c r="D20" s="47">
        <v>288</v>
      </c>
      <c r="E20" s="47">
        <v>1557</v>
      </c>
      <c r="F20" s="47">
        <v>-324</v>
      </c>
      <c r="G20" s="47">
        <v>-90</v>
      </c>
      <c r="H20" s="47">
        <v>162</v>
      </c>
      <c r="I20" s="47">
        <v>990</v>
      </c>
      <c r="J20" s="47">
        <v>330</v>
      </c>
      <c r="K20" s="47">
        <v>-165</v>
      </c>
      <c r="L20" s="47">
        <v>993</v>
      </c>
      <c r="M20" s="47">
        <v>2619</v>
      </c>
      <c r="N20" s="47">
        <v>873</v>
      </c>
      <c r="O20" s="47">
        <v>2805</v>
      </c>
      <c r="P20" s="48">
        <f t="shared" si="0"/>
        <v>10038</v>
      </c>
    </row>
    <row r="21" spans="1:16" x14ac:dyDescent="0.3">
      <c r="A21" s="45" t="s">
        <v>119</v>
      </c>
      <c r="B21" s="46" t="str">
        <f>IFERROR(VLOOKUP($A21,Codes!$A:$B,2,FALSE()),"")</f>
        <v>Other Income</v>
      </c>
      <c r="C21" s="5" t="s">
        <v>126</v>
      </c>
      <c r="D21" s="47">
        <v>0</v>
      </c>
      <c r="E21" s="47">
        <v>0</v>
      </c>
      <c r="F21" s="47">
        <v>0</v>
      </c>
      <c r="G21" s="47">
        <v>0</v>
      </c>
      <c r="H21" s="47">
        <v>1500</v>
      </c>
      <c r="I21" s="47">
        <v>0</v>
      </c>
      <c r="J21" s="47">
        <v>0</v>
      </c>
      <c r="K21" s="47">
        <v>0</v>
      </c>
      <c r="L21" s="47">
        <v>0</v>
      </c>
      <c r="M21" s="47">
        <v>250</v>
      </c>
      <c r="N21" s="47">
        <v>0</v>
      </c>
      <c r="O21" s="47">
        <v>0</v>
      </c>
      <c r="P21" s="48">
        <f t="shared" si="0"/>
        <v>1750</v>
      </c>
    </row>
    <row r="22" spans="1:16" x14ac:dyDescent="0.3">
      <c r="A22" s="45" t="s">
        <v>119</v>
      </c>
      <c r="B22" s="46" t="str">
        <f>IFERROR(VLOOKUP($A22,Codes!$A:$B,2,FALSE()),"")</f>
        <v>Other Income</v>
      </c>
      <c r="C22" s="5" t="s">
        <v>127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75</v>
      </c>
      <c r="P22" s="48">
        <f t="shared" si="0"/>
        <v>75</v>
      </c>
    </row>
    <row r="23" spans="1:16" x14ac:dyDescent="0.3">
      <c r="A23" s="45" t="s">
        <v>119</v>
      </c>
      <c r="B23" s="46" t="str">
        <f>IFERROR(VLOOKUP($A23,Codes!$A:$B,2,FALSE()),"")</f>
        <v>Other Income</v>
      </c>
      <c r="C23" s="5" t="s">
        <v>128</v>
      </c>
      <c r="D23" s="47">
        <v>0</v>
      </c>
      <c r="E23" s="47">
        <v>3844.1</v>
      </c>
      <c r="F23" s="47">
        <v>-3220</v>
      </c>
      <c r="G23" s="47">
        <v>0</v>
      </c>
      <c r="H23" s="47">
        <v>7862</v>
      </c>
      <c r="I23" s="47">
        <v>6517.47</v>
      </c>
      <c r="J23" s="47">
        <v>13185.16</v>
      </c>
      <c r="K23" s="47">
        <v>0</v>
      </c>
      <c r="L23" s="47">
        <v>1078.57</v>
      </c>
      <c r="M23" s="47">
        <v>0</v>
      </c>
      <c r="N23" s="47">
        <v>9030.68</v>
      </c>
      <c r="O23" s="47">
        <v>8881.51</v>
      </c>
      <c r="P23" s="48">
        <f t="shared" si="0"/>
        <v>47179.49</v>
      </c>
    </row>
    <row r="24" spans="1:16" x14ac:dyDescent="0.3">
      <c r="A24" s="45" t="s">
        <v>119</v>
      </c>
      <c r="B24" s="46" t="str">
        <f>IFERROR(VLOOKUP($A24,Codes!$A:$B,2,FALSE()),"")</f>
        <v>Other Income</v>
      </c>
      <c r="C24" s="5" t="s">
        <v>129</v>
      </c>
      <c r="D24" s="47">
        <v>465</v>
      </c>
      <c r="E24" s="47">
        <v>80</v>
      </c>
      <c r="F24" s="47">
        <v>-80</v>
      </c>
      <c r="G24" s="47">
        <v>75</v>
      </c>
      <c r="H24" s="47">
        <v>0</v>
      </c>
      <c r="I24" s="47">
        <v>0</v>
      </c>
      <c r="J24" s="47">
        <v>-70</v>
      </c>
      <c r="K24" s="47">
        <v>442.69</v>
      </c>
      <c r="L24" s="47">
        <v>1376.7</v>
      </c>
      <c r="M24" s="47">
        <v>0</v>
      </c>
      <c r="N24" s="47">
        <v>0</v>
      </c>
      <c r="O24" s="47">
        <v>195</v>
      </c>
      <c r="P24" s="48">
        <f t="shared" si="0"/>
        <v>2484.3900000000003</v>
      </c>
    </row>
    <row r="25" spans="1:16" x14ac:dyDescent="0.3">
      <c r="A25" s="45" t="s">
        <v>119</v>
      </c>
      <c r="B25" s="46" t="str">
        <f>IFERROR(VLOOKUP($A25,Codes!$A:$B,2,FALSE()),"")</f>
        <v>Other Income</v>
      </c>
      <c r="C25" s="5" t="s">
        <v>130</v>
      </c>
      <c r="D25" s="47">
        <v>-75</v>
      </c>
      <c r="E25" s="47">
        <v>0.21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8">
        <f t="shared" si="0"/>
        <v>-74.790000000000006</v>
      </c>
    </row>
    <row r="26" spans="1:16" x14ac:dyDescent="0.3">
      <c r="A26" s="45" t="s">
        <v>119</v>
      </c>
      <c r="B26" s="46" t="str">
        <f>IFERROR(VLOOKUP($A26,Codes!$A:$B,2,FALSE()),"")</f>
        <v>Other Income</v>
      </c>
      <c r="C26" s="5" t="s">
        <v>131</v>
      </c>
      <c r="D26" s="47">
        <v>200</v>
      </c>
      <c r="E26" s="47">
        <v>-100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100</v>
      </c>
      <c r="L26" s="47">
        <v>0</v>
      </c>
      <c r="M26" s="47">
        <v>0</v>
      </c>
      <c r="N26" s="47">
        <v>0</v>
      </c>
      <c r="O26" s="47">
        <v>0</v>
      </c>
      <c r="P26" s="48">
        <f t="shared" si="0"/>
        <v>200</v>
      </c>
    </row>
    <row r="27" spans="1:16" x14ac:dyDescent="0.3">
      <c r="A27" s="45" t="s">
        <v>119</v>
      </c>
      <c r="B27" s="46" t="str">
        <f>IFERROR(VLOOKUP($A27,Codes!$A:$B,2,FALSE()),"")</f>
        <v>Other Income</v>
      </c>
      <c r="C27" s="5" t="s">
        <v>132</v>
      </c>
      <c r="D27" s="47">
        <v>2724.26</v>
      </c>
      <c r="E27" s="47">
        <v>2680.82</v>
      </c>
      <c r="F27" s="47">
        <v>2723.1</v>
      </c>
      <c r="G27" s="47">
        <v>2784.52</v>
      </c>
      <c r="H27" s="47">
        <v>2756.51</v>
      </c>
      <c r="I27" s="47">
        <v>2806.67</v>
      </c>
      <c r="J27" s="47">
        <v>2809.22</v>
      </c>
      <c r="K27" s="47">
        <v>2704.14</v>
      </c>
      <c r="L27" s="47">
        <v>2628.74</v>
      </c>
      <c r="M27" s="47">
        <v>2731.58</v>
      </c>
      <c r="N27" s="47">
        <v>2793.46</v>
      </c>
      <c r="O27" s="47">
        <v>2725.93</v>
      </c>
      <c r="P27" s="48">
        <f t="shared" si="0"/>
        <v>32868.950000000004</v>
      </c>
    </row>
    <row r="28" spans="1:16" x14ac:dyDescent="0.3">
      <c r="A28" s="45" t="s">
        <v>119</v>
      </c>
      <c r="B28" s="46" t="str">
        <f>IFERROR(VLOOKUP($A28,Codes!$A:$B,2,FALSE()),"")</f>
        <v>Other Income</v>
      </c>
      <c r="C28" s="5" t="s">
        <v>133</v>
      </c>
      <c r="D28" s="47">
        <v>145.16</v>
      </c>
      <c r="E28" s="47">
        <v>180</v>
      </c>
      <c r="F28" s="47">
        <v>20</v>
      </c>
      <c r="G28" s="47">
        <v>75</v>
      </c>
      <c r="H28" s="47">
        <v>75</v>
      </c>
      <c r="I28" s="47">
        <v>50</v>
      </c>
      <c r="J28" s="47">
        <v>0</v>
      </c>
      <c r="K28" s="47">
        <v>150</v>
      </c>
      <c r="L28" s="47">
        <v>0</v>
      </c>
      <c r="M28" s="47">
        <v>75</v>
      </c>
      <c r="N28" s="47">
        <v>0</v>
      </c>
      <c r="O28" s="47">
        <v>0</v>
      </c>
      <c r="P28" s="48">
        <f t="shared" si="0"/>
        <v>770.16</v>
      </c>
    </row>
    <row r="29" spans="1:16" x14ac:dyDescent="0.3">
      <c r="A29" s="45" t="s">
        <v>134</v>
      </c>
      <c r="B29" s="46" t="str">
        <f>IFERROR(VLOOKUP($A29,Codes!$A:$B,2,FALSE()),"")</f>
        <v>Rubs Fees</v>
      </c>
      <c r="C29" s="5" t="s">
        <v>135</v>
      </c>
      <c r="D29" s="47">
        <v>246.08</v>
      </c>
      <c r="E29" s="47">
        <v>242.02</v>
      </c>
      <c r="F29" s="47">
        <v>131.24</v>
      </c>
      <c r="G29" s="47">
        <v>186.66</v>
      </c>
      <c r="H29" s="47">
        <v>8.1199999999999992</v>
      </c>
      <c r="I29" s="47">
        <v>94.88</v>
      </c>
      <c r="J29" s="47">
        <v>120.51</v>
      </c>
      <c r="K29" s="47">
        <v>405.13</v>
      </c>
      <c r="L29" s="47">
        <v>80.23</v>
      </c>
      <c r="M29" s="47">
        <v>21.32</v>
      </c>
      <c r="N29" s="47">
        <v>95.58</v>
      </c>
      <c r="O29" s="47">
        <v>150.94999999999999</v>
      </c>
      <c r="P29" s="48">
        <f t="shared" si="0"/>
        <v>1782.7199999999998</v>
      </c>
    </row>
    <row r="30" spans="1:16" x14ac:dyDescent="0.3">
      <c r="A30" s="45" t="s">
        <v>136</v>
      </c>
      <c r="B30" s="46" t="str">
        <f>IFERROR(VLOOKUP($A30,Codes!$A:$B,2,FALSE()),"")</f>
        <v>Rubs Water / Sewage</v>
      </c>
      <c r="C30" s="5" t="s">
        <v>137</v>
      </c>
      <c r="D30" s="47">
        <v>6959.11</v>
      </c>
      <c r="E30" s="47">
        <v>7143.5</v>
      </c>
      <c r="F30" s="47">
        <v>7380.64</v>
      </c>
      <c r="G30" s="47">
        <v>7337.77</v>
      </c>
      <c r="H30" s="47">
        <v>7228.83</v>
      </c>
      <c r="I30" s="47">
        <v>7292.49</v>
      </c>
      <c r="J30" s="47">
        <v>6808.47</v>
      </c>
      <c r="K30" s="47">
        <v>6969.01</v>
      </c>
      <c r="L30" s="47">
        <v>6428.92</v>
      </c>
      <c r="M30" s="47">
        <v>6438.11</v>
      </c>
      <c r="N30" s="47">
        <v>6786.85</v>
      </c>
      <c r="O30" s="47">
        <v>6531.75</v>
      </c>
      <c r="P30" s="48">
        <f t="shared" si="0"/>
        <v>83305.45</v>
      </c>
    </row>
    <row r="31" spans="1:16" x14ac:dyDescent="0.3">
      <c r="A31" s="45" t="s">
        <v>138</v>
      </c>
      <c r="B31" s="46" t="str">
        <f>IFERROR(VLOOKUP($A31,Codes!$A:$B,2,FALSE()),"")</f>
        <v>Rubs Trash</v>
      </c>
      <c r="C31" s="5" t="s">
        <v>139</v>
      </c>
      <c r="D31" s="47">
        <v>7588.49</v>
      </c>
      <c r="E31" s="47">
        <v>7495.05</v>
      </c>
      <c r="F31" s="47">
        <v>7663.84</v>
      </c>
      <c r="G31" s="47">
        <v>7618.37</v>
      </c>
      <c r="H31" s="47">
        <v>7467.65</v>
      </c>
      <c r="I31" s="47">
        <v>7585.84</v>
      </c>
      <c r="J31" s="47">
        <v>7579.56</v>
      </c>
      <c r="K31" s="47">
        <v>6915.2</v>
      </c>
      <c r="L31" s="47">
        <v>7073.64</v>
      </c>
      <c r="M31" s="47">
        <v>6874.17</v>
      </c>
      <c r="N31" s="47">
        <v>7143.6</v>
      </c>
      <c r="O31" s="47">
        <v>7132.04</v>
      </c>
      <c r="P31" s="48">
        <f t="shared" si="0"/>
        <v>88137.45</v>
      </c>
    </row>
    <row r="32" spans="1:16" x14ac:dyDescent="0.3">
      <c r="A32" s="45" t="s">
        <v>304</v>
      </c>
      <c r="B32" s="46" t="str">
        <f>IFERROR(VLOOKUP($A32,Codes!$A:$B,2,FALSE()),"")</f>
        <v>Utilities Fees</v>
      </c>
      <c r="C32" s="5" t="s">
        <v>140</v>
      </c>
      <c r="D32" s="47">
        <v>-1530.53</v>
      </c>
      <c r="E32" s="47">
        <v>-1372.37</v>
      </c>
      <c r="F32" s="47">
        <v>-1368.51</v>
      </c>
      <c r="G32" s="47">
        <v>-1349.54</v>
      </c>
      <c r="H32" s="47">
        <v>-1354.55</v>
      </c>
      <c r="I32" s="47">
        <v>-1354.53</v>
      </c>
      <c r="J32" s="47">
        <v>-1327.34</v>
      </c>
      <c r="K32" s="47">
        <v>-3275.18</v>
      </c>
      <c r="L32" s="47">
        <v>-345.11</v>
      </c>
      <c r="M32" s="47">
        <v>-1345.56</v>
      </c>
      <c r="N32" s="47">
        <v>-1594.56</v>
      </c>
      <c r="O32" s="47">
        <v>-1502.76</v>
      </c>
      <c r="P32" s="48">
        <f t="shared" si="0"/>
        <v>-17720.54</v>
      </c>
    </row>
    <row r="33" spans="1:16" x14ac:dyDescent="0.3">
      <c r="A33" s="45" t="s">
        <v>134</v>
      </c>
      <c r="B33" s="46" t="str">
        <f>IFERROR(VLOOKUP($A33,Codes!$A:$B,2,FALSE()),"")</f>
        <v>Rubs Fees</v>
      </c>
      <c r="C33" s="5" t="s">
        <v>141</v>
      </c>
      <c r="D33" s="47">
        <v>1291.5899999999999</v>
      </c>
      <c r="E33" s="47">
        <v>1301.26</v>
      </c>
      <c r="F33" s="47">
        <v>1340.74</v>
      </c>
      <c r="G33" s="47">
        <v>1341.46</v>
      </c>
      <c r="H33" s="47">
        <v>1310.48</v>
      </c>
      <c r="I33" s="47">
        <v>1317.11</v>
      </c>
      <c r="J33" s="47">
        <v>1313.62</v>
      </c>
      <c r="K33" s="47">
        <v>1331.48</v>
      </c>
      <c r="L33" s="47">
        <v>1302.9100000000001</v>
      </c>
      <c r="M33" s="47">
        <v>1236.96</v>
      </c>
      <c r="N33" s="47">
        <v>1214.7</v>
      </c>
      <c r="O33" s="47">
        <v>1329.41</v>
      </c>
      <c r="P33" s="48">
        <f t="shared" si="0"/>
        <v>15631.720000000001</v>
      </c>
    </row>
    <row r="34" spans="1:16" x14ac:dyDescent="0.3">
      <c r="A34" s="43"/>
      <c r="B34" s="43"/>
      <c r="C34" s="44" t="s">
        <v>142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16" x14ac:dyDescent="0.3">
      <c r="A35" s="45" t="s">
        <v>143</v>
      </c>
      <c r="B35" s="46" t="str">
        <f>IFERROR(VLOOKUP($A35,Codes!$A:$B,2,FALSE()),"")</f>
        <v>Payroll</v>
      </c>
      <c r="C35" s="5" t="s">
        <v>144</v>
      </c>
      <c r="D35" s="47">
        <v>11183.45</v>
      </c>
      <c r="E35" s="47">
        <v>6763.32</v>
      </c>
      <c r="F35" s="47">
        <v>6417.17</v>
      </c>
      <c r="G35" s="47">
        <v>7455.63</v>
      </c>
      <c r="H35" s="47">
        <v>7109.48</v>
      </c>
      <c r="I35" s="47">
        <v>10144.98</v>
      </c>
      <c r="J35" s="47">
        <v>6763.33</v>
      </c>
      <c r="K35" s="47">
        <v>7455.62</v>
      </c>
      <c r="L35" s="47">
        <v>6417.17</v>
      </c>
      <c r="M35" s="47">
        <v>7455.63</v>
      </c>
      <c r="N35" s="47">
        <v>7548.71</v>
      </c>
      <c r="O35" s="47">
        <v>11183.46</v>
      </c>
      <c r="P35" s="48">
        <f t="shared" ref="P35:P66" si="1">SUM(D35:O35)</f>
        <v>95897.950000000012</v>
      </c>
    </row>
    <row r="36" spans="1:16" x14ac:dyDescent="0.3">
      <c r="A36" s="45" t="s">
        <v>143</v>
      </c>
      <c r="B36" s="46" t="str">
        <f>IFERROR(VLOOKUP($A36,Codes!$A:$B,2,FALSE()),"")</f>
        <v>Payroll</v>
      </c>
      <c r="C36" s="5" t="s">
        <v>145</v>
      </c>
      <c r="D36" s="47">
        <v>4985.05</v>
      </c>
      <c r="E36" s="47">
        <v>3181.73</v>
      </c>
      <c r="F36" s="47">
        <v>3484.61</v>
      </c>
      <c r="G36" s="47">
        <v>3459.09</v>
      </c>
      <c r="H36" s="47">
        <v>3496.35</v>
      </c>
      <c r="I36" s="47">
        <v>1821.58</v>
      </c>
      <c r="J36" s="47">
        <v>2674.18</v>
      </c>
      <c r="K36" s="47">
        <v>3445.1</v>
      </c>
      <c r="L36" s="47">
        <v>3233.37</v>
      </c>
      <c r="M36" s="47">
        <v>3364.43</v>
      </c>
      <c r="N36" s="47">
        <v>3195.15</v>
      </c>
      <c r="O36" s="47">
        <v>20.29</v>
      </c>
      <c r="P36" s="48">
        <f t="shared" si="1"/>
        <v>36360.93</v>
      </c>
    </row>
    <row r="37" spans="1:16" x14ac:dyDescent="0.3">
      <c r="A37" s="45" t="s">
        <v>143</v>
      </c>
      <c r="B37" s="46" t="str">
        <f>IFERROR(VLOOKUP($A37,Codes!$A:$B,2,FALSE()),"")</f>
        <v>Payroll</v>
      </c>
      <c r="C37" s="5" t="s">
        <v>146</v>
      </c>
      <c r="D37" s="47">
        <v>4815.47</v>
      </c>
      <c r="E37" s="47">
        <v>3201.04</v>
      </c>
      <c r="F37" s="47">
        <v>2469.79</v>
      </c>
      <c r="G37" s="47">
        <v>2622.8</v>
      </c>
      <c r="H37" s="47">
        <v>3183.66</v>
      </c>
      <c r="I37" s="47">
        <v>4160.93</v>
      </c>
      <c r="J37" s="47">
        <v>3024.4</v>
      </c>
      <c r="K37" s="47">
        <v>2801.38</v>
      </c>
      <c r="L37" s="47">
        <v>3131.45</v>
      </c>
      <c r="M37" s="47">
        <v>3080.91</v>
      </c>
      <c r="N37" s="47">
        <v>3225.07</v>
      </c>
      <c r="O37" s="47">
        <v>2285.5500000000002</v>
      </c>
      <c r="P37" s="48">
        <f t="shared" si="1"/>
        <v>38002.450000000004</v>
      </c>
    </row>
    <row r="38" spans="1:16" x14ac:dyDescent="0.3">
      <c r="A38" s="45" t="s">
        <v>143</v>
      </c>
      <c r="B38" s="46" t="str">
        <f>IFERROR(VLOOKUP($A38,Codes!$A:$B,2,FALSE()),"")</f>
        <v>Payroll</v>
      </c>
      <c r="C38" s="5" t="s">
        <v>147</v>
      </c>
      <c r="D38" s="47">
        <v>0</v>
      </c>
      <c r="E38" s="47">
        <v>0</v>
      </c>
      <c r="F38" s="47">
        <v>0</v>
      </c>
      <c r="G38" s="47">
        <v>249.68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8">
        <f t="shared" si="1"/>
        <v>249.68</v>
      </c>
    </row>
    <row r="39" spans="1:16" x14ac:dyDescent="0.3">
      <c r="A39" s="45" t="s">
        <v>143</v>
      </c>
      <c r="B39" s="46" t="str">
        <f>IFERROR(VLOOKUP($A39,Codes!$A:$B,2,FALSE()),"")</f>
        <v>Payroll</v>
      </c>
      <c r="C39" s="5" t="s">
        <v>148</v>
      </c>
      <c r="D39" s="47">
        <v>8573.27</v>
      </c>
      <c r="E39" s="47">
        <v>5709.81</v>
      </c>
      <c r="F39" s="47">
        <v>5306.73</v>
      </c>
      <c r="G39" s="47">
        <v>9256.24</v>
      </c>
      <c r="H39" s="47">
        <v>5620.23</v>
      </c>
      <c r="I39" s="47">
        <v>8255.0499999999993</v>
      </c>
      <c r="J39" s="47">
        <v>5721.34</v>
      </c>
      <c r="K39" s="47">
        <v>5443.68</v>
      </c>
      <c r="L39" s="47">
        <v>5105.9399999999996</v>
      </c>
      <c r="M39" s="47">
        <v>5492.05</v>
      </c>
      <c r="N39" s="47">
        <v>5945.75</v>
      </c>
      <c r="O39" s="47">
        <v>8045.39</v>
      </c>
      <c r="P39" s="48">
        <f t="shared" si="1"/>
        <v>78475.48</v>
      </c>
    </row>
    <row r="40" spans="1:16" x14ac:dyDescent="0.3">
      <c r="A40" s="45" t="s">
        <v>143</v>
      </c>
      <c r="B40" s="46" t="str">
        <f>IFERROR(VLOOKUP($A40,Codes!$A:$B,2,FALSE()),"")</f>
        <v>Payroll</v>
      </c>
      <c r="C40" s="5" t="s">
        <v>149</v>
      </c>
      <c r="D40" s="47">
        <v>424.39</v>
      </c>
      <c r="E40" s="47">
        <v>0</v>
      </c>
      <c r="F40" s="47">
        <v>264.7</v>
      </c>
      <c r="G40" s="47">
        <v>713.81</v>
      </c>
      <c r="H40" s="47">
        <v>1.35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8">
        <f t="shared" si="1"/>
        <v>1404.2499999999998</v>
      </c>
    </row>
    <row r="41" spans="1:16" x14ac:dyDescent="0.3">
      <c r="A41" s="45" t="s">
        <v>143</v>
      </c>
      <c r="B41" s="46" t="str">
        <f>IFERROR(VLOOKUP($A41,Codes!$A:$B,2,FALSE()),"")</f>
        <v>Payroll</v>
      </c>
      <c r="C41" s="5" t="s">
        <v>150</v>
      </c>
      <c r="D41" s="47">
        <v>7238.87</v>
      </c>
      <c r="E41" s="47">
        <v>4407.6499999999996</v>
      </c>
      <c r="F41" s="47">
        <v>3360.95</v>
      </c>
      <c r="G41" s="47">
        <v>0</v>
      </c>
      <c r="H41" s="47">
        <v>2692.2</v>
      </c>
      <c r="I41" s="47">
        <v>6805.36</v>
      </c>
      <c r="J41" s="47">
        <v>4405.8999999999996</v>
      </c>
      <c r="K41" s="47">
        <v>4379.4799999999996</v>
      </c>
      <c r="L41" s="47">
        <v>4196.6000000000004</v>
      </c>
      <c r="M41" s="47">
        <v>4537.2</v>
      </c>
      <c r="N41" s="47">
        <v>4324</v>
      </c>
      <c r="O41" s="47">
        <v>6688.79</v>
      </c>
      <c r="P41" s="48">
        <f t="shared" si="1"/>
        <v>53037</v>
      </c>
    </row>
    <row r="42" spans="1:16" x14ac:dyDescent="0.3">
      <c r="A42" s="45" t="s">
        <v>143</v>
      </c>
      <c r="B42" s="46" t="str">
        <f>IFERROR(VLOOKUP($A42,Codes!$A:$B,2,FALSE()),"")</f>
        <v>Payroll</v>
      </c>
      <c r="C42" s="5" t="s">
        <v>151</v>
      </c>
      <c r="D42" s="47">
        <v>4058.81</v>
      </c>
      <c r="E42" s="47">
        <v>2560.33</v>
      </c>
      <c r="F42" s="47">
        <v>2541.8200000000002</v>
      </c>
      <c r="G42" s="47">
        <v>1573.42</v>
      </c>
      <c r="H42" s="47">
        <v>2356.5</v>
      </c>
      <c r="I42" s="47">
        <v>1740.96</v>
      </c>
      <c r="J42" s="47">
        <v>3101.56</v>
      </c>
      <c r="K42" s="47">
        <v>3122.56</v>
      </c>
      <c r="L42" s="47">
        <v>3108.76</v>
      </c>
      <c r="M42" s="47">
        <v>3017.86</v>
      </c>
      <c r="N42" s="47">
        <v>2971.06</v>
      </c>
      <c r="O42" s="47">
        <v>4372.4399999999996</v>
      </c>
      <c r="P42" s="48">
        <f t="shared" si="1"/>
        <v>34526.080000000002</v>
      </c>
    </row>
    <row r="43" spans="1:16" x14ac:dyDescent="0.3">
      <c r="A43" s="45" t="s">
        <v>143</v>
      </c>
      <c r="B43" s="46" t="str">
        <f>IFERROR(VLOOKUP($A43,Codes!$A:$B,2,FALSE()),"")</f>
        <v>Payroll</v>
      </c>
      <c r="C43" s="5" t="s">
        <v>152</v>
      </c>
      <c r="D43" s="47">
        <v>4448.6899999999996</v>
      </c>
      <c r="E43" s="47">
        <v>2567.02</v>
      </c>
      <c r="F43" s="47">
        <v>2456.4299999999998</v>
      </c>
      <c r="G43" s="47">
        <v>2764.12</v>
      </c>
      <c r="H43" s="47">
        <v>1488.14</v>
      </c>
      <c r="I43" s="47">
        <v>4444.05</v>
      </c>
      <c r="J43" s="47">
        <v>2180.9299999999998</v>
      </c>
      <c r="K43" s="47">
        <v>2847.61</v>
      </c>
      <c r="L43" s="47">
        <v>2373.0700000000002</v>
      </c>
      <c r="M43" s="47">
        <v>2949.66</v>
      </c>
      <c r="N43" s="47">
        <v>2963.83</v>
      </c>
      <c r="O43" s="47">
        <v>4169.1899999999996</v>
      </c>
      <c r="P43" s="48">
        <f t="shared" si="1"/>
        <v>35652.74</v>
      </c>
    </row>
    <row r="44" spans="1:16" x14ac:dyDescent="0.3">
      <c r="A44" s="45" t="s">
        <v>153</v>
      </c>
      <c r="B44" s="46" t="str">
        <f>IFERROR(VLOOKUP($A44,Codes!$A:$B,2,FALSE()),"")</f>
        <v>Payroll Bonuses</v>
      </c>
      <c r="C44" s="5" t="s">
        <v>154</v>
      </c>
      <c r="D44" s="47">
        <v>5804.95</v>
      </c>
      <c r="E44" s="47">
        <v>2953.87</v>
      </c>
      <c r="F44" s="47">
        <v>2444.96</v>
      </c>
      <c r="G44" s="47">
        <v>4250.4399999999996</v>
      </c>
      <c r="H44" s="47">
        <v>7587</v>
      </c>
      <c r="I44" s="47">
        <v>3435.35</v>
      </c>
      <c r="J44" s="47">
        <v>1055.26</v>
      </c>
      <c r="K44" s="47">
        <v>4772.8</v>
      </c>
      <c r="L44" s="47">
        <v>7182.49</v>
      </c>
      <c r="M44" s="47">
        <v>2932.09</v>
      </c>
      <c r="N44" s="47">
        <v>11664.54</v>
      </c>
      <c r="O44" s="47">
        <v>5933.22</v>
      </c>
      <c r="P44" s="48">
        <f t="shared" si="1"/>
        <v>60016.969999999994</v>
      </c>
    </row>
    <row r="45" spans="1:16" x14ac:dyDescent="0.3">
      <c r="A45" s="45" t="s">
        <v>155</v>
      </c>
      <c r="B45" s="46" t="str">
        <f>IFERROR(VLOOKUP($A45,Codes!$A:$B,2,FALSE()),"")</f>
        <v>Payroll Burden</v>
      </c>
      <c r="C45" s="5" t="s">
        <v>156</v>
      </c>
      <c r="D45" s="47">
        <v>1870.45</v>
      </c>
      <c r="E45" s="47">
        <v>1208.23</v>
      </c>
      <c r="F45" s="47">
        <v>1157.02</v>
      </c>
      <c r="G45" s="47">
        <v>1404.62</v>
      </c>
      <c r="H45" s="47">
        <v>1235.74</v>
      </c>
      <c r="I45" s="47">
        <v>1444.62</v>
      </c>
      <c r="J45" s="47">
        <v>1245.42</v>
      </c>
      <c r="K45" s="47">
        <v>1278.47</v>
      </c>
      <c r="L45" s="47">
        <v>1553.4</v>
      </c>
      <c r="M45" s="47">
        <v>1726.13</v>
      </c>
      <c r="N45" s="47">
        <v>1549.35</v>
      </c>
      <c r="O45" s="47">
        <v>1804.01</v>
      </c>
      <c r="P45" s="48">
        <f t="shared" si="1"/>
        <v>17477.46</v>
      </c>
    </row>
    <row r="46" spans="1:16" x14ac:dyDescent="0.3">
      <c r="A46" s="45" t="s">
        <v>155</v>
      </c>
      <c r="B46" s="46" t="str">
        <f>IFERROR(VLOOKUP($A46,Codes!$A:$B,2,FALSE()),"")</f>
        <v>Payroll Burden</v>
      </c>
      <c r="C46" s="5" t="s">
        <v>157</v>
      </c>
      <c r="D46" s="47">
        <v>1898.48</v>
      </c>
      <c r="E46" s="47">
        <v>1177.76</v>
      </c>
      <c r="F46" s="47">
        <v>1304.9100000000001</v>
      </c>
      <c r="G46" s="47">
        <v>1421.7</v>
      </c>
      <c r="H46" s="47">
        <v>1056.7</v>
      </c>
      <c r="I46" s="47">
        <v>1899.14</v>
      </c>
      <c r="J46" s="47">
        <v>1349.98</v>
      </c>
      <c r="K46" s="47">
        <v>1332.07</v>
      </c>
      <c r="L46" s="47">
        <v>1554.69</v>
      </c>
      <c r="M46" s="47">
        <v>1835.24</v>
      </c>
      <c r="N46" s="47">
        <v>1678.04</v>
      </c>
      <c r="O46" s="47">
        <v>2104.9299999999998</v>
      </c>
      <c r="P46" s="48">
        <f t="shared" si="1"/>
        <v>18613.64</v>
      </c>
    </row>
    <row r="47" spans="1:16" x14ac:dyDescent="0.3">
      <c r="A47" s="45" t="s">
        <v>158</v>
      </c>
      <c r="B47" s="46" t="str">
        <f>IFERROR(VLOOKUP($A47,Codes!$A:$B,2,FALSE()),"")</f>
        <v>Real Estate Taxes</v>
      </c>
      <c r="C47" s="5" t="s">
        <v>159</v>
      </c>
      <c r="D47" s="47">
        <v>2711.22</v>
      </c>
      <c r="E47" s="47">
        <v>1807.48</v>
      </c>
      <c r="F47" s="47">
        <v>1807.48</v>
      </c>
      <c r="G47" s="47">
        <v>1807.48</v>
      </c>
      <c r="H47" s="47">
        <v>1807.48</v>
      </c>
      <c r="I47" s="47">
        <v>2706.37</v>
      </c>
      <c r="J47" s="47">
        <v>1807.17</v>
      </c>
      <c r="K47" s="47">
        <v>1807.48</v>
      </c>
      <c r="L47" s="47">
        <v>1852.24</v>
      </c>
      <c r="M47" s="47">
        <v>1897</v>
      </c>
      <c r="N47" s="47">
        <v>2220.8200000000002</v>
      </c>
      <c r="O47" s="47">
        <v>1728.52</v>
      </c>
      <c r="P47" s="48">
        <f t="shared" si="1"/>
        <v>23960.739999999998</v>
      </c>
    </row>
    <row r="48" spans="1:16" x14ac:dyDescent="0.3">
      <c r="A48" s="45" t="s">
        <v>158</v>
      </c>
      <c r="B48" s="46" t="str">
        <f>IFERROR(VLOOKUP($A48,Codes!$A:$B,2,FALSE()),"")</f>
        <v>Real Estate Taxes</v>
      </c>
      <c r="C48" s="5" t="s">
        <v>160</v>
      </c>
      <c r="D48" s="47">
        <v>3657.82</v>
      </c>
      <c r="E48" s="47">
        <v>2353.62</v>
      </c>
      <c r="F48" s="47">
        <v>1988.1</v>
      </c>
      <c r="G48" s="47">
        <v>2242.04</v>
      </c>
      <c r="H48" s="47">
        <v>1566.66</v>
      </c>
      <c r="I48" s="47">
        <v>2473.92</v>
      </c>
      <c r="J48" s="47">
        <v>1630.16</v>
      </c>
      <c r="K48" s="47">
        <v>1630.16</v>
      </c>
      <c r="L48" s="47">
        <v>1705</v>
      </c>
      <c r="M48" s="47">
        <v>1784.69</v>
      </c>
      <c r="N48" s="47">
        <v>1779.84</v>
      </c>
      <c r="O48" s="47">
        <v>2669.76</v>
      </c>
      <c r="P48" s="48">
        <f t="shared" si="1"/>
        <v>25481.770000000004</v>
      </c>
    </row>
    <row r="49" spans="1:16" x14ac:dyDescent="0.3">
      <c r="A49" s="45" t="s">
        <v>155</v>
      </c>
      <c r="B49" s="46" t="str">
        <f>IFERROR(VLOOKUP($A49,Codes!$A:$B,2,FALSE()),"")</f>
        <v>Payroll Burden</v>
      </c>
      <c r="C49" s="5" t="s">
        <v>161</v>
      </c>
      <c r="D49" s="47">
        <v>749.74</v>
      </c>
      <c r="E49" s="47">
        <v>484.62</v>
      </c>
      <c r="F49" s="47">
        <v>464.56</v>
      </c>
      <c r="G49" s="47">
        <v>561.64</v>
      </c>
      <c r="H49" s="47">
        <v>495.41</v>
      </c>
      <c r="I49" s="47">
        <v>582.73</v>
      </c>
      <c r="J49" s="47">
        <v>499.21</v>
      </c>
      <c r="K49" s="47">
        <v>512.16999999999996</v>
      </c>
      <c r="L49" s="47">
        <v>553.07000000000005</v>
      </c>
      <c r="M49" s="47">
        <v>482.41</v>
      </c>
      <c r="N49" s="47">
        <v>526.97</v>
      </c>
      <c r="O49" s="47">
        <v>681.26</v>
      </c>
      <c r="P49" s="48">
        <f t="shared" si="1"/>
        <v>6593.79</v>
      </c>
    </row>
    <row r="50" spans="1:16" x14ac:dyDescent="0.3">
      <c r="A50" s="45" t="s">
        <v>155</v>
      </c>
      <c r="B50" s="46" t="str">
        <f>IFERROR(VLOOKUP($A50,Codes!$A:$B,2,FALSE()),"")</f>
        <v>Payroll Burden</v>
      </c>
      <c r="C50" s="5" t="s">
        <v>162</v>
      </c>
      <c r="D50" s="47">
        <v>336.17</v>
      </c>
      <c r="E50" s="47">
        <v>212.57</v>
      </c>
      <c r="F50" s="47">
        <v>242.83</v>
      </c>
      <c r="G50" s="47">
        <v>167.06</v>
      </c>
      <c r="H50" s="47">
        <v>76.89</v>
      </c>
      <c r="I50" s="47">
        <v>98.85</v>
      </c>
      <c r="J50" s="47">
        <v>191.65</v>
      </c>
      <c r="K50" s="47">
        <v>177.71</v>
      </c>
      <c r="L50" s="47">
        <v>170.06</v>
      </c>
      <c r="M50" s="47">
        <v>166.96</v>
      </c>
      <c r="N50" s="47">
        <v>173.04</v>
      </c>
      <c r="O50" s="47">
        <v>274.31</v>
      </c>
      <c r="P50" s="48">
        <f t="shared" si="1"/>
        <v>2288.1000000000004</v>
      </c>
    </row>
    <row r="51" spans="1:16" x14ac:dyDescent="0.3">
      <c r="A51" s="45" t="s">
        <v>143</v>
      </c>
      <c r="B51" s="46" t="str">
        <f>IFERROR(VLOOKUP($A51,Codes!$A:$B,2,FALSE()),"")</f>
        <v>Payroll</v>
      </c>
      <c r="C51" s="5" t="s">
        <v>163</v>
      </c>
      <c r="D51" s="47">
        <v>65.3</v>
      </c>
      <c r="E51" s="47">
        <v>42.19</v>
      </c>
      <c r="F51" s="47">
        <v>40.56</v>
      </c>
      <c r="G51" s="47">
        <v>49.02</v>
      </c>
      <c r="H51" s="47">
        <v>43.26</v>
      </c>
      <c r="I51" s="47">
        <v>50.88</v>
      </c>
      <c r="J51" s="47">
        <v>43.58</v>
      </c>
      <c r="K51" s="47">
        <v>43.43</v>
      </c>
      <c r="L51" s="47">
        <v>47.28</v>
      </c>
      <c r="M51" s="47">
        <v>40.79</v>
      </c>
      <c r="N51" s="47">
        <v>47.16</v>
      </c>
      <c r="O51" s="47">
        <v>58.67</v>
      </c>
      <c r="P51" s="48">
        <f t="shared" si="1"/>
        <v>572.12</v>
      </c>
    </row>
    <row r="52" spans="1:16" x14ac:dyDescent="0.3">
      <c r="A52" s="45" t="s">
        <v>143</v>
      </c>
      <c r="B52" s="46" t="str">
        <f>IFERROR(VLOOKUP($A52,Codes!$A:$B,2,FALSE()),"")</f>
        <v>Payroll</v>
      </c>
      <c r="C52" s="5" t="s">
        <v>164</v>
      </c>
      <c r="D52" s="47">
        <v>1577.45</v>
      </c>
      <c r="E52" s="47">
        <v>993.33</v>
      </c>
      <c r="F52" s="47">
        <v>982.09</v>
      </c>
      <c r="G52" s="47">
        <v>1159.18</v>
      </c>
      <c r="H52" s="47">
        <v>828.74</v>
      </c>
      <c r="I52" s="47">
        <v>1397.83</v>
      </c>
      <c r="J52" s="47">
        <v>1067.57</v>
      </c>
      <c r="K52" s="47">
        <v>1024.07</v>
      </c>
      <c r="L52" s="47">
        <v>1111.0899999999999</v>
      </c>
      <c r="M52" s="47">
        <v>1036.46</v>
      </c>
      <c r="N52" s="47">
        <v>1144.5</v>
      </c>
      <c r="O52" s="47">
        <v>1706.29</v>
      </c>
      <c r="P52" s="48">
        <f t="shared" si="1"/>
        <v>14028.600000000002</v>
      </c>
    </row>
    <row r="53" spans="1:16" x14ac:dyDescent="0.3">
      <c r="A53" s="45" t="s">
        <v>165</v>
      </c>
      <c r="B53" s="46" t="str">
        <f>IFERROR(VLOOKUP($A53,Codes!$A:$B,2,FALSE()),"")</f>
        <v>General &amp; Administrative</v>
      </c>
      <c r="C53" s="5" t="s">
        <v>166</v>
      </c>
      <c r="D53" s="47">
        <v>0</v>
      </c>
      <c r="E53" s="47">
        <v>0</v>
      </c>
      <c r="F53" s="47">
        <v>-553.72</v>
      </c>
      <c r="G53" s="47">
        <v>0</v>
      </c>
      <c r="H53" s="47">
        <v>0</v>
      </c>
      <c r="I53" s="47">
        <v>107.6</v>
      </c>
      <c r="J53" s="47">
        <v>0</v>
      </c>
      <c r="K53" s="47">
        <v>450</v>
      </c>
      <c r="L53" s="47">
        <v>438.86</v>
      </c>
      <c r="M53" s="47">
        <v>0</v>
      </c>
      <c r="N53" s="47">
        <v>0</v>
      </c>
      <c r="O53" s="47">
        <v>473.37</v>
      </c>
      <c r="P53" s="48">
        <f t="shared" si="1"/>
        <v>916.11</v>
      </c>
    </row>
    <row r="54" spans="1:16" x14ac:dyDescent="0.3">
      <c r="A54" s="45" t="s">
        <v>143</v>
      </c>
      <c r="B54" s="46" t="str">
        <f>IFERROR(VLOOKUP($A54,Codes!$A:$B,2,FALSE()),"")</f>
        <v>Payroll</v>
      </c>
      <c r="C54" s="5" t="s">
        <v>167</v>
      </c>
      <c r="D54" s="47">
        <v>-2245.63</v>
      </c>
      <c r="E54" s="49">
        <v>11822.72</v>
      </c>
      <c r="F54" s="47">
        <v>6908.53</v>
      </c>
      <c r="G54" s="47">
        <v>3270</v>
      </c>
      <c r="H54" s="47">
        <v>-1620</v>
      </c>
      <c r="I54" s="47">
        <v>2910</v>
      </c>
      <c r="J54" s="47">
        <v>-620</v>
      </c>
      <c r="K54" s="47">
        <v>4470</v>
      </c>
      <c r="L54" s="47">
        <v>250</v>
      </c>
      <c r="M54" s="47">
        <v>0</v>
      </c>
      <c r="N54" s="47">
        <v>0</v>
      </c>
      <c r="O54" s="47">
        <v>0</v>
      </c>
      <c r="P54" s="48">
        <f t="shared" si="1"/>
        <v>25145.62</v>
      </c>
    </row>
    <row r="55" spans="1:16" x14ac:dyDescent="0.3">
      <c r="A55" s="45" t="s">
        <v>143</v>
      </c>
      <c r="B55" s="46" t="str">
        <f>IFERROR(VLOOKUP($A55,Codes!$A:$B,2,FALSE()),"")</f>
        <v>Payroll</v>
      </c>
      <c r="C55" s="5" t="s">
        <v>168</v>
      </c>
      <c r="D55" s="47">
        <v>1632.28</v>
      </c>
      <c r="E55" s="47">
        <v>414.35</v>
      </c>
      <c r="F55" s="47">
        <v>292.77999999999997</v>
      </c>
      <c r="G55" s="47">
        <v>1801.79</v>
      </c>
      <c r="H55" s="47">
        <v>404.85</v>
      </c>
      <c r="I55" s="47">
        <v>939.54</v>
      </c>
      <c r="J55" s="47">
        <v>445.73</v>
      </c>
      <c r="K55" s="47">
        <v>442.51</v>
      </c>
      <c r="L55" s="47">
        <v>413.83</v>
      </c>
      <c r="M55" s="47">
        <v>463.97</v>
      </c>
      <c r="N55" s="47">
        <v>831.67</v>
      </c>
      <c r="O55" s="47">
        <v>1318.21</v>
      </c>
      <c r="P55" s="48">
        <f t="shared" si="1"/>
        <v>9401.51</v>
      </c>
    </row>
    <row r="56" spans="1:16" x14ac:dyDescent="0.3">
      <c r="A56" s="45" t="s">
        <v>143</v>
      </c>
      <c r="B56" s="46" t="str">
        <f>IFERROR(VLOOKUP($A56,Codes!$A:$B,2,FALSE()),"")</f>
        <v>Payroll</v>
      </c>
      <c r="C56" s="5" t="s">
        <v>169</v>
      </c>
      <c r="D56" s="47">
        <v>756.79</v>
      </c>
      <c r="E56" s="47">
        <v>497</v>
      </c>
      <c r="F56" s="47">
        <v>499.77</v>
      </c>
      <c r="G56" s="47">
        <v>1234.78</v>
      </c>
      <c r="H56" s="47">
        <v>515.36</v>
      </c>
      <c r="I56" s="47">
        <v>669.58</v>
      </c>
      <c r="J56" s="47">
        <v>493.29</v>
      </c>
      <c r="K56" s="47">
        <v>497</v>
      </c>
      <c r="L56" s="47">
        <v>497</v>
      </c>
      <c r="M56" s="47">
        <v>497.41</v>
      </c>
      <c r="N56" s="47">
        <v>912.27</v>
      </c>
      <c r="O56" s="47">
        <v>607.51</v>
      </c>
      <c r="P56" s="48">
        <f t="shared" si="1"/>
        <v>7677.76</v>
      </c>
    </row>
    <row r="57" spans="1:16" x14ac:dyDescent="0.3">
      <c r="A57" s="45" t="s">
        <v>170</v>
      </c>
      <c r="B57" s="46" t="str">
        <f>IFERROR(VLOOKUP($A57,Codes!$A:$B,2,FALSE()),"")</f>
        <v>Utilities Common</v>
      </c>
      <c r="C57" s="5" t="s">
        <v>171</v>
      </c>
      <c r="D57" s="47">
        <v>335.28</v>
      </c>
      <c r="E57" s="47">
        <v>1136.77</v>
      </c>
      <c r="F57" s="47">
        <v>1846.69</v>
      </c>
      <c r="G57" s="47">
        <v>1456.37</v>
      </c>
      <c r="H57" s="47">
        <v>1661.9</v>
      </c>
      <c r="I57" s="47">
        <v>2588.35</v>
      </c>
      <c r="J57" s="47">
        <v>1013.78</v>
      </c>
      <c r="K57" s="47">
        <v>1409.88</v>
      </c>
      <c r="L57" s="47">
        <v>1518.21</v>
      </c>
      <c r="M57" s="47">
        <v>2342.75</v>
      </c>
      <c r="N57" s="47">
        <v>2131.92</v>
      </c>
      <c r="O57" s="47">
        <v>92.59</v>
      </c>
      <c r="P57" s="48">
        <f t="shared" si="1"/>
        <v>17534.490000000002</v>
      </c>
    </row>
    <row r="58" spans="1:16" x14ac:dyDescent="0.3">
      <c r="A58" s="45" t="s">
        <v>170</v>
      </c>
      <c r="B58" s="46" t="str">
        <f>IFERROR(VLOOKUP($A58,Codes!$A:$B,2,FALSE()),"")</f>
        <v>Utilities Common</v>
      </c>
      <c r="C58" s="5" t="s">
        <v>172</v>
      </c>
      <c r="D58" s="47">
        <v>3566.44</v>
      </c>
      <c r="E58" s="47">
        <v>6736.17</v>
      </c>
      <c r="F58" s="47">
        <v>6821.93</v>
      </c>
      <c r="G58" s="47">
        <v>5822.15</v>
      </c>
      <c r="H58" s="47">
        <v>2699.9</v>
      </c>
      <c r="I58" s="47">
        <v>6989.87</v>
      </c>
      <c r="J58" s="47">
        <v>5027.32</v>
      </c>
      <c r="K58" s="47">
        <v>4950.0200000000004</v>
      </c>
      <c r="L58" s="47">
        <v>4757.1499999999996</v>
      </c>
      <c r="M58" s="47">
        <v>6385.5</v>
      </c>
      <c r="N58" s="47">
        <v>878.74</v>
      </c>
      <c r="O58" s="47">
        <v>8518.2999999999993</v>
      </c>
      <c r="P58" s="48">
        <f t="shared" si="1"/>
        <v>63153.490000000005</v>
      </c>
    </row>
    <row r="59" spans="1:16" x14ac:dyDescent="0.3">
      <c r="A59" s="45" t="s">
        <v>170</v>
      </c>
      <c r="B59" s="46" t="str">
        <f>IFERROR(VLOOKUP($A59,Codes!$A:$B,2,FALSE()),"")</f>
        <v>Utilities Common</v>
      </c>
      <c r="C59" s="5" t="s">
        <v>173</v>
      </c>
      <c r="D59" s="47">
        <v>56.39</v>
      </c>
      <c r="E59" s="47">
        <v>36.869999999999997</v>
      </c>
      <c r="F59" s="47">
        <v>86.37</v>
      </c>
      <c r="G59" s="47">
        <v>61.59</v>
      </c>
      <c r="H59" s="47">
        <v>83.89</v>
      </c>
      <c r="I59" s="47">
        <v>43.38</v>
      </c>
      <c r="J59" s="47">
        <v>77.39</v>
      </c>
      <c r="K59" s="47">
        <v>74.38</v>
      </c>
      <c r="L59" s="47">
        <v>32.32</v>
      </c>
      <c r="M59" s="47">
        <v>27.2</v>
      </c>
      <c r="N59" s="47">
        <v>52.12</v>
      </c>
      <c r="O59" s="47">
        <v>92.09</v>
      </c>
      <c r="P59" s="48">
        <f t="shared" si="1"/>
        <v>723.99000000000012</v>
      </c>
    </row>
    <row r="60" spans="1:16" x14ac:dyDescent="0.3">
      <c r="A60" s="45" t="s">
        <v>174</v>
      </c>
      <c r="B60" s="46" t="str">
        <f>IFERROR(VLOOKUP($A60,Codes!$A:$B,2,FALSE()),"")</f>
        <v>Utilities Water Sewer</v>
      </c>
      <c r="C60" s="5" t="s">
        <v>175</v>
      </c>
      <c r="D60" s="47">
        <v>3500.65</v>
      </c>
      <c r="E60" s="47">
        <v>4727.28</v>
      </c>
      <c r="F60" s="47">
        <v>4036.8</v>
      </c>
      <c r="G60" s="47">
        <v>4004.01</v>
      </c>
      <c r="H60" s="47">
        <v>3839.24</v>
      </c>
      <c r="I60" s="47">
        <v>3632.34</v>
      </c>
      <c r="J60" s="47">
        <v>3959.12</v>
      </c>
      <c r="K60" s="47">
        <v>3689.59</v>
      </c>
      <c r="L60" s="47">
        <v>3264.96</v>
      </c>
      <c r="M60" s="47">
        <v>3870.86</v>
      </c>
      <c r="N60" s="47">
        <v>3493.15</v>
      </c>
      <c r="O60" s="47">
        <v>4278.3900000000003</v>
      </c>
      <c r="P60" s="48">
        <f t="shared" si="1"/>
        <v>46296.39</v>
      </c>
    </row>
    <row r="61" spans="1:16" x14ac:dyDescent="0.3">
      <c r="A61" s="45" t="s">
        <v>174</v>
      </c>
      <c r="B61" s="46" t="str">
        <f>IFERROR(VLOOKUP($A61,Codes!$A:$B,2,FALSE()),"")</f>
        <v>Utilities Water Sewer</v>
      </c>
      <c r="C61" s="5" t="s">
        <v>176</v>
      </c>
      <c r="D61" s="47">
        <v>4182.37</v>
      </c>
      <c r="E61" s="47">
        <v>-821.49</v>
      </c>
      <c r="F61" s="49">
        <v>5907.59</v>
      </c>
      <c r="G61" s="47">
        <v>629.76</v>
      </c>
      <c r="H61" s="47">
        <v>592.35</v>
      </c>
      <c r="I61" s="47">
        <v>2021.79</v>
      </c>
      <c r="J61" s="49">
        <v>5008.75</v>
      </c>
      <c r="K61" s="47">
        <v>1415.3</v>
      </c>
      <c r="L61" s="47">
        <v>517.84</v>
      </c>
      <c r="M61" s="47">
        <v>-2025.76</v>
      </c>
      <c r="N61" s="47">
        <v>51.95</v>
      </c>
      <c r="O61" s="47">
        <v>38.479999999999997</v>
      </c>
      <c r="P61" s="48">
        <f t="shared" si="1"/>
        <v>17518.930000000004</v>
      </c>
    </row>
    <row r="62" spans="1:16" x14ac:dyDescent="0.3">
      <c r="A62" s="45" t="s">
        <v>174</v>
      </c>
      <c r="B62" s="46" t="str">
        <f>IFERROR(VLOOKUP($A62,Codes!$A:$B,2,FALSE()),"")</f>
        <v>Utilities Water Sewer</v>
      </c>
      <c r="C62" s="5" t="s">
        <v>177</v>
      </c>
      <c r="D62" s="47">
        <v>2534.42</v>
      </c>
      <c r="E62" s="47">
        <v>3395.31</v>
      </c>
      <c r="F62" s="47">
        <v>2915.92</v>
      </c>
      <c r="G62" s="47">
        <v>2852.82</v>
      </c>
      <c r="H62" s="47">
        <v>2782.45</v>
      </c>
      <c r="I62" s="47">
        <v>2601.36</v>
      </c>
      <c r="J62" s="47">
        <v>2837.79</v>
      </c>
      <c r="K62" s="47">
        <v>2649.78</v>
      </c>
      <c r="L62" s="47">
        <v>2320.77</v>
      </c>
      <c r="M62" s="47">
        <v>2794.48</v>
      </c>
      <c r="N62" s="47">
        <v>2501.09</v>
      </c>
      <c r="O62" s="47">
        <v>3060.49</v>
      </c>
      <c r="P62" s="48">
        <f t="shared" si="1"/>
        <v>33246.68</v>
      </c>
    </row>
    <row r="63" spans="1:16" x14ac:dyDescent="0.3">
      <c r="A63" s="45" t="s">
        <v>178</v>
      </c>
      <c r="B63" s="46" t="str">
        <f>IFERROR(VLOOKUP($A63,Codes!$A:$B,2,FALSE()),"")</f>
        <v>Contract</v>
      </c>
      <c r="C63" s="5" t="s">
        <v>179</v>
      </c>
      <c r="D63" s="47">
        <v>994.13</v>
      </c>
      <c r="E63" s="47">
        <v>1041.3900000000001</v>
      </c>
      <c r="F63" s="47">
        <v>532.92999999999995</v>
      </c>
      <c r="G63" s="47">
        <v>1015.16</v>
      </c>
      <c r="H63" s="47">
        <v>996.85</v>
      </c>
      <c r="I63" s="47">
        <v>996.85</v>
      </c>
      <c r="J63" s="47">
        <v>532.92999999999995</v>
      </c>
      <c r="K63" s="47">
        <v>777.93</v>
      </c>
      <c r="L63" s="47">
        <v>532.92999999999995</v>
      </c>
      <c r="M63" s="47">
        <v>527.59</v>
      </c>
      <c r="N63" s="47">
        <v>530.26</v>
      </c>
      <c r="O63" s="47">
        <v>530.26</v>
      </c>
      <c r="P63" s="48">
        <f t="shared" si="1"/>
        <v>9009.2100000000009</v>
      </c>
    </row>
    <row r="64" spans="1:16" x14ac:dyDescent="0.3">
      <c r="A64" s="45" t="s">
        <v>178</v>
      </c>
      <c r="B64" s="46" t="str">
        <f>IFERROR(VLOOKUP($A64,Codes!$A:$B,2,FALSE()),"")</f>
        <v>Contract</v>
      </c>
      <c r="C64" s="5" t="s">
        <v>180</v>
      </c>
      <c r="D64" s="47">
        <v>3136.11</v>
      </c>
      <c r="E64" s="47">
        <v>3136.11</v>
      </c>
      <c r="F64" s="47">
        <v>3136.11</v>
      </c>
      <c r="G64" s="47">
        <v>3136.11</v>
      </c>
      <c r="H64" s="47">
        <v>3136.11</v>
      </c>
      <c r="I64" s="47">
        <v>3136.11</v>
      </c>
      <c r="J64" s="47">
        <v>3136.11</v>
      </c>
      <c r="K64" s="47">
        <v>3136.11</v>
      </c>
      <c r="L64" s="47">
        <v>3136.11</v>
      </c>
      <c r="M64" s="47">
        <v>3136.11</v>
      </c>
      <c r="N64" s="47">
        <v>-6272.22</v>
      </c>
      <c r="O64" s="47">
        <v>2900.46</v>
      </c>
      <c r="P64" s="48">
        <f t="shared" si="1"/>
        <v>27989.34</v>
      </c>
    </row>
    <row r="65" spans="1:16" x14ac:dyDescent="0.3">
      <c r="A65" s="45" t="s">
        <v>170</v>
      </c>
      <c r="B65" s="46" t="str">
        <f>IFERROR(VLOOKUP($A65,Codes!$A:$B,2,FALSE()),"")</f>
        <v>Utilities Common</v>
      </c>
      <c r="C65" s="5" t="s">
        <v>181</v>
      </c>
      <c r="D65" s="47">
        <v>-2044.04</v>
      </c>
      <c r="E65" s="47">
        <v>-2162.83</v>
      </c>
      <c r="F65" s="47">
        <v>-2083.71</v>
      </c>
      <c r="G65" s="47">
        <v>-2120.9899999999998</v>
      </c>
      <c r="H65" s="47">
        <v>-2039.02</v>
      </c>
      <c r="I65" s="47">
        <v>-2069.15</v>
      </c>
      <c r="J65" s="47">
        <v>-2106.59</v>
      </c>
      <c r="K65" s="47">
        <v>-2190.16</v>
      </c>
      <c r="L65" s="47">
        <v>-2042.93</v>
      </c>
      <c r="M65" s="47">
        <v>-1903.89</v>
      </c>
      <c r="N65" s="47">
        <v>-2035.53</v>
      </c>
      <c r="O65" s="47">
        <v>-2221.81</v>
      </c>
      <c r="P65" s="48">
        <f t="shared" si="1"/>
        <v>-25020.649999999998</v>
      </c>
    </row>
    <row r="66" spans="1:16" x14ac:dyDescent="0.3">
      <c r="A66" s="45" t="s">
        <v>182</v>
      </c>
      <c r="B66" s="46" t="str">
        <f>IFERROR(VLOOKUP($A66,Codes!$A:$B,2,FALSE()),"")</f>
        <v>Turnover</v>
      </c>
      <c r="C66" s="5" t="s">
        <v>183</v>
      </c>
      <c r="D66" s="47">
        <v>10673.72</v>
      </c>
      <c r="E66" s="47">
        <v>5906.42</v>
      </c>
      <c r="F66" s="47">
        <v>7334.8</v>
      </c>
      <c r="G66" s="47">
        <v>4206.38</v>
      </c>
      <c r="H66" s="47">
        <v>4706.1899999999996</v>
      </c>
      <c r="I66" s="47">
        <v>2362.46</v>
      </c>
      <c r="J66" s="47">
        <v>4447.67</v>
      </c>
      <c r="K66" s="47">
        <v>12980.69</v>
      </c>
      <c r="L66" s="47">
        <v>5529.92</v>
      </c>
      <c r="M66" s="47">
        <v>1851.16</v>
      </c>
      <c r="N66" s="47">
        <v>331.32</v>
      </c>
      <c r="O66" s="47">
        <v>0</v>
      </c>
      <c r="P66" s="48">
        <f t="shared" si="1"/>
        <v>60330.73</v>
      </c>
    </row>
    <row r="67" spans="1:16" x14ac:dyDescent="0.3">
      <c r="A67" s="45" t="s">
        <v>182</v>
      </c>
      <c r="B67" s="46" t="str">
        <f>IFERROR(VLOOKUP($A67,Codes!$A:$B,2,FALSE()),"")</f>
        <v>Turnover</v>
      </c>
      <c r="C67" s="5" t="s">
        <v>184</v>
      </c>
      <c r="D67" s="47">
        <v>-15</v>
      </c>
      <c r="E67" s="47">
        <v>1115</v>
      </c>
      <c r="F67" s="47">
        <v>190</v>
      </c>
      <c r="G67" s="47">
        <v>1010</v>
      </c>
      <c r="H67" s="47">
        <v>2040</v>
      </c>
      <c r="I67" s="47">
        <v>580</v>
      </c>
      <c r="J67" s="47">
        <v>-600</v>
      </c>
      <c r="K67" s="47">
        <v>835</v>
      </c>
      <c r="L67" s="47">
        <v>276.94</v>
      </c>
      <c r="M67" s="47">
        <v>588.13</v>
      </c>
      <c r="N67" s="47">
        <v>0</v>
      </c>
      <c r="O67" s="47">
        <v>0</v>
      </c>
      <c r="P67" s="48">
        <f t="shared" ref="P67:P98" si="2">SUM(D67:O67)</f>
        <v>6020.07</v>
      </c>
    </row>
    <row r="68" spans="1:16" x14ac:dyDescent="0.3">
      <c r="A68" s="45" t="s">
        <v>178</v>
      </c>
      <c r="B68" s="46" t="str">
        <f>IFERROR(VLOOKUP($A68,Codes!$A:$B,2,FALSE()),"")</f>
        <v>Contract</v>
      </c>
      <c r="C68" s="5" t="s">
        <v>185</v>
      </c>
      <c r="D68" s="47">
        <v>3514.29</v>
      </c>
      <c r="E68" s="47">
        <v>3485.63</v>
      </c>
      <c r="F68" s="47">
        <v>6950</v>
      </c>
      <c r="G68" s="47">
        <v>3550</v>
      </c>
      <c r="H68" s="47">
        <v>3450</v>
      </c>
      <c r="I68" s="47">
        <v>4497.1899999999996</v>
      </c>
      <c r="J68" s="47">
        <v>3550</v>
      </c>
      <c r="K68" s="47">
        <v>3400</v>
      </c>
      <c r="L68" s="47">
        <v>3500</v>
      </c>
      <c r="M68" s="47">
        <v>3500</v>
      </c>
      <c r="N68" s="47">
        <v>3500</v>
      </c>
      <c r="O68" s="47">
        <v>3500</v>
      </c>
      <c r="P68" s="48">
        <f t="shared" si="2"/>
        <v>46397.11</v>
      </c>
    </row>
    <row r="69" spans="1:16" x14ac:dyDescent="0.3">
      <c r="A69" s="45" t="s">
        <v>178</v>
      </c>
      <c r="B69" s="46" t="str">
        <f>IFERROR(VLOOKUP($A69,Codes!$A:$B,2,FALSE()),"")</f>
        <v>Contract</v>
      </c>
      <c r="C69" s="5" t="s">
        <v>186</v>
      </c>
      <c r="D69" s="47">
        <v>0</v>
      </c>
      <c r="E69" s="47">
        <v>2575</v>
      </c>
      <c r="F69" s="47">
        <v>0</v>
      </c>
      <c r="G69" s="47">
        <v>0</v>
      </c>
      <c r="H69" s="47">
        <v>0</v>
      </c>
      <c r="I69" s="47">
        <v>0</v>
      </c>
      <c r="J69" s="47">
        <v>1623</v>
      </c>
      <c r="K69" s="47">
        <v>-2575</v>
      </c>
      <c r="L69" s="47">
        <v>0</v>
      </c>
      <c r="M69" s="47">
        <v>162.38</v>
      </c>
      <c r="N69" s="47">
        <v>0</v>
      </c>
      <c r="O69" s="47">
        <v>1623.75</v>
      </c>
      <c r="P69" s="48">
        <f t="shared" si="2"/>
        <v>3409.13</v>
      </c>
    </row>
    <row r="70" spans="1:16" x14ac:dyDescent="0.3">
      <c r="A70" s="45" t="s">
        <v>178</v>
      </c>
      <c r="B70" s="46" t="str">
        <f>IFERROR(VLOOKUP($A70,Codes!$A:$B,2,FALSE()),"")</f>
        <v>Contract</v>
      </c>
      <c r="C70" s="5" t="s">
        <v>187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6820</v>
      </c>
      <c r="P70" s="48">
        <f t="shared" si="2"/>
        <v>6820</v>
      </c>
    </row>
    <row r="71" spans="1:16" x14ac:dyDescent="0.3">
      <c r="A71" s="45" t="s">
        <v>178</v>
      </c>
      <c r="B71" s="46" t="str">
        <f>IFERROR(VLOOKUP($A71,Codes!$A:$B,2,FALSE()),"")</f>
        <v>Contract</v>
      </c>
      <c r="C71" s="5" t="s">
        <v>188</v>
      </c>
      <c r="D71" s="47">
        <v>528</v>
      </c>
      <c r="E71" s="47">
        <v>96.08</v>
      </c>
      <c r="F71" s="47">
        <v>-23.86</v>
      </c>
      <c r="G71" s="47">
        <v>1127.3</v>
      </c>
      <c r="H71" s="47">
        <v>770.75</v>
      </c>
      <c r="I71" s="47">
        <v>-385.38</v>
      </c>
      <c r="J71" s="47">
        <v>1681.14</v>
      </c>
      <c r="K71" s="47">
        <v>385.35</v>
      </c>
      <c r="L71" s="47">
        <v>1199.8699999999999</v>
      </c>
      <c r="M71" s="47">
        <v>0</v>
      </c>
      <c r="N71" s="47">
        <v>792.62</v>
      </c>
      <c r="O71" s="47">
        <v>1656.46</v>
      </c>
      <c r="P71" s="48">
        <f t="shared" si="2"/>
        <v>7828.33</v>
      </c>
    </row>
    <row r="72" spans="1:16" x14ac:dyDescent="0.3">
      <c r="A72" s="45" t="s">
        <v>178</v>
      </c>
      <c r="B72" s="46" t="str">
        <f>IFERROR(VLOOKUP($A72,Codes!$A:$B,2,FALSE()),"")</f>
        <v>Contract</v>
      </c>
      <c r="C72" s="5" t="s">
        <v>189</v>
      </c>
      <c r="D72" s="47">
        <v>502.27</v>
      </c>
      <c r="E72" s="47">
        <v>486.58</v>
      </c>
      <c r="F72" s="47">
        <v>486.58</v>
      </c>
      <c r="G72" s="47">
        <v>486.58</v>
      </c>
      <c r="H72" s="47">
        <v>486.58</v>
      </c>
      <c r="I72" s="47">
        <v>486.58</v>
      </c>
      <c r="J72" s="47">
        <v>486.58</v>
      </c>
      <c r="K72" s="47">
        <v>486.58</v>
      </c>
      <c r="L72" s="47">
        <v>486.58</v>
      </c>
      <c r="M72" s="47">
        <v>517.98</v>
      </c>
      <c r="N72" s="47">
        <v>502.28</v>
      </c>
      <c r="O72" s="47">
        <v>502.28</v>
      </c>
      <c r="P72" s="48">
        <f t="shared" si="2"/>
        <v>5917.4499999999989</v>
      </c>
    </row>
    <row r="73" spans="1:16" x14ac:dyDescent="0.3">
      <c r="A73" s="45" t="s">
        <v>178</v>
      </c>
      <c r="B73" s="46" t="str">
        <f>IFERROR(VLOOKUP($A73,Codes!$A:$B,2,FALSE()),"")</f>
        <v>Contract</v>
      </c>
      <c r="C73" s="5" t="s">
        <v>190</v>
      </c>
      <c r="D73" s="47">
        <v>503.34</v>
      </c>
      <c r="E73" s="47">
        <v>343.62</v>
      </c>
      <c r="F73" s="47">
        <v>326.22000000000003</v>
      </c>
      <c r="G73" s="47">
        <v>318.70999999999998</v>
      </c>
      <c r="H73" s="47">
        <v>138.16</v>
      </c>
      <c r="I73" s="47">
        <v>202.28</v>
      </c>
      <c r="J73" s="47">
        <v>540.44000000000005</v>
      </c>
      <c r="K73" s="47">
        <v>728.55</v>
      </c>
      <c r="L73" s="47">
        <v>717.64</v>
      </c>
      <c r="M73" s="47">
        <v>589.21</v>
      </c>
      <c r="N73" s="47">
        <v>626.87</v>
      </c>
      <c r="O73" s="47">
        <v>785.2</v>
      </c>
      <c r="P73" s="48">
        <f t="shared" si="2"/>
        <v>5820.24</v>
      </c>
    </row>
    <row r="74" spans="1:16" x14ac:dyDescent="0.3">
      <c r="A74" s="45" t="s">
        <v>178</v>
      </c>
      <c r="B74" s="46" t="str">
        <f>IFERROR(VLOOKUP($A74,Codes!$A:$B,2,FALSE()),"")</f>
        <v>Contract</v>
      </c>
      <c r="C74" s="5" t="s">
        <v>191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5480</v>
      </c>
      <c r="M74" s="47">
        <v>0</v>
      </c>
      <c r="N74" s="47">
        <v>0</v>
      </c>
      <c r="O74" s="47">
        <v>0</v>
      </c>
      <c r="P74" s="48">
        <f t="shared" si="2"/>
        <v>5480</v>
      </c>
    </row>
    <row r="75" spans="1:16" x14ac:dyDescent="0.3">
      <c r="A75" s="45" t="s">
        <v>192</v>
      </c>
      <c r="B75" s="46" t="str">
        <f>IFERROR(VLOOKUP($A75,Codes!$A:$B,2,FALSE()),"")</f>
        <v>R&amp;M Interior / Exterior</v>
      </c>
      <c r="C75" s="5" t="s">
        <v>193</v>
      </c>
      <c r="D75" s="47">
        <v>6.48</v>
      </c>
      <c r="E75" s="47">
        <v>81.25</v>
      </c>
      <c r="F75" s="47">
        <v>0</v>
      </c>
      <c r="G75" s="47">
        <v>99.72</v>
      </c>
      <c r="H75" s="47">
        <v>264.69</v>
      </c>
      <c r="I75" s="47">
        <v>-139.63999999999999</v>
      </c>
      <c r="J75" s="47">
        <v>169.73</v>
      </c>
      <c r="K75" s="47">
        <v>278.77999999999997</v>
      </c>
      <c r="L75" s="47">
        <v>0</v>
      </c>
      <c r="M75" s="47">
        <v>60.88</v>
      </c>
      <c r="N75" s="47">
        <v>106.45</v>
      </c>
      <c r="O75" s="47">
        <v>55.91</v>
      </c>
      <c r="P75" s="48">
        <f t="shared" si="2"/>
        <v>984.25</v>
      </c>
    </row>
    <row r="76" spans="1:16" x14ac:dyDescent="0.3">
      <c r="A76" s="45" t="s">
        <v>192</v>
      </c>
      <c r="B76" s="46" t="str">
        <f>IFERROR(VLOOKUP($A76,Codes!$A:$B,2,FALSE()),"")</f>
        <v>R&amp;M Interior / Exterior</v>
      </c>
      <c r="C76" s="5" t="s">
        <v>194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82.53</v>
      </c>
      <c r="L76" s="47">
        <v>0</v>
      </c>
      <c r="M76" s="47">
        <v>0</v>
      </c>
      <c r="N76" s="47">
        <v>0</v>
      </c>
      <c r="O76" s="47">
        <v>6000.8</v>
      </c>
      <c r="P76" s="48">
        <f t="shared" si="2"/>
        <v>6083.33</v>
      </c>
    </row>
    <row r="77" spans="1:16" x14ac:dyDescent="0.3">
      <c r="A77" s="45" t="s">
        <v>192</v>
      </c>
      <c r="B77" s="46" t="str">
        <f>IFERROR(VLOOKUP($A77,Codes!$A:$B,2,FALSE()),"")</f>
        <v>R&amp;M Interior / Exterior</v>
      </c>
      <c r="C77" s="5" t="s">
        <v>195</v>
      </c>
      <c r="D77" s="47">
        <v>-75</v>
      </c>
      <c r="E77" s="47">
        <v>0</v>
      </c>
      <c r="F77" s="47">
        <v>182.11</v>
      </c>
      <c r="G77" s="49">
        <v>5654.78</v>
      </c>
      <c r="H77" s="47">
        <v>86.56</v>
      </c>
      <c r="I77" s="47">
        <v>55.07</v>
      </c>
      <c r="J77" s="47">
        <v>133.66999999999999</v>
      </c>
      <c r="K77" s="47">
        <v>625.86</v>
      </c>
      <c r="L77" s="47">
        <v>0</v>
      </c>
      <c r="M77" s="47">
        <v>0</v>
      </c>
      <c r="N77" s="47">
        <v>102.02</v>
      </c>
      <c r="O77" s="47">
        <v>84.92</v>
      </c>
      <c r="P77" s="48">
        <f t="shared" si="2"/>
        <v>6849.99</v>
      </c>
    </row>
    <row r="78" spans="1:16" x14ac:dyDescent="0.3">
      <c r="A78" s="45" t="s">
        <v>192</v>
      </c>
      <c r="B78" s="46" t="str">
        <f>IFERROR(VLOOKUP($A78,Codes!$A:$B,2,FALSE()),"")</f>
        <v>R&amp;M Interior / Exterior</v>
      </c>
      <c r="C78" s="5" t="s">
        <v>196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982.08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8">
        <f t="shared" si="2"/>
        <v>982.08</v>
      </c>
    </row>
    <row r="79" spans="1:16" x14ac:dyDescent="0.3">
      <c r="A79" s="45" t="s">
        <v>192</v>
      </c>
      <c r="B79" s="46" t="str">
        <f>IFERROR(VLOOKUP($A79,Codes!$A:$B,2,FALSE()),"")</f>
        <v>R&amp;M Interior / Exterior</v>
      </c>
      <c r="C79" s="5" t="s">
        <v>197</v>
      </c>
      <c r="D79" s="47">
        <v>931.9</v>
      </c>
      <c r="E79" s="47">
        <v>2264.88</v>
      </c>
      <c r="F79" s="47">
        <v>359.2</v>
      </c>
      <c r="G79" s="47">
        <v>1108.3399999999999</v>
      </c>
      <c r="H79" s="47">
        <v>1774.53</v>
      </c>
      <c r="I79" s="47">
        <v>246.24</v>
      </c>
      <c r="J79" s="47">
        <v>1319.87</v>
      </c>
      <c r="K79" s="47">
        <v>1440.2</v>
      </c>
      <c r="L79" s="47">
        <v>122.26</v>
      </c>
      <c r="M79" s="47">
        <v>593.45000000000005</v>
      </c>
      <c r="N79" s="47">
        <v>59.09</v>
      </c>
      <c r="O79" s="47">
        <v>695.98</v>
      </c>
      <c r="P79" s="48">
        <f t="shared" si="2"/>
        <v>10915.94</v>
      </c>
    </row>
    <row r="80" spans="1:16" x14ac:dyDescent="0.3">
      <c r="A80" s="45" t="s">
        <v>192</v>
      </c>
      <c r="B80" s="46" t="str">
        <f>IFERROR(VLOOKUP($A80,Codes!$A:$B,2,FALSE()),"")</f>
        <v>R&amp;M Interior / Exterior</v>
      </c>
      <c r="C80" s="5" t="s">
        <v>198</v>
      </c>
      <c r="D80" s="47">
        <v>344.68</v>
      </c>
      <c r="E80" s="47">
        <v>589.70000000000005</v>
      </c>
      <c r="F80" s="47">
        <v>1410.46</v>
      </c>
      <c r="G80" s="47">
        <v>1119.6400000000001</v>
      </c>
      <c r="H80" s="47">
        <v>1769.95</v>
      </c>
      <c r="I80" s="47">
        <v>484.54</v>
      </c>
      <c r="J80" s="47">
        <v>427.29</v>
      </c>
      <c r="K80" s="47">
        <v>950.55</v>
      </c>
      <c r="L80" s="47">
        <v>0</v>
      </c>
      <c r="M80" s="47">
        <v>248.45</v>
      </c>
      <c r="N80" s="47">
        <v>291.04000000000002</v>
      </c>
      <c r="O80" s="47">
        <v>1764.76</v>
      </c>
      <c r="P80" s="48">
        <f t="shared" si="2"/>
        <v>9401.06</v>
      </c>
    </row>
    <row r="81" spans="1:16" x14ac:dyDescent="0.3">
      <c r="A81" s="45" t="s">
        <v>192</v>
      </c>
      <c r="B81" s="46" t="str">
        <f>IFERROR(VLOOKUP($A81,Codes!$A:$B,2,FALSE()),"")</f>
        <v>R&amp;M Interior / Exterior</v>
      </c>
      <c r="C81" s="5" t="s">
        <v>199</v>
      </c>
      <c r="D81" s="47">
        <v>0</v>
      </c>
      <c r="E81" s="47">
        <v>0</v>
      </c>
      <c r="F81" s="47">
        <v>0</v>
      </c>
      <c r="G81" s="47">
        <v>0</v>
      </c>
      <c r="H81" s="47">
        <v>2780</v>
      </c>
      <c r="I81" s="47">
        <v>0</v>
      </c>
      <c r="J81" s="47">
        <v>0</v>
      </c>
      <c r="K81" s="47">
        <v>851.12</v>
      </c>
      <c r="L81" s="47">
        <v>0</v>
      </c>
      <c r="M81" s="47">
        <v>0</v>
      </c>
      <c r="N81" s="47">
        <v>0</v>
      </c>
      <c r="O81" s="47">
        <v>0</v>
      </c>
      <c r="P81" s="48">
        <f t="shared" si="2"/>
        <v>3631.12</v>
      </c>
    </row>
    <row r="82" spans="1:16" x14ac:dyDescent="0.3">
      <c r="A82" s="45" t="s">
        <v>192</v>
      </c>
      <c r="B82" s="46" t="str">
        <f>IFERROR(VLOOKUP($A82,Codes!$A:$B,2,FALSE()),"")</f>
        <v>R&amp;M Interior / Exterior</v>
      </c>
      <c r="C82" s="5" t="s">
        <v>200</v>
      </c>
      <c r="D82" s="47">
        <v>649.5</v>
      </c>
      <c r="E82" s="47">
        <v>649.5</v>
      </c>
      <c r="F82" s="47">
        <v>866</v>
      </c>
      <c r="G82" s="47">
        <v>649.5</v>
      </c>
      <c r="H82" s="47">
        <v>729.36</v>
      </c>
      <c r="I82" s="47">
        <v>649.5</v>
      </c>
      <c r="J82" s="47">
        <v>649.5</v>
      </c>
      <c r="K82" s="47">
        <v>649.5</v>
      </c>
      <c r="L82" s="47">
        <v>649.5</v>
      </c>
      <c r="M82" s="47">
        <v>649.5</v>
      </c>
      <c r="N82" s="47">
        <v>649.5</v>
      </c>
      <c r="O82" s="49">
        <v>2598</v>
      </c>
      <c r="P82" s="48">
        <f t="shared" si="2"/>
        <v>10038.86</v>
      </c>
    </row>
    <row r="83" spans="1:16" x14ac:dyDescent="0.3">
      <c r="A83" s="45" t="s">
        <v>192</v>
      </c>
      <c r="B83" s="46" t="str">
        <f>IFERROR(VLOOKUP($A83,Codes!$A:$B,2,FALSE()),"")</f>
        <v>R&amp;M Interior / Exterior</v>
      </c>
      <c r="C83" s="5" t="s">
        <v>201</v>
      </c>
      <c r="D83" s="47">
        <v>297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119.81</v>
      </c>
      <c r="K83" s="47">
        <v>0</v>
      </c>
      <c r="L83" s="47">
        <v>0</v>
      </c>
      <c r="M83" s="47">
        <v>29.36</v>
      </c>
      <c r="N83" s="47">
        <v>0</v>
      </c>
      <c r="O83" s="47">
        <v>0</v>
      </c>
      <c r="P83" s="48">
        <f t="shared" si="2"/>
        <v>446.17</v>
      </c>
    </row>
    <row r="84" spans="1:16" x14ac:dyDescent="0.3">
      <c r="A84" s="45" t="s">
        <v>192</v>
      </c>
      <c r="B84" s="46" t="str">
        <f>IFERROR(VLOOKUP($A84,Codes!$A:$B,2,FALSE()),"")</f>
        <v>R&amp;M Interior / Exterior</v>
      </c>
      <c r="C84" s="5" t="s">
        <v>202</v>
      </c>
      <c r="D84" s="47">
        <v>20.56</v>
      </c>
      <c r="E84" s="47">
        <v>42.59</v>
      </c>
      <c r="F84" s="47">
        <v>42.59</v>
      </c>
      <c r="G84" s="47">
        <v>42.59</v>
      </c>
      <c r="H84" s="47">
        <v>0</v>
      </c>
      <c r="I84" s="47">
        <v>0</v>
      </c>
      <c r="J84" s="47">
        <v>73.069999999999993</v>
      </c>
      <c r="K84" s="47">
        <v>352.89</v>
      </c>
      <c r="L84" s="47">
        <v>0</v>
      </c>
      <c r="M84" s="47">
        <v>0</v>
      </c>
      <c r="N84" s="47">
        <v>124.42</v>
      </c>
      <c r="O84" s="47">
        <v>0</v>
      </c>
      <c r="P84" s="48">
        <f t="shared" si="2"/>
        <v>698.70999999999992</v>
      </c>
    </row>
    <row r="85" spans="1:16" x14ac:dyDescent="0.3">
      <c r="A85" s="45" t="s">
        <v>192</v>
      </c>
      <c r="B85" s="46" t="str">
        <f>IFERROR(VLOOKUP($A85,Codes!$A:$B,2,FALSE()),"")</f>
        <v>R&amp;M Interior / Exterior</v>
      </c>
      <c r="C85" s="5" t="s">
        <v>203</v>
      </c>
      <c r="D85" s="47">
        <v>0</v>
      </c>
      <c r="E85" s="47">
        <v>390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495.72</v>
      </c>
      <c r="L85" s="47">
        <v>0</v>
      </c>
      <c r="M85" s="47">
        <v>0</v>
      </c>
      <c r="N85" s="47">
        <v>1648.96</v>
      </c>
      <c r="O85" s="47">
        <v>0</v>
      </c>
      <c r="P85" s="48">
        <f t="shared" si="2"/>
        <v>2534.6800000000003</v>
      </c>
    </row>
    <row r="86" spans="1:16" x14ac:dyDescent="0.3">
      <c r="A86" s="45" t="s">
        <v>192</v>
      </c>
      <c r="B86" s="46" t="str">
        <f>IFERROR(VLOOKUP($A86,Codes!$A:$B,2,FALSE()),"")</f>
        <v>R&amp;M Interior / Exterior</v>
      </c>
      <c r="C86" s="5" t="s">
        <v>204</v>
      </c>
      <c r="D86" s="47">
        <v>73.02</v>
      </c>
      <c r="E86" s="47">
        <v>0</v>
      </c>
      <c r="F86" s="47">
        <v>0</v>
      </c>
      <c r="G86" s="47">
        <v>445.75</v>
      </c>
      <c r="H86" s="47">
        <v>23.09</v>
      </c>
      <c r="I86" s="47">
        <v>0</v>
      </c>
      <c r="J86" s="47">
        <v>390.67</v>
      </c>
      <c r="K86" s="47">
        <v>226.47</v>
      </c>
      <c r="L86" s="47">
        <v>0</v>
      </c>
      <c r="M86" s="47">
        <v>681.01</v>
      </c>
      <c r="N86" s="47">
        <v>513.5</v>
      </c>
      <c r="O86" s="47">
        <v>0</v>
      </c>
      <c r="P86" s="48">
        <f t="shared" si="2"/>
        <v>2353.5100000000002</v>
      </c>
    </row>
    <row r="87" spans="1:16" x14ac:dyDescent="0.3">
      <c r="A87" s="45" t="s">
        <v>192</v>
      </c>
      <c r="B87" s="46" t="str">
        <f>IFERROR(VLOOKUP($A87,Codes!$A:$B,2,FALSE()),"")</f>
        <v>R&amp;M Interior / Exterior</v>
      </c>
      <c r="C87" s="5" t="s">
        <v>205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511.67</v>
      </c>
      <c r="O87" s="47">
        <v>0</v>
      </c>
      <c r="P87" s="48">
        <f t="shared" si="2"/>
        <v>511.67</v>
      </c>
    </row>
    <row r="88" spans="1:16" x14ac:dyDescent="0.3">
      <c r="A88" s="45" t="s">
        <v>192</v>
      </c>
      <c r="B88" s="46" t="str">
        <f>IFERROR(VLOOKUP($A88,Codes!$A:$B,2,FALSE()),"")</f>
        <v>R&amp;M Interior / Exterior</v>
      </c>
      <c r="C88" s="5" t="s">
        <v>206</v>
      </c>
      <c r="D88" s="47">
        <v>38.86</v>
      </c>
      <c r="E88" s="47">
        <v>200.16</v>
      </c>
      <c r="F88" s="47">
        <v>58.03</v>
      </c>
      <c r="G88" s="47">
        <v>161.29</v>
      </c>
      <c r="H88" s="47">
        <v>320.47000000000003</v>
      </c>
      <c r="I88" s="47">
        <v>69.72</v>
      </c>
      <c r="J88" s="47">
        <v>0</v>
      </c>
      <c r="K88" s="47">
        <v>-161.29</v>
      </c>
      <c r="L88" s="47">
        <v>0</v>
      </c>
      <c r="M88" s="47">
        <v>59.26</v>
      </c>
      <c r="N88" s="47">
        <v>39.4</v>
      </c>
      <c r="O88" s="47">
        <v>469.16</v>
      </c>
      <c r="P88" s="48">
        <f t="shared" si="2"/>
        <v>1255.06</v>
      </c>
    </row>
    <row r="89" spans="1:16" x14ac:dyDescent="0.3">
      <c r="A89" s="45" t="s">
        <v>192</v>
      </c>
      <c r="B89" s="46" t="str">
        <f>IFERROR(VLOOKUP($A89,Codes!$A:$B,2,FALSE()),"")</f>
        <v>R&amp;M Interior / Exterior</v>
      </c>
      <c r="C89" s="5" t="s">
        <v>207</v>
      </c>
      <c r="D89" s="47">
        <v>0</v>
      </c>
      <c r="E89" s="47">
        <v>0</v>
      </c>
      <c r="F89" s="47">
        <v>0</v>
      </c>
      <c r="G89" s="47">
        <v>335.02</v>
      </c>
      <c r="H89" s="47">
        <v>0</v>
      </c>
      <c r="I89" s="47">
        <v>82.88</v>
      </c>
      <c r="J89" s="47">
        <v>0</v>
      </c>
      <c r="K89" s="47">
        <v>62.7</v>
      </c>
      <c r="L89" s="47">
        <v>0</v>
      </c>
      <c r="M89" s="47">
        <v>0</v>
      </c>
      <c r="N89" s="47">
        <v>0</v>
      </c>
      <c r="O89" s="47">
        <v>4.3099999999999996</v>
      </c>
      <c r="P89" s="48">
        <f t="shared" si="2"/>
        <v>484.90999999999997</v>
      </c>
    </row>
    <row r="90" spans="1:16" x14ac:dyDescent="0.3">
      <c r="A90" s="45" t="s">
        <v>192</v>
      </c>
      <c r="B90" s="46" t="str">
        <f>IFERROR(VLOOKUP($A90,Codes!$A:$B,2,FALSE()),"")</f>
        <v>R&amp;M Interior / Exterior</v>
      </c>
      <c r="C90" s="5" t="s">
        <v>208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1038.9000000000001</v>
      </c>
      <c r="K90" s="47">
        <v>131.65</v>
      </c>
      <c r="L90" s="47">
        <v>0</v>
      </c>
      <c r="M90" s="47">
        <v>0</v>
      </c>
      <c r="N90" s="47">
        <v>0</v>
      </c>
      <c r="O90" s="47">
        <v>0</v>
      </c>
      <c r="P90" s="48">
        <f t="shared" si="2"/>
        <v>1170.5500000000002</v>
      </c>
    </row>
    <row r="91" spans="1:16" x14ac:dyDescent="0.3">
      <c r="A91" s="45" t="s">
        <v>192</v>
      </c>
      <c r="B91" s="46" t="str">
        <f>IFERROR(VLOOKUP($A91,Codes!$A:$B,2,FALSE()),"")</f>
        <v>R&amp;M Interior / Exterior</v>
      </c>
      <c r="C91" s="5" t="s">
        <v>209</v>
      </c>
      <c r="D91" s="47">
        <v>1092.4100000000001</v>
      </c>
      <c r="E91" s="47">
        <v>1237.1500000000001</v>
      </c>
      <c r="F91" s="47">
        <v>860.24</v>
      </c>
      <c r="G91" s="47">
        <v>141.96</v>
      </c>
      <c r="H91" s="47">
        <v>845.81</v>
      </c>
      <c r="I91" s="47">
        <v>0</v>
      </c>
      <c r="J91" s="47">
        <v>726.19</v>
      </c>
      <c r="K91" s="47">
        <v>1353.09</v>
      </c>
      <c r="L91" s="47">
        <v>481.25</v>
      </c>
      <c r="M91" s="47">
        <v>192.49</v>
      </c>
      <c r="N91" s="47">
        <v>0</v>
      </c>
      <c r="O91" s="47">
        <v>64.94</v>
      </c>
      <c r="P91" s="48">
        <f t="shared" si="2"/>
        <v>6995.53</v>
      </c>
    </row>
    <row r="92" spans="1:16" x14ac:dyDescent="0.3">
      <c r="A92" s="45" t="s">
        <v>178</v>
      </c>
      <c r="B92" s="46" t="str">
        <f>IFERROR(VLOOKUP($A92,Codes!$A:$B,2,FALSE()),"")</f>
        <v>Contract</v>
      </c>
      <c r="C92" s="5" t="s">
        <v>210</v>
      </c>
      <c r="D92" s="49">
        <v>8340.99</v>
      </c>
      <c r="E92" s="47">
        <v>-1494.2</v>
      </c>
      <c r="F92" s="47">
        <v>1920</v>
      </c>
      <c r="G92" s="47">
        <v>0</v>
      </c>
      <c r="H92" s="47">
        <v>0</v>
      </c>
      <c r="I92" s="47">
        <v>1710</v>
      </c>
      <c r="J92" s="47">
        <v>4260.87</v>
      </c>
      <c r="K92" s="47">
        <v>349.53</v>
      </c>
      <c r="L92" s="47">
        <v>0</v>
      </c>
      <c r="M92" s="47">
        <v>279.52999999999997</v>
      </c>
      <c r="N92" s="47">
        <v>0</v>
      </c>
      <c r="O92" s="47">
        <v>0</v>
      </c>
      <c r="P92" s="48">
        <f t="shared" si="2"/>
        <v>15366.720000000001</v>
      </c>
    </row>
    <row r="93" spans="1:16" x14ac:dyDescent="0.3">
      <c r="A93" s="45" t="s">
        <v>192</v>
      </c>
      <c r="B93" s="46" t="str">
        <f>IFERROR(VLOOKUP($A93,Codes!$A:$B,2,FALSE()),"")</f>
        <v>R&amp;M Interior / Exterior</v>
      </c>
      <c r="C93" s="5" t="s">
        <v>211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937.21</v>
      </c>
      <c r="P93" s="48">
        <f t="shared" si="2"/>
        <v>937.21</v>
      </c>
    </row>
    <row r="94" spans="1:16" x14ac:dyDescent="0.3">
      <c r="A94" s="45" t="s">
        <v>192</v>
      </c>
      <c r="B94" s="46" t="str">
        <f>IFERROR(VLOOKUP($A94,Codes!$A:$B,2,FALSE()),"")</f>
        <v>R&amp;M Interior / Exterior</v>
      </c>
      <c r="C94" s="5" t="s">
        <v>212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250.32</v>
      </c>
      <c r="P94" s="48">
        <f t="shared" si="2"/>
        <v>250.32</v>
      </c>
    </row>
    <row r="95" spans="1:16" x14ac:dyDescent="0.3">
      <c r="A95" s="45" t="s">
        <v>182</v>
      </c>
      <c r="B95" s="46" t="str">
        <f>IFERROR(VLOOKUP($A95,Codes!$A:$B,2,FALSE()),"")</f>
        <v>Turnover</v>
      </c>
      <c r="C95" s="5" t="s">
        <v>213</v>
      </c>
      <c r="D95" s="47">
        <v>1580.23</v>
      </c>
      <c r="E95" s="47">
        <v>232.95</v>
      </c>
      <c r="F95" s="47">
        <v>1169.81</v>
      </c>
      <c r="G95" s="47">
        <v>133.52000000000001</v>
      </c>
      <c r="H95" s="47">
        <v>0</v>
      </c>
      <c r="I95" s="47">
        <v>0</v>
      </c>
      <c r="J95" s="47">
        <v>1564.38</v>
      </c>
      <c r="K95" s="47">
        <v>2972.52</v>
      </c>
      <c r="L95" s="47">
        <v>1099.25</v>
      </c>
      <c r="M95" s="47">
        <v>247.41</v>
      </c>
      <c r="N95" s="47">
        <v>1153.1400000000001</v>
      </c>
      <c r="O95" s="47">
        <v>0</v>
      </c>
      <c r="P95" s="48">
        <f t="shared" si="2"/>
        <v>10153.209999999999</v>
      </c>
    </row>
    <row r="96" spans="1:16" x14ac:dyDescent="0.3">
      <c r="A96" s="45" t="s">
        <v>182</v>
      </c>
      <c r="B96" s="46" t="str">
        <f>IFERROR(VLOOKUP($A96,Codes!$A:$B,2,FALSE()),"")</f>
        <v>Turnover</v>
      </c>
      <c r="C96" s="5" t="s">
        <v>214</v>
      </c>
      <c r="D96" s="47">
        <v>0</v>
      </c>
      <c r="E96" s="47">
        <v>46.81</v>
      </c>
      <c r="F96" s="47">
        <v>947.8</v>
      </c>
      <c r="G96" s="47">
        <v>0</v>
      </c>
      <c r="H96" s="47">
        <v>0</v>
      </c>
      <c r="I96" s="47">
        <v>285.77999999999997</v>
      </c>
      <c r="J96" s="47">
        <v>175.54</v>
      </c>
      <c r="K96" s="47">
        <v>455.22</v>
      </c>
      <c r="L96" s="47">
        <v>0</v>
      </c>
      <c r="M96" s="47">
        <v>82.48</v>
      </c>
      <c r="N96" s="47">
        <v>46.76</v>
      </c>
      <c r="O96" s="47">
        <v>31.18</v>
      </c>
      <c r="P96" s="48">
        <f t="shared" si="2"/>
        <v>2071.5699999999997</v>
      </c>
    </row>
    <row r="97" spans="1:16" x14ac:dyDescent="0.3">
      <c r="A97" s="45" t="s">
        <v>215</v>
      </c>
      <c r="B97" s="46" t="str">
        <f>IFERROR(VLOOKUP($A97,Codes!$A:$B,2,FALSE()),"")</f>
        <v>Marketing / Advertising</v>
      </c>
      <c r="C97" s="5" t="s">
        <v>216</v>
      </c>
      <c r="D97" s="49">
        <v>5290</v>
      </c>
      <c r="E97" s="47">
        <v>761</v>
      </c>
      <c r="F97" s="47">
        <v>761</v>
      </c>
      <c r="G97" s="47">
        <v>761</v>
      </c>
      <c r="H97" s="47">
        <v>761</v>
      </c>
      <c r="I97" s="47">
        <v>732</v>
      </c>
      <c r="J97" s="47">
        <v>761</v>
      </c>
      <c r="K97" s="47">
        <v>1265</v>
      </c>
      <c r="L97" s="47">
        <v>784</v>
      </c>
      <c r="M97" s="47">
        <v>1597</v>
      </c>
      <c r="N97" s="47">
        <v>0</v>
      </c>
      <c r="O97" s="47">
        <v>784</v>
      </c>
      <c r="P97" s="48">
        <f t="shared" si="2"/>
        <v>14257</v>
      </c>
    </row>
    <row r="98" spans="1:16" x14ac:dyDescent="0.3">
      <c r="A98" s="45" t="s">
        <v>215</v>
      </c>
      <c r="B98" s="46" t="str">
        <f>IFERROR(VLOOKUP($A98,Codes!$A:$B,2,FALSE()),"")</f>
        <v>Marketing / Advertising</v>
      </c>
      <c r="C98" s="5" t="s">
        <v>217</v>
      </c>
      <c r="D98" s="47">
        <v>9758</v>
      </c>
      <c r="E98" s="47">
        <v>7847</v>
      </c>
      <c r="F98" s="47">
        <v>7847</v>
      </c>
      <c r="G98" s="47">
        <v>7598</v>
      </c>
      <c r="H98" s="47">
        <v>8096</v>
      </c>
      <c r="I98" s="47">
        <v>7847</v>
      </c>
      <c r="J98" s="47">
        <v>7598</v>
      </c>
      <c r="K98" s="47">
        <v>7847</v>
      </c>
      <c r="L98" s="47">
        <v>8096</v>
      </c>
      <c r="M98" s="47">
        <v>11136.76</v>
      </c>
      <c r="N98" s="47">
        <v>9491.8799999999992</v>
      </c>
      <c r="O98" s="47">
        <v>9242.8799999999992</v>
      </c>
      <c r="P98" s="48">
        <f t="shared" si="2"/>
        <v>102405.52</v>
      </c>
    </row>
    <row r="99" spans="1:16" x14ac:dyDescent="0.3">
      <c r="A99" s="45" t="s">
        <v>215</v>
      </c>
      <c r="B99" s="46" t="str">
        <f>IFERROR(VLOOKUP($A99,Codes!$A:$B,2,FALSE()),"")</f>
        <v>Marketing / Advertising</v>
      </c>
      <c r="C99" s="5" t="s">
        <v>218</v>
      </c>
      <c r="D99" s="47">
        <v>30</v>
      </c>
      <c r="E99" s="47">
        <v>0</v>
      </c>
      <c r="F99" s="47">
        <v>30</v>
      </c>
      <c r="G99" s="47">
        <v>80</v>
      </c>
      <c r="H99" s="47">
        <v>80</v>
      </c>
      <c r="I99" s="47">
        <v>80</v>
      </c>
      <c r="J99" s="47">
        <v>65</v>
      </c>
      <c r="K99" s="47">
        <v>80</v>
      </c>
      <c r="L99" s="47">
        <v>15</v>
      </c>
      <c r="M99" s="47">
        <v>145</v>
      </c>
      <c r="N99" s="47">
        <v>80</v>
      </c>
      <c r="O99" s="47">
        <v>80</v>
      </c>
      <c r="P99" s="48">
        <f t="shared" ref="P99:P130" si="3">SUM(D99:O99)</f>
        <v>765</v>
      </c>
    </row>
    <row r="100" spans="1:16" x14ac:dyDescent="0.3">
      <c r="A100" s="45" t="s">
        <v>215</v>
      </c>
      <c r="B100" s="46" t="str">
        <f>IFERROR(VLOOKUP($A100,Codes!$A:$B,2,FALSE()),"")</f>
        <v>Marketing / Advertising</v>
      </c>
      <c r="C100" s="5" t="s">
        <v>219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129.6</v>
      </c>
      <c r="P100" s="48">
        <f t="shared" si="3"/>
        <v>129.6</v>
      </c>
    </row>
    <row r="101" spans="1:16" x14ac:dyDescent="0.3">
      <c r="A101" s="45" t="s">
        <v>215</v>
      </c>
      <c r="B101" s="46" t="str">
        <f>IFERROR(VLOOKUP($A101,Codes!$A:$B,2,FALSE()),"")</f>
        <v>Marketing / Advertising</v>
      </c>
      <c r="C101" s="5" t="s">
        <v>220</v>
      </c>
      <c r="D101" s="47">
        <v>335.31</v>
      </c>
      <c r="E101" s="47">
        <v>0</v>
      </c>
      <c r="F101" s="47">
        <v>139.54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8">
        <f t="shared" si="3"/>
        <v>474.85</v>
      </c>
    </row>
    <row r="102" spans="1:16" x14ac:dyDescent="0.3">
      <c r="A102" s="45" t="s">
        <v>215</v>
      </c>
      <c r="B102" s="46" t="str">
        <f>IFERROR(VLOOKUP($A102,Codes!$A:$B,2,FALSE()),"")</f>
        <v>Marketing / Advertising</v>
      </c>
      <c r="C102" s="5" t="s">
        <v>221</v>
      </c>
      <c r="D102" s="47">
        <v>889.84</v>
      </c>
      <c r="E102" s="47">
        <v>537.11</v>
      </c>
      <c r="F102" s="47">
        <v>123.62</v>
      </c>
      <c r="G102" s="47">
        <v>389.77</v>
      </c>
      <c r="H102" s="47">
        <v>245.69</v>
      </c>
      <c r="I102" s="47">
        <v>402.91</v>
      </c>
      <c r="J102" s="47">
        <v>1989.37</v>
      </c>
      <c r="K102" s="47">
        <v>314.12</v>
      </c>
      <c r="L102" s="47">
        <v>0</v>
      </c>
      <c r="M102" s="47">
        <v>119.08</v>
      </c>
      <c r="N102" s="47">
        <v>0</v>
      </c>
      <c r="O102" s="47">
        <v>94.53</v>
      </c>
      <c r="P102" s="48">
        <f t="shared" si="3"/>
        <v>5106.0399999999991</v>
      </c>
    </row>
    <row r="103" spans="1:16" x14ac:dyDescent="0.3">
      <c r="A103" s="45" t="s">
        <v>215</v>
      </c>
      <c r="B103" s="46" t="str">
        <f>IFERROR(VLOOKUP($A103,Codes!$A:$B,2,FALSE()),"")</f>
        <v>Marketing / Advertising</v>
      </c>
      <c r="C103" s="5" t="s">
        <v>222</v>
      </c>
      <c r="D103" s="47">
        <v>5800</v>
      </c>
      <c r="E103" s="47">
        <v>10250</v>
      </c>
      <c r="F103" s="47">
        <v>6000</v>
      </c>
      <c r="G103" s="47">
        <v>0</v>
      </c>
      <c r="H103" s="47">
        <v>0</v>
      </c>
      <c r="I103" s="47">
        <v>0</v>
      </c>
      <c r="J103" s="47">
        <v>4000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8">
        <f t="shared" si="3"/>
        <v>26050</v>
      </c>
    </row>
    <row r="104" spans="1:16" x14ac:dyDescent="0.3">
      <c r="A104" s="45" t="s">
        <v>215</v>
      </c>
      <c r="B104" s="46" t="str">
        <f>IFERROR(VLOOKUP($A104,Codes!$A:$B,2,FALSE()),"")</f>
        <v>Marketing / Advertising</v>
      </c>
      <c r="C104" s="5" t="s">
        <v>223</v>
      </c>
      <c r="D104" s="47">
        <v>203.91</v>
      </c>
      <c r="E104" s="47">
        <v>1095.06</v>
      </c>
      <c r="F104" s="47">
        <v>568.38</v>
      </c>
      <c r="G104" s="47">
        <v>0</v>
      </c>
      <c r="H104" s="47">
        <v>2754.39</v>
      </c>
      <c r="I104" s="47">
        <v>87.3</v>
      </c>
      <c r="J104" s="47">
        <v>2297.85</v>
      </c>
      <c r="K104" s="47">
        <v>810.93</v>
      </c>
      <c r="L104" s="47">
        <v>97.6</v>
      </c>
      <c r="M104" s="47">
        <v>455.8</v>
      </c>
      <c r="N104" s="47">
        <v>0</v>
      </c>
      <c r="O104" s="47">
        <v>2486.64</v>
      </c>
      <c r="P104" s="48">
        <f t="shared" si="3"/>
        <v>10857.859999999999</v>
      </c>
    </row>
    <row r="105" spans="1:16" x14ac:dyDescent="0.3">
      <c r="A105" s="45" t="s">
        <v>215</v>
      </c>
      <c r="B105" s="46" t="str">
        <f>IFERROR(VLOOKUP($A105,Codes!$A:$B,2,FALSE()),"")</f>
        <v>Marketing / Advertising</v>
      </c>
      <c r="C105" s="5" t="s">
        <v>224</v>
      </c>
      <c r="D105" s="47">
        <v>120.16</v>
      </c>
      <c r="E105" s="47">
        <v>221.07</v>
      </c>
      <c r="F105" s="47">
        <v>0</v>
      </c>
      <c r="G105" s="47">
        <v>0</v>
      </c>
      <c r="H105" s="47">
        <v>236.84</v>
      </c>
      <c r="I105" s="47">
        <v>-0.02</v>
      </c>
      <c r="J105" s="47">
        <v>0</v>
      </c>
      <c r="K105" s="47">
        <v>19.98</v>
      </c>
      <c r="L105" s="47">
        <v>0</v>
      </c>
      <c r="M105" s="47">
        <v>43.88</v>
      </c>
      <c r="N105" s="47">
        <v>0</v>
      </c>
      <c r="O105" s="47">
        <v>598.42999999999995</v>
      </c>
      <c r="P105" s="48">
        <f t="shared" si="3"/>
        <v>1240.3400000000001</v>
      </c>
    </row>
    <row r="106" spans="1:16" x14ac:dyDescent="0.3">
      <c r="A106" s="45" t="s">
        <v>215</v>
      </c>
      <c r="B106" s="46" t="str">
        <f>IFERROR(VLOOKUP($A106,Codes!$A:$B,2,FALSE()),"")</f>
        <v>Marketing / Advertising</v>
      </c>
      <c r="C106" s="5" t="s">
        <v>225</v>
      </c>
      <c r="D106" s="47">
        <v>1500</v>
      </c>
      <c r="E106" s="47">
        <v>1500</v>
      </c>
      <c r="F106" s="47">
        <v>6000</v>
      </c>
      <c r="G106" s="47">
        <v>3000</v>
      </c>
      <c r="H106" s="47">
        <v>0</v>
      </c>
      <c r="I106" s="47">
        <v>0</v>
      </c>
      <c r="J106" s="47">
        <v>1500</v>
      </c>
      <c r="K106" s="47">
        <v>3000</v>
      </c>
      <c r="L106" s="47">
        <v>1500</v>
      </c>
      <c r="M106" s="47">
        <v>0</v>
      </c>
      <c r="N106" s="47">
        <v>0</v>
      </c>
      <c r="O106" s="47">
        <v>4500</v>
      </c>
      <c r="P106" s="48">
        <f t="shared" si="3"/>
        <v>22500</v>
      </c>
    </row>
    <row r="107" spans="1:16" x14ac:dyDescent="0.3">
      <c r="A107" s="45" t="s">
        <v>215</v>
      </c>
      <c r="B107" s="46" t="str">
        <f>IFERROR(VLOOKUP($A107,Codes!$A:$B,2,FALSE()),"")</f>
        <v>Marketing / Advertising</v>
      </c>
      <c r="C107" s="5" t="s">
        <v>226</v>
      </c>
      <c r="D107" s="47">
        <v>-2019</v>
      </c>
      <c r="E107" s="47">
        <v>699</v>
      </c>
      <c r="F107" s="49">
        <v>9580</v>
      </c>
      <c r="G107" s="47">
        <v>-1512</v>
      </c>
      <c r="H107" s="47">
        <v>1264</v>
      </c>
      <c r="I107" s="47">
        <v>4349.8599999999997</v>
      </c>
      <c r="J107" s="47">
        <v>4128.83</v>
      </c>
      <c r="K107" s="47">
        <v>6102</v>
      </c>
      <c r="L107" s="47">
        <v>78</v>
      </c>
      <c r="M107" s="47">
        <v>1878</v>
      </c>
      <c r="N107" s="47">
        <v>0</v>
      </c>
      <c r="O107" s="47">
        <v>2268.75</v>
      </c>
      <c r="P107" s="48">
        <f t="shared" si="3"/>
        <v>26817.440000000002</v>
      </c>
    </row>
    <row r="108" spans="1:16" x14ac:dyDescent="0.3">
      <c r="A108" s="45" t="s">
        <v>215</v>
      </c>
      <c r="B108" s="46" t="str">
        <f>IFERROR(VLOOKUP($A108,Codes!$A:$B,2,FALSE()),"")</f>
        <v>Marketing / Advertising</v>
      </c>
      <c r="C108" s="5" t="s">
        <v>227</v>
      </c>
      <c r="D108" s="47">
        <v>425</v>
      </c>
      <c r="E108" s="47">
        <v>694.54</v>
      </c>
      <c r="F108" s="47">
        <v>265</v>
      </c>
      <c r="G108" s="47">
        <v>690</v>
      </c>
      <c r="H108" s="47">
        <v>0</v>
      </c>
      <c r="I108" s="47">
        <v>345</v>
      </c>
      <c r="J108" s="47">
        <v>-160</v>
      </c>
      <c r="K108" s="49">
        <v>4638.6000000000004</v>
      </c>
      <c r="L108" s="47">
        <v>0</v>
      </c>
      <c r="M108" s="47">
        <v>0</v>
      </c>
      <c r="N108" s="47">
        <v>0</v>
      </c>
      <c r="O108" s="47">
        <v>0</v>
      </c>
      <c r="P108" s="48">
        <f t="shared" si="3"/>
        <v>6898.14</v>
      </c>
    </row>
    <row r="109" spans="1:16" x14ac:dyDescent="0.3">
      <c r="A109" s="45" t="s">
        <v>215</v>
      </c>
      <c r="B109" s="46" t="str">
        <f>IFERROR(VLOOKUP($A109,Codes!$A:$B,2,FALSE()),"")</f>
        <v>Marketing / Advertising</v>
      </c>
      <c r="C109" s="5" t="s">
        <v>228</v>
      </c>
      <c r="D109" s="47">
        <v>930</v>
      </c>
      <c r="E109" s="47">
        <v>538.5</v>
      </c>
      <c r="F109" s="47">
        <v>1321.5</v>
      </c>
      <c r="G109" s="47">
        <v>1125</v>
      </c>
      <c r="H109" s="47">
        <v>2035.1</v>
      </c>
      <c r="I109" s="47">
        <v>1108</v>
      </c>
      <c r="J109" s="47">
        <v>3517.5</v>
      </c>
      <c r="K109" s="47">
        <v>2119.9699999999998</v>
      </c>
      <c r="L109" s="47">
        <v>299.58999999999997</v>
      </c>
      <c r="M109" s="47">
        <v>1769.13</v>
      </c>
      <c r="N109" s="47">
        <v>1075.5999999999999</v>
      </c>
      <c r="O109" s="47">
        <v>1902.2</v>
      </c>
      <c r="P109" s="48">
        <f t="shared" si="3"/>
        <v>17742.09</v>
      </c>
    </row>
    <row r="110" spans="1:16" x14ac:dyDescent="0.3">
      <c r="A110" s="45" t="s">
        <v>165</v>
      </c>
      <c r="B110" s="46" t="str">
        <f>IFERROR(VLOOKUP($A110,Codes!$A:$B,2,FALSE()),"")</f>
        <v>General &amp; Administrative</v>
      </c>
      <c r="C110" s="5" t="s">
        <v>229</v>
      </c>
      <c r="D110" s="47">
        <v>1502.64</v>
      </c>
      <c r="E110" s="47">
        <v>158.94999999999999</v>
      </c>
      <c r="F110" s="47">
        <v>903.4</v>
      </c>
      <c r="G110" s="47">
        <v>833.14</v>
      </c>
      <c r="H110" s="47">
        <v>949.31</v>
      </c>
      <c r="I110" s="47">
        <v>760.3</v>
      </c>
      <c r="J110" s="47">
        <v>143.59</v>
      </c>
      <c r="K110" s="47">
        <v>380.49</v>
      </c>
      <c r="L110" s="47">
        <v>663.4</v>
      </c>
      <c r="M110" s="47">
        <v>524.07000000000005</v>
      </c>
      <c r="N110" s="47">
        <v>230.57</v>
      </c>
      <c r="O110" s="47">
        <v>189.98</v>
      </c>
      <c r="P110" s="48">
        <f t="shared" si="3"/>
        <v>7239.8399999999992</v>
      </c>
    </row>
    <row r="111" spans="1:16" x14ac:dyDescent="0.3">
      <c r="A111" s="45" t="s">
        <v>165</v>
      </c>
      <c r="B111" s="46" t="str">
        <f>IFERROR(VLOOKUP($A111,Codes!$A:$B,2,FALSE()),"")</f>
        <v>General &amp; Administrative</v>
      </c>
      <c r="C111" s="5" t="s">
        <v>230</v>
      </c>
      <c r="D111" s="47">
        <v>200</v>
      </c>
      <c r="E111" s="47">
        <v>200</v>
      </c>
      <c r="F111" s="47">
        <v>175</v>
      </c>
      <c r="G111" s="47">
        <v>150</v>
      </c>
      <c r="H111" s="47">
        <v>150</v>
      </c>
      <c r="I111" s="47">
        <v>175</v>
      </c>
      <c r="J111" s="47">
        <v>175</v>
      </c>
      <c r="K111" s="47">
        <v>175</v>
      </c>
      <c r="L111" s="47">
        <v>92.32</v>
      </c>
      <c r="M111" s="47">
        <v>184.64</v>
      </c>
      <c r="N111" s="47">
        <v>184.64</v>
      </c>
      <c r="O111" s="47">
        <v>242.34</v>
      </c>
      <c r="P111" s="48">
        <f t="shared" si="3"/>
        <v>2103.94</v>
      </c>
    </row>
    <row r="112" spans="1:16" x14ac:dyDescent="0.3">
      <c r="A112" s="45" t="s">
        <v>165</v>
      </c>
      <c r="B112" s="46" t="str">
        <f>IFERROR(VLOOKUP($A112,Codes!$A:$B,2,FALSE()),"")</f>
        <v>General &amp; Administrative</v>
      </c>
      <c r="C112" s="5" t="s">
        <v>231</v>
      </c>
      <c r="D112" s="47">
        <v>339.75</v>
      </c>
      <c r="E112" s="47">
        <v>219.9</v>
      </c>
      <c r="F112" s="47">
        <v>199.95</v>
      </c>
      <c r="G112" s="47">
        <v>244.85</v>
      </c>
      <c r="H112" s="47">
        <v>244.85</v>
      </c>
      <c r="I112" s="47">
        <v>244.85</v>
      </c>
      <c r="J112" s="47">
        <v>199.95</v>
      </c>
      <c r="K112" s="47">
        <v>0</v>
      </c>
      <c r="L112" s="47">
        <v>505.7</v>
      </c>
      <c r="M112" s="47">
        <v>252.85</v>
      </c>
      <c r="N112" s="47">
        <v>0</v>
      </c>
      <c r="O112" s="47">
        <v>505.7</v>
      </c>
      <c r="P112" s="48">
        <f t="shared" si="3"/>
        <v>2958.3499999999995</v>
      </c>
    </row>
    <row r="113" spans="1:16" x14ac:dyDescent="0.3">
      <c r="A113" s="45" t="s">
        <v>165</v>
      </c>
      <c r="B113" s="46" t="str">
        <f>IFERROR(VLOOKUP($A113,Codes!$A:$B,2,FALSE()),"")</f>
        <v>General &amp; Administrative</v>
      </c>
      <c r="C113" s="5" t="s">
        <v>232</v>
      </c>
      <c r="D113" s="47">
        <v>110.86</v>
      </c>
      <c r="E113" s="47">
        <v>110.86</v>
      </c>
      <c r="F113" s="47">
        <v>110.86</v>
      </c>
      <c r="G113" s="47">
        <v>110.86</v>
      </c>
      <c r="H113" s="47">
        <v>110.86</v>
      </c>
      <c r="I113" s="47">
        <v>110.86</v>
      </c>
      <c r="J113" s="47">
        <v>110.86</v>
      </c>
      <c r="K113" s="47">
        <v>110.86</v>
      </c>
      <c r="L113" s="47">
        <v>110.86</v>
      </c>
      <c r="M113" s="47">
        <v>0</v>
      </c>
      <c r="N113" s="47">
        <v>110.86</v>
      </c>
      <c r="O113" s="47">
        <v>0</v>
      </c>
      <c r="P113" s="48">
        <f t="shared" si="3"/>
        <v>1108.5999999999999</v>
      </c>
    </row>
    <row r="114" spans="1:16" x14ac:dyDescent="0.3">
      <c r="A114" s="45" t="s">
        <v>165</v>
      </c>
      <c r="B114" s="46" t="str">
        <f>IFERROR(VLOOKUP($A114,Codes!$A:$B,2,FALSE()),"")</f>
        <v>General &amp; Administrative</v>
      </c>
      <c r="C114" s="5" t="s">
        <v>233</v>
      </c>
      <c r="D114" s="47">
        <v>0</v>
      </c>
      <c r="E114" s="47">
        <v>0</v>
      </c>
      <c r="F114" s="47">
        <v>0</v>
      </c>
      <c r="G114" s="47">
        <v>1500</v>
      </c>
      <c r="H114" s="47">
        <v>295</v>
      </c>
      <c r="I114" s="47">
        <v>295</v>
      </c>
      <c r="J114" s="47">
        <v>250</v>
      </c>
      <c r="K114" s="47">
        <v>0</v>
      </c>
      <c r="L114" s="47">
        <v>0</v>
      </c>
      <c r="M114" s="47">
        <v>0</v>
      </c>
      <c r="N114" s="47">
        <v>0</v>
      </c>
      <c r="O114" s="47">
        <v>295</v>
      </c>
      <c r="P114" s="48">
        <f t="shared" si="3"/>
        <v>2635</v>
      </c>
    </row>
    <row r="115" spans="1:16" x14ac:dyDescent="0.3">
      <c r="A115" s="45" t="s">
        <v>165</v>
      </c>
      <c r="B115" s="46" t="str">
        <f>IFERROR(VLOOKUP($A115,Codes!$A:$B,2,FALSE()),"")</f>
        <v>General &amp; Administrative</v>
      </c>
      <c r="C115" s="5" t="s">
        <v>234</v>
      </c>
      <c r="D115" s="49">
        <v>2707.5</v>
      </c>
      <c r="E115" s="47">
        <v>507.5</v>
      </c>
      <c r="F115" s="47">
        <v>507.5</v>
      </c>
      <c r="G115" s="47">
        <v>507.5</v>
      </c>
      <c r="H115" s="47">
        <v>507.5</v>
      </c>
      <c r="I115" s="47">
        <v>507.5</v>
      </c>
      <c r="J115" s="47">
        <v>507.5</v>
      </c>
      <c r="K115" s="47">
        <v>507.5</v>
      </c>
      <c r="L115" s="47">
        <v>478.5</v>
      </c>
      <c r="M115" s="47">
        <v>536.5</v>
      </c>
      <c r="N115" s="47">
        <v>507.5</v>
      </c>
      <c r="O115" s="47">
        <v>507.5</v>
      </c>
      <c r="P115" s="48">
        <f t="shared" si="3"/>
        <v>8290</v>
      </c>
    </row>
    <row r="116" spans="1:16" x14ac:dyDescent="0.3">
      <c r="A116" s="45" t="s">
        <v>165</v>
      </c>
      <c r="B116" s="46" t="str">
        <f>IFERROR(VLOOKUP($A116,Codes!$A:$B,2,FALSE()),"")</f>
        <v>General &amp; Administrative</v>
      </c>
      <c r="C116" s="5" t="s">
        <v>235</v>
      </c>
      <c r="D116" s="47">
        <v>0</v>
      </c>
      <c r="E116" s="47">
        <v>0</v>
      </c>
      <c r="F116" s="47">
        <v>0</v>
      </c>
      <c r="G116" s="47">
        <v>280</v>
      </c>
      <c r="H116" s="47">
        <v>280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8">
        <f t="shared" si="3"/>
        <v>560</v>
      </c>
    </row>
    <row r="117" spans="1:16" x14ac:dyDescent="0.3">
      <c r="A117" s="45" t="s">
        <v>165</v>
      </c>
      <c r="B117" s="46" t="str">
        <f>IFERROR(VLOOKUP($A117,Codes!$A:$B,2,FALSE()),"")</f>
        <v>General &amp; Administrative</v>
      </c>
      <c r="C117" s="5" t="s">
        <v>236</v>
      </c>
      <c r="D117" s="47">
        <v>0</v>
      </c>
      <c r="E117" s="47">
        <v>36.31</v>
      </c>
      <c r="F117" s="47">
        <v>0</v>
      </c>
      <c r="G117" s="47">
        <v>271.66000000000003</v>
      </c>
      <c r="H117" s="47">
        <v>228.28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8">
        <f t="shared" si="3"/>
        <v>536.25</v>
      </c>
    </row>
    <row r="118" spans="1:16" x14ac:dyDescent="0.3">
      <c r="A118" s="45" t="s">
        <v>165</v>
      </c>
      <c r="B118" s="46" t="str">
        <f>IFERROR(VLOOKUP($A118,Codes!$A:$B,2,FALSE()),"")</f>
        <v>General &amp; Administrative</v>
      </c>
      <c r="C118" s="5" t="s">
        <v>237</v>
      </c>
      <c r="D118" s="47">
        <v>244.32</v>
      </c>
      <c r="E118" s="47">
        <v>64.680000000000007</v>
      </c>
      <c r="F118" s="47">
        <v>65.040000000000006</v>
      </c>
      <c r="G118" s="47">
        <v>61.93</v>
      </c>
      <c r="H118" s="47">
        <v>64.709999999999994</v>
      </c>
      <c r="I118" s="47">
        <v>166.41</v>
      </c>
      <c r="J118" s="47">
        <v>251.63</v>
      </c>
      <c r="K118" s="47">
        <v>327.55</v>
      </c>
      <c r="L118" s="47">
        <v>64.680000000000007</v>
      </c>
      <c r="M118" s="47">
        <v>93.16</v>
      </c>
      <c r="N118" s="47">
        <v>66.3</v>
      </c>
      <c r="O118" s="47">
        <v>79.06</v>
      </c>
      <c r="P118" s="48">
        <f t="shared" si="3"/>
        <v>1549.47</v>
      </c>
    </row>
    <row r="119" spans="1:16" x14ac:dyDescent="0.3">
      <c r="A119" s="45" t="s">
        <v>165</v>
      </c>
      <c r="B119" s="46" t="str">
        <f>IFERROR(VLOOKUP($A119,Codes!$A:$B,2,FALSE()),"")</f>
        <v>General &amp; Administrative</v>
      </c>
      <c r="C119" s="5" t="s">
        <v>238</v>
      </c>
      <c r="D119" s="47">
        <v>0</v>
      </c>
      <c r="E119" s="47">
        <v>447.04</v>
      </c>
      <c r="F119" s="47">
        <v>0</v>
      </c>
      <c r="G119" s="47">
        <v>0</v>
      </c>
      <c r="H119" s="47">
        <v>137.31</v>
      </c>
      <c r="I119" s="47">
        <v>-8.65</v>
      </c>
      <c r="J119" s="47">
        <v>0</v>
      </c>
      <c r="K119" s="47">
        <v>101.16</v>
      </c>
      <c r="L119" s="47">
        <v>125.3</v>
      </c>
      <c r="M119" s="47">
        <v>0</v>
      </c>
      <c r="N119" s="47">
        <v>0</v>
      </c>
      <c r="O119" s="47">
        <v>22.72</v>
      </c>
      <c r="P119" s="48">
        <f t="shared" si="3"/>
        <v>824.88</v>
      </c>
    </row>
    <row r="120" spans="1:16" x14ac:dyDescent="0.3">
      <c r="A120" s="45" t="s">
        <v>165</v>
      </c>
      <c r="B120" s="46" t="str">
        <f>IFERROR(VLOOKUP($A120,Codes!$A:$B,2,FALSE()),"")</f>
        <v>General &amp; Administrative</v>
      </c>
      <c r="C120" s="5" t="s">
        <v>239</v>
      </c>
      <c r="D120" s="47">
        <v>145.41</v>
      </c>
      <c r="E120" s="47">
        <v>206.59</v>
      </c>
      <c r="F120" s="47">
        <v>242.53</v>
      </c>
      <c r="G120" s="47">
        <v>116</v>
      </c>
      <c r="H120" s="47">
        <v>116</v>
      </c>
      <c r="I120" s="47">
        <v>133.27000000000001</v>
      </c>
      <c r="J120" s="47">
        <v>151.74</v>
      </c>
      <c r="K120" s="47">
        <v>116</v>
      </c>
      <c r="L120" s="47">
        <v>13.76</v>
      </c>
      <c r="M120" s="47">
        <v>232</v>
      </c>
      <c r="N120" s="47">
        <v>128.72</v>
      </c>
      <c r="O120" s="47">
        <v>116</v>
      </c>
      <c r="P120" s="48">
        <f t="shared" si="3"/>
        <v>1718.02</v>
      </c>
    </row>
    <row r="121" spans="1:16" x14ac:dyDescent="0.3">
      <c r="A121" s="45" t="s">
        <v>165</v>
      </c>
      <c r="B121" s="46" t="str">
        <f>IFERROR(VLOOKUP($A121,Codes!$A:$B,2,FALSE()),"")</f>
        <v>General &amp; Administrative</v>
      </c>
      <c r="C121" s="5" t="s">
        <v>240</v>
      </c>
      <c r="D121" s="47">
        <v>403.37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8">
        <f t="shared" si="3"/>
        <v>403.37</v>
      </c>
    </row>
    <row r="122" spans="1:16" x14ac:dyDescent="0.3">
      <c r="A122" s="45" t="s">
        <v>165</v>
      </c>
      <c r="B122" s="46" t="str">
        <f>IFERROR(VLOOKUP($A122,Codes!$A:$B,2,FALSE()),"")</f>
        <v>General &amp; Administrative</v>
      </c>
      <c r="C122" s="5" t="s">
        <v>241</v>
      </c>
      <c r="D122" s="47">
        <v>878.36</v>
      </c>
      <c r="E122" s="47">
        <v>932.43</v>
      </c>
      <c r="F122" s="47">
        <v>1114.43</v>
      </c>
      <c r="G122" s="47">
        <v>1090.6199999999999</v>
      </c>
      <c r="H122" s="47">
        <v>1393.88</v>
      </c>
      <c r="I122" s="47">
        <v>880.43</v>
      </c>
      <c r="J122" s="47">
        <v>1077.76</v>
      </c>
      <c r="K122" s="47">
        <v>386.43</v>
      </c>
      <c r="L122" s="47">
        <v>464.43</v>
      </c>
      <c r="M122" s="47">
        <v>906.43</v>
      </c>
      <c r="N122" s="47">
        <v>1348.43</v>
      </c>
      <c r="O122" s="47">
        <v>958.43</v>
      </c>
      <c r="P122" s="48">
        <f t="shared" si="3"/>
        <v>11432.060000000001</v>
      </c>
    </row>
    <row r="123" spans="1:16" x14ac:dyDescent="0.3">
      <c r="A123" s="45" t="s">
        <v>165</v>
      </c>
      <c r="B123" s="46" t="str">
        <f>IFERROR(VLOOKUP($A123,Codes!$A:$B,2,FALSE()),"")</f>
        <v>General &amp; Administrative</v>
      </c>
      <c r="C123" s="5" t="s">
        <v>242</v>
      </c>
      <c r="D123" s="47">
        <v>-230</v>
      </c>
      <c r="E123" s="47">
        <v>230</v>
      </c>
      <c r="F123" s="47">
        <v>0</v>
      </c>
      <c r="G123" s="47">
        <v>0</v>
      </c>
      <c r="H123" s="47">
        <v>0</v>
      </c>
      <c r="I123" s="47">
        <v>-230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211.06</v>
      </c>
      <c r="P123" s="48">
        <f t="shared" si="3"/>
        <v>-18.939999999999998</v>
      </c>
    </row>
    <row r="124" spans="1:16" x14ac:dyDescent="0.3">
      <c r="A124" s="45" t="s">
        <v>165</v>
      </c>
      <c r="B124" s="46" t="str">
        <f>IFERROR(VLOOKUP($A124,Codes!$A:$B,2,FALSE()),"")</f>
        <v>General &amp; Administrative</v>
      </c>
      <c r="C124" s="5" t="s">
        <v>243</v>
      </c>
      <c r="D124" s="47">
        <v>139.72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8">
        <f t="shared" si="3"/>
        <v>139.72</v>
      </c>
    </row>
    <row r="125" spans="1:16" x14ac:dyDescent="0.3">
      <c r="A125" s="45" t="s">
        <v>165</v>
      </c>
      <c r="B125" s="46" t="str">
        <f>IFERROR(VLOOKUP($A125,Codes!$A:$B,2,FALSE()),"")</f>
        <v>General &amp; Administrative</v>
      </c>
      <c r="C125" s="5" t="s">
        <v>244</v>
      </c>
      <c r="D125" s="47">
        <v>711.98</v>
      </c>
      <c r="E125" s="47">
        <v>721.97</v>
      </c>
      <c r="F125" s="47">
        <v>1135.27</v>
      </c>
      <c r="G125" s="47">
        <v>151.58000000000001</v>
      </c>
      <c r="H125" s="47">
        <v>296.67</v>
      </c>
      <c r="I125" s="47">
        <v>92.2</v>
      </c>
      <c r="J125" s="47">
        <v>248</v>
      </c>
      <c r="K125" s="47">
        <v>105.24</v>
      </c>
      <c r="L125" s="47">
        <v>-287.18</v>
      </c>
      <c r="M125" s="47">
        <v>-108.06</v>
      </c>
      <c r="N125" s="47">
        <v>467.22</v>
      </c>
      <c r="O125" s="47">
        <v>244.79</v>
      </c>
      <c r="P125" s="48">
        <f t="shared" si="3"/>
        <v>3779.6800000000003</v>
      </c>
    </row>
    <row r="126" spans="1:16" x14ac:dyDescent="0.3">
      <c r="A126" s="45" t="s">
        <v>165</v>
      </c>
      <c r="B126" s="46" t="str">
        <f>IFERROR(VLOOKUP($A126,Codes!$A:$B,2,FALSE()),"")</f>
        <v>General &amp; Administrative</v>
      </c>
      <c r="C126" s="5" t="s">
        <v>245</v>
      </c>
      <c r="D126" s="47">
        <v>729.87</v>
      </c>
      <c r="E126" s="47">
        <v>597.38</v>
      </c>
      <c r="F126" s="47">
        <v>836.5</v>
      </c>
      <c r="G126" s="47">
        <v>901.58</v>
      </c>
      <c r="H126" s="47">
        <v>719.04</v>
      </c>
      <c r="I126" s="47">
        <v>729.87</v>
      </c>
      <c r="J126" s="47">
        <v>848.97</v>
      </c>
      <c r="K126" s="47">
        <v>719.04</v>
      </c>
      <c r="L126" s="47">
        <v>182.54</v>
      </c>
      <c r="M126" s="47">
        <v>719.04</v>
      </c>
      <c r="N126" s="47">
        <v>1255.54</v>
      </c>
      <c r="O126" s="47">
        <v>729.87</v>
      </c>
      <c r="P126" s="48">
        <f t="shared" si="3"/>
        <v>8969.24</v>
      </c>
    </row>
    <row r="127" spans="1:16" x14ac:dyDescent="0.3">
      <c r="A127" s="45" t="s">
        <v>165</v>
      </c>
      <c r="B127" s="46" t="str">
        <f>IFERROR(VLOOKUP($A127,Codes!$A:$B,2,FALSE()),"")</f>
        <v>General &amp; Administrative</v>
      </c>
      <c r="C127" s="5" t="s">
        <v>246</v>
      </c>
      <c r="D127" s="47">
        <v>2631.02</v>
      </c>
      <c r="E127" s="47">
        <v>2694.47</v>
      </c>
      <c r="F127" s="47">
        <v>2459.4299999999998</v>
      </c>
      <c r="G127" s="47">
        <v>2627.38</v>
      </c>
      <c r="H127" s="47">
        <v>3004.74</v>
      </c>
      <c r="I127" s="47">
        <v>2698.56</v>
      </c>
      <c r="J127" s="47">
        <v>2557.8000000000002</v>
      </c>
      <c r="K127" s="47">
        <v>2698.56</v>
      </c>
      <c r="L127" s="47">
        <v>0</v>
      </c>
      <c r="M127" s="47">
        <v>5891.65</v>
      </c>
      <c r="N127" s="47">
        <v>2586.8000000000002</v>
      </c>
      <c r="O127" s="47">
        <v>2586.8000000000002</v>
      </c>
      <c r="P127" s="48">
        <f t="shared" si="3"/>
        <v>32437.21</v>
      </c>
    </row>
    <row r="128" spans="1:16" x14ac:dyDescent="0.3">
      <c r="A128" s="45" t="s">
        <v>165</v>
      </c>
      <c r="B128" s="46" t="str">
        <f>IFERROR(VLOOKUP($A128,Codes!$A:$B,2,FALSE()),"")</f>
        <v>General &amp; Administrative</v>
      </c>
      <c r="C128" s="5" t="s">
        <v>247</v>
      </c>
      <c r="D128" s="47">
        <v>0</v>
      </c>
      <c r="E128" s="47">
        <v>0</v>
      </c>
      <c r="F128" s="47">
        <v>0</v>
      </c>
      <c r="G128" s="47">
        <v>0</v>
      </c>
      <c r="H128" s="47">
        <v>1074.5999999999999</v>
      </c>
      <c r="I128" s="47">
        <v>0</v>
      </c>
      <c r="J128" s="47">
        <v>0</v>
      </c>
      <c r="K128" s="47">
        <v>1076.5</v>
      </c>
      <c r="L128" s="47">
        <v>0</v>
      </c>
      <c r="M128" s="47">
        <v>0</v>
      </c>
      <c r="N128" s="47">
        <v>0</v>
      </c>
      <c r="O128" s="47">
        <v>0</v>
      </c>
      <c r="P128" s="48">
        <f t="shared" si="3"/>
        <v>2151.1</v>
      </c>
    </row>
    <row r="129" spans="1:16" x14ac:dyDescent="0.3">
      <c r="A129" s="45" t="s">
        <v>165</v>
      </c>
      <c r="B129" s="46" t="str">
        <f>IFERROR(VLOOKUP($A129,Codes!$A:$B,2,FALSE()),"")</f>
        <v>General &amp; Administrative</v>
      </c>
      <c r="C129" s="5" t="s">
        <v>248</v>
      </c>
      <c r="D129" s="47">
        <v>475.56</v>
      </c>
      <c r="E129" s="47">
        <v>160.26</v>
      </c>
      <c r="F129" s="47">
        <v>-0.45</v>
      </c>
      <c r="G129" s="47">
        <v>298.54000000000002</v>
      </c>
      <c r="H129" s="47">
        <v>279</v>
      </c>
      <c r="I129" s="47">
        <v>354.78</v>
      </c>
      <c r="J129" s="47">
        <v>520.34</v>
      </c>
      <c r="K129" s="47">
        <v>317.04000000000002</v>
      </c>
      <c r="L129" s="47">
        <v>37.89</v>
      </c>
      <c r="M129" s="47">
        <v>453.33</v>
      </c>
      <c r="N129" s="47">
        <v>615.42999999999995</v>
      </c>
      <c r="O129" s="47">
        <v>316.89</v>
      </c>
      <c r="P129" s="48">
        <f t="shared" si="3"/>
        <v>3828.6099999999992</v>
      </c>
    </row>
    <row r="130" spans="1:16" x14ac:dyDescent="0.3">
      <c r="A130" s="45" t="s">
        <v>165</v>
      </c>
      <c r="B130" s="46" t="str">
        <f>IFERROR(VLOOKUP($A130,Codes!$A:$B,2,FALSE()),"")</f>
        <v>General &amp; Administrative</v>
      </c>
      <c r="C130" s="5" t="s">
        <v>249</v>
      </c>
      <c r="D130" s="47">
        <v>348</v>
      </c>
      <c r="E130" s="47">
        <v>0</v>
      </c>
      <c r="F130" s="47">
        <v>0</v>
      </c>
      <c r="G130" s="47">
        <v>0</v>
      </c>
      <c r="H130" s="47">
        <v>261</v>
      </c>
      <c r="I130" s="47">
        <v>87</v>
      </c>
      <c r="J130" s="47">
        <v>87</v>
      </c>
      <c r="K130" s="47">
        <v>203.5</v>
      </c>
      <c r="L130" s="47">
        <v>101.5</v>
      </c>
      <c r="M130" s="47">
        <v>203</v>
      </c>
      <c r="N130" s="47">
        <v>87</v>
      </c>
      <c r="O130" s="47">
        <v>676.54</v>
      </c>
      <c r="P130" s="48">
        <f t="shared" si="3"/>
        <v>2054.54</v>
      </c>
    </row>
    <row r="131" spans="1:16" x14ac:dyDescent="0.3">
      <c r="A131" s="45" t="s">
        <v>250</v>
      </c>
      <c r="B131" s="46" t="str">
        <f>IFERROR(VLOOKUP($A131,Codes!$A:$B,2,FALSE()),"")</f>
        <v>Property Management Fee</v>
      </c>
      <c r="C131" s="5" t="s">
        <v>251</v>
      </c>
      <c r="D131" s="47">
        <v>12899.22</v>
      </c>
      <c r="E131" s="47">
        <v>13135.77</v>
      </c>
      <c r="F131" s="47">
        <v>13130.14</v>
      </c>
      <c r="G131" s="47">
        <v>13198.74</v>
      </c>
      <c r="H131" s="47">
        <v>13697.9</v>
      </c>
      <c r="I131" s="47">
        <v>14504.7</v>
      </c>
      <c r="J131" s="47">
        <v>13652.43</v>
      </c>
      <c r="K131" s="47">
        <v>12979.19</v>
      </c>
      <c r="L131" s="47">
        <v>12948.91</v>
      </c>
      <c r="M131" s="47">
        <v>13419.36</v>
      </c>
      <c r="N131" s="47">
        <v>13005.99</v>
      </c>
      <c r="O131" s="47">
        <v>13328.99</v>
      </c>
      <c r="P131" s="48">
        <f t="shared" ref="P131:P162" si="4">SUM(D131:O131)</f>
        <v>159901.33999999997</v>
      </c>
    </row>
    <row r="132" spans="1:16" x14ac:dyDescent="0.3">
      <c r="A132" s="45" t="s">
        <v>252</v>
      </c>
      <c r="B132" s="46" t="str">
        <f>IFERROR(VLOOKUP($A132,Codes!$A:$B,2,FALSE()),"")</f>
        <v>Insurance</v>
      </c>
      <c r="C132" s="5" t="s">
        <v>253</v>
      </c>
      <c r="D132" s="47">
        <v>17731.25</v>
      </c>
      <c r="E132" s="47">
        <v>17731.25</v>
      </c>
      <c r="F132" s="47">
        <v>17731.25</v>
      </c>
      <c r="G132" s="47">
        <v>17731.25</v>
      </c>
      <c r="H132" s="47">
        <v>17731.2</v>
      </c>
      <c r="I132" s="47">
        <v>17731.25</v>
      </c>
      <c r="J132" s="47">
        <v>17731.25</v>
      </c>
      <c r="K132" s="47">
        <v>17731.240000000002</v>
      </c>
      <c r="L132" s="47">
        <v>19504.330000000002</v>
      </c>
      <c r="M132" s="47">
        <v>9369.19</v>
      </c>
      <c r="N132" s="47">
        <v>14436.76</v>
      </c>
      <c r="O132" s="47">
        <v>14436.76</v>
      </c>
      <c r="P132" s="48">
        <f t="shared" si="4"/>
        <v>199596.98000000004</v>
      </c>
    </row>
    <row r="133" spans="1:16" x14ac:dyDescent="0.3">
      <c r="A133" s="45" t="s">
        <v>158</v>
      </c>
      <c r="B133" s="46" t="str">
        <f>IFERROR(VLOOKUP($A133,Codes!$A:$B,2,FALSE()),"")</f>
        <v>Real Estate Taxes</v>
      </c>
      <c r="C133" s="5" t="s">
        <v>254</v>
      </c>
      <c r="D133" s="47">
        <v>78683.33</v>
      </c>
      <c r="E133" s="47">
        <v>78683.33</v>
      </c>
      <c r="F133" s="47">
        <v>78683.33</v>
      </c>
      <c r="G133" s="47">
        <v>78683.33</v>
      </c>
      <c r="H133" s="47">
        <v>78683.33</v>
      </c>
      <c r="I133" s="47">
        <v>78683.33</v>
      </c>
      <c r="J133" s="47">
        <v>-26820.39</v>
      </c>
      <c r="K133" s="47">
        <v>69092.09</v>
      </c>
      <c r="L133" s="47">
        <v>76610</v>
      </c>
      <c r="M133" s="47">
        <v>76610</v>
      </c>
      <c r="N133" s="47">
        <v>76610</v>
      </c>
      <c r="O133" s="47">
        <v>76610</v>
      </c>
      <c r="P133" s="48">
        <f t="shared" si="4"/>
        <v>820811.68</v>
      </c>
    </row>
    <row r="134" spans="1:16" x14ac:dyDescent="0.3">
      <c r="A134" s="45" t="s">
        <v>158</v>
      </c>
      <c r="B134" s="46" t="str">
        <f>IFERROR(VLOOKUP($A134,Codes!$A:$B,2,FALSE()),"")</f>
        <v>Real Estate Taxes</v>
      </c>
      <c r="C134" s="5" t="s">
        <v>255</v>
      </c>
      <c r="D134" s="47">
        <v>300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8">
        <f t="shared" si="4"/>
        <v>300</v>
      </c>
    </row>
    <row r="135" spans="1:16" x14ac:dyDescent="0.3">
      <c r="A135" s="45" t="s">
        <v>158</v>
      </c>
      <c r="B135" s="46" t="str">
        <f>IFERROR(VLOOKUP($A135,Codes!$A:$B,2,FALSE()),"")</f>
        <v>Real Estate Taxes</v>
      </c>
      <c r="C135" s="5" t="s">
        <v>256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3500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8">
        <f t="shared" si="4"/>
        <v>3500</v>
      </c>
    </row>
    <row r="136" spans="1:16" x14ac:dyDescent="0.3">
      <c r="A136" s="45" t="s">
        <v>158</v>
      </c>
      <c r="B136" s="46" t="str">
        <f>IFERROR(VLOOKUP($A136,Codes!$A:$B,2,FALSE()),"")</f>
        <v>Real Estate Taxes</v>
      </c>
      <c r="C136" s="5" t="s">
        <v>257</v>
      </c>
      <c r="D136" s="47">
        <v>3296.24</v>
      </c>
      <c r="E136" s="47">
        <v>3396.03</v>
      </c>
      <c r="F136" s="47">
        <v>3355.94</v>
      </c>
      <c r="G136" s="47">
        <v>3378.98</v>
      </c>
      <c r="H136" s="47">
        <v>3509.55</v>
      </c>
      <c r="I136" s="47">
        <v>3604.35</v>
      </c>
      <c r="J136" s="47">
        <v>3579.07</v>
      </c>
      <c r="K136" s="47">
        <v>3368.4</v>
      </c>
      <c r="L136" s="47">
        <v>3306.24</v>
      </c>
      <c r="M136" s="47">
        <v>3340.13</v>
      </c>
      <c r="N136" s="47">
        <v>3420.09</v>
      </c>
      <c r="O136" s="47">
        <v>3437.75</v>
      </c>
      <c r="P136" s="48">
        <f t="shared" si="4"/>
        <v>40992.770000000004</v>
      </c>
    </row>
    <row r="137" spans="1:16" x14ac:dyDescent="0.3">
      <c r="A137" s="45" t="s">
        <v>158</v>
      </c>
      <c r="B137" s="46" t="str">
        <f>IFERROR(VLOOKUP($A137,Codes!$A:$B,2,FALSE()),"")</f>
        <v>Real Estate Taxes</v>
      </c>
      <c r="C137" s="5" t="s">
        <v>258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57792.2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8">
        <f t="shared" si="4"/>
        <v>57792.2</v>
      </c>
    </row>
    <row r="139" spans="1:16" x14ac:dyDescent="0.3">
      <c r="A139" s="79" t="s">
        <v>259</v>
      </c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</row>
    <row r="140" spans="1:16" x14ac:dyDescent="0.3">
      <c r="A140" s="76" t="s">
        <v>260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</row>
    <row r="141" spans="1:16" x14ac:dyDescent="0.3">
      <c r="A141" s="76" t="s">
        <v>261</v>
      </c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</row>
    <row r="142" spans="1:16" x14ac:dyDescent="0.3">
      <c r="A142" s="76" t="s">
        <v>262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</row>
    <row r="143" spans="1:16" x14ac:dyDescent="0.3">
      <c r="A143" s="76" t="s">
        <v>263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</row>
    <row r="144" spans="1:16" x14ac:dyDescent="0.3">
      <c r="A144" s="76" t="s">
        <v>264</v>
      </c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</row>
    <row r="145" spans="1:12" x14ac:dyDescent="0.3">
      <c r="A145" s="76" t="s">
        <v>265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</row>
    <row r="146" spans="1:12" x14ac:dyDescent="0.3">
      <c r="A146" s="76" t="s">
        <v>266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</row>
    <row r="147" spans="1:12" x14ac:dyDescent="0.3">
      <c r="A147" s="76" t="s">
        <v>267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</row>
  </sheetData>
  <mergeCells count="9">
    <mergeCell ref="A139:L139"/>
    <mergeCell ref="A147:L147"/>
    <mergeCell ref="A142:L142"/>
    <mergeCell ref="A141:L141"/>
    <mergeCell ref="A143:L143"/>
    <mergeCell ref="A144:L144"/>
    <mergeCell ref="A140:L140"/>
    <mergeCell ref="A146:L146"/>
    <mergeCell ref="A145:L145"/>
  </mergeCells>
  <dataValidations count="1">
    <dataValidation type="list" allowBlank="1" errorTitle="Invalid code" error="Pick a standardized code from the list (or clear to exclude)." promptTitle="Editable code" prompt="Edit this code to re-map the line. OS Summary updates automatically." sqref="A2:A137" xr:uid="{00000000-0002-0000-0100-000000000000}">
      <formula1>CodeList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7"/>
  <sheetViews>
    <sheetView showGridLines="0" workbookViewId="0">
      <pane xSplit="5" ySplit="6" topLeftCell="F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2" customWidth="1"/>
    <col min="3" max="5" width="9" customWidth="1"/>
    <col min="6" max="17" width="12" customWidth="1"/>
  </cols>
  <sheetData>
    <row r="1" spans="1:17" ht="16.8" x14ac:dyDescent="0.3">
      <c r="B1" s="50" t="s">
        <v>268</v>
      </c>
    </row>
    <row r="2" spans="1:17" x14ac:dyDescent="0.3">
      <c r="B2" s="2" t="s">
        <v>269</v>
      </c>
    </row>
    <row r="3" spans="1:17" x14ac:dyDescent="0.3">
      <c r="B3" s="51" t="s">
        <v>270</v>
      </c>
    </row>
    <row r="4" spans="1:17" x14ac:dyDescent="0.3">
      <c r="C4" s="52" t="s">
        <v>271</v>
      </c>
      <c r="D4" s="52" t="s">
        <v>271</v>
      </c>
      <c r="E4" s="52" t="s">
        <v>271</v>
      </c>
      <c r="F4" s="53" t="s">
        <v>272</v>
      </c>
      <c r="G4" s="53" t="s">
        <v>272</v>
      </c>
      <c r="H4" s="53" t="s">
        <v>272</v>
      </c>
      <c r="I4" s="53" t="s">
        <v>272</v>
      </c>
      <c r="J4" s="53" t="s">
        <v>272</v>
      </c>
      <c r="K4" s="53" t="s">
        <v>272</v>
      </c>
      <c r="L4" s="53" t="s">
        <v>272</v>
      </c>
      <c r="M4" s="53" t="s">
        <v>272</v>
      </c>
      <c r="N4" s="53" t="s">
        <v>272</v>
      </c>
      <c r="O4" s="53" t="s">
        <v>272</v>
      </c>
      <c r="P4" s="53" t="s">
        <v>272</v>
      </c>
      <c r="Q4" s="53" t="s">
        <v>272</v>
      </c>
    </row>
    <row r="5" spans="1:17" x14ac:dyDescent="0.3">
      <c r="F5" s="42">
        <v>45778</v>
      </c>
      <c r="G5" s="42">
        <v>45809</v>
      </c>
      <c r="H5" s="42">
        <v>45839</v>
      </c>
      <c r="I5" s="42">
        <v>45870</v>
      </c>
      <c r="J5" s="42">
        <v>45901</v>
      </c>
      <c r="K5" s="42">
        <v>45931</v>
      </c>
      <c r="L5" s="42">
        <v>45962</v>
      </c>
      <c r="M5" s="42">
        <v>45992</v>
      </c>
      <c r="N5" s="42">
        <v>46023</v>
      </c>
      <c r="O5" s="42">
        <v>46054</v>
      </c>
      <c r="P5" s="42">
        <v>46082</v>
      </c>
      <c r="Q5" s="42">
        <v>46113</v>
      </c>
    </row>
    <row r="6" spans="1:17" x14ac:dyDescent="0.3">
      <c r="A6" s="41" t="s">
        <v>95</v>
      </c>
      <c r="B6" s="38" t="s">
        <v>273</v>
      </c>
    </row>
    <row r="7" spans="1:17" x14ac:dyDescent="0.3">
      <c r="A7" s="54" t="s">
        <v>100</v>
      </c>
      <c r="B7" s="5" t="s">
        <v>274</v>
      </c>
      <c r="F7" s="55">
        <f>SUMIFS('T12 Categorized'!D:D,'T12 Categorized'!$A:$A,$A7)</f>
        <v>560362.9</v>
      </c>
      <c r="G7" s="55">
        <f>SUMIFS('T12 Categorized'!E:E,'T12 Categorized'!$A:$A,$A7)</f>
        <v>560283.32999999996</v>
      </c>
      <c r="H7" s="55">
        <f>SUMIFS('T12 Categorized'!F:F,'T12 Categorized'!$A:$A,$A7)</f>
        <v>560272.57999999996</v>
      </c>
      <c r="I7" s="55">
        <f>SUMIFS('T12 Categorized'!G:G,'T12 Categorized'!$A:$A,$A7)</f>
        <v>559614.52</v>
      </c>
      <c r="J7" s="55">
        <f>SUMIFS('T12 Categorized'!H:H,'T12 Categorized'!$A:$A,$A7)</f>
        <v>559550</v>
      </c>
      <c r="K7" s="55">
        <f>SUMIFS('T12 Categorized'!I:I,'T12 Categorized'!$A:$A,$A7)</f>
        <v>559769.35</v>
      </c>
      <c r="L7" s="55">
        <f>SUMIFS('T12 Categorized'!J:J,'T12 Categorized'!$A:$A,$A7)</f>
        <v>559350</v>
      </c>
      <c r="M7" s="55">
        <f>SUMIFS('T12 Categorized'!K:K,'T12 Categorized'!$A:$A,$A7)</f>
        <v>559820.97</v>
      </c>
      <c r="N7" s="55">
        <f>SUMIFS('T12 Categorized'!L:L,'T12 Categorized'!$A:$A,$A7)</f>
        <v>559666.13</v>
      </c>
      <c r="O7" s="55">
        <f>SUMIFS('T12 Categorized'!M:M,'T12 Categorized'!$A:$A,$A7)</f>
        <v>559707.14</v>
      </c>
      <c r="P7" s="55">
        <f>SUMIFS('T12 Categorized'!N:N,'T12 Categorized'!$A:$A,$A7)</f>
        <v>560132.26</v>
      </c>
      <c r="Q7" s="55">
        <f>SUMIFS('T12 Categorized'!O:O,'T12 Categorized'!$A:$A,$A7)</f>
        <v>559886.66</v>
      </c>
    </row>
    <row r="8" spans="1:17" x14ac:dyDescent="0.3">
      <c r="A8" s="54" t="s">
        <v>119</v>
      </c>
      <c r="B8" s="5" t="s">
        <v>275</v>
      </c>
      <c r="F8" s="55">
        <f>SUMIFS('T12 Categorized'!D:D,'T12 Categorized'!$A:$A,$A8)</f>
        <v>8089.05</v>
      </c>
      <c r="G8" s="55">
        <f>SUMIFS('T12 Categorized'!E:E,'T12 Categorized'!$A:$A,$A8)</f>
        <v>13543.97</v>
      </c>
      <c r="H8" s="55">
        <f>SUMIFS('T12 Categorized'!F:F,'T12 Categorized'!$A:$A,$A8)</f>
        <v>2301.9</v>
      </c>
      <c r="I8" s="55">
        <f>SUMIFS('T12 Categorized'!G:G,'T12 Categorized'!$A:$A,$A8)</f>
        <v>7760.52</v>
      </c>
      <c r="J8" s="55">
        <f>SUMIFS('T12 Categorized'!H:H,'T12 Categorized'!$A:$A,$A8)</f>
        <v>16194.51</v>
      </c>
      <c r="K8" s="55">
        <f>SUMIFS('T12 Categorized'!I:I,'T12 Categorized'!$A:$A,$A8)</f>
        <v>15595.09</v>
      </c>
      <c r="L8" s="55">
        <f>SUMIFS('T12 Categorized'!J:J,'T12 Categorized'!$A:$A,$A8)</f>
        <v>21356.58</v>
      </c>
      <c r="M8" s="55">
        <f>SUMIFS('T12 Categorized'!K:K,'T12 Categorized'!$A:$A,$A8)</f>
        <v>6500.52</v>
      </c>
      <c r="N8" s="55">
        <f>SUMIFS('T12 Categorized'!L:L,'T12 Categorized'!$A:$A,$A8)</f>
        <v>11917.51</v>
      </c>
      <c r="O8" s="55">
        <f>SUMIFS('T12 Categorized'!M:M,'T12 Categorized'!$A:$A,$A8)</f>
        <v>10691.33</v>
      </c>
      <c r="P8" s="55">
        <f>SUMIFS('T12 Categorized'!N:N,'T12 Categorized'!$A:$A,$A8)</f>
        <v>17428.259999999998</v>
      </c>
      <c r="Q8" s="55">
        <f>SUMIFS('T12 Categorized'!O:O,'T12 Categorized'!$A:$A,$A8)</f>
        <v>23681.5</v>
      </c>
    </row>
    <row r="9" spans="1:17" x14ac:dyDescent="0.3">
      <c r="A9" s="54" t="s">
        <v>136</v>
      </c>
      <c r="B9" s="5" t="s">
        <v>276</v>
      </c>
      <c r="F9" s="55">
        <f>SUMIFS('T12 Categorized'!D:D,'T12 Categorized'!$A:$A,$A9)</f>
        <v>6959.11</v>
      </c>
      <c r="G9" s="55">
        <f>SUMIFS('T12 Categorized'!E:E,'T12 Categorized'!$A:$A,$A9)</f>
        <v>7143.5</v>
      </c>
      <c r="H9" s="55">
        <f>SUMIFS('T12 Categorized'!F:F,'T12 Categorized'!$A:$A,$A9)</f>
        <v>7380.64</v>
      </c>
      <c r="I9" s="55">
        <f>SUMIFS('T12 Categorized'!G:G,'T12 Categorized'!$A:$A,$A9)</f>
        <v>7337.77</v>
      </c>
      <c r="J9" s="55">
        <f>SUMIFS('T12 Categorized'!H:H,'T12 Categorized'!$A:$A,$A9)</f>
        <v>7228.83</v>
      </c>
      <c r="K9" s="55">
        <f>SUMIFS('T12 Categorized'!I:I,'T12 Categorized'!$A:$A,$A9)</f>
        <v>7292.49</v>
      </c>
      <c r="L9" s="55">
        <f>SUMIFS('T12 Categorized'!J:J,'T12 Categorized'!$A:$A,$A9)</f>
        <v>6808.47</v>
      </c>
      <c r="M9" s="55">
        <f>SUMIFS('T12 Categorized'!K:K,'T12 Categorized'!$A:$A,$A9)</f>
        <v>6969.01</v>
      </c>
      <c r="N9" s="55">
        <f>SUMIFS('T12 Categorized'!L:L,'T12 Categorized'!$A:$A,$A9)</f>
        <v>6428.92</v>
      </c>
      <c r="O9" s="55">
        <f>SUMIFS('T12 Categorized'!M:M,'T12 Categorized'!$A:$A,$A9)</f>
        <v>6438.11</v>
      </c>
      <c r="P9" s="55">
        <f>SUMIFS('T12 Categorized'!N:N,'T12 Categorized'!$A:$A,$A9)</f>
        <v>6786.85</v>
      </c>
      <c r="Q9" s="55">
        <f>SUMIFS('T12 Categorized'!O:O,'T12 Categorized'!$A:$A,$A9)</f>
        <v>6531.75</v>
      </c>
    </row>
    <row r="10" spans="1:17" x14ac:dyDescent="0.3">
      <c r="A10" s="54" t="s">
        <v>138</v>
      </c>
      <c r="B10" s="5" t="s">
        <v>277</v>
      </c>
      <c r="F10" s="55">
        <f>SUMIFS('T12 Categorized'!D:D,'T12 Categorized'!$A:$A,$A10)</f>
        <v>7588.49</v>
      </c>
      <c r="G10" s="55">
        <f>SUMIFS('T12 Categorized'!E:E,'T12 Categorized'!$A:$A,$A10)</f>
        <v>7495.05</v>
      </c>
      <c r="H10" s="55">
        <f>SUMIFS('T12 Categorized'!F:F,'T12 Categorized'!$A:$A,$A10)</f>
        <v>7663.84</v>
      </c>
      <c r="I10" s="55">
        <f>SUMIFS('T12 Categorized'!G:G,'T12 Categorized'!$A:$A,$A10)</f>
        <v>7618.37</v>
      </c>
      <c r="J10" s="55">
        <f>SUMIFS('T12 Categorized'!H:H,'T12 Categorized'!$A:$A,$A10)</f>
        <v>7467.65</v>
      </c>
      <c r="K10" s="55">
        <f>SUMIFS('T12 Categorized'!I:I,'T12 Categorized'!$A:$A,$A10)</f>
        <v>7585.84</v>
      </c>
      <c r="L10" s="55">
        <f>SUMIFS('T12 Categorized'!J:J,'T12 Categorized'!$A:$A,$A10)</f>
        <v>7579.56</v>
      </c>
      <c r="M10" s="55">
        <f>SUMIFS('T12 Categorized'!K:K,'T12 Categorized'!$A:$A,$A10)</f>
        <v>6915.2</v>
      </c>
      <c r="N10" s="55">
        <f>SUMIFS('T12 Categorized'!L:L,'T12 Categorized'!$A:$A,$A10)</f>
        <v>7073.64</v>
      </c>
      <c r="O10" s="55">
        <f>SUMIFS('T12 Categorized'!M:M,'T12 Categorized'!$A:$A,$A10)</f>
        <v>6874.17</v>
      </c>
      <c r="P10" s="55">
        <f>SUMIFS('T12 Categorized'!N:N,'T12 Categorized'!$A:$A,$A10)</f>
        <v>7143.6</v>
      </c>
      <c r="Q10" s="55">
        <f>SUMIFS('T12 Categorized'!O:O,'T12 Categorized'!$A:$A,$A10)</f>
        <v>7132.04</v>
      </c>
    </row>
    <row r="11" spans="1:17" x14ac:dyDescent="0.3">
      <c r="A11" s="54" t="s">
        <v>134</v>
      </c>
      <c r="B11" s="5" t="s">
        <v>278</v>
      </c>
      <c r="F11" s="55">
        <f>SUMIFS('T12 Categorized'!D:D,'T12 Categorized'!$A:$A,$A11)</f>
        <v>1537.6699999999998</v>
      </c>
      <c r="G11" s="55">
        <f>SUMIFS('T12 Categorized'!E:E,'T12 Categorized'!$A:$A,$A11)</f>
        <v>1543.28</v>
      </c>
      <c r="H11" s="55">
        <f>SUMIFS('T12 Categorized'!F:F,'T12 Categorized'!$A:$A,$A11)</f>
        <v>1471.98</v>
      </c>
      <c r="I11" s="55">
        <f>SUMIFS('T12 Categorized'!G:G,'T12 Categorized'!$A:$A,$A11)</f>
        <v>1528.1200000000001</v>
      </c>
      <c r="J11" s="55">
        <f>SUMIFS('T12 Categorized'!H:H,'T12 Categorized'!$A:$A,$A11)</f>
        <v>1318.6</v>
      </c>
      <c r="K11" s="55">
        <f>SUMIFS('T12 Categorized'!I:I,'T12 Categorized'!$A:$A,$A11)</f>
        <v>1411.9899999999998</v>
      </c>
      <c r="L11" s="55">
        <f>SUMIFS('T12 Categorized'!J:J,'T12 Categorized'!$A:$A,$A11)</f>
        <v>1434.1299999999999</v>
      </c>
      <c r="M11" s="55">
        <f>SUMIFS('T12 Categorized'!K:K,'T12 Categorized'!$A:$A,$A11)</f>
        <v>1736.6100000000001</v>
      </c>
      <c r="N11" s="55">
        <f>SUMIFS('T12 Categorized'!L:L,'T12 Categorized'!$A:$A,$A11)</f>
        <v>1383.14</v>
      </c>
      <c r="O11" s="55">
        <f>SUMIFS('T12 Categorized'!M:M,'T12 Categorized'!$A:$A,$A11)</f>
        <v>1258.28</v>
      </c>
      <c r="P11" s="55">
        <f>SUMIFS('T12 Categorized'!N:N,'T12 Categorized'!$A:$A,$A11)</f>
        <v>1310.28</v>
      </c>
      <c r="Q11" s="55">
        <f>SUMIFS('T12 Categorized'!O:O,'T12 Categorized'!$A:$A,$A11)</f>
        <v>1480.3600000000001</v>
      </c>
    </row>
    <row r="12" spans="1:17" x14ac:dyDescent="0.3">
      <c r="A12" s="54" t="s">
        <v>114</v>
      </c>
      <c r="B12" s="5" t="s">
        <v>279</v>
      </c>
      <c r="F12" s="55">
        <f>SUMIFS('T12 Categorized'!D:D,'T12 Categorized'!$A:$A,$A12)</f>
        <v>20205.5</v>
      </c>
      <c r="G12" s="55">
        <f>SUMIFS('T12 Categorized'!E:E,'T12 Categorized'!$A:$A,$A12)</f>
        <v>19949.570000000003</v>
      </c>
      <c r="H12" s="55">
        <f>SUMIFS('T12 Categorized'!F:F,'T12 Categorized'!$A:$A,$A12)</f>
        <v>20017.13</v>
      </c>
      <c r="I12" s="55">
        <f>SUMIFS('T12 Categorized'!G:G,'T12 Categorized'!$A:$A,$A12)</f>
        <v>19930.34</v>
      </c>
      <c r="J12" s="55">
        <f>SUMIFS('T12 Categorized'!H:H,'T12 Categorized'!$A:$A,$A12)</f>
        <v>19605.54</v>
      </c>
      <c r="K12" s="55">
        <f>SUMIFS('T12 Categorized'!I:I,'T12 Categorized'!$A:$A,$A12)</f>
        <v>20656.43</v>
      </c>
      <c r="L12" s="55">
        <f>SUMIFS('T12 Categorized'!J:J,'T12 Categorized'!$A:$A,$A12)</f>
        <v>21221.360000000001</v>
      </c>
      <c r="M12" s="55">
        <f>SUMIFS('T12 Categorized'!K:K,'T12 Categorized'!$A:$A,$A12)</f>
        <v>20286.93</v>
      </c>
      <c r="N12" s="55">
        <f>SUMIFS('T12 Categorized'!L:L,'T12 Categorized'!$A:$A,$A12)</f>
        <v>20637.420000000002</v>
      </c>
      <c r="O12" s="55">
        <f>SUMIFS('T12 Categorized'!M:M,'T12 Categorized'!$A:$A,$A12)</f>
        <v>19255.059999999998</v>
      </c>
      <c r="P12" s="55">
        <f>SUMIFS('T12 Categorized'!N:N,'T12 Categorized'!$A:$A,$A12)</f>
        <v>21046.25</v>
      </c>
      <c r="Q12" s="55">
        <f>SUMIFS('T12 Categorized'!O:O,'T12 Categorized'!$A:$A,$A12)</f>
        <v>19793.23</v>
      </c>
    </row>
    <row r="13" spans="1:17" x14ac:dyDescent="0.3">
      <c r="A13" s="54" t="s">
        <v>280</v>
      </c>
      <c r="B13" s="5" t="s">
        <v>281</v>
      </c>
      <c r="F13" s="55">
        <f>SUMIFS('T12 Categorized'!D:D,'T12 Categorized'!$A:$A,$A13)</f>
        <v>0</v>
      </c>
      <c r="G13" s="55">
        <f>SUMIFS('T12 Categorized'!E:E,'T12 Categorized'!$A:$A,$A13)</f>
        <v>0</v>
      </c>
      <c r="H13" s="55">
        <f>SUMIFS('T12 Categorized'!F:F,'T12 Categorized'!$A:$A,$A13)</f>
        <v>0</v>
      </c>
      <c r="I13" s="55">
        <f>SUMIFS('T12 Categorized'!G:G,'T12 Categorized'!$A:$A,$A13)</f>
        <v>0</v>
      </c>
      <c r="J13" s="55">
        <f>SUMIFS('T12 Categorized'!H:H,'T12 Categorized'!$A:$A,$A13)</f>
        <v>0</v>
      </c>
      <c r="K13" s="55">
        <f>SUMIFS('T12 Categorized'!I:I,'T12 Categorized'!$A:$A,$A13)</f>
        <v>0</v>
      </c>
      <c r="L13" s="55">
        <f>SUMIFS('T12 Categorized'!J:J,'T12 Categorized'!$A:$A,$A13)</f>
        <v>0</v>
      </c>
      <c r="M13" s="55">
        <f>SUMIFS('T12 Categorized'!K:K,'T12 Categorized'!$A:$A,$A13)</f>
        <v>0</v>
      </c>
      <c r="N13" s="55">
        <f>SUMIFS('T12 Categorized'!L:L,'T12 Categorized'!$A:$A,$A13)</f>
        <v>0</v>
      </c>
      <c r="O13" s="55">
        <f>SUMIFS('T12 Categorized'!M:M,'T12 Categorized'!$A:$A,$A13)</f>
        <v>0</v>
      </c>
      <c r="P13" s="55">
        <f>SUMIFS('T12 Categorized'!N:N,'T12 Categorized'!$A:$A,$A13)</f>
        <v>0</v>
      </c>
      <c r="Q13" s="55">
        <f>SUMIFS('T12 Categorized'!O:O,'T12 Categorized'!$A:$A,$A13)</f>
        <v>0</v>
      </c>
    </row>
    <row r="14" spans="1:17" x14ac:dyDescent="0.3">
      <c r="A14" s="54" t="s">
        <v>282</v>
      </c>
      <c r="B14" s="5" t="s">
        <v>283</v>
      </c>
      <c r="F14" s="55">
        <f>SUMIFS('T12 Categorized'!D:D,'T12 Categorized'!$A:$A,$A14)</f>
        <v>0</v>
      </c>
      <c r="G14" s="55">
        <f>SUMIFS('T12 Categorized'!E:E,'T12 Categorized'!$A:$A,$A14)</f>
        <v>0</v>
      </c>
      <c r="H14" s="55">
        <f>SUMIFS('T12 Categorized'!F:F,'T12 Categorized'!$A:$A,$A14)</f>
        <v>0</v>
      </c>
      <c r="I14" s="55">
        <f>SUMIFS('T12 Categorized'!G:G,'T12 Categorized'!$A:$A,$A14)</f>
        <v>0</v>
      </c>
      <c r="J14" s="55">
        <f>SUMIFS('T12 Categorized'!H:H,'T12 Categorized'!$A:$A,$A14)</f>
        <v>0</v>
      </c>
      <c r="K14" s="55">
        <f>SUMIFS('T12 Categorized'!I:I,'T12 Categorized'!$A:$A,$A14)</f>
        <v>0</v>
      </c>
      <c r="L14" s="55">
        <f>SUMIFS('T12 Categorized'!J:J,'T12 Categorized'!$A:$A,$A14)</f>
        <v>0</v>
      </c>
      <c r="M14" s="55">
        <f>SUMIFS('T12 Categorized'!K:K,'T12 Categorized'!$A:$A,$A14)</f>
        <v>0</v>
      </c>
      <c r="N14" s="55">
        <f>SUMIFS('T12 Categorized'!L:L,'T12 Categorized'!$A:$A,$A14)</f>
        <v>0</v>
      </c>
      <c r="O14" s="55">
        <f>SUMIFS('T12 Categorized'!M:M,'T12 Categorized'!$A:$A,$A14)</f>
        <v>0</v>
      </c>
      <c r="P14" s="55">
        <f>SUMIFS('T12 Categorized'!N:N,'T12 Categorized'!$A:$A,$A14)</f>
        <v>0</v>
      </c>
      <c r="Q14" s="55">
        <f>SUMIFS('T12 Categorized'!O:O,'T12 Categorized'!$A:$A,$A14)</f>
        <v>0</v>
      </c>
    </row>
    <row r="15" spans="1:17" x14ac:dyDescent="0.3">
      <c r="A15" s="54" t="s">
        <v>102</v>
      </c>
      <c r="B15" s="5" t="s">
        <v>284</v>
      </c>
      <c r="F15" s="55">
        <f>SUMIFS('T12 Categorized'!D:D,'T12 Categorized'!$A:$A,$A15)</f>
        <v>-27581</v>
      </c>
      <c r="G15" s="55">
        <f>SUMIFS('T12 Categorized'!E:E,'T12 Categorized'!$A:$A,$A15)</f>
        <v>-27745</v>
      </c>
      <c r="H15" s="55">
        <f>SUMIFS('T12 Categorized'!F:F,'T12 Categorized'!$A:$A,$A15)</f>
        <v>-26926</v>
      </c>
      <c r="I15" s="55">
        <f>SUMIFS('T12 Categorized'!G:G,'T12 Categorized'!$A:$A,$A15)</f>
        <v>-25054</v>
      </c>
      <c r="J15" s="55">
        <f>SUMIFS('T12 Categorized'!H:H,'T12 Categorized'!$A:$A,$A15)</f>
        <v>-24168</v>
      </c>
      <c r="K15" s="55">
        <f>SUMIFS('T12 Categorized'!I:I,'T12 Categorized'!$A:$A,$A15)</f>
        <v>-23750</v>
      </c>
      <c r="L15" s="55">
        <f>SUMIFS('T12 Categorized'!J:J,'T12 Categorized'!$A:$A,$A15)</f>
        <v>-24711</v>
      </c>
      <c r="M15" s="55">
        <f>SUMIFS('T12 Categorized'!K:K,'T12 Categorized'!$A:$A,$A15)</f>
        <v>-24276</v>
      </c>
      <c r="N15" s="55">
        <f>SUMIFS('T12 Categorized'!L:L,'T12 Categorized'!$A:$A,$A15)</f>
        <v>-24152</v>
      </c>
      <c r="O15" s="55">
        <f>SUMIFS('T12 Categorized'!M:M,'T12 Categorized'!$A:$A,$A15)</f>
        <v>-27423</v>
      </c>
      <c r="P15" s="55">
        <f>SUMIFS('T12 Categorized'!N:N,'T12 Categorized'!$A:$A,$A15)</f>
        <v>-28527</v>
      </c>
      <c r="Q15" s="55">
        <f>SUMIFS('T12 Categorized'!O:O,'T12 Categorized'!$A:$A,$A15)</f>
        <v>-28582</v>
      </c>
    </row>
    <row r="16" spans="1:17" x14ac:dyDescent="0.3">
      <c r="A16" s="54" t="s">
        <v>104</v>
      </c>
      <c r="B16" s="5" t="s">
        <v>105</v>
      </c>
      <c r="F16" s="55">
        <f>SUMIFS('T12 Categorized'!D:D,'T12 Categorized'!$A:$A,$A16)</f>
        <v>-32059.41</v>
      </c>
      <c r="G16" s="55">
        <f>SUMIFS('T12 Categorized'!E:E,'T12 Categorized'!$A:$A,$A16)</f>
        <v>-39950.81</v>
      </c>
      <c r="H16" s="55">
        <f>SUMIFS('T12 Categorized'!F:F,'T12 Categorized'!$A:$A,$A16)</f>
        <v>-32160.7</v>
      </c>
      <c r="I16" s="55">
        <f>SUMIFS('T12 Categorized'!G:G,'T12 Categorized'!$A:$A,$A16)</f>
        <v>-36295.85</v>
      </c>
      <c r="J16" s="55">
        <f>SUMIFS('T12 Categorized'!H:H,'T12 Categorized'!$A:$A,$A16)</f>
        <v>-45481.47</v>
      </c>
      <c r="K16" s="55">
        <f>SUMIFS('T12 Categorized'!I:I,'T12 Categorized'!$A:$A,$A16)</f>
        <v>-33225.96</v>
      </c>
      <c r="L16" s="55">
        <f>SUMIFS('T12 Categorized'!J:J,'T12 Categorized'!$A:$A,$A16)</f>
        <v>-39789.69</v>
      </c>
      <c r="M16" s="55">
        <f>SUMIFS('T12 Categorized'!K:K,'T12 Categorized'!$A:$A,$A16)</f>
        <v>-54891.16</v>
      </c>
      <c r="N16" s="55">
        <f>SUMIFS('T12 Categorized'!L:L,'T12 Categorized'!$A:$A,$A16)</f>
        <v>-63024.55</v>
      </c>
      <c r="O16" s="55">
        <f>SUMIFS('T12 Categorized'!M:M,'T12 Categorized'!$A:$A,$A16)</f>
        <v>-51062.94</v>
      </c>
      <c r="P16" s="55">
        <f>SUMIFS('T12 Categorized'!N:N,'T12 Categorized'!$A:$A,$A16)</f>
        <v>-37121.019999999997</v>
      </c>
      <c r="Q16" s="55">
        <f>SUMIFS('T12 Categorized'!O:O,'T12 Categorized'!$A:$A,$A16)</f>
        <v>-36993.26</v>
      </c>
    </row>
    <row r="17" spans="1:17" x14ac:dyDescent="0.3">
      <c r="A17" s="54" t="s">
        <v>111</v>
      </c>
      <c r="B17" s="5" t="s">
        <v>285</v>
      </c>
      <c r="F17" s="55">
        <f>SUMIFS('T12 Categorized'!D:D,'T12 Categorized'!$A:$A,$A17)</f>
        <v>578.27</v>
      </c>
      <c r="G17" s="55">
        <f>SUMIFS('T12 Categorized'!E:E,'T12 Categorized'!$A:$A,$A17)</f>
        <v>31.069999999999936</v>
      </c>
      <c r="H17" s="55">
        <f>SUMIFS('T12 Categorized'!F:F,'T12 Categorized'!$A:$A,$A17)</f>
        <v>769.11</v>
      </c>
      <c r="I17" s="55">
        <f>SUMIFS('T12 Categorized'!G:G,'T12 Categorized'!$A:$A,$A17)</f>
        <v>435.61</v>
      </c>
      <c r="J17" s="55">
        <f>SUMIFS('T12 Categorized'!H:H,'T12 Categorized'!$A:$A,$A17)</f>
        <v>1925.3</v>
      </c>
      <c r="K17" s="55">
        <f>SUMIFS('T12 Categorized'!I:I,'T12 Categorized'!$A:$A,$A17)</f>
        <v>361.48</v>
      </c>
      <c r="L17" s="55">
        <f>SUMIFS('T12 Categorized'!J:J,'T12 Categorized'!$A:$A,$A17)</f>
        <v>717.3</v>
      </c>
      <c r="M17" s="55">
        <f>SUMIFS('T12 Categorized'!K:K,'T12 Categorized'!$A:$A,$A17)</f>
        <v>655.42</v>
      </c>
      <c r="N17" s="55">
        <f>SUMIFS('T12 Categorized'!L:L,'T12 Categorized'!$A:$A,$A17)</f>
        <v>9.0299999999999727</v>
      </c>
      <c r="O17" s="55">
        <f>SUMIFS('T12 Categorized'!M:M,'T12 Categorized'!$A:$A,$A17)</f>
        <v>744.14</v>
      </c>
      <c r="P17" s="55">
        <f>SUMIFS('T12 Categorized'!N:N,'T12 Categorized'!$A:$A,$A17)</f>
        <v>317.12</v>
      </c>
      <c r="Q17" s="55">
        <f>SUMIFS('T12 Categorized'!O:O,'T12 Categorized'!$A:$A,$A17)</f>
        <v>794.2</v>
      </c>
    </row>
    <row r="18" spans="1:17" x14ac:dyDescent="0.3">
      <c r="A18" s="54" t="s">
        <v>106</v>
      </c>
      <c r="B18" s="5" t="s">
        <v>286</v>
      </c>
      <c r="F18" s="55">
        <f>SUMIFS('T12 Categorized'!D:D,'T12 Categorized'!$A:$A,$A18)</f>
        <v>-3120</v>
      </c>
      <c r="G18" s="55">
        <f>SUMIFS('T12 Categorized'!E:E,'T12 Categorized'!$A:$A,$A18)</f>
        <v>-3120</v>
      </c>
      <c r="H18" s="55">
        <f>SUMIFS('T12 Categorized'!F:F,'T12 Categorized'!$A:$A,$A18)</f>
        <v>-3120</v>
      </c>
      <c r="I18" s="55">
        <f>SUMIFS('T12 Categorized'!G:G,'T12 Categorized'!$A:$A,$A18)</f>
        <v>-3120</v>
      </c>
      <c r="J18" s="55">
        <f>SUMIFS('T12 Categorized'!H:H,'T12 Categorized'!$A:$A,$A18)</f>
        <v>-3120</v>
      </c>
      <c r="K18" s="55">
        <f>SUMIFS('T12 Categorized'!I:I,'T12 Categorized'!$A:$A,$A18)</f>
        <v>-3120</v>
      </c>
      <c r="L18" s="55">
        <f>SUMIFS('T12 Categorized'!J:J,'T12 Categorized'!$A:$A,$A18)</f>
        <v>-3120</v>
      </c>
      <c r="M18" s="55">
        <f>SUMIFS('T12 Categorized'!K:K,'T12 Categorized'!$A:$A,$A18)</f>
        <v>-3120</v>
      </c>
      <c r="N18" s="55">
        <f>SUMIFS('T12 Categorized'!L:L,'T12 Categorized'!$A:$A,$A18)</f>
        <v>-3120</v>
      </c>
      <c r="O18" s="55">
        <f>SUMIFS('T12 Categorized'!M:M,'T12 Categorized'!$A:$A,$A18)</f>
        <v>-3120</v>
      </c>
      <c r="P18" s="55">
        <f>SUMIFS('T12 Categorized'!N:N,'T12 Categorized'!$A:$A,$A18)</f>
        <v>-3120</v>
      </c>
      <c r="Q18" s="55">
        <f>SUMIFS('T12 Categorized'!O:O,'T12 Categorized'!$A:$A,$A18)</f>
        <v>-2340</v>
      </c>
    </row>
    <row r="19" spans="1:17" x14ac:dyDescent="0.3">
      <c r="A19" s="54" t="s">
        <v>109</v>
      </c>
      <c r="B19" s="5" t="s">
        <v>287</v>
      </c>
      <c r="F19" s="55">
        <f>SUMIFS('T12 Categorized'!D:D,'T12 Categorized'!$A:$A,$A19)</f>
        <v>-51396.97</v>
      </c>
      <c r="G19" s="55">
        <f>SUMIFS('T12 Categorized'!E:E,'T12 Categorized'!$A:$A,$A19)</f>
        <v>-36344.5</v>
      </c>
      <c r="H19" s="55">
        <f>SUMIFS('T12 Categorized'!F:F,'T12 Categorized'!$A:$A,$A19)</f>
        <v>-41734.5</v>
      </c>
      <c r="I19" s="55">
        <f>SUMIFS('T12 Categorized'!G:G,'T12 Categorized'!$A:$A,$A19)</f>
        <v>-40560</v>
      </c>
      <c r="J19" s="55">
        <f>SUMIFS('T12 Categorized'!H:H,'T12 Categorized'!$A:$A,$A19)</f>
        <v>-23142</v>
      </c>
      <c r="K19" s="55">
        <f>SUMIFS('T12 Categorized'!I:I,'T12 Categorized'!$A:$A,$A19)</f>
        <v>-21379.5</v>
      </c>
      <c r="L19" s="55">
        <f>SUMIFS('T12 Categorized'!J:J,'T12 Categorized'!$A:$A,$A19)</f>
        <v>-23729</v>
      </c>
      <c r="M19" s="55">
        <f>SUMIFS('T12 Categorized'!K:K,'T12 Categorized'!$A:$A,$A19)</f>
        <v>-23776</v>
      </c>
      <c r="N19" s="55">
        <f>SUMIFS('T12 Categorized'!L:L,'T12 Categorized'!$A:$A,$A19)</f>
        <v>-29613.919999999998</v>
      </c>
      <c r="O19" s="55">
        <f>SUMIFS('T12 Categorized'!M:M,'T12 Categorized'!$A:$A,$A19)</f>
        <v>-31630</v>
      </c>
      <c r="P19" s="55">
        <f>SUMIFS('T12 Categorized'!N:N,'T12 Categorized'!$A:$A,$A19)</f>
        <v>-41571.5</v>
      </c>
      <c r="Q19" s="55">
        <f>SUMIFS('T12 Categorized'!O:O,'T12 Categorized'!$A:$A,$A19)</f>
        <v>-45133.5</v>
      </c>
    </row>
    <row r="20" spans="1:17" x14ac:dyDescent="0.3">
      <c r="A20" s="43"/>
      <c r="B20" s="44" t="s">
        <v>273</v>
      </c>
      <c r="F20" s="56">
        <f t="shared" ref="F20:Q20" si="0">SUM(F7:F19)</f>
        <v>491163.6100000001</v>
      </c>
      <c r="G20" s="56">
        <f t="shared" si="0"/>
        <v>502829.45999999985</v>
      </c>
      <c r="H20" s="56">
        <f t="shared" si="0"/>
        <v>495935.98</v>
      </c>
      <c r="I20" s="56">
        <f t="shared" si="0"/>
        <v>499195.4</v>
      </c>
      <c r="J20" s="56">
        <f t="shared" si="0"/>
        <v>517378.96000000008</v>
      </c>
      <c r="K20" s="56">
        <f t="shared" si="0"/>
        <v>531197.21</v>
      </c>
      <c r="L20" s="56">
        <f t="shared" si="0"/>
        <v>527117.71</v>
      </c>
      <c r="M20" s="56">
        <f t="shared" si="0"/>
        <v>496821.49999999994</v>
      </c>
      <c r="N20" s="56">
        <f t="shared" si="0"/>
        <v>487205.32000000018</v>
      </c>
      <c r="O20" s="56">
        <f t="shared" si="0"/>
        <v>491732.29000000015</v>
      </c>
      <c r="P20" s="56">
        <f t="shared" si="0"/>
        <v>503825.1</v>
      </c>
      <c r="Q20" s="56">
        <f t="shared" si="0"/>
        <v>506250.98</v>
      </c>
    </row>
    <row r="22" spans="1:17" x14ac:dyDescent="0.3">
      <c r="A22" s="39"/>
      <c r="B22" s="38" t="s">
        <v>288</v>
      </c>
    </row>
    <row r="23" spans="1:17" x14ac:dyDescent="0.3">
      <c r="A23" s="54" t="s">
        <v>143</v>
      </c>
      <c r="B23" s="5" t="s">
        <v>289</v>
      </c>
      <c r="F23" s="55">
        <f>SUMIFS('T12 Categorized'!D:D,'T12 Categorized'!$A:$A,$A23)</f>
        <v>47514.19</v>
      </c>
      <c r="G23" s="55">
        <f>SUMIFS('T12 Categorized'!E:E,'T12 Categorized'!$A:$A,$A23)</f>
        <v>42160.490000000005</v>
      </c>
      <c r="H23" s="55">
        <f>SUMIFS('T12 Categorized'!F:F,'T12 Categorized'!$A:$A,$A23)</f>
        <v>35025.93</v>
      </c>
      <c r="I23" s="55">
        <f>SUMIFS('T12 Categorized'!G:G,'T12 Categorized'!$A:$A,$A23)</f>
        <v>35609.560000000005</v>
      </c>
      <c r="J23" s="55">
        <f>SUMIFS('T12 Categorized'!H:H,'T12 Categorized'!$A:$A,$A23)</f>
        <v>26120.12</v>
      </c>
      <c r="K23" s="55">
        <f>SUMIFS('T12 Categorized'!I:I,'T12 Categorized'!$A:$A,$A23)</f>
        <v>43340.740000000005</v>
      </c>
      <c r="L23" s="55">
        <f>SUMIFS('T12 Categorized'!J:J,'T12 Categorized'!$A:$A,$A23)</f>
        <v>29301.810000000005</v>
      </c>
      <c r="M23" s="55">
        <f>SUMIFS('T12 Categorized'!K:K,'T12 Categorized'!$A:$A,$A23)</f>
        <v>35972.44</v>
      </c>
      <c r="N23" s="55">
        <f>SUMIFS('T12 Categorized'!L:L,'T12 Categorized'!$A:$A,$A23)</f>
        <v>29885.56</v>
      </c>
      <c r="O23" s="55">
        <f>SUMIFS('T12 Categorized'!M:M,'T12 Categorized'!$A:$A,$A23)</f>
        <v>31936.370000000003</v>
      </c>
      <c r="P23" s="55">
        <f>SUMIFS('T12 Categorized'!N:N,'T12 Categorized'!$A:$A,$A23)</f>
        <v>33109.17</v>
      </c>
      <c r="Q23" s="55">
        <f>SUMIFS('T12 Categorized'!O:O,'T12 Categorized'!$A:$A,$A23)</f>
        <v>40455.79</v>
      </c>
    </row>
    <row r="24" spans="1:17" x14ac:dyDescent="0.3">
      <c r="A24" s="54" t="s">
        <v>155</v>
      </c>
      <c r="B24" s="5" t="s">
        <v>290</v>
      </c>
      <c r="F24" s="55">
        <f>SUMIFS('T12 Categorized'!D:D,'T12 Categorized'!$A:$A,$A24)</f>
        <v>4854.84</v>
      </c>
      <c r="G24" s="55">
        <f>SUMIFS('T12 Categorized'!E:E,'T12 Categorized'!$A:$A,$A24)</f>
        <v>3083.18</v>
      </c>
      <c r="H24" s="55">
        <f>SUMIFS('T12 Categorized'!F:F,'T12 Categorized'!$A:$A,$A24)</f>
        <v>3169.32</v>
      </c>
      <c r="I24" s="55">
        <f>SUMIFS('T12 Categorized'!G:G,'T12 Categorized'!$A:$A,$A24)</f>
        <v>3555.0199999999995</v>
      </c>
      <c r="J24" s="55">
        <f>SUMIFS('T12 Categorized'!H:H,'T12 Categorized'!$A:$A,$A24)</f>
        <v>2864.74</v>
      </c>
      <c r="K24" s="55">
        <f>SUMIFS('T12 Categorized'!I:I,'T12 Categorized'!$A:$A,$A24)</f>
        <v>4025.34</v>
      </c>
      <c r="L24" s="55">
        <f>SUMIFS('T12 Categorized'!J:J,'T12 Categorized'!$A:$A,$A24)</f>
        <v>3286.26</v>
      </c>
      <c r="M24" s="55">
        <f>SUMIFS('T12 Categorized'!K:K,'T12 Categorized'!$A:$A,$A24)</f>
        <v>3300.42</v>
      </c>
      <c r="N24" s="55">
        <f>SUMIFS('T12 Categorized'!L:L,'T12 Categorized'!$A:$A,$A24)</f>
        <v>3831.2200000000003</v>
      </c>
      <c r="O24" s="55">
        <f>SUMIFS('T12 Categorized'!M:M,'T12 Categorized'!$A:$A,$A24)</f>
        <v>4210.74</v>
      </c>
      <c r="P24" s="55">
        <f>SUMIFS('T12 Categorized'!N:N,'T12 Categorized'!$A:$A,$A24)</f>
        <v>3927.3999999999996</v>
      </c>
      <c r="Q24" s="55">
        <f>SUMIFS('T12 Categorized'!O:O,'T12 Categorized'!$A:$A,$A24)</f>
        <v>4864.51</v>
      </c>
    </row>
    <row r="25" spans="1:17" x14ac:dyDescent="0.3">
      <c r="A25" s="54" t="s">
        <v>153</v>
      </c>
      <c r="B25" s="5" t="s">
        <v>291</v>
      </c>
      <c r="F25" s="55">
        <f>SUMIFS('T12 Categorized'!D:D,'T12 Categorized'!$A:$A,$A25)</f>
        <v>5804.95</v>
      </c>
      <c r="G25" s="55">
        <f>SUMIFS('T12 Categorized'!E:E,'T12 Categorized'!$A:$A,$A25)</f>
        <v>2953.87</v>
      </c>
      <c r="H25" s="55">
        <f>SUMIFS('T12 Categorized'!F:F,'T12 Categorized'!$A:$A,$A25)</f>
        <v>2444.96</v>
      </c>
      <c r="I25" s="55">
        <f>SUMIFS('T12 Categorized'!G:G,'T12 Categorized'!$A:$A,$A25)</f>
        <v>4250.4399999999996</v>
      </c>
      <c r="J25" s="55">
        <f>SUMIFS('T12 Categorized'!H:H,'T12 Categorized'!$A:$A,$A25)</f>
        <v>7587</v>
      </c>
      <c r="K25" s="55">
        <f>SUMIFS('T12 Categorized'!I:I,'T12 Categorized'!$A:$A,$A25)</f>
        <v>3435.35</v>
      </c>
      <c r="L25" s="55">
        <f>SUMIFS('T12 Categorized'!J:J,'T12 Categorized'!$A:$A,$A25)</f>
        <v>1055.26</v>
      </c>
      <c r="M25" s="55">
        <f>SUMIFS('T12 Categorized'!K:K,'T12 Categorized'!$A:$A,$A25)</f>
        <v>4772.8</v>
      </c>
      <c r="N25" s="55">
        <f>SUMIFS('T12 Categorized'!L:L,'T12 Categorized'!$A:$A,$A25)</f>
        <v>7182.49</v>
      </c>
      <c r="O25" s="55">
        <f>SUMIFS('T12 Categorized'!M:M,'T12 Categorized'!$A:$A,$A25)</f>
        <v>2932.09</v>
      </c>
      <c r="P25" s="55">
        <f>SUMIFS('T12 Categorized'!N:N,'T12 Categorized'!$A:$A,$A25)</f>
        <v>11664.54</v>
      </c>
      <c r="Q25" s="55">
        <f>SUMIFS('T12 Categorized'!O:O,'T12 Categorized'!$A:$A,$A25)</f>
        <v>5933.22</v>
      </c>
    </row>
    <row r="26" spans="1:17" x14ac:dyDescent="0.3">
      <c r="A26" s="54" t="s">
        <v>215</v>
      </c>
      <c r="B26" s="5" t="s">
        <v>292</v>
      </c>
      <c r="F26" s="55">
        <f>SUMIFS('T12 Categorized'!D:D,'T12 Categorized'!$A:$A,$A26)</f>
        <v>23263.22</v>
      </c>
      <c r="G26" s="55">
        <f>SUMIFS('T12 Categorized'!E:E,'T12 Categorized'!$A:$A,$A26)</f>
        <v>24143.280000000002</v>
      </c>
      <c r="H26" s="55">
        <f>SUMIFS('T12 Categorized'!F:F,'T12 Categorized'!$A:$A,$A26)</f>
        <v>32636.04</v>
      </c>
      <c r="I26" s="55">
        <f>SUMIFS('T12 Categorized'!G:G,'T12 Categorized'!$A:$A,$A26)</f>
        <v>12131.77</v>
      </c>
      <c r="J26" s="55">
        <f>SUMIFS('T12 Categorized'!H:H,'T12 Categorized'!$A:$A,$A26)</f>
        <v>15473.02</v>
      </c>
      <c r="K26" s="55">
        <f>SUMIFS('T12 Categorized'!I:I,'T12 Categorized'!$A:$A,$A26)</f>
        <v>14952.05</v>
      </c>
      <c r="L26" s="55">
        <f>SUMIFS('T12 Categorized'!J:J,'T12 Categorized'!$A:$A,$A26)</f>
        <v>25697.549999999996</v>
      </c>
      <c r="M26" s="55">
        <f>SUMIFS('T12 Categorized'!K:K,'T12 Categorized'!$A:$A,$A26)</f>
        <v>26197.599999999999</v>
      </c>
      <c r="N26" s="55">
        <f>SUMIFS('T12 Categorized'!L:L,'T12 Categorized'!$A:$A,$A26)</f>
        <v>10870.19</v>
      </c>
      <c r="O26" s="55">
        <f>SUMIFS('T12 Categorized'!M:M,'T12 Categorized'!$A:$A,$A26)</f>
        <v>17144.649999999998</v>
      </c>
      <c r="P26" s="55">
        <f>SUMIFS('T12 Categorized'!N:N,'T12 Categorized'!$A:$A,$A26)</f>
        <v>10647.48</v>
      </c>
      <c r="Q26" s="55">
        <f>SUMIFS('T12 Categorized'!O:O,'T12 Categorized'!$A:$A,$A26)</f>
        <v>22087.030000000002</v>
      </c>
    </row>
    <row r="27" spans="1:17" x14ac:dyDescent="0.3">
      <c r="A27" s="54" t="s">
        <v>165</v>
      </c>
      <c r="B27" s="5" t="s">
        <v>293</v>
      </c>
      <c r="F27" s="55">
        <f>SUMIFS('T12 Categorized'!D:D,'T12 Categorized'!$A:$A,$A27)</f>
        <v>11338.359999999999</v>
      </c>
      <c r="G27" s="55">
        <f>SUMIFS('T12 Categorized'!E:E,'T12 Categorized'!$A:$A,$A27)</f>
        <v>7288.34</v>
      </c>
      <c r="H27" s="55">
        <f>SUMIFS('T12 Categorized'!F:F,'T12 Categorized'!$A:$A,$A27)</f>
        <v>7195.7400000000007</v>
      </c>
      <c r="I27" s="55">
        <f>SUMIFS('T12 Categorized'!G:G,'T12 Categorized'!$A:$A,$A27)</f>
        <v>9145.64</v>
      </c>
      <c r="J27" s="55">
        <f>SUMIFS('T12 Categorized'!H:H,'T12 Categorized'!$A:$A,$A27)</f>
        <v>10112.75</v>
      </c>
      <c r="K27" s="55">
        <f>SUMIFS('T12 Categorized'!I:I,'T12 Categorized'!$A:$A,$A27)</f>
        <v>7104.9799999999987</v>
      </c>
      <c r="L27" s="55">
        <f>SUMIFS('T12 Categorized'!J:J,'T12 Categorized'!$A:$A,$A27)</f>
        <v>7130.14</v>
      </c>
      <c r="M27" s="55">
        <f>SUMIFS('T12 Categorized'!K:K,'T12 Categorized'!$A:$A,$A27)</f>
        <v>7674.87</v>
      </c>
      <c r="N27" s="55">
        <f>SUMIFS('T12 Categorized'!L:L,'T12 Categorized'!$A:$A,$A27)</f>
        <v>2992.56</v>
      </c>
      <c r="O27" s="55">
        <f>SUMIFS('T12 Categorized'!M:M,'T12 Categorized'!$A:$A,$A27)</f>
        <v>9888.6099999999988</v>
      </c>
      <c r="P27" s="55">
        <f>SUMIFS('T12 Categorized'!N:N,'T12 Categorized'!$A:$A,$A27)</f>
        <v>7589.01</v>
      </c>
      <c r="Q27" s="55">
        <f>SUMIFS('T12 Categorized'!O:O,'T12 Categorized'!$A:$A,$A27)</f>
        <v>8156.05</v>
      </c>
    </row>
    <row r="28" spans="1:17" x14ac:dyDescent="0.3">
      <c r="A28" s="54" t="s">
        <v>182</v>
      </c>
      <c r="B28" s="5" t="s">
        <v>294</v>
      </c>
      <c r="F28" s="55">
        <f>SUMIFS('T12 Categorized'!D:D,'T12 Categorized'!$A:$A,$A28)</f>
        <v>12238.949999999999</v>
      </c>
      <c r="G28" s="55">
        <f>SUMIFS('T12 Categorized'!E:E,'T12 Categorized'!$A:$A,$A28)</f>
        <v>7301.18</v>
      </c>
      <c r="H28" s="55">
        <f>SUMIFS('T12 Categorized'!F:F,'T12 Categorized'!$A:$A,$A28)</f>
        <v>9642.41</v>
      </c>
      <c r="I28" s="55">
        <f>SUMIFS('T12 Categorized'!G:G,'T12 Categorized'!$A:$A,$A28)</f>
        <v>5349.9000000000005</v>
      </c>
      <c r="J28" s="55">
        <f>SUMIFS('T12 Categorized'!H:H,'T12 Categorized'!$A:$A,$A28)</f>
        <v>6746.19</v>
      </c>
      <c r="K28" s="55">
        <f>SUMIFS('T12 Categorized'!I:I,'T12 Categorized'!$A:$A,$A28)</f>
        <v>3228.24</v>
      </c>
      <c r="L28" s="55">
        <f>SUMIFS('T12 Categorized'!J:J,'T12 Categorized'!$A:$A,$A28)</f>
        <v>5587.59</v>
      </c>
      <c r="M28" s="55">
        <f>SUMIFS('T12 Categorized'!K:K,'T12 Categorized'!$A:$A,$A28)</f>
        <v>17243.43</v>
      </c>
      <c r="N28" s="55">
        <f>SUMIFS('T12 Categorized'!L:L,'T12 Categorized'!$A:$A,$A28)</f>
        <v>6906.11</v>
      </c>
      <c r="O28" s="55">
        <f>SUMIFS('T12 Categorized'!M:M,'T12 Categorized'!$A:$A,$A28)</f>
        <v>2769.18</v>
      </c>
      <c r="P28" s="55">
        <f>SUMIFS('T12 Categorized'!N:N,'T12 Categorized'!$A:$A,$A28)</f>
        <v>1531.22</v>
      </c>
      <c r="Q28" s="55">
        <f>SUMIFS('T12 Categorized'!O:O,'T12 Categorized'!$A:$A,$A28)</f>
        <v>31.18</v>
      </c>
    </row>
    <row r="29" spans="1:17" x14ac:dyDescent="0.3">
      <c r="A29" s="54" t="s">
        <v>192</v>
      </c>
      <c r="B29" s="5" t="s">
        <v>295</v>
      </c>
      <c r="F29" s="55">
        <f>SUMIFS('T12 Categorized'!D:D,'T12 Categorized'!$A:$A,$A29)</f>
        <v>3379.41</v>
      </c>
      <c r="G29" s="55">
        <f>SUMIFS('T12 Categorized'!E:E,'T12 Categorized'!$A:$A,$A29)</f>
        <v>5455.23</v>
      </c>
      <c r="H29" s="55">
        <f>SUMIFS('T12 Categorized'!F:F,'T12 Categorized'!$A:$A,$A29)</f>
        <v>3778.63</v>
      </c>
      <c r="I29" s="55">
        <f>SUMIFS('T12 Categorized'!G:G,'T12 Categorized'!$A:$A,$A29)</f>
        <v>9758.59</v>
      </c>
      <c r="J29" s="55">
        <f>SUMIFS('T12 Categorized'!H:H,'T12 Categorized'!$A:$A,$A29)</f>
        <v>8594.4599999999991</v>
      </c>
      <c r="K29" s="55">
        <f>SUMIFS('T12 Categorized'!I:I,'T12 Categorized'!$A:$A,$A29)</f>
        <v>2430.39</v>
      </c>
      <c r="L29" s="55">
        <f>SUMIFS('T12 Categorized'!J:J,'T12 Categorized'!$A:$A,$A29)</f>
        <v>5048.7000000000007</v>
      </c>
      <c r="M29" s="55">
        <f>SUMIFS('T12 Categorized'!K:K,'T12 Categorized'!$A:$A,$A29)</f>
        <v>7339.77</v>
      </c>
      <c r="N29" s="55">
        <f>SUMIFS('T12 Categorized'!L:L,'T12 Categorized'!$A:$A,$A29)</f>
        <v>1253.01</v>
      </c>
      <c r="O29" s="55">
        <f>SUMIFS('T12 Categorized'!M:M,'T12 Categorized'!$A:$A,$A29)</f>
        <v>2514.3999999999996</v>
      </c>
      <c r="P29" s="55">
        <f>SUMIFS('T12 Categorized'!N:N,'T12 Categorized'!$A:$A,$A29)</f>
        <v>4046.05</v>
      </c>
      <c r="Q29" s="55">
        <f>SUMIFS('T12 Categorized'!O:O,'T12 Categorized'!$A:$A,$A29)</f>
        <v>12926.310000000001</v>
      </c>
    </row>
    <row r="30" spans="1:17" x14ac:dyDescent="0.3">
      <c r="A30" s="54" t="s">
        <v>178</v>
      </c>
      <c r="B30" s="5" t="s">
        <v>296</v>
      </c>
      <c r="F30" s="55">
        <f>SUMIFS('T12 Categorized'!D:D,'T12 Categorized'!$A:$A,$A30)</f>
        <v>17519.129999999997</v>
      </c>
      <c r="G30" s="55">
        <f>SUMIFS('T12 Categorized'!E:E,'T12 Categorized'!$A:$A,$A30)</f>
        <v>9670.2100000000009</v>
      </c>
      <c r="H30" s="55">
        <f>SUMIFS('T12 Categorized'!F:F,'T12 Categorized'!$A:$A,$A30)</f>
        <v>13327.98</v>
      </c>
      <c r="I30" s="55">
        <f>SUMIFS('T12 Categorized'!G:G,'T12 Categorized'!$A:$A,$A30)</f>
        <v>9633.8599999999988</v>
      </c>
      <c r="J30" s="55">
        <f>SUMIFS('T12 Categorized'!H:H,'T12 Categorized'!$A:$A,$A30)</f>
        <v>8978.4499999999989</v>
      </c>
      <c r="K30" s="55">
        <f>SUMIFS('T12 Categorized'!I:I,'T12 Categorized'!$A:$A,$A30)</f>
        <v>10643.630000000001</v>
      </c>
      <c r="L30" s="55">
        <f>SUMIFS('T12 Categorized'!J:J,'T12 Categorized'!$A:$A,$A30)</f>
        <v>15811.07</v>
      </c>
      <c r="M30" s="55">
        <f>SUMIFS('T12 Categorized'!K:K,'T12 Categorized'!$A:$A,$A30)</f>
        <v>6689.05</v>
      </c>
      <c r="N30" s="55">
        <f>SUMIFS('T12 Categorized'!L:L,'T12 Categorized'!$A:$A,$A30)</f>
        <v>15053.13</v>
      </c>
      <c r="O30" s="55">
        <f>SUMIFS('T12 Categorized'!M:M,'T12 Categorized'!$A:$A,$A30)</f>
        <v>8712.8000000000011</v>
      </c>
      <c r="P30" s="55">
        <f>SUMIFS('T12 Categorized'!N:N,'T12 Categorized'!$A:$A,$A30)</f>
        <v>-320.19000000000017</v>
      </c>
      <c r="Q30" s="55">
        <f>SUMIFS('T12 Categorized'!O:O,'T12 Categorized'!$A:$A,$A30)</f>
        <v>18318.41</v>
      </c>
    </row>
    <row r="31" spans="1:17" x14ac:dyDescent="0.3">
      <c r="A31" s="54" t="s">
        <v>297</v>
      </c>
      <c r="B31" s="5" t="s">
        <v>298</v>
      </c>
      <c r="F31" s="55">
        <f>SUMIFS('T12 Categorized'!D:D,'T12 Categorized'!$A:$A,$A31)</f>
        <v>0</v>
      </c>
      <c r="G31" s="55">
        <f>SUMIFS('T12 Categorized'!E:E,'T12 Categorized'!$A:$A,$A31)</f>
        <v>0</v>
      </c>
      <c r="H31" s="55">
        <f>SUMIFS('T12 Categorized'!F:F,'T12 Categorized'!$A:$A,$A31)</f>
        <v>0</v>
      </c>
      <c r="I31" s="55">
        <f>SUMIFS('T12 Categorized'!G:G,'T12 Categorized'!$A:$A,$A31)</f>
        <v>0</v>
      </c>
      <c r="J31" s="55">
        <f>SUMIFS('T12 Categorized'!H:H,'T12 Categorized'!$A:$A,$A31)</f>
        <v>0</v>
      </c>
      <c r="K31" s="55">
        <f>SUMIFS('T12 Categorized'!I:I,'T12 Categorized'!$A:$A,$A31)</f>
        <v>0</v>
      </c>
      <c r="L31" s="55">
        <f>SUMIFS('T12 Categorized'!J:J,'T12 Categorized'!$A:$A,$A31)</f>
        <v>0</v>
      </c>
      <c r="M31" s="55">
        <f>SUMIFS('T12 Categorized'!K:K,'T12 Categorized'!$A:$A,$A31)</f>
        <v>0</v>
      </c>
      <c r="N31" s="55">
        <f>SUMIFS('T12 Categorized'!L:L,'T12 Categorized'!$A:$A,$A31)</f>
        <v>0</v>
      </c>
      <c r="O31" s="55">
        <f>SUMIFS('T12 Categorized'!M:M,'T12 Categorized'!$A:$A,$A31)</f>
        <v>0</v>
      </c>
      <c r="P31" s="55">
        <f>SUMIFS('T12 Categorized'!N:N,'T12 Categorized'!$A:$A,$A31)</f>
        <v>0</v>
      </c>
      <c r="Q31" s="55">
        <f>SUMIFS('T12 Categorized'!O:O,'T12 Categorized'!$A:$A,$A31)</f>
        <v>0</v>
      </c>
    </row>
    <row r="32" spans="1:17" x14ac:dyDescent="0.3">
      <c r="A32" s="54" t="s">
        <v>299</v>
      </c>
      <c r="B32" s="5" t="s">
        <v>258</v>
      </c>
      <c r="F32" s="55">
        <f>SUMIFS('T12 Categorized'!D:D,'T12 Categorized'!$A:$A,$A32)</f>
        <v>0</v>
      </c>
      <c r="G32" s="55">
        <f>SUMIFS('T12 Categorized'!E:E,'T12 Categorized'!$A:$A,$A32)</f>
        <v>0</v>
      </c>
      <c r="H32" s="55">
        <f>SUMIFS('T12 Categorized'!F:F,'T12 Categorized'!$A:$A,$A32)</f>
        <v>0</v>
      </c>
      <c r="I32" s="55">
        <f>SUMIFS('T12 Categorized'!G:G,'T12 Categorized'!$A:$A,$A32)</f>
        <v>0</v>
      </c>
      <c r="J32" s="55">
        <f>SUMIFS('T12 Categorized'!H:H,'T12 Categorized'!$A:$A,$A32)</f>
        <v>0</v>
      </c>
      <c r="K32" s="55">
        <f>SUMIFS('T12 Categorized'!I:I,'T12 Categorized'!$A:$A,$A32)</f>
        <v>0</v>
      </c>
      <c r="L32" s="55">
        <f>SUMIFS('T12 Categorized'!J:J,'T12 Categorized'!$A:$A,$A32)</f>
        <v>0</v>
      </c>
      <c r="M32" s="55">
        <f>SUMIFS('T12 Categorized'!K:K,'T12 Categorized'!$A:$A,$A32)</f>
        <v>0</v>
      </c>
      <c r="N32" s="55">
        <f>SUMIFS('T12 Categorized'!L:L,'T12 Categorized'!$A:$A,$A32)</f>
        <v>0</v>
      </c>
      <c r="O32" s="55">
        <f>SUMIFS('T12 Categorized'!M:M,'T12 Categorized'!$A:$A,$A32)</f>
        <v>0</v>
      </c>
      <c r="P32" s="55">
        <f>SUMIFS('T12 Categorized'!N:N,'T12 Categorized'!$A:$A,$A32)</f>
        <v>0</v>
      </c>
      <c r="Q32" s="55">
        <f>SUMIFS('T12 Categorized'!O:O,'T12 Categorized'!$A:$A,$A32)</f>
        <v>0</v>
      </c>
    </row>
    <row r="33" spans="1:17" x14ac:dyDescent="0.3">
      <c r="A33" s="54" t="s">
        <v>300</v>
      </c>
      <c r="B33" s="5" t="s">
        <v>301</v>
      </c>
      <c r="F33" s="55">
        <f>SUMIFS('T12 Categorized'!D:D,'T12 Categorized'!$A:$A,$A33)</f>
        <v>0</v>
      </c>
      <c r="G33" s="55">
        <f>SUMIFS('T12 Categorized'!E:E,'T12 Categorized'!$A:$A,$A33)</f>
        <v>0</v>
      </c>
      <c r="H33" s="55">
        <f>SUMIFS('T12 Categorized'!F:F,'T12 Categorized'!$A:$A,$A33)</f>
        <v>0</v>
      </c>
      <c r="I33" s="55">
        <f>SUMIFS('T12 Categorized'!G:G,'T12 Categorized'!$A:$A,$A33)</f>
        <v>0</v>
      </c>
      <c r="J33" s="55">
        <f>SUMIFS('T12 Categorized'!H:H,'T12 Categorized'!$A:$A,$A33)</f>
        <v>0</v>
      </c>
      <c r="K33" s="55">
        <f>SUMIFS('T12 Categorized'!I:I,'T12 Categorized'!$A:$A,$A33)</f>
        <v>0</v>
      </c>
      <c r="L33" s="55">
        <f>SUMIFS('T12 Categorized'!J:J,'T12 Categorized'!$A:$A,$A33)</f>
        <v>0</v>
      </c>
      <c r="M33" s="55">
        <f>SUMIFS('T12 Categorized'!K:K,'T12 Categorized'!$A:$A,$A33)</f>
        <v>0</v>
      </c>
      <c r="N33" s="55">
        <f>SUMIFS('T12 Categorized'!L:L,'T12 Categorized'!$A:$A,$A33)</f>
        <v>0</v>
      </c>
      <c r="O33" s="55">
        <f>SUMIFS('T12 Categorized'!M:M,'T12 Categorized'!$A:$A,$A33)</f>
        <v>0</v>
      </c>
      <c r="P33" s="55">
        <f>SUMIFS('T12 Categorized'!N:N,'T12 Categorized'!$A:$A,$A33)</f>
        <v>0</v>
      </c>
      <c r="Q33" s="55">
        <f>SUMIFS('T12 Categorized'!O:O,'T12 Categorized'!$A:$A,$A33)</f>
        <v>0</v>
      </c>
    </row>
    <row r="34" spans="1:17" x14ac:dyDescent="0.3">
      <c r="A34" s="54" t="s">
        <v>174</v>
      </c>
      <c r="B34" s="5" t="s">
        <v>302</v>
      </c>
      <c r="F34" s="55">
        <f>SUMIFS('T12 Categorized'!D:D,'T12 Categorized'!$A:$A,$A34)</f>
        <v>10217.44</v>
      </c>
      <c r="G34" s="55">
        <f>SUMIFS('T12 Categorized'!E:E,'T12 Categorized'!$A:$A,$A34)</f>
        <v>7301.1</v>
      </c>
      <c r="H34" s="55">
        <f>SUMIFS('T12 Categorized'!F:F,'T12 Categorized'!$A:$A,$A34)</f>
        <v>12860.31</v>
      </c>
      <c r="I34" s="55">
        <f>SUMIFS('T12 Categorized'!G:G,'T12 Categorized'!$A:$A,$A34)</f>
        <v>7486.59</v>
      </c>
      <c r="J34" s="55">
        <f>SUMIFS('T12 Categorized'!H:H,'T12 Categorized'!$A:$A,$A34)</f>
        <v>7214.04</v>
      </c>
      <c r="K34" s="55">
        <f>SUMIFS('T12 Categorized'!I:I,'T12 Categorized'!$A:$A,$A34)</f>
        <v>8255.49</v>
      </c>
      <c r="L34" s="55">
        <f>SUMIFS('T12 Categorized'!J:J,'T12 Categorized'!$A:$A,$A34)</f>
        <v>11805.66</v>
      </c>
      <c r="M34" s="55">
        <f>SUMIFS('T12 Categorized'!K:K,'T12 Categorized'!$A:$A,$A34)</f>
        <v>7754.67</v>
      </c>
      <c r="N34" s="55">
        <f>SUMIFS('T12 Categorized'!L:L,'T12 Categorized'!$A:$A,$A34)</f>
        <v>6103.57</v>
      </c>
      <c r="O34" s="55">
        <f>SUMIFS('T12 Categorized'!M:M,'T12 Categorized'!$A:$A,$A34)</f>
        <v>4639.58</v>
      </c>
      <c r="P34" s="55">
        <f>SUMIFS('T12 Categorized'!N:N,'T12 Categorized'!$A:$A,$A34)</f>
        <v>6046.1900000000005</v>
      </c>
      <c r="Q34" s="55">
        <f>SUMIFS('T12 Categorized'!O:O,'T12 Categorized'!$A:$A,$A34)</f>
        <v>7377.36</v>
      </c>
    </row>
    <row r="35" spans="1:17" x14ac:dyDescent="0.3">
      <c r="A35" s="54" t="s">
        <v>170</v>
      </c>
      <c r="B35" s="5" t="s">
        <v>303</v>
      </c>
      <c r="F35" s="55">
        <f>SUMIFS('T12 Categorized'!D:D,'T12 Categorized'!$A:$A,$A35)</f>
        <v>1914.0700000000002</v>
      </c>
      <c r="G35" s="55">
        <f>SUMIFS('T12 Categorized'!E:E,'T12 Categorized'!$A:$A,$A35)</f>
        <v>5746.9800000000005</v>
      </c>
      <c r="H35" s="55">
        <f>SUMIFS('T12 Categorized'!F:F,'T12 Categorized'!$A:$A,$A35)</f>
        <v>6671.2800000000016</v>
      </c>
      <c r="I35" s="55">
        <f>SUMIFS('T12 Categorized'!G:G,'T12 Categorized'!$A:$A,$A35)</f>
        <v>5219.12</v>
      </c>
      <c r="J35" s="55">
        <f>SUMIFS('T12 Categorized'!H:H,'T12 Categorized'!$A:$A,$A35)</f>
        <v>2406.6700000000005</v>
      </c>
      <c r="K35" s="55">
        <f>SUMIFS('T12 Categorized'!I:I,'T12 Categorized'!$A:$A,$A35)</f>
        <v>7552.4499999999989</v>
      </c>
      <c r="L35" s="55">
        <f>SUMIFS('T12 Categorized'!J:J,'T12 Categorized'!$A:$A,$A35)</f>
        <v>4011.8999999999996</v>
      </c>
      <c r="M35" s="55">
        <f>SUMIFS('T12 Categorized'!K:K,'T12 Categorized'!$A:$A,$A35)</f>
        <v>4244.1200000000008</v>
      </c>
      <c r="N35" s="55">
        <f>SUMIFS('T12 Categorized'!L:L,'T12 Categorized'!$A:$A,$A35)</f>
        <v>4264.7499999999991</v>
      </c>
      <c r="O35" s="55">
        <f>SUMIFS('T12 Categorized'!M:M,'T12 Categorized'!$A:$A,$A35)</f>
        <v>6851.56</v>
      </c>
      <c r="P35" s="55">
        <f>SUMIFS('T12 Categorized'!N:N,'T12 Categorized'!$A:$A,$A35)</f>
        <v>1027.2499999999998</v>
      </c>
      <c r="Q35" s="55">
        <f>SUMIFS('T12 Categorized'!O:O,'T12 Categorized'!$A:$A,$A35)</f>
        <v>6481.17</v>
      </c>
    </row>
    <row r="36" spans="1:17" x14ac:dyDescent="0.3">
      <c r="A36" s="54" t="s">
        <v>304</v>
      </c>
      <c r="B36" s="5" t="s">
        <v>305</v>
      </c>
      <c r="F36" s="55">
        <f>SUMIFS('T12 Categorized'!D:D,'T12 Categorized'!$A:$A,$A36)</f>
        <v>-1530.53</v>
      </c>
      <c r="G36" s="55">
        <f>SUMIFS('T12 Categorized'!E:E,'T12 Categorized'!$A:$A,$A36)</f>
        <v>-1372.37</v>
      </c>
      <c r="H36" s="55">
        <f>SUMIFS('T12 Categorized'!F:F,'T12 Categorized'!$A:$A,$A36)</f>
        <v>-1368.51</v>
      </c>
      <c r="I36" s="55">
        <f>SUMIFS('T12 Categorized'!G:G,'T12 Categorized'!$A:$A,$A36)</f>
        <v>-1349.54</v>
      </c>
      <c r="J36" s="55">
        <f>SUMIFS('T12 Categorized'!H:H,'T12 Categorized'!$A:$A,$A36)</f>
        <v>-1354.55</v>
      </c>
      <c r="K36" s="55">
        <f>SUMIFS('T12 Categorized'!I:I,'T12 Categorized'!$A:$A,$A36)</f>
        <v>-1354.53</v>
      </c>
      <c r="L36" s="55">
        <f>SUMIFS('T12 Categorized'!J:J,'T12 Categorized'!$A:$A,$A36)</f>
        <v>-1327.34</v>
      </c>
      <c r="M36" s="55">
        <f>SUMIFS('T12 Categorized'!K:K,'T12 Categorized'!$A:$A,$A36)</f>
        <v>-3275.18</v>
      </c>
      <c r="N36" s="55">
        <f>SUMIFS('T12 Categorized'!L:L,'T12 Categorized'!$A:$A,$A36)</f>
        <v>-345.11</v>
      </c>
      <c r="O36" s="55">
        <f>SUMIFS('T12 Categorized'!M:M,'T12 Categorized'!$A:$A,$A36)</f>
        <v>-1345.56</v>
      </c>
      <c r="P36" s="55">
        <f>SUMIFS('T12 Categorized'!N:N,'T12 Categorized'!$A:$A,$A36)</f>
        <v>-1594.56</v>
      </c>
      <c r="Q36" s="55">
        <f>SUMIFS('T12 Categorized'!O:O,'T12 Categorized'!$A:$A,$A36)</f>
        <v>-1502.76</v>
      </c>
    </row>
    <row r="37" spans="1:17" x14ac:dyDescent="0.3">
      <c r="A37" s="54" t="s">
        <v>250</v>
      </c>
      <c r="B37" s="5" t="s">
        <v>306</v>
      </c>
      <c r="F37" s="55">
        <f>SUMIFS('T12 Categorized'!D:D,'T12 Categorized'!$A:$A,$A37)</f>
        <v>12899.22</v>
      </c>
      <c r="G37" s="55">
        <f>SUMIFS('T12 Categorized'!E:E,'T12 Categorized'!$A:$A,$A37)</f>
        <v>13135.77</v>
      </c>
      <c r="H37" s="55">
        <f>SUMIFS('T12 Categorized'!F:F,'T12 Categorized'!$A:$A,$A37)</f>
        <v>13130.14</v>
      </c>
      <c r="I37" s="55">
        <f>SUMIFS('T12 Categorized'!G:G,'T12 Categorized'!$A:$A,$A37)</f>
        <v>13198.74</v>
      </c>
      <c r="J37" s="55">
        <f>SUMIFS('T12 Categorized'!H:H,'T12 Categorized'!$A:$A,$A37)</f>
        <v>13697.9</v>
      </c>
      <c r="K37" s="55">
        <f>SUMIFS('T12 Categorized'!I:I,'T12 Categorized'!$A:$A,$A37)</f>
        <v>14504.7</v>
      </c>
      <c r="L37" s="55">
        <f>SUMIFS('T12 Categorized'!J:J,'T12 Categorized'!$A:$A,$A37)</f>
        <v>13652.43</v>
      </c>
      <c r="M37" s="55">
        <f>SUMIFS('T12 Categorized'!K:K,'T12 Categorized'!$A:$A,$A37)</f>
        <v>12979.19</v>
      </c>
      <c r="N37" s="55">
        <f>SUMIFS('T12 Categorized'!L:L,'T12 Categorized'!$A:$A,$A37)</f>
        <v>12948.91</v>
      </c>
      <c r="O37" s="55">
        <f>SUMIFS('T12 Categorized'!M:M,'T12 Categorized'!$A:$A,$A37)</f>
        <v>13419.36</v>
      </c>
      <c r="P37" s="55">
        <f>SUMIFS('T12 Categorized'!N:N,'T12 Categorized'!$A:$A,$A37)</f>
        <v>13005.99</v>
      </c>
      <c r="Q37" s="55">
        <f>SUMIFS('T12 Categorized'!O:O,'T12 Categorized'!$A:$A,$A37)</f>
        <v>13328.99</v>
      </c>
    </row>
    <row r="38" spans="1:17" x14ac:dyDescent="0.3">
      <c r="A38" s="54" t="s">
        <v>252</v>
      </c>
      <c r="B38" s="5" t="s">
        <v>307</v>
      </c>
      <c r="F38" s="55">
        <f>SUMIFS('T12 Categorized'!D:D,'T12 Categorized'!$A:$A,$A38)</f>
        <v>17731.25</v>
      </c>
      <c r="G38" s="55">
        <f>SUMIFS('T12 Categorized'!E:E,'T12 Categorized'!$A:$A,$A38)</f>
        <v>17731.25</v>
      </c>
      <c r="H38" s="55">
        <f>SUMIFS('T12 Categorized'!F:F,'T12 Categorized'!$A:$A,$A38)</f>
        <v>17731.25</v>
      </c>
      <c r="I38" s="55">
        <f>SUMIFS('T12 Categorized'!G:G,'T12 Categorized'!$A:$A,$A38)</f>
        <v>17731.25</v>
      </c>
      <c r="J38" s="55">
        <f>SUMIFS('T12 Categorized'!H:H,'T12 Categorized'!$A:$A,$A38)</f>
        <v>17731.2</v>
      </c>
      <c r="K38" s="55">
        <f>SUMIFS('T12 Categorized'!I:I,'T12 Categorized'!$A:$A,$A38)</f>
        <v>17731.25</v>
      </c>
      <c r="L38" s="55">
        <f>SUMIFS('T12 Categorized'!J:J,'T12 Categorized'!$A:$A,$A38)</f>
        <v>17731.25</v>
      </c>
      <c r="M38" s="55">
        <f>SUMIFS('T12 Categorized'!K:K,'T12 Categorized'!$A:$A,$A38)</f>
        <v>17731.240000000002</v>
      </c>
      <c r="N38" s="55">
        <f>SUMIFS('T12 Categorized'!L:L,'T12 Categorized'!$A:$A,$A38)</f>
        <v>19504.330000000002</v>
      </c>
      <c r="O38" s="55">
        <f>SUMIFS('T12 Categorized'!M:M,'T12 Categorized'!$A:$A,$A38)</f>
        <v>9369.19</v>
      </c>
      <c r="P38" s="55">
        <f>SUMIFS('T12 Categorized'!N:N,'T12 Categorized'!$A:$A,$A38)</f>
        <v>14436.76</v>
      </c>
      <c r="Q38" s="55">
        <f>SUMIFS('T12 Categorized'!O:O,'T12 Categorized'!$A:$A,$A38)</f>
        <v>14436.76</v>
      </c>
    </row>
    <row r="39" spans="1:17" x14ac:dyDescent="0.3">
      <c r="A39" s="54" t="s">
        <v>158</v>
      </c>
      <c r="B39" s="5" t="s">
        <v>308</v>
      </c>
      <c r="F39" s="55">
        <f>SUMIFS('T12 Categorized'!D:D,'T12 Categorized'!$A:$A,$A39)</f>
        <v>88648.61</v>
      </c>
      <c r="G39" s="55">
        <f>SUMIFS('T12 Categorized'!E:E,'T12 Categorized'!$A:$A,$A39)</f>
        <v>86240.46</v>
      </c>
      <c r="H39" s="55">
        <f>SUMIFS('T12 Categorized'!F:F,'T12 Categorized'!$A:$A,$A39)</f>
        <v>85834.85</v>
      </c>
      <c r="I39" s="55">
        <f>SUMIFS('T12 Categorized'!G:G,'T12 Categorized'!$A:$A,$A39)</f>
        <v>86111.83</v>
      </c>
      <c r="J39" s="55">
        <f>SUMIFS('T12 Categorized'!H:H,'T12 Categorized'!$A:$A,$A39)</f>
        <v>85567.02</v>
      </c>
      <c r="K39" s="55">
        <f>SUMIFS('T12 Categorized'!I:I,'T12 Categorized'!$A:$A,$A39)</f>
        <v>145260.16999999998</v>
      </c>
      <c r="L39" s="55">
        <f>SUMIFS('T12 Categorized'!J:J,'T12 Categorized'!$A:$A,$A39)</f>
        <v>-16303.989999999998</v>
      </c>
      <c r="M39" s="55">
        <f>SUMIFS('T12 Categorized'!K:K,'T12 Categorized'!$A:$A,$A39)</f>
        <v>75898.12999999999</v>
      </c>
      <c r="N39" s="55">
        <f>SUMIFS('T12 Categorized'!L:L,'T12 Categorized'!$A:$A,$A39)</f>
        <v>83473.48000000001</v>
      </c>
      <c r="O39" s="55">
        <f>SUMIFS('T12 Categorized'!M:M,'T12 Categorized'!$A:$A,$A39)</f>
        <v>83631.820000000007</v>
      </c>
      <c r="P39" s="55">
        <f>SUMIFS('T12 Categorized'!N:N,'T12 Categorized'!$A:$A,$A39)</f>
        <v>84030.75</v>
      </c>
      <c r="Q39" s="55">
        <f>SUMIFS('T12 Categorized'!O:O,'T12 Categorized'!$A:$A,$A39)</f>
        <v>84446.03</v>
      </c>
    </row>
    <row r="40" spans="1:17" x14ac:dyDescent="0.3">
      <c r="A40" s="54" t="s">
        <v>309</v>
      </c>
      <c r="B40" s="5" t="s">
        <v>310</v>
      </c>
      <c r="F40" s="55">
        <f>SUMIFS('T12 Categorized'!D:D,'T12 Categorized'!$A:$A,$A40)</f>
        <v>0</v>
      </c>
      <c r="G40" s="55">
        <f>SUMIFS('T12 Categorized'!E:E,'T12 Categorized'!$A:$A,$A40)</f>
        <v>0</v>
      </c>
      <c r="H40" s="55">
        <f>SUMIFS('T12 Categorized'!F:F,'T12 Categorized'!$A:$A,$A40)</f>
        <v>0</v>
      </c>
      <c r="I40" s="55">
        <f>SUMIFS('T12 Categorized'!G:G,'T12 Categorized'!$A:$A,$A40)</f>
        <v>0</v>
      </c>
      <c r="J40" s="55">
        <f>SUMIFS('T12 Categorized'!H:H,'T12 Categorized'!$A:$A,$A40)</f>
        <v>0</v>
      </c>
      <c r="K40" s="55">
        <f>SUMIFS('T12 Categorized'!I:I,'T12 Categorized'!$A:$A,$A40)</f>
        <v>0</v>
      </c>
      <c r="L40" s="55">
        <f>SUMIFS('T12 Categorized'!J:J,'T12 Categorized'!$A:$A,$A40)</f>
        <v>0</v>
      </c>
      <c r="M40" s="55">
        <f>SUMIFS('T12 Categorized'!K:K,'T12 Categorized'!$A:$A,$A40)</f>
        <v>0</v>
      </c>
      <c r="N40" s="55">
        <f>SUMIFS('T12 Categorized'!L:L,'T12 Categorized'!$A:$A,$A40)</f>
        <v>0</v>
      </c>
      <c r="O40" s="55">
        <f>SUMIFS('T12 Categorized'!M:M,'T12 Categorized'!$A:$A,$A40)</f>
        <v>0</v>
      </c>
      <c r="P40" s="55">
        <f>SUMIFS('T12 Categorized'!N:N,'T12 Categorized'!$A:$A,$A40)</f>
        <v>0</v>
      </c>
      <c r="Q40" s="55">
        <f>SUMIFS('T12 Categorized'!O:O,'T12 Categorized'!$A:$A,$A40)</f>
        <v>0</v>
      </c>
    </row>
    <row r="41" spans="1:17" x14ac:dyDescent="0.3">
      <c r="A41" s="54" t="s">
        <v>311</v>
      </c>
      <c r="B41" s="5" t="s">
        <v>312</v>
      </c>
      <c r="F41" s="55">
        <f>SUMIFS('T12 Categorized'!D:D,'T12 Categorized'!$A:$A,$A41)</f>
        <v>0</v>
      </c>
      <c r="G41" s="55">
        <f>SUMIFS('T12 Categorized'!E:E,'T12 Categorized'!$A:$A,$A41)</f>
        <v>0</v>
      </c>
      <c r="H41" s="55">
        <f>SUMIFS('T12 Categorized'!F:F,'T12 Categorized'!$A:$A,$A41)</f>
        <v>0</v>
      </c>
      <c r="I41" s="55">
        <f>SUMIFS('T12 Categorized'!G:G,'T12 Categorized'!$A:$A,$A41)</f>
        <v>0</v>
      </c>
      <c r="J41" s="55">
        <f>SUMIFS('T12 Categorized'!H:H,'T12 Categorized'!$A:$A,$A41)</f>
        <v>0</v>
      </c>
      <c r="K41" s="55">
        <f>SUMIFS('T12 Categorized'!I:I,'T12 Categorized'!$A:$A,$A41)</f>
        <v>0</v>
      </c>
      <c r="L41" s="55">
        <f>SUMIFS('T12 Categorized'!J:J,'T12 Categorized'!$A:$A,$A41)</f>
        <v>0</v>
      </c>
      <c r="M41" s="55">
        <f>SUMIFS('T12 Categorized'!K:K,'T12 Categorized'!$A:$A,$A41)</f>
        <v>0</v>
      </c>
      <c r="N41" s="55">
        <f>SUMIFS('T12 Categorized'!L:L,'T12 Categorized'!$A:$A,$A41)</f>
        <v>0</v>
      </c>
      <c r="O41" s="55">
        <f>SUMIFS('T12 Categorized'!M:M,'T12 Categorized'!$A:$A,$A41)</f>
        <v>0</v>
      </c>
      <c r="P41" s="55">
        <f>SUMIFS('T12 Categorized'!N:N,'T12 Categorized'!$A:$A,$A41)</f>
        <v>0</v>
      </c>
      <c r="Q41" s="55">
        <f>SUMIFS('T12 Categorized'!O:O,'T12 Categorized'!$A:$A,$A41)</f>
        <v>0</v>
      </c>
    </row>
    <row r="42" spans="1:17" x14ac:dyDescent="0.3">
      <c r="A42" s="43"/>
      <c r="B42" s="44" t="s">
        <v>288</v>
      </c>
      <c r="F42" s="56">
        <f t="shared" ref="F42:Q42" si="1">SUM(F23:F41)</f>
        <v>255793.11</v>
      </c>
      <c r="G42" s="56">
        <f t="shared" si="1"/>
        <v>230838.97000000003</v>
      </c>
      <c r="H42" s="56">
        <f t="shared" si="1"/>
        <v>242080.33000000002</v>
      </c>
      <c r="I42" s="56">
        <f t="shared" si="1"/>
        <v>217832.77000000002</v>
      </c>
      <c r="J42" s="56">
        <f t="shared" si="1"/>
        <v>211739.00999999998</v>
      </c>
      <c r="K42" s="56">
        <f t="shared" si="1"/>
        <v>281110.25</v>
      </c>
      <c r="L42" s="56">
        <f t="shared" si="1"/>
        <v>122488.29000000001</v>
      </c>
      <c r="M42" s="56">
        <f t="shared" si="1"/>
        <v>224522.55</v>
      </c>
      <c r="N42" s="56">
        <f t="shared" si="1"/>
        <v>203924.2</v>
      </c>
      <c r="O42" s="56">
        <f t="shared" si="1"/>
        <v>196674.78999999998</v>
      </c>
      <c r="P42" s="56">
        <f t="shared" si="1"/>
        <v>189147.06</v>
      </c>
      <c r="Q42" s="56">
        <f t="shared" si="1"/>
        <v>237340.05000000002</v>
      </c>
    </row>
    <row r="44" spans="1:17" x14ac:dyDescent="0.3">
      <c r="A44" s="39"/>
      <c r="B44" s="57" t="s">
        <v>313</v>
      </c>
      <c r="F44" s="58">
        <f t="shared" ref="F44:Q44" si="2">F20-F42</f>
        <v>235370.50000000012</v>
      </c>
      <c r="G44" s="58">
        <f t="shared" si="2"/>
        <v>271990.48999999982</v>
      </c>
      <c r="H44" s="58">
        <f t="shared" si="2"/>
        <v>253855.64999999997</v>
      </c>
      <c r="I44" s="58">
        <f t="shared" si="2"/>
        <v>281362.63</v>
      </c>
      <c r="J44" s="58">
        <f t="shared" si="2"/>
        <v>305639.95000000007</v>
      </c>
      <c r="K44" s="58">
        <f t="shared" si="2"/>
        <v>250086.95999999996</v>
      </c>
      <c r="L44" s="58">
        <f t="shared" si="2"/>
        <v>404629.41999999993</v>
      </c>
      <c r="M44" s="58">
        <f t="shared" si="2"/>
        <v>272298.94999999995</v>
      </c>
      <c r="N44" s="58">
        <f t="shared" si="2"/>
        <v>283281.12000000017</v>
      </c>
      <c r="O44" s="58">
        <f t="shared" si="2"/>
        <v>295057.50000000017</v>
      </c>
      <c r="P44" s="58">
        <f t="shared" si="2"/>
        <v>314678.03999999998</v>
      </c>
      <c r="Q44" s="58">
        <f t="shared" si="2"/>
        <v>268910.92999999993</v>
      </c>
    </row>
    <row r="46" spans="1:17" x14ac:dyDescent="0.3">
      <c r="A46" s="39"/>
      <c r="B46" s="38" t="s">
        <v>314</v>
      </c>
    </row>
    <row r="47" spans="1:17" x14ac:dyDescent="0.3">
      <c r="A47" s="54" t="s">
        <v>315</v>
      </c>
      <c r="B47" s="5" t="s">
        <v>316</v>
      </c>
      <c r="F47" s="55">
        <f>SUMIFS('T12 Categorized'!D:D,'T12 Categorized'!$A:$A,$A47)</f>
        <v>0</v>
      </c>
      <c r="G47" s="55">
        <f>SUMIFS('T12 Categorized'!E:E,'T12 Categorized'!$A:$A,$A47)</f>
        <v>0</v>
      </c>
      <c r="H47" s="55">
        <f>SUMIFS('T12 Categorized'!F:F,'T12 Categorized'!$A:$A,$A47)</f>
        <v>0</v>
      </c>
      <c r="I47" s="55">
        <f>SUMIFS('T12 Categorized'!G:G,'T12 Categorized'!$A:$A,$A47)</f>
        <v>0</v>
      </c>
      <c r="J47" s="55">
        <f>SUMIFS('T12 Categorized'!H:H,'T12 Categorized'!$A:$A,$A47)</f>
        <v>0</v>
      </c>
      <c r="K47" s="55">
        <f>SUMIFS('T12 Categorized'!I:I,'T12 Categorized'!$A:$A,$A47)</f>
        <v>0</v>
      </c>
      <c r="L47" s="55">
        <f>SUMIFS('T12 Categorized'!J:J,'T12 Categorized'!$A:$A,$A47)</f>
        <v>0</v>
      </c>
      <c r="M47" s="55">
        <f>SUMIFS('T12 Categorized'!K:K,'T12 Categorized'!$A:$A,$A47)</f>
        <v>0</v>
      </c>
      <c r="N47" s="55">
        <f>SUMIFS('T12 Categorized'!L:L,'T12 Categorized'!$A:$A,$A47)</f>
        <v>0</v>
      </c>
      <c r="O47" s="55">
        <f>SUMIFS('T12 Categorized'!M:M,'T12 Categorized'!$A:$A,$A47)</f>
        <v>0</v>
      </c>
      <c r="P47" s="55">
        <f>SUMIFS('T12 Categorized'!N:N,'T12 Categorized'!$A:$A,$A47)</f>
        <v>0</v>
      </c>
      <c r="Q47" s="55">
        <f>SUMIFS('T12 Categorized'!O:O,'T12 Categorized'!$A:$A,$A47)</f>
        <v>0</v>
      </c>
    </row>
    <row r="48" spans="1:17" x14ac:dyDescent="0.3">
      <c r="A48" s="43"/>
      <c r="B48" s="44" t="s">
        <v>314</v>
      </c>
      <c r="F48" s="56">
        <f t="shared" ref="F48:Q48" si="3">SUM(F47:F47)</f>
        <v>0</v>
      </c>
      <c r="G48" s="56">
        <f t="shared" si="3"/>
        <v>0</v>
      </c>
      <c r="H48" s="56">
        <f t="shared" si="3"/>
        <v>0</v>
      </c>
      <c r="I48" s="56">
        <f t="shared" si="3"/>
        <v>0</v>
      </c>
      <c r="J48" s="56">
        <f t="shared" si="3"/>
        <v>0</v>
      </c>
      <c r="K48" s="56">
        <f t="shared" si="3"/>
        <v>0</v>
      </c>
      <c r="L48" s="56">
        <f t="shared" si="3"/>
        <v>0</v>
      </c>
      <c r="M48" s="56">
        <f t="shared" si="3"/>
        <v>0</v>
      </c>
      <c r="N48" s="56">
        <f t="shared" si="3"/>
        <v>0</v>
      </c>
      <c r="O48" s="56">
        <f t="shared" si="3"/>
        <v>0</v>
      </c>
      <c r="P48" s="56">
        <f t="shared" si="3"/>
        <v>0</v>
      </c>
      <c r="Q48" s="56">
        <f t="shared" si="3"/>
        <v>0</v>
      </c>
    </row>
    <row r="50" spans="1:17" x14ac:dyDescent="0.3">
      <c r="A50" s="39"/>
      <c r="B50" s="38" t="s">
        <v>317</v>
      </c>
    </row>
    <row r="51" spans="1:17" x14ac:dyDescent="0.3">
      <c r="A51" s="54" t="s">
        <v>318</v>
      </c>
      <c r="B51" s="5" t="s">
        <v>319</v>
      </c>
      <c r="F51" s="55">
        <f>SUMIFS('T12 Categorized'!D:D,'T12 Categorized'!$A:$A,$A51)</f>
        <v>0</v>
      </c>
      <c r="G51" s="55">
        <f>SUMIFS('T12 Categorized'!E:E,'T12 Categorized'!$A:$A,$A51)</f>
        <v>0</v>
      </c>
      <c r="H51" s="55">
        <f>SUMIFS('T12 Categorized'!F:F,'T12 Categorized'!$A:$A,$A51)</f>
        <v>0</v>
      </c>
      <c r="I51" s="55">
        <f>SUMIFS('T12 Categorized'!G:G,'T12 Categorized'!$A:$A,$A51)</f>
        <v>0</v>
      </c>
      <c r="J51" s="55">
        <f>SUMIFS('T12 Categorized'!H:H,'T12 Categorized'!$A:$A,$A51)</f>
        <v>0</v>
      </c>
      <c r="K51" s="55">
        <f>SUMIFS('T12 Categorized'!I:I,'T12 Categorized'!$A:$A,$A51)</f>
        <v>0</v>
      </c>
      <c r="L51" s="55">
        <f>SUMIFS('T12 Categorized'!J:J,'T12 Categorized'!$A:$A,$A51)</f>
        <v>0</v>
      </c>
      <c r="M51" s="55">
        <f>SUMIFS('T12 Categorized'!K:K,'T12 Categorized'!$A:$A,$A51)</f>
        <v>0</v>
      </c>
      <c r="N51" s="55">
        <f>SUMIFS('T12 Categorized'!L:L,'T12 Categorized'!$A:$A,$A51)</f>
        <v>0</v>
      </c>
      <c r="O51" s="55">
        <f>SUMIFS('T12 Categorized'!M:M,'T12 Categorized'!$A:$A,$A51)</f>
        <v>0</v>
      </c>
      <c r="P51" s="55">
        <f>SUMIFS('T12 Categorized'!N:N,'T12 Categorized'!$A:$A,$A51)</f>
        <v>0</v>
      </c>
      <c r="Q51" s="55">
        <f>SUMIFS('T12 Categorized'!O:O,'T12 Categorized'!$A:$A,$A51)</f>
        <v>0</v>
      </c>
    </row>
    <row r="52" spans="1:17" x14ac:dyDescent="0.3">
      <c r="A52" s="54" t="s">
        <v>320</v>
      </c>
      <c r="B52" s="5" t="s">
        <v>321</v>
      </c>
      <c r="F52" s="55">
        <f>SUMIFS('T12 Categorized'!D:D,'T12 Categorized'!$A:$A,$A52)</f>
        <v>0</v>
      </c>
      <c r="G52" s="55">
        <f>SUMIFS('T12 Categorized'!E:E,'T12 Categorized'!$A:$A,$A52)</f>
        <v>0</v>
      </c>
      <c r="H52" s="55">
        <f>SUMIFS('T12 Categorized'!F:F,'T12 Categorized'!$A:$A,$A52)</f>
        <v>0</v>
      </c>
      <c r="I52" s="55">
        <f>SUMIFS('T12 Categorized'!G:G,'T12 Categorized'!$A:$A,$A52)</f>
        <v>0</v>
      </c>
      <c r="J52" s="55">
        <f>SUMIFS('T12 Categorized'!H:H,'T12 Categorized'!$A:$A,$A52)</f>
        <v>0</v>
      </c>
      <c r="K52" s="55">
        <f>SUMIFS('T12 Categorized'!I:I,'T12 Categorized'!$A:$A,$A52)</f>
        <v>0</v>
      </c>
      <c r="L52" s="55">
        <f>SUMIFS('T12 Categorized'!J:J,'T12 Categorized'!$A:$A,$A52)</f>
        <v>0</v>
      </c>
      <c r="M52" s="55">
        <f>SUMIFS('T12 Categorized'!K:K,'T12 Categorized'!$A:$A,$A52)</f>
        <v>0</v>
      </c>
      <c r="N52" s="55">
        <f>SUMIFS('T12 Categorized'!L:L,'T12 Categorized'!$A:$A,$A52)</f>
        <v>0</v>
      </c>
      <c r="O52" s="55">
        <f>SUMIFS('T12 Categorized'!M:M,'T12 Categorized'!$A:$A,$A52)</f>
        <v>0</v>
      </c>
      <c r="P52" s="55">
        <f>SUMIFS('T12 Categorized'!N:N,'T12 Categorized'!$A:$A,$A52)</f>
        <v>0</v>
      </c>
      <c r="Q52" s="55">
        <f>SUMIFS('T12 Categorized'!O:O,'T12 Categorized'!$A:$A,$A52)</f>
        <v>0</v>
      </c>
    </row>
    <row r="53" spans="1:17" x14ac:dyDescent="0.3">
      <c r="A53" s="54" t="s">
        <v>322</v>
      </c>
      <c r="B53" s="5" t="s">
        <v>323</v>
      </c>
      <c r="F53" s="55">
        <f>SUMIFS('T12 Categorized'!D:D,'T12 Categorized'!$A:$A,$A53)</f>
        <v>0</v>
      </c>
      <c r="G53" s="55">
        <f>SUMIFS('T12 Categorized'!E:E,'T12 Categorized'!$A:$A,$A53)</f>
        <v>0</v>
      </c>
      <c r="H53" s="55">
        <f>SUMIFS('T12 Categorized'!F:F,'T12 Categorized'!$A:$A,$A53)</f>
        <v>0</v>
      </c>
      <c r="I53" s="55">
        <f>SUMIFS('T12 Categorized'!G:G,'T12 Categorized'!$A:$A,$A53)</f>
        <v>0</v>
      </c>
      <c r="J53" s="55">
        <f>SUMIFS('T12 Categorized'!H:H,'T12 Categorized'!$A:$A,$A53)</f>
        <v>0</v>
      </c>
      <c r="K53" s="55">
        <f>SUMIFS('T12 Categorized'!I:I,'T12 Categorized'!$A:$A,$A53)</f>
        <v>0</v>
      </c>
      <c r="L53" s="55">
        <f>SUMIFS('T12 Categorized'!J:J,'T12 Categorized'!$A:$A,$A53)</f>
        <v>0</v>
      </c>
      <c r="M53" s="55">
        <f>SUMIFS('T12 Categorized'!K:K,'T12 Categorized'!$A:$A,$A53)</f>
        <v>0</v>
      </c>
      <c r="N53" s="55">
        <f>SUMIFS('T12 Categorized'!L:L,'T12 Categorized'!$A:$A,$A53)</f>
        <v>0</v>
      </c>
      <c r="O53" s="55">
        <f>SUMIFS('T12 Categorized'!M:M,'T12 Categorized'!$A:$A,$A53)</f>
        <v>0</v>
      </c>
      <c r="P53" s="55">
        <f>SUMIFS('T12 Categorized'!N:N,'T12 Categorized'!$A:$A,$A53)</f>
        <v>0</v>
      </c>
      <c r="Q53" s="55">
        <f>SUMIFS('T12 Categorized'!O:O,'T12 Categorized'!$A:$A,$A53)</f>
        <v>0</v>
      </c>
    </row>
    <row r="54" spans="1:17" x14ac:dyDescent="0.3">
      <c r="A54" s="54" t="s">
        <v>324</v>
      </c>
      <c r="B54" s="5" t="s">
        <v>325</v>
      </c>
      <c r="F54" s="55">
        <f>SUMIFS('T12 Categorized'!D:D,'T12 Categorized'!$A:$A,$A54)</f>
        <v>0</v>
      </c>
      <c r="G54" s="55">
        <f>SUMIFS('T12 Categorized'!E:E,'T12 Categorized'!$A:$A,$A54)</f>
        <v>0</v>
      </c>
      <c r="H54" s="55">
        <f>SUMIFS('T12 Categorized'!F:F,'T12 Categorized'!$A:$A,$A54)</f>
        <v>0</v>
      </c>
      <c r="I54" s="55">
        <f>SUMIFS('T12 Categorized'!G:G,'T12 Categorized'!$A:$A,$A54)</f>
        <v>0</v>
      </c>
      <c r="J54" s="55">
        <f>SUMIFS('T12 Categorized'!H:H,'T12 Categorized'!$A:$A,$A54)</f>
        <v>0</v>
      </c>
      <c r="K54" s="55">
        <f>SUMIFS('T12 Categorized'!I:I,'T12 Categorized'!$A:$A,$A54)</f>
        <v>0</v>
      </c>
      <c r="L54" s="55">
        <f>SUMIFS('T12 Categorized'!J:J,'T12 Categorized'!$A:$A,$A54)</f>
        <v>0</v>
      </c>
      <c r="M54" s="55">
        <f>SUMIFS('T12 Categorized'!K:K,'T12 Categorized'!$A:$A,$A54)</f>
        <v>0</v>
      </c>
      <c r="N54" s="55">
        <f>SUMIFS('T12 Categorized'!L:L,'T12 Categorized'!$A:$A,$A54)</f>
        <v>0</v>
      </c>
      <c r="O54" s="55">
        <f>SUMIFS('T12 Categorized'!M:M,'T12 Categorized'!$A:$A,$A54)</f>
        <v>0</v>
      </c>
      <c r="P54" s="55">
        <f>SUMIFS('T12 Categorized'!N:N,'T12 Categorized'!$A:$A,$A54)</f>
        <v>0</v>
      </c>
      <c r="Q54" s="55">
        <f>SUMIFS('T12 Categorized'!O:O,'T12 Categorized'!$A:$A,$A54)</f>
        <v>0</v>
      </c>
    </row>
    <row r="55" spans="1:17" x14ac:dyDescent="0.3">
      <c r="A55" s="54" t="s">
        <v>326</v>
      </c>
      <c r="B55" s="5" t="s">
        <v>327</v>
      </c>
      <c r="F55" s="55">
        <f>SUMIFS('T12 Categorized'!D:D,'T12 Categorized'!$A:$A,$A55)</f>
        <v>0</v>
      </c>
      <c r="G55" s="55">
        <f>SUMIFS('T12 Categorized'!E:E,'T12 Categorized'!$A:$A,$A55)</f>
        <v>0</v>
      </c>
      <c r="H55" s="55">
        <f>SUMIFS('T12 Categorized'!F:F,'T12 Categorized'!$A:$A,$A55)</f>
        <v>0</v>
      </c>
      <c r="I55" s="55">
        <f>SUMIFS('T12 Categorized'!G:G,'T12 Categorized'!$A:$A,$A55)</f>
        <v>0</v>
      </c>
      <c r="J55" s="55">
        <f>SUMIFS('T12 Categorized'!H:H,'T12 Categorized'!$A:$A,$A55)</f>
        <v>0</v>
      </c>
      <c r="K55" s="55">
        <f>SUMIFS('T12 Categorized'!I:I,'T12 Categorized'!$A:$A,$A55)</f>
        <v>0</v>
      </c>
      <c r="L55" s="55">
        <f>SUMIFS('T12 Categorized'!J:J,'T12 Categorized'!$A:$A,$A55)</f>
        <v>0</v>
      </c>
      <c r="M55" s="55">
        <f>SUMIFS('T12 Categorized'!K:K,'T12 Categorized'!$A:$A,$A55)</f>
        <v>0</v>
      </c>
      <c r="N55" s="55">
        <f>SUMIFS('T12 Categorized'!L:L,'T12 Categorized'!$A:$A,$A55)</f>
        <v>0</v>
      </c>
      <c r="O55" s="55">
        <f>SUMIFS('T12 Categorized'!M:M,'T12 Categorized'!$A:$A,$A55)</f>
        <v>0</v>
      </c>
      <c r="P55" s="55">
        <f>SUMIFS('T12 Categorized'!N:N,'T12 Categorized'!$A:$A,$A55)</f>
        <v>0</v>
      </c>
      <c r="Q55" s="55">
        <f>SUMIFS('T12 Categorized'!O:O,'T12 Categorized'!$A:$A,$A55)</f>
        <v>0</v>
      </c>
    </row>
    <row r="56" spans="1:17" x14ac:dyDescent="0.3">
      <c r="A56" s="54" t="s">
        <v>328</v>
      </c>
      <c r="B56" s="5" t="s">
        <v>329</v>
      </c>
      <c r="F56" s="55">
        <f>SUMIFS('T12 Categorized'!D:D,'T12 Categorized'!$A:$A,$A56)</f>
        <v>0</v>
      </c>
      <c r="G56" s="55">
        <f>SUMIFS('T12 Categorized'!E:E,'T12 Categorized'!$A:$A,$A56)</f>
        <v>0</v>
      </c>
      <c r="H56" s="55">
        <f>SUMIFS('T12 Categorized'!F:F,'T12 Categorized'!$A:$A,$A56)</f>
        <v>0</v>
      </c>
      <c r="I56" s="55">
        <f>SUMIFS('T12 Categorized'!G:G,'T12 Categorized'!$A:$A,$A56)</f>
        <v>0</v>
      </c>
      <c r="J56" s="55">
        <f>SUMIFS('T12 Categorized'!H:H,'T12 Categorized'!$A:$A,$A56)</f>
        <v>0</v>
      </c>
      <c r="K56" s="55">
        <f>SUMIFS('T12 Categorized'!I:I,'T12 Categorized'!$A:$A,$A56)</f>
        <v>0</v>
      </c>
      <c r="L56" s="55">
        <f>SUMIFS('T12 Categorized'!J:J,'T12 Categorized'!$A:$A,$A56)</f>
        <v>0</v>
      </c>
      <c r="M56" s="55">
        <f>SUMIFS('T12 Categorized'!K:K,'T12 Categorized'!$A:$A,$A56)</f>
        <v>0</v>
      </c>
      <c r="N56" s="55">
        <f>SUMIFS('T12 Categorized'!L:L,'T12 Categorized'!$A:$A,$A56)</f>
        <v>0</v>
      </c>
      <c r="O56" s="55">
        <f>SUMIFS('T12 Categorized'!M:M,'T12 Categorized'!$A:$A,$A56)</f>
        <v>0</v>
      </c>
      <c r="P56" s="55">
        <f>SUMIFS('T12 Categorized'!N:N,'T12 Categorized'!$A:$A,$A56)</f>
        <v>0</v>
      </c>
      <c r="Q56" s="55">
        <f>SUMIFS('T12 Categorized'!O:O,'T12 Categorized'!$A:$A,$A56)</f>
        <v>0</v>
      </c>
    </row>
    <row r="57" spans="1:17" x14ac:dyDescent="0.3">
      <c r="A57" s="54" t="s">
        <v>330</v>
      </c>
      <c r="B57" s="5" t="s">
        <v>331</v>
      </c>
      <c r="F57" s="55">
        <f>SUMIFS('T12 Categorized'!D:D,'T12 Categorized'!$A:$A,$A57)</f>
        <v>0</v>
      </c>
      <c r="G57" s="55">
        <f>SUMIFS('T12 Categorized'!E:E,'T12 Categorized'!$A:$A,$A57)</f>
        <v>0</v>
      </c>
      <c r="H57" s="55">
        <f>SUMIFS('T12 Categorized'!F:F,'T12 Categorized'!$A:$A,$A57)</f>
        <v>0</v>
      </c>
      <c r="I57" s="55">
        <f>SUMIFS('T12 Categorized'!G:G,'T12 Categorized'!$A:$A,$A57)</f>
        <v>0</v>
      </c>
      <c r="J57" s="55">
        <f>SUMIFS('T12 Categorized'!H:H,'T12 Categorized'!$A:$A,$A57)</f>
        <v>0</v>
      </c>
      <c r="K57" s="55">
        <f>SUMIFS('T12 Categorized'!I:I,'T12 Categorized'!$A:$A,$A57)</f>
        <v>0</v>
      </c>
      <c r="L57" s="55">
        <f>SUMIFS('T12 Categorized'!J:J,'T12 Categorized'!$A:$A,$A57)</f>
        <v>0</v>
      </c>
      <c r="M57" s="55">
        <f>SUMIFS('T12 Categorized'!K:K,'T12 Categorized'!$A:$A,$A57)</f>
        <v>0</v>
      </c>
      <c r="N57" s="55">
        <f>SUMIFS('T12 Categorized'!L:L,'T12 Categorized'!$A:$A,$A57)</f>
        <v>0</v>
      </c>
      <c r="O57" s="55">
        <f>SUMIFS('T12 Categorized'!M:M,'T12 Categorized'!$A:$A,$A57)</f>
        <v>0</v>
      </c>
      <c r="P57" s="55">
        <f>SUMIFS('T12 Categorized'!N:N,'T12 Categorized'!$A:$A,$A57)</f>
        <v>0</v>
      </c>
      <c r="Q57" s="55">
        <f>SUMIFS('T12 Categorized'!O:O,'T12 Categorized'!$A:$A,$A57)</f>
        <v>0</v>
      </c>
    </row>
    <row r="58" spans="1:17" x14ac:dyDescent="0.3">
      <c r="A58" s="54" t="s">
        <v>332</v>
      </c>
      <c r="B58" s="5" t="s">
        <v>333</v>
      </c>
      <c r="F58" s="55">
        <f>SUMIFS('T12 Categorized'!D:D,'T12 Categorized'!$A:$A,$A58)</f>
        <v>0</v>
      </c>
      <c r="G58" s="55">
        <f>SUMIFS('T12 Categorized'!E:E,'T12 Categorized'!$A:$A,$A58)</f>
        <v>0</v>
      </c>
      <c r="H58" s="55">
        <f>SUMIFS('T12 Categorized'!F:F,'T12 Categorized'!$A:$A,$A58)</f>
        <v>0</v>
      </c>
      <c r="I58" s="55">
        <f>SUMIFS('T12 Categorized'!G:G,'T12 Categorized'!$A:$A,$A58)</f>
        <v>0</v>
      </c>
      <c r="J58" s="55">
        <f>SUMIFS('T12 Categorized'!H:H,'T12 Categorized'!$A:$A,$A58)</f>
        <v>0</v>
      </c>
      <c r="K58" s="55">
        <f>SUMIFS('T12 Categorized'!I:I,'T12 Categorized'!$A:$A,$A58)</f>
        <v>0</v>
      </c>
      <c r="L58" s="55">
        <f>SUMIFS('T12 Categorized'!J:J,'T12 Categorized'!$A:$A,$A58)</f>
        <v>0</v>
      </c>
      <c r="M58" s="55">
        <f>SUMIFS('T12 Categorized'!K:K,'T12 Categorized'!$A:$A,$A58)</f>
        <v>0</v>
      </c>
      <c r="N58" s="55">
        <f>SUMIFS('T12 Categorized'!L:L,'T12 Categorized'!$A:$A,$A58)</f>
        <v>0</v>
      </c>
      <c r="O58" s="55">
        <f>SUMIFS('T12 Categorized'!M:M,'T12 Categorized'!$A:$A,$A58)</f>
        <v>0</v>
      </c>
      <c r="P58" s="55">
        <f>SUMIFS('T12 Categorized'!N:N,'T12 Categorized'!$A:$A,$A58)</f>
        <v>0</v>
      </c>
      <c r="Q58" s="55">
        <f>SUMIFS('T12 Categorized'!O:O,'T12 Categorized'!$A:$A,$A58)</f>
        <v>0</v>
      </c>
    </row>
    <row r="59" spans="1:17" x14ac:dyDescent="0.3">
      <c r="A59" s="54" t="s">
        <v>334</v>
      </c>
      <c r="B59" s="5" t="s">
        <v>335</v>
      </c>
      <c r="F59" s="55">
        <f>SUMIFS('T12 Categorized'!D:D,'T12 Categorized'!$A:$A,$A59)</f>
        <v>0</v>
      </c>
      <c r="G59" s="55">
        <f>SUMIFS('T12 Categorized'!E:E,'T12 Categorized'!$A:$A,$A59)</f>
        <v>0</v>
      </c>
      <c r="H59" s="55">
        <f>SUMIFS('T12 Categorized'!F:F,'T12 Categorized'!$A:$A,$A59)</f>
        <v>0</v>
      </c>
      <c r="I59" s="55">
        <f>SUMIFS('T12 Categorized'!G:G,'T12 Categorized'!$A:$A,$A59)</f>
        <v>0</v>
      </c>
      <c r="J59" s="55">
        <f>SUMIFS('T12 Categorized'!H:H,'T12 Categorized'!$A:$A,$A59)</f>
        <v>0</v>
      </c>
      <c r="K59" s="55">
        <f>SUMIFS('T12 Categorized'!I:I,'T12 Categorized'!$A:$A,$A59)</f>
        <v>0</v>
      </c>
      <c r="L59" s="55">
        <f>SUMIFS('T12 Categorized'!J:J,'T12 Categorized'!$A:$A,$A59)</f>
        <v>0</v>
      </c>
      <c r="M59" s="55">
        <f>SUMIFS('T12 Categorized'!K:K,'T12 Categorized'!$A:$A,$A59)</f>
        <v>0</v>
      </c>
      <c r="N59" s="55">
        <f>SUMIFS('T12 Categorized'!L:L,'T12 Categorized'!$A:$A,$A59)</f>
        <v>0</v>
      </c>
      <c r="O59" s="55">
        <f>SUMIFS('T12 Categorized'!M:M,'T12 Categorized'!$A:$A,$A59)</f>
        <v>0</v>
      </c>
      <c r="P59" s="55">
        <f>SUMIFS('T12 Categorized'!N:N,'T12 Categorized'!$A:$A,$A59)</f>
        <v>0</v>
      </c>
      <c r="Q59" s="55">
        <f>SUMIFS('T12 Categorized'!O:O,'T12 Categorized'!$A:$A,$A59)</f>
        <v>0</v>
      </c>
    </row>
    <row r="60" spans="1:17" x14ac:dyDescent="0.3">
      <c r="A60" s="54" t="s">
        <v>336</v>
      </c>
      <c r="B60" s="5" t="s">
        <v>337</v>
      </c>
      <c r="F60" s="55">
        <f>SUMIFS('T12 Categorized'!D:D,'T12 Categorized'!$A:$A,$A60)</f>
        <v>0</v>
      </c>
      <c r="G60" s="55">
        <f>SUMIFS('T12 Categorized'!E:E,'T12 Categorized'!$A:$A,$A60)</f>
        <v>0</v>
      </c>
      <c r="H60" s="55">
        <f>SUMIFS('T12 Categorized'!F:F,'T12 Categorized'!$A:$A,$A60)</f>
        <v>0</v>
      </c>
      <c r="I60" s="55">
        <f>SUMIFS('T12 Categorized'!G:G,'T12 Categorized'!$A:$A,$A60)</f>
        <v>0</v>
      </c>
      <c r="J60" s="55">
        <f>SUMIFS('T12 Categorized'!H:H,'T12 Categorized'!$A:$A,$A60)</f>
        <v>0</v>
      </c>
      <c r="K60" s="55">
        <f>SUMIFS('T12 Categorized'!I:I,'T12 Categorized'!$A:$A,$A60)</f>
        <v>0</v>
      </c>
      <c r="L60" s="55">
        <f>SUMIFS('T12 Categorized'!J:J,'T12 Categorized'!$A:$A,$A60)</f>
        <v>0</v>
      </c>
      <c r="M60" s="55">
        <f>SUMIFS('T12 Categorized'!K:K,'T12 Categorized'!$A:$A,$A60)</f>
        <v>0</v>
      </c>
      <c r="N60" s="55">
        <f>SUMIFS('T12 Categorized'!L:L,'T12 Categorized'!$A:$A,$A60)</f>
        <v>0</v>
      </c>
      <c r="O60" s="55">
        <f>SUMIFS('T12 Categorized'!M:M,'T12 Categorized'!$A:$A,$A60)</f>
        <v>0</v>
      </c>
      <c r="P60" s="55">
        <f>SUMIFS('T12 Categorized'!N:N,'T12 Categorized'!$A:$A,$A60)</f>
        <v>0</v>
      </c>
      <c r="Q60" s="55">
        <f>SUMIFS('T12 Categorized'!O:O,'T12 Categorized'!$A:$A,$A60)</f>
        <v>0</v>
      </c>
    </row>
    <row r="61" spans="1:17" x14ac:dyDescent="0.3">
      <c r="A61" s="54" t="s">
        <v>338</v>
      </c>
      <c r="B61" s="5" t="s">
        <v>339</v>
      </c>
      <c r="F61" s="55">
        <f>SUMIFS('T12 Categorized'!D:D,'T12 Categorized'!$A:$A,$A61)</f>
        <v>0</v>
      </c>
      <c r="G61" s="55">
        <f>SUMIFS('T12 Categorized'!E:E,'T12 Categorized'!$A:$A,$A61)</f>
        <v>0</v>
      </c>
      <c r="H61" s="55">
        <f>SUMIFS('T12 Categorized'!F:F,'T12 Categorized'!$A:$A,$A61)</f>
        <v>0</v>
      </c>
      <c r="I61" s="55">
        <f>SUMIFS('T12 Categorized'!G:G,'T12 Categorized'!$A:$A,$A61)</f>
        <v>0</v>
      </c>
      <c r="J61" s="55">
        <f>SUMIFS('T12 Categorized'!H:H,'T12 Categorized'!$A:$A,$A61)</f>
        <v>0</v>
      </c>
      <c r="K61" s="55">
        <f>SUMIFS('T12 Categorized'!I:I,'T12 Categorized'!$A:$A,$A61)</f>
        <v>0</v>
      </c>
      <c r="L61" s="55">
        <f>SUMIFS('T12 Categorized'!J:J,'T12 Categorized'!$A:$A,$A61)</f>
        <v>0</v>
      </c>
      <c r="M61" s="55">
        <f>SUMIFS('T12 Categorized'!K:K,'T12 Categorized'!$A:$A,$A61)</f>
        <v>0</v>
      </c>
      <c r="N61" s="55">
        <f>SUMIFS('T12 Categorized'!L:L,'T12 Categorized'!$A:$A,$A61)</f>
        <v>0</v>
      </c>
      <c r="O61" s="55">
        <f>SUMIFS('T12 Categorized'!M:M,'T12 Categorized'!$A:$A,$A61)</f>
        <v>0</v>
      </c>
      <c r="P61" s="55">
        <f>SUMIFS('T12 Categorized'!N:N,'T12 Categorized'!$A:$A,$A61)</f>
        <v>0</v>
      </c>
      <c r="Q61" s="55">
        <f>SUMIFS('T12 Categorized'!O:O,'T12 Categorized'!$A:$A,$A61)</f>
        <v>0</v>
      </c>
    </row>
    <row r="62" spans="1:17" x14ac:dyDescent="0.3">
      <c r="A62" s="54" t="s">
        <v>340</v>
      </c>
      <c r="B62" s="5" t="s">
        <v>341</v>
      </c>
      <c r="F62" s="55">
        <f>SUMIFS('T12 Categorized'!D:D,'T12 Categorized'!$A:$A,$A62)</f>
        <v>0</v>
      </c>
      <c r="G62" s="55">
        <f>SUMIFS('T12 Categorized'!E:E,'T12 Categorized'!$A:$A,$A62)</f>
        <v>0</v>
      </c>
      <c r="H62" s="55">
        <f>SUMIFS('T12 Categorized'!F:F,'T12 Categorized'!$A:$A,$A62)</f>
        <v>0</v>
      </c>
      <c r="I62" s="55">
        <f>SUMIFS('T12 Categorized'!G:G,'T12 Categorized'!$A:$A,$A62)</f>
        <v>0</v>
      </c>
      <c r="J62" s="55">
        <f>SUMIFS('T12 Categorized'!H:H,'T12 Categorized'!$A:$A,$A62)</f>
        <v>0</v>
      </c>
      <c r="K62" s="55">
        <f>SUMIFS('T12 Categorized'!I:I,'T12 Categorized'!$A:$A,$A62)</f>
        <v>0</v>
      </c>
      <c r="L62" s="55">
        <f>SUMIFS('T12 Categorized'!J:J,'T12 Categorized'!$A:$A,$A62)</f>
        <v>0</v>
      </c>
      <c r="M62" s="55">
        <f>SUMIFS('T12 Categorized'!K:K,'T12 Categorized'!$A:$A,$A62)</f>
        <v>0</v>
      </c>
      <c r="N62" s="55">
        <f>SUMIFS('T12 Categorized'!L:L,'T12 Categorized'!$A:$A,$A62)</f>
        <v>0</v>
      </c>
      <c r="O62" s="55">
        <f>SUMIFS('T12 Categorized'!M:M,'T12 Categorized'!$A:$A,$A62)</f>
        <v>0</v>
      </c>
      <c r="P62" s="55">
        <f>SUMIFS('T12 Categorized'!N:N,'T12 Categorized'!$A:$A,$A62)</f>
        <v>0</v>
      </c>
      <c r="Q62" s="55">
        <f>SUMIFS('T12 Categorized'!O:O,'T12 Categorized'!$A:$A,$A62)</f>
        <v>0</v>
      </c>
    </row>
    <row r="63" spans="1:17" x14ac:dyDescent="0.3">
      <c r="A63" s="54" t="s">
        <v>342</v>
      </c>
      <c r="B63" s="5" t="s">
        <v>343</v>
      </c>
      <c r="F63" s="55">
        <f>SUMIFS('T12 Categorized'!D:D,'T12 Categorized'!$A:$A,$A63)</f>
        <v>0</v>
      </c>
      <c r="G63" s="55">
        <f>SUMIFS('T12 Categorized'!E:E,'T12 Categorized'!$A:$A,$A63)</f>
        <v>0</v>
      </c>
      <c r="H63" s="55">
        <f>SUMIFS('T12 Categorized'!F:F,'T12 Categorized'!$A:$A,$A63)</f>
        <v>0</v>
      </c>
      <c r="I63" s="55">
        <f>SUMIFS('T12 Categorized'!G:G,'T12 Categorized'!$A:$A,$A63)</f>
        <v>0</v>
      </c>
      <c r="J63" s="55">
        <f>SUMIFS('T12 Categorized'!H:H,'T12 Categorized'!$A:$A,$A63)</f>
        <v>0</v>
      </c>
      <c r="K63" s="55">
        <f>SUMIFS('T12 Categorized'!I:I,'T12 Categorized'!$A:$A,$A63)</f>
        <v>0</v>
      </c>
      <c r="L63" s="55">
        <f>SUMIFS('T12 Categorized'!J:J,'T12 Categorized'!$A:$A,$A63)</f>
        <v>0</v>
      </c>
      <c r="M63" s="55">
        <f>SUMIFS('T12 Categorized'!K:K,'T12 Categorized'!$A:$A,$A63)</f>
        <v>0</v>
      </c>
      <c r="N63" s="55">
        <f>SUMIFS('T12 Categorized'!L:L,'T12 Categorized'!$A:$A,$A63)</f>
        <v>0</v>
      </c>
      <c r="O63" s="55">
        <f>SUMIFS('T12 Categorized'!M:M,'T12 Categorized'!$A:$A,$A63)</f>
        <v>0</v>
      </c>
      <c r="P63" s="55">
        <f>SUMIFS('T12 Categorized'!N:N,'T12 Categorized'!$A:$A,$A63)</f>
        <v>0</v>
      </c>
      <c r="Q63" s="55">
        <f>SUMIFS('T12 Categorized'!O:O,'T12 Categorized'!$A:$A,$A63)</f>
        <v>0</v>
      </c>
    </row>
    <row r="64" spans="1:17" x14ac:dyDescent="0.3">
      <c r="A64" s="54" t="s">
        <v>344</v>
      </c>
      <c r="B64" s="5" t="s">
        <v>345</v>
      </c>
      <c r="F64" s="55">
        <f>SUMIFS('T12 Categorized'!D:D,'T12 Categorized'!$A:$A,$A64)</f>
        <v>0</v>
      </c>
      <c r="G64" s="55">
        <f>SUMIFS('T12 Categorized'!E:E,'T12 Categorized'!$A:$A,$A64)</f>
        <v>0</v>
      </c>
      <c r="H64" s="55">
        <f>SUMIFS('T12 Categorized'!F:F,'T12 Categorized'!$A:$A,$A64)</f>
        <v>0</v>
      </c>
      <c r="I64" s="55">
        <f>SUMIFS('T12 Categorized'!G:G,'T12 Categorized'!$A:$A,$A64)</f>
        <v>0</v>
      </c>
      <c r="J64" s="55">
        <f>SUMIFS('T12 Categorized'!H:H,'T12 Categorized'!$A:$A,$A64)</f>
        <v>0</v>
      </c>
      <c r="K64" s="55">
        <f>SUMIFS('T12 Categorized'!I:I,'T12 Categorized'!$A:$A,$A64)</f>
        <v>0</v>
      </c>
      <c r="L64" s="55">
        <f>SUMIFS('T12 Categorized'!J:J,'T12 Categorized'!$A:$A,$A64)</f>
        <v>0</v>
      </c>
      <c r="M64" s="55">
        <f>SUMIFS('T12 Categorized'!K:K,'T12 Categorized'!$A:$A,$A64)</f>
        <v>0</v>
      </c>
      <c r="N64" s="55">
        <f>SUMIFS('T12 Categorized'!L:L,'T12 Categorized'!$A:$A,$A64)</f>
        <v>0</v>
      </c>
      <c r="O64" s="55">
        <f>SUMIFS('T12 Categorized'!M:M,'T12 Categorized'!$A:$A,$A64)</f>
        <v>0</v>
      </c>
      <c r="P64" s="55">
        <f>SUMIFS('T12 Categorized'!N:N,'T12 Categorized'!$A:$A,$A64)</f>
        <v>0</v>
      </c>
      <c r="Q64" s="55">
        <f>SUMIFS('T12 Categorized'!O:O,'T12 Categorized'!$A:$A,$A64)</f>
        <v>0</v>
      </c>
    </row>
    <row r="65" spans="1:17" x14ac:dyDescent="0.3">
      <c r="A65" s="54" t="s">
        <v>346</v>
      </c>
      <c r="B65" s="5" t="s">
        <v>347</v>
      </c>
      <c r="F65" s="55">
        <f>SUMIFS('T12 Categorized'!D:D,'T12 Categorized'!$A:$A,$A65)</f>
        <v>0</v>
      </c>
      <c r="G65" s="55">
        <f>SUMIFS('T12 Categorized'!E:E,'T12 Categorized'!$A:$A,$A65)</f>
        <v>0</v>
      </c>
      <c r="H65" s="55">
        <f>SUMIFS('T12 Categorized'!F:F,'T12 Categorized'!$A:$A,$A65)</f>
        <v>0</v>
      </c>
      <c r="I65" s="55">
        <f>SUMIFS('T12 Categorized'!G:G,'T12 Categorized'!$A:$A,$A65)</f>
        <v>0</v>
      </c>
      <c r="J65" s="55">
        <f>SUMIFS('T12 Categorized'!H:H,'T12 Categorized'!$A:$A,$A65)</f>
        <v>0</v>
      </c>
      <c r="K65" s="55">
        <f>SUMIFS('T12 Categorized'!I:I,'T12 Categorized'!$A:$A,$A65)</f>
        <v>0</v>
      </c>
      <c r="L65" s="55">
        <f>SUMIFS('T12 Categorized'!J:J,'T12 Categorized'!$A:$A,$A65)</f>
        <v>0</v>
      </c>
      <c r="M65" s="55">
        <f>SUMIFS('T12 Categorized'!K:K,'T12 Categorized'!$A:$A,$A65)</f>
        <v>0</v>
      </c>
      <c r="N65" s="55">
        <f>SUMIFS('T12 Categorized'!L:L,'T12 Categorized'!$A:$A,$A65)</f>
        <v>0</v>
      </c>
      <c r="O65" s="55">
        <f>SUMIFS('T12 Categorized'!M:M,'T12 Categorized'!$A:$A,$A65)</f>
        <v>0</v>
      </c>
      <c r="P65" s="55">
        <f>SUMIFS('T12 Categorized'!N:N,'T12 Categorized'!$A:$A,$A65)</f>
        <v>0</v>
      </c>
      <c r="Q65" s="55">
        <f>SUMIFS('T12 Categorized'!O:O,'T12 Categorized'!$A:$A,$A65)</f>
        <v>0</v>
      </c>
    </row>
    <row r="66" spans="1:17" x14ac:dyDescent="0.3">
      <c r="A66" s="54" t="s">
        <v>348</v>
      </c>
      <c r="B66" s="5" t="s">
        <v>349</v>
      </c>
      <c r="F66" s="55">
        <f>SUMIFS('T12 Categorized'!D:D,'T12 Categorized'!$A:$A,$A66)</f>
        <v>0</v>
      </c>
      <c r="G66" s="55">
        <f>SUMIFS('T12 Categorized'!E:E,'T12 Categorized'!$A:$A,$A66)</f>
        <v>0</v>
      </c>
      <c r="H66" s="55">
        <f>SUMIFS('T12 Categorized'!F:F,'T12 Categorized'!$A:$A,$A66)</f>
        <v>0</v>
      </c>
      <c r="I66" s="55">
        <f>SUMIFS('T12 Categorized'!G:G,'T12 Categorized'!$A:$A,$A66)</f>
        <v>0</v>
      </c>
      <c r="J66" s="55">
        <f>SUMIFS('T12 Categorized'!H:H,'T12 Categorized'!$A:$A,$A66)</f>
        <v>0</v>
      </c>
      <c r="K66" s="55">
        <f>SUMIFS('T12 Categorized'!I:I,'T12 Categorized'!$A:$A,$A66)</f>
        <v>0</v>
      </c>
      <c r="L66" s="55">
        <f>SUMIFS('T12 Categorized'!J:J,'T12 Categorized'!$A:$A,$A66)</f>
        <v>0</v>
      </c>
      <c r="M66" s="55">
        <f>SUMIFS('T12 Categorized'!K:K,'T12 Categorized'!$A:$A,$A66)</f>
        <v>0</v>
      </c>
      <c r="N66" s="55">
        <f>SUMIFS('T12 Categorized'!L:L,'T12 Categorized'!$A:$A,$A66)</f>
        <v>0</v>
      </c>
      <c r="O66" s="55">
        <f>SUMIFS('T12 Categorized'!M:M,'T12 Categorized'!$A:$A,$A66)</f>
        <v>0</v>
      </c>
      <c r="P66" s="55">
        <f>SUMIFS('T12 Categorized'!N:N,'T12 Categorized'!$A:$A,$A66)</f>
        <v>0</v>
      </c>
      <c r="Q66" s="55">
        <f>SUMIFS('T12 Categorized'!O:O,'T12 Categorized'!$A:$A,$A66)</f>
        <v>0</v>
      </c>
    </row>
    <row r="67" spans="1:17" x14ac:dyDescent="0.3">
      <c r="A67" s="54" t="s">
        <v>350</v>
      </c>
      <c r="B67" s="5" t="s">
        <v>351</v>
      </c>
      <c r="F67" s="55">
        <f>SUMIFS('T12 Categorized'!D:D,'T12 Categorized'!$A:$A,$A67)</f>
        <v>0</v>
      </c>
      <c r="G67" s="55">
        <f>SUMIFS('T12 Categorized'!E:E,'T12 Categorized'!$A:$A,$A67)</f>
        <v>0</v>
      </c>
      <c r="H67" s="55">
        <f>SUMIFS('T12 Categorized'!F:F,'T12 Categorized'!$A:$A,$A67)</f>
        <v>0</v>
      </c>
      <c r="I67" s="55">
        <f>SUMIFS('T12 Categorized'!G:G,'T12 Categorized'!$A:$A,$A67)</f>
        <v>0</v>
      </c>
      <c r="J67" s="55">
        <f>SUMIFS('T12 Categorized'!H:H,'T12 Categorized'!$A:$A,$A67)</f>
        <v>0</v>
      </c>
      <c r="K67" s="55">
        <f>SUMIFS('T12 Categorized'!I:I,'T12 Categorized'!$A:$A,$A67)</f>
        <v>0</v>
      </c>
      <c r="L67" s="55">
        <f>SUMIFS('T12 Categorized'!J:J,'T12 Categorized'!$A:$A,$A67)</f>
        <v>0</v>
      </c>
      <c r="M67" s="55">
        <f>SUMIFS('T12 Categorized'!K:K,'T12 Categorized'!$A:$A,$A67)</f>
        <v>0</v>
      </c>
      <c r="N67" s="55">
        <f>SUMIFS('T12 Categorized'!L:L,'T12 Categorized'!$A:$A,$A67)</f>
        <v>0</v>
      </c>
      <c r="O67" s="55">
        <f>SUMIFS('T12 Categorized'!M:M,'T12 Categorized'!$A:$A,$A67)</f>
        <v>0</v>
      </c>
      <c r="P67" s="55">
        <f>SUMIFS('T12 Categorized'!N:N,'T12 Categorized'!$A:$A,$A67)</f>
        <v>0</v>
      </c>
      <c r="Q67" s="55">
        <f>SUMIFS('T12 Categorized'!O:O,'T12 Categorized'!$A:$A,$A67)</f>
        <v>0</v>
      </c>
    </row>
    <row r="68" spans="1:17" x14ac:dyDescent="0.3">
      <c r="A68" s="54" t="s">
        <v>352</v>
      </c>
      <c r="B68" s="5" t="s">
        <v>353</v>
      </c>
      <c r="F68" s="55">
        <f>SUMIFS('T12 Categorized'!D:D,'T12 Categorized'!$A:$A,$A68)</f>
        <v>0</v>
      </c>
      <c r="G68" s="55">
        <f>SUMIFS('T12 Categorized'!E:E,'T12 Categorized'!$A:$A,$A68)</f>
        <v>0</v>
      </c>
      <c r="H68" s="55">
        <f>SUMIFS('T12 Categorized'!F:F,'T12 Categorized'!$A:$A,$A68)</f>
        <v>0</v>
      </c>
      <c r="I68" s="55">
        <f>SUMIFS('T12 Categorized'!G:G,'T12 Categorized'!$A:$A,$A68)</f>
        <v>0</v>
      </c>
      <c r="J68" s="55">
        <f>SUMIFS('T12 Categorized'!H:H,'T12 Categorized'!$A:$A,$A68)</f>
        <v>0</v>
      </c>
      <c r="K68" s="55">
        <f>SUMIFS('T12 Categorized'!I:I,'T12 Categorized'!$A:$A,$A68)</f>
        <v>0</v>
      </c>
      <c r="L68" s="55">
        <f>SUMIFS('T12 Categorized'!J:J,'T12 Categorized'!$A:$A,$A68)</f>
        <v>0</v>
      </c>
      <c r="M68" s="55">
        <f>SUMIFS('T12 Categorized'!K:K,'T12 Categorized'!$A:$A,$A68)</f>
        <v>0</v>
      </c>
      <c r="N68" s="55">
        <f>SUMIFS('T12 Categorized'!L:L,'T12 Categorized'!$A:$A,$A68)</f>
        <v>0</v>
      </c>
      <c r="O68" s="55">
        <f>SUMIFS('T12 Categorized'!M:M,'T12 Categorized'!$A:$A,$A68)</f>
        <v>0</v>
      </c>
      <c r="P68" s="55">
        <f>SUMIFS('T12 Categorized'!N:N,'T12 Categorized'!$A:$A,$A68)</f>
        <v>0</v>
      </c>
      <c r="Q68" s="55">
        <f>SUMIFS('T12 Categorized'!O:O,'T12 Categorized'!$A:$A,$A68)</f>
        <v>0</v>
      </c>
    </row>
    <row r="69" spans="1:17" x14ac:dyDescent="0.3">
      <c r="A69" s="54" t="s">
        <v>354</v>
      </c>
      <c r="B69" s="5" t="s">
        <v>355</v>
      </c>
      <c r="F69" s="55">
        <f>SUMIFS('T12 Categorized'!D:D,'T12 Categorized'!$A:$A,$A69)</f>
        <v>0</v>
      </c>
      <c r="G69" s="55">
        <f>SUMIFS('T12 Categorized'!E:E,'T12 Categorized'!$A:$A,$A69)</f>
        <v>0</v>
      </c>
      <c r="H69" s="55">
        <f>SUMIFS('T12 Categorized'!F:F,'T12 Categorized'!$A:$A,$A69)</f>
        <v>0</v>
      </c>
      <c r="I69" s="55">
        <f>SUMIFS('T12 Categorized'!G:G,'T12 Categorized'!$A:$A,$A69)</f>
        <v>0</v>
      </c>
      <c r="J69" s="55">
        <f>SUMIFS('T12 Categorized'!H:H,'T12 Categorized'!$A:$A,$A69)</f>
        <v>0</v>
      </c>
      <c r="K69" s="55">
        <f>SUMIFS('T12 Categorized'!I:I,'T12 Categorized'!$A:$A,$A69)</f>
        <v>0</v>
      </c>
      <c r="L69" s="55">
        <f>SUMIFS('T12 Categorized'!J:J,'T12 Categorized'!$A:$A,$A69)</f>
        <v>0</v>
      </c>
      <c r="M69" s="55">
        <f>SUMIFS('T12 Categorized'!K:K,'T12 Categorized'!$A:$A,$A69)</f>
        <v>0</v>
      </c>
      <c r="N69" s="55">
        <f>SUMIFS('T12 Categorized'!L:L,'T12 Categorized'!$A:$A,$A69)</f>
        <v>0</v>
      </c>
      <c r="O69" s="55">
        <f>SUMIFS('T12 Categorized'!M:M,'T12 Categorized'!$A:$A,$A69)</f>
        <v>0</v>
      </c>
      <c r="P69" s="55">
        <f>SUMIFS('T12 Categorized'!N:N,'T12 Categorized'!$A:$A,$A69)</f>
        <v>0</v>
      </c>
      <c r="Q69" s="55">
        <f>SUMIFS('T12 Categorized'!O:O,'T12 Categorized'!$A:$A,$A69)</f>
        <v>0</v>
      </c>
    </row>
    <row r="70" spans="1:17" x14ac:dyDescent="0.3">
      <c r="A70" s="54" t="s">
        <v>356</v>
      </c>
      <c r="B70" s="5" t="s">
        <v>357</v>
      </c>
      <c r="F70" s="55">
        <f>SUMIFS('T12 Categorized'!D:D,'T12 Categorized'!$A:$A,$A70)</f>
        <v>0</v>
      </c>
      <c r="G70" s="55">
        <f>SUMIFS('T12 Categorized'!E:E,'T12 Categorized'!$A:$A,$A70)</f>
        <v>0</v>
      </c>
      <c r="H70" s="55">
        <f>SUMIFS('T12 Categorized'!F:F,'T12 Categorized'!$A:$A,$A70)</f>
        <v>0</v>
      </c>
      <c r="I70" s="55">
        <f>SUMIFS('T12 Categorized'!G:G,'T12 Categorized'!$A:$A,$A70)</f>
        <v>0</v>
      </c>
      <c r="J70" s="55">
        <f>SUMIFS('T12 Categorized'!H:H,'T12 Categorized'!$A:$A,$A70)</f>
        <v>0</v>
      </c>
      <c r="K70" s="55">
        <f>SUMIFS('T12 Categorized'!I:I,'T12 Categorized'!$A:$A,$A70)</f>
        <v>0</v>
      </c>
      <c r="L70" s="55">
        <f>SUMIFS('T12 Categorized'!J:J,'T12 Categorized'!$A:$A,$A70)</f>
        <v>0</v>
      </c>
      <c r="M70" s="55">
        <f>SUMIFS('T12 Categorized'!K:K,'T12 Categorized'!$A:$A,$A70)</f>
        <v>0</v>
      </c>
      <c r="N70" s="55">
        <f>SUMIFS('T12 Categorized'!L:L,'T12 Categorized'!$A:$A,$A70)</f>
        <v>0</v>
      </c>
      <c r="O70" s="55">
        <f>SUMIFS('T12 Categorized'!M:M,'T12 Categorized'!$A:$A,$A70)</f>
        <v>0</v>
      </c>
      <c r="P70" s="55">
        <f>SUMIFS('T12 Categorized'!N:N,'T12 Categorized'!$A:$A,$A70)</f>
        <v>0</v>
      </c>
      <c r="Q70" s="55">
        <f>SUMIFS('T12 Categorized'!O:O,'T12 Categorized'!$A:$A,$A70)</f>
        <v>0</v>
      </c>
    </row>
    <row r="71" spans="1:17" x14ac:dyDescent="0.3">
      <c r="A71" s="54" t="s">
        <v>358</v>
      </c>
      <c r="B71" s="5" t="s">
        <v>359</v>
      </c>
      <c r="F71" s="55">
        <f>SUMIFS('T12 Categorized'!D:D,'T12 Categorized'!$A:$A,$A71)</f>
        <v>0</v>
      </c>
      <c r="G71" s="55">
        <f>SUMIFS('T12 Categorized'!E:E,'T12 Categorized'!$A:$A,$A71)</f>
        <v>0</v>
      </c>
      <c r="H71" s="55">
        <f>SUMIFS('T12 Categorized'!F:F,'T12 Categorized'!$A:$A,$A71)</f>
        <v>0</v>
      </c>
      <c r="I71" s="55">
        <f>SUMIFS('T12 Categorized'!G:G,'T12 Categorized'!$A:$A,$A71)</f>
        <v>0</v>
      </c>
      <c r="J71" s="55">
        <f>SUMIFS('T12 Categorized'!H:H,'T12 Categorized'!$A:$A,$A71)</f>
        <v>0</v>
      </c>
      <c r="K71" s="55">
        <f>SUMIFS('T12 Categorized'!I:I,'T12 Categorized'!$A:$A,$A71)</f>
        <v>0</v>
      </c>
      <c r="L71" s="55">
        <f>SUMIFS('T12 Categorized'!J:J,'T12 Categorized'!$A:$A,$A71)</f>
        <v>0</v>
      </c>
      <c r="M71" s="55">
        <f>SUMIFS('T12 Categorized'!K:K,'T12 Categorized'!$A:$A,$A71)</f>
        <v>0</v>
      </c>
      <c r="N71" s="55">
        <f>SUMIFS('T12 Categorized'!L:L,'T12 Categorized'!$A:$A,$A71)</f>
        <v>0</v>
      </c>
      <c r="O71" s="55">
        <f>SUMIFS('T12 Categorized'!M:M,'T12 Categorized'!$A:$A,$A71)</f>
        <v>0</v>
      </c>
      <c r="P71" s="55">
        <f>SUMIFS('T12 Categorized'!N:N,'T12 Categorized'!$A:$A,$A71)</f>
        <v>0</v>
      </c>
      <c r="Q71" s="55">
        <f>SUMIFS('T12 Categorized'!O:O,'T12 Categorized'!$A:$A,$A71)</f>
        <v>0</v>
      </c>
    </row>
    <row r="72" spans="1:17" x14ac:dyDescent="0.3">
      <c r="A72" s="54" t="s">
        <v>360</v>
      </c>
      <c r="B72" s="5" t="s">
        <v>361</v>
      </c>
      <c r="F72" s="55">
        <f>SUMIFS('T12 Categorized'!D:D,'T12 Categorized'!$A:$A,$A72)</f>
        <v>0</v>
      </c>
      <c r="G72" s="55">
        <f>SUMIFS('T12 Categorized'!E:E,'T12 Categorized'!$A:$A,$A72)</f>
        <v>0</v>
      </c>
      <c r="H72" s="55">
        <f>SUMIFS('T12 Categorized'!F:F,'T12 Categorized'!$A:$A,$A72)</f>
        <v>0</v>
      </c>
      <c r="I72" s="55">
        <f>SUMIFS('T12 Categorized'!G:G,'T12 Categorized'!$A:$A,$A72)</f>
        <v>0</v>
      </c>
      <c r="J72" s="55">
        <f>SUMIFS('T12 Categorized'!H:H,'T12 Categorized'!$A:$A,$A72)</f>
        <v>0</v>
      </c>
      <c r="K72" s="55">
        <f>SUMIFS('T12 Categorized'!I:I,'T12 Categorized'!$A:$A,$A72)</f>
        <v>0</v>
      </c>
      <c r="L72" s="55">
        <f>SUMIFS('T12 Categorized'!J:J,'T12 Categorized'!$A:$A,$A72)</f>
        <v>0</v>
      </c>
      <c r="M72" s="55">
        <f>SUMIFS('T12 Categorized'!K:K,'T12 Categorized'!$A:$A,$A72)</f>
        <v>0</v>
      </c>
      <c r="N72" s="55">
        <f>SUMIFS('T12 Categorized'!L:L,'T12 Categorized'!$A:$A,$A72)</f>
        <v>0</v>
      </c>
      <c r="O72" s="55">
        <f>SUMIFS('T12 Categorized'!M:M,'T12 Categorized'!$A:$A,$A72)</f>
        <v>0</v>
      </c>
      <c r="P72" s="55">
        <f>SUMIFS('T12 Categorized'!N:N,'T12 Categorized'!$A:$A,$A72)</f>
        <v>0</v>
      </c>
      <c r="Q72" s="55">
        <f>SUMIFS('T12 Categorized'!O:O,'T12 Categorized'!$A:$A,$A72)</f>
        <v>0</v>
      </c>
    </row>
    <row r="73" spans="1:17" x14ac:dyDescent="0.3">
      <c r="A73" s="43"/>
      <c r="B73" s="44" t="s">
        <v>317</v>
      </c>
      <c r="F73" s="56">
        <f t="shared" ref="F73:Q73" si="4">SUM(F51:F72)</f>
        <v>0</v>
      </c>
      <c r="G73" s="56">
        <f t="shared" si="4"/>
        <v>0</v>
      </c>
      <c r="H73" s="56">
        <f t="shared" si="4"/>
        <v>0</v>
      </c>
      <c r="I73" s="56">
        <f t="shared" si="4"/>
        <v>0</v>
      </c>
      <c r="J73" s="56">
        <f t="shared" si="4"/>
        <v>0</v>
      </c>
      <c r="K73" s="56">
        <f t="shared" si="4"/>
        <v>0</v>
      </c>
      <c r="L73" s="56">
        <f t="shared" si="4"/>
        <v>0</v>
      </c>
      <c r="M73" s="56">
        <f t="shared" si="4"/>
        <v>0</v>
      </c>
      <c r="N73" s="56">
        <f t="shared" si="4"/>
        <v>0</v>
      </c>
      <c r="O73" s="56">
        <f t="shared" si="4"/>
        <v>0</v>
      </c>
      <c r="P73" s="56">
        <f t="shared" si="4"/>
        <v>0</v>
      </c>
      <c r="Q73" s="56">
        <f t="shared" si="4"/>
        <v>0</v>
      </c>
    </row>
    <row r="75" spans="1:17" x14ac:dyDescent="0.3">
      <c r="A75" s="39"/>
      <c r="B75" s="57" t="s">
        <v>362</v>
      </c>
      <c r="F75" s="58">
        <f t="shared" ref="F75:Q75" si="5">F44+F48-F73</f>
        <v>235370.50000000012</v>
      </c>
      <c r="G75" s="58">
        <f t="shared" si="5"/>
        <v>271990.48999999982</v>
      </c>
      <c r="H75" s="58">
        <f t="shared" si="5"/>
        <v>253855.64999999997</v>
      </c>
      <c r="I75" s="58">
        <f t="shared" si="5"/>
        <v>281362.63</v>
      </c>
      <c r="J75" s="58">
        <f t="shared" si="5"/>
        <v>305639.95000000007</v>
      </c>
      <c r="K75" s="58">
        <f t="shared" si="5"/>
        <v>250086.95999999996</v>
      </c>
      <c r="L75" s="58">
        <f t="shared" si="5"/>
        <v>404629.41999999993</v>
      </c>
      <c r="M75" s="58">
        <f t="shared" si="5"/>
        <v>272298.94999999995</v>
      </c>
      <c r="N75" s="58">
        <f t="shared" si="5"/>
        <v>283281.12000000017</v>
      </c>
      <c r="O75" s="58">
        <f t="shared" si="5"/>
        <v>295057.50000000017</v>
      </c>
      <c r="P75" s="58">
        <f t="shared" si="5"/>
        <v>314678.03999999998</v>
      </c>
      <c r="Q75" s="58">
        <f t="shared" si="5"/>
        <v>268910.92999999993</v>
      </c>
    </row>
    <row r="77" spans="1:17" x14ac:dyDescent="0.3">
      <c r="B77" s="51" t="s">
        <v>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9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2" width="11" customWidth="1"/>
    <col min="3" max="3" width="9" customWidth="1"/>
    <col min="4" max="5" width="6" customWidth="1"/>
    <col min="6" max="6" width="12" customWidth="1"/>
    <col min="7" max="7" width="16" customWidth="1"/>
    <col min="8" max="8" width="13" customWidth="1"/>
    <col min="9" max="13" width="14" customWidth="1"/>
    <col min="14" max="14" width="2" customWidth="1"/>
    <col min="15" max="28" width="13" customWidth="1"/>
  </cols>
  <sheetData>
    <row r="1" spans="1:28" x14ac:dyDescent="0.3">
      <c r="A1" s="80" t="s">
        <v>364</v>
      </c>
      <c r="B1" s="80" t="s">
        <v>6</v>
      </c>
      <c r="C1" s="80" t="s">
        <v>365</v>
      </c>
      <c r="D1" s="80" t="s">
        <v>7</v>
      </c>
      <c r="E1" s="80" t="s">
        <v>8</v>
      </c>
      <c r="F1" s="80" t="s">
        <v>366</v>
      </c>
      <c r="G1" s="80" t="s">
        <v>367</v>
      </c>
      <c r="H1" s="80" t="s">
        <v>368</v>
      </c>
      <c r="I1" s="80" t="s">
        <v>369</v>
      </c>
      <c r="J1" s="80" t="s">
        <v>370</v>
      </c>
      <c r="K1" s="80" t="s">
        <v>371</v>
      </c>
      <c r="L1" s="80" t="s">
        <v>372</v>
      </c>
      <c r="M1" s="80" t="s">
        <v>373</v>
      </c>
      <c r="O1" s="81" t="s">
        <v>374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spans="1:28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O2" s="7" t="s">
        <v>375</v>
      </c>
      <c r="P2" s="7" t="s">
        <v>376</v>
      </c>
      <c r="Q2" s="7" t="s">
        <v>377</v>
      </c>
      <c r="R2" s="7" t="s">
        <v>378</v>
      </c>
      <c r="S2" s="7" t="s">
        <v>379</v>
      </c>
      <c r="T2" s="7" t="s">
        <v>380</v>
      </c>
      <c r="U2" s="7" t="s">
        <v>381</v>
      </c>
      <c r="V2" s="7" t="s">
        <v>382</v>
      </c>
      <c r="W2" s="7" t="s">
        <v>383</v>
      </c>
      <c r="X2" s="7" t="s">
        <v>384</v>
      </c>
      <c r="Y2" s="7" t="s">
        <v>385</v>
      </c>
      <c r="Z2" s="7" t="s">
        <v>386</v>
      </c>
      <c r="AA2" s="7" t="s">
        <v>387</v>
      </c>
      <c r="AB2" s="7" t="s">
        <v>388</v>
      </c>
    </row>
    <row r="3" spans="1:28" x14ac:dyDescent="0.3">
      <c r="A3" s="59" t="s">
        <v>389</v>
      </c>
      <c r="B3" s="59" t="s">
        <v>74</v>
      </c>
      <c r="C3" s="20">
        <v>1564</v>
      </c>
      <c r="D3" s="19">
        <v>3</v>
      </c>
      <c r="E3" s="19">
        <v>2</v>
      </c>
      <c r="F3" s="60" t="s">
        <v>390</v>
      </c>
      <c r="G3" s="60" t="s">
        <v>391</v>
      </c>
      <c r="H3" s="20">
        <v>2940</v>
      </c>
      <c r="I3" s="20">
        <v>2940</v>
      </c>
      <c r="J3" s="20">
        <v>2940</v>
      </c>
      <c r="K3" s="61"/>
      <c r="L3" s="61">
        <v>46610</v>
      </c>
      <c r="M3" s="61">
        <v>45087</v>
      </c>
      <c r="O3" s="20">
        <v>2940</v>
      </c>
      <c r="P3" s="20"/>
      <c r="Q3" s="20">
        <v>270</v>
      </c>
      <c r="R3" s="20">
        <v>25</v>
      </c>
      <c r="S3" s="20">
        <v>10</v>
      </c>
      <c r="T3" s="20"/>
      <c r="U3" s="20"/>
      <c r="V3" s="20"/>
      <c r="W3" s="20"/>
      <c r="X3" s="20"/>
      <c r="Y3" s="20"/>
      <c r="Z3" s="20"/>
      <c r="AA3" s="20"/>
      <c r="AB3" s="20"/>
    </row>
    <row r="4" spans="1:28" x14ac:dyDescent="0.3">
      <c r="A4" s="62" t="s">
        <v>392</v>
      </c>
      <c r="B4" s="62" t="s">
        <v>39</v>
      </c>
      <c r="C4" s="11">
        <v>719</v>
      </c>
      <c r="D4" s="10">
        <v>1</v>
      </c>
      <c r="E4" s="10">
        <v>1</v>
      </c>
      <c r="F4" s="63" t="s">
        <v>390</v>
      </c>
      <c r="G4" s="63" t="s">
        <v>391</v>
      </c>
      <c r="H4" s="11">
        <v>1630</v>
      </c>
      <c r="I4" s="11">
        <v>1410</v>
      </c>
      <c r="J4" s="11">
        <v>1410</v>
      </c>
      <c r="K4" s="64"/>
      <c r="L4" s="64">
        <v>46277</v>
      </c>
      <c r="M4" s="64">
        <v>45304</v>
      </c>
      <c r="O4" s="11">
        <v>1410</v>
      </c>
      <c r="P4" s="11"/>
      <c r="Q4" s="11"/>
      <c r="R4" s="11">
        <v>25</v>
      </c>
      <c r="S4" s="11">
        <v>10</v>
      </c>
      <c r="T4" s="11"/>
      <c r="U4" s="11">
        <v>25</v>
      </c>
      <c r="V4" s="11"/>
      <c r="W4" s="11"/>
      <c r="X4" s="11"/>
      <c r="Y4" s="11"/>
      <c r="Z4" s="11"/>
      <c r="AA4" s="11"/>
      <c r="AB4" s="11"/>
    </row>
    <row r="5" spans="1:28" x14ac:dyDescent="0.3">
      <c r="A5" s="59" t="s">
        <v>393</v>
      </c>
      <c r="B5" s="59" t="s">
        <v>39</v>
      </c>
      <c r="C5" s="20">
        <v>719</v>
      </c>
      <c r="D5" s="19">
        <v>1</v>
      </c>
      <c r="E5" s="19">
        <v>1</v>
      </c>
      <c r="F5" s="60" t="s">
        <v>390</v>
      </c>
      <c r="G5" s="60" t="s">
        <v>391</v>
      </c>
      <c r="H5" s="20">
        <v>1630</v>
      </c>
      <c r="I5" s="20">
        <v>1630</v>
      </c>
      <c r="J5" s="20">
        <v>1630</v>
      </c>
      <c r="K5" s="61"/>
      <c r="L5" s="61">
        <v>46485</v>
      </c>
      <c r="M5" s="61">
        <v>45756</v>
      </c>
      <c r="O5" s="20">
        <v>1630</v>
      </c>
      <c r="P5" s="20"/>
      <c r="Q5" s="20"/>
      <c r="R5" s="20">
        <v>25</v>
      </c>
      <c r="S5" s="20">
        <v>10</v>
      </c>
      <c r="T5" s="20"/>
      <c r="U5" s="20"/>
      <c r="V5" s="20"/>
      <c r="W5" s="20"/>
      <c r="X5" s="20"/>
      <c r="Y5" s="20"/>
      <c r="Z5" s="20"/>
      <c r="AA5" s="20"/>
      <c r="AB5" s="20"/>
    </row>
    <row r="6" spans="1:28" x14ac:dyDescent="0.3">
      <c r="A6" s="62" t="s">
        <v>394</v>
      </c>
      <c r="B6" s="62" t="s">
        <v>64</v>
      </c>
      <c r="C6" s="11">
        <v>1109</v>
      </c>
      <c r="D6" s="10">
        <v>2</v>
      </c>
      <c r="E6" s="10">
        <v>2</v>
      </c>
      <c r="F6" s="63" t="s">
        <v>390</v>
      </c>
      <c r="G6" s="63" t="s">
        <v>391</v>
      </c>
      <c r="H6" s="11">
        <v>2115</v>
      </c>
      <c r="I6" s="11">
        <v>2035</v>
      </c>
      <c r="J6" s="11">
        <v>2035</v>
      </c>
      <c r="K6" s="64"/>
      <c r="L6" s="64">
        <v>46348</v>
      </c>
      <c r="M6" s="64">
        <v>45800</v>
      </c>
      <c r="O6" s="11">
        <v>2035</v>
      </c>
      <c r="P6" s="11"/>
      <c r="Q6" s="11">
        <v>200</v>
      </c>
      <c r="R6" s="11">
        <v>25</v>
      </c>
      <c r="S6" s="11">
        <v>10</v>
      </c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3">
      <c r="A7" s="59" t="s">
        <v>395</v>
      </c>
      <c r="B7" s="59" t="s">
        <v>45</v>
      </c>
      <c r="C7" s="20">
        <v>736</v>
      </c>
      <c r="D7" s="19">
        <v>1</v>
      </c>
      <c r="E7" s="19">
        <v>1</v>
      </c>
      <c r="F7" s="60" t="s">
        <v>390</v>
      </c>
      <c r="G7" s="60" t="s">
        <v>391</v>
      </c>
      <c r="H7" s="20">
        <v>1725</v>
      </c>
      <c r="I7" s="20">
        <v>1568</v>
      </c>
      <c r="J7" s="20">
        <v>1568</v>
      </c>
      <c r="K7" s="61"/>
      <c r="L7" s="61">
        <v>46373</v>
      </c>
      <c r="M7" s="61">
        <v>45340</v>
      </c>
      <c r="O7" s="20">
        <v>1568</v>
      </c>
      <c r="P7" s="20"/>
      <c r="Q7" s="20"/>
      <c r="R7" s="20">
        <v>25</v>
      </c>
      <c r="S7" s="20">
        <v>10</v>
      </c>
      <c r="T7" s="20"/>
      <c r="U7" s="20"/>
      <c r="V7" s="20"/>
      <c r="W7" s="20"/>
      <c r="X7" s="20"/>
      <c r="Y7" s="20"/>
      <c r="Z7" s="20"/>
      <c r="AA7" s="20"/>
      <c r="AB7" s="20"/>
    </row>
    <row r="8" spans="1:28" x14ac:dyDescent="0.3">
      <c r="A8" s="62" t="s">
        <v>396</v>
      </c>
      <c r="B8" s="62" t="s">
        <v>64</v>
      </c>
      <c r="C8" s="11">
        <v>1109</v>
      </c>
      <c r="D8" s="10">
        <v>2</v>
      </c>
      <c r="E8" s="10">
        <v>2</v>
      </c>
      <c r="F8" s="63" t="s">
        <v>390</v>
      </c>
      <c r="G8" s="63" t="s">
        <v>397</v>
      </c>
      <c r="H8" s="11">
        <v>2115</v>
      </c>
      <c r="I8" s="11">
        <v>0</v>
      </c>
      <c r="J8" s="11">
        <v>0</v>
      </c>
      <c r="K8" s="64"/>
      <c r="L8" s="64"/>
      <c r="M8" s="64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3">
      <c r="A9" s="59" t="s">
        <v>398</v>
      </c>
      <c r="B9" s="59" t="s">
        <v>74</v>
      </c>
      <c r="C9" s="20">
        <v>1564</v>
      </c>
      <c r="D9" s="19">
        <v>3</v>
      </c>
      <c r="E9" s="19">
        <v>2</v>
      </c>
      <c r="F9" s="60" t="s">
        <v>390</v>
      </c>
      <c r="G9" s="60" t="s">
        <v>391</v>
      </c>
      <c r="H9" s="20">
        <v>2940</v>
      </c>
      <c r="I9" s="20">
        <v>2650</v>
      </c>
      <c r="J9" s="20">
        <v>2650</v>
      </c>
      <c r="K9" s="61"/>
      <c r="L9" s="61">
        <v>46298</v>
      </c>
      <c r="M9" s="61">
        <v>45934</v>
      </c>
      <c r="O9" s="20">
        <v>2650</v>
      </c>
      <c r="P9" s="20"/>
      <c r="Q9" s="20"/>
      <c r="R9" s="20">
        <v>25</v>
      </c>
      <c r="S9" s="20">
        <v>10</v>
      </c>
      <c r="T9" s="20"/>
      <c r="U9" s="20"/>
      <c r="V9" s="20"/>
      <c r="W9" s="20"/>
      <c r="X9" s="20"/>
      <c r="Y9" s="20"/>
      <c r="Z9" s="20"/>
      <c r="AA9" s="20"/>
      <c r="AB9" s="20"/>
    </row>
    <row r="10" spans="1:28" x14ac:dyDescent="0.3">
      <c r="A10" s="62" t="s">
        <v>399</v>
      </c>
      <c r="B10" s="62" t="s">
        <v>45</v>
      </c>
      <c r="C10" s="11">
        <v>736</v>
      </c>
      <c r="D10" s="10">
        <v>1</v>
      </c>
      <c r="E10" s="10">
        <v>1</v>
      </c>
      <c r="F10" s="63" t="s">
        <v>390</v>
      </c>
      <c r="G10" s="63" t="s">
        <v>391</v>
      </c>
      <c r="H10" s="11">
        <v>1725</v>
      </c>
      <c r="I10" s="11">
        <v>1568</v>
      </c>
      <c r="J10" s="11">
        <v>1568</v>
      </c>
      <c r="K10" s="64"/>
      <c r="L10" s="64">
        <v>46277</v>
      </c>
      <c r="M10" s="64">
        <v>45304</v>
      </c>
      <c r="O10" s="11">
        <v>1568</v>
      </c>
      <c r="P10" s="11"/>
      <c r="Q10" s="11"/>
      <c r="R10" s="11">
        <v>25</v>
      </c>
      <c r="S10" s="11">
        <v>10</v>
      </c>
      <c r="T10" s="11"/>
      <c r="U10" s="11">
        <v>25</v>
      </c>
      <c r="V10" s="11"/>
      <c r="W10" s="11"/>
      <c r="X10" s="11"/>
      <c r="Y10" s="11"/>
      <c r="Z10" s="11"/>
      <c r="AA10" s="11"/>
      <c r="AB10" s="11"/>
    </row>
    <row r="11" spans="1:28" x14ac:dyDescent="0.3">
      <c r="A11" s="59" t="s">
        <v>400</v>
      </c>
      <c r="B11" s="59" t="s">
        <v>39</v>
      </c>
      <c r="C11" s="20">
        <v>719</v>
      </c>
      <c r="D11" s="19">
        <v>1</v>
      </c>
      <c r="E11" s="19">
        <v>1</v>
      </c>
      <c r="F11" s="60" t="s">
        <v>390</v>
      </c>
      <c r="G11" s="60" t="s">
        <v>391</v>
      </c>
      <c r="H11" s="20">
        <v>1630</v>
      </c>
      <c r="I11" s="20">
        <v>1492</v>
      </c>
      <c r="J11" s="20">
        <v>1492</v>
      </c>
      <c r="K11" s="61"/>
      <c r="L11" s="61">
        <v>46440</v>
      </c>
      <c r="M11" s="61">
        <v>45283</v>
      </c>
      <c r="O11" s="20">
        <v>1492</v>
      </c>
      <c r="P11" s="20"/>
      <c r="Q11" s="20"/>
      <c r="R11" s="20">
        <v>25</v>
      </c>
      <c r="S11" s="20">
        <v>10</v>
      </c>
      <c r="T11" s="20"/>
      <c r="U11" s="20"/>
      <c r="V11" s="20"/>
      <c r="W11" s="20"/>
      <c r="X11" s="20"/>
      <c r="Y11" s="20"/>
      <c r="Z11" s="20"/>
      <c r="AA11" s="20"/>
      <c r="AB11" s="20"/>
    </row>
    <row r="12" spans="1:28" x14ac:dyDescent="0.3">
      <c r="A12" s="62" t="s">
        <v>401</v>
      </c>
      <c r="B12" s="62" t="s">
        <v>64</v>
      </c>
      <c r="C12" s="11">
        <v>1109</v>
      </c>
      <c r="D12" s="10">
        <v>2</v>
      </c>
      <c r="E12" s="10">
        <v>2</v>
      </c>
      <c r="F12" s="63" t="s">
        <v>390</v>
      </c>
      <c r="G12" s="63" t="s">
        <v>391</v>
      </c>
      <c r="H12" s="11">
        <v>2115</v>
      </c>
      <c r="I12" s="11">
        <v>2125</v>
      </c>
      <c r="J12" s="11">
        <v>2125</v>
      </c>
      <c r="K12" s="64"/>
      <c r="L12" s="64">
        <v>46217</v>
      </c>
      <c r="M12" s="64">
        <v>45061</v>
      </c>
      <c r="O12" s="11">
        <v>2125</v>
      </c>
      <c r="P12" s="11"/>
      <c r="Q12" s="11">
        <v>300</v>
      </c>
      <c r="R12" s="11">
        <v>25</v>
      </c>
      <c r="S12" s="11">
        <v>10</v>
      </c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3">
      <c r="A13" s="59" t="s">
        <v>402</v>
      </c>
      <c r="B13" s="59" t="s">
        <v>64</v>
      </c>
      <c r="C13" s="20">
        <v>1109</v>
      </c>
      <c r="D13" s="19">
        <v>2</v>
      </c>
      <c r="E13" s="19">
        <v>2</v>
      </c>
      <c r="F13" s="60" t="s">
        <v>390</v>
      </c>
      <c r="G13" s="60" t="s">
        <v>391</v>
      </c>
      <c r="H13" s="20">
        <v>2115</v>
      </c>
      <c r="I13" s="20">
        <v>2085</v>
      </c>
      <c r="J13" s="20">
        <v>2085</v>
      </c>
      <c r="K13" s="61"/>
      <c r="L13" s="61">
        <v>46346</v>
      </c>
      <c r="M13" s="61">
        <v>45159</v>
      </c>
      <c r="O13" s="20">
        <v>2085</v>
      </c>
      <c r="P13" s="20"/>
      <c r="Q13" s="20"/>
      <c r="R13" s="20">
        <v>25</v>
      </c>
      <c r="S13" s="20">
        <v>10</v>
      </c>
      <c r="T13" s="20"/>
      <c r="U13" s="20"/>
      <c r="V13" s="20"/>
      <c r="W13" s="20"/>
      <c r="X13" s="20"/>
      <c r="Y13" s="20"/>
      <c r="Z13" s="20"/>
      <c r="AA13" s="20"/>
      <c r="AB13" s="20"/>
    </row>
    <row r="14" spans="1:28" x14ac:dyDescent="0.3">
      <c r="A14" s="62" t="s">
        <v>403</v>
      </c>
      <c r="B14" s="62" t="s">
        <v>59</v>
      </c>
      <c r="C14" s="11">
        <v>1082</v>
      </c>
      <c r="D14" s="10">
        <v>2</v>
      </c>
      <c r="E14" s="10">
        <v>2</v>
      </c>
      <c r="F14" s="63" t="s">
        <v>390</v>
      </c>
      <c r="G14" s="63" t="s">
        <v>391</v>
      </c>
      <c r="H14" s="11">
        <v>2165</v>
      </c>
      <c r="I14" s="11">
        <v>1974</v>
      </c>
      <c r="J14" s="11">
        <v>1974</v>
      </c>
      <c r="K14" s="64"/>
      <c r="L14" s="64">
        <v>46518</v>
      </c>
      <c r="M14" s="64">
        <v>45589</v>
      </c>
      <c r="O14" s="11">
        <v>1974</v>
      </c>
      <c r="P14" s="11"/>
      <c r="Q14" s="11">
        <v>520</v>
      </c>
      <c r="R14" s="11">
        <v>50</v>
      </c>
      <c r="S14" s="11">
        <v>20</v>
      </c>
      <c r="T14" s="11"/>
      <c r="U14" s="11">
        <v>50</v>
      </c>
      <c r="V14" s="11"/>
      <c r="W14" s="11"/>
      <c r="X14" s="11"/>
      <c r="Y14" s="11"/>
      <c r="Z14" s="11"/>
      <c r="AA14" s="11"/>
      <c r="AB14" s="11"/>
    </row>
    <row r="15" spans="1:28" x14ac:dyDescent="0.3">
      <c r="A15" s="59" t="s">
        <v>404</v>
      </c>
      <c r="B15" s="59" t="s">
        <v>59</v>
      </c>
      <c r="C15" s="20">
        <v>1082</v>
      </c>
      <c r="D15" s="19">
        <v>2</v>
      </c>
      <c r="E15" s="19">
        <v>2</v>
      </c>
      <c r="F15" s="60" t="s">
        <v>390</v>
      </c>
      <c r="G15" s="60" t="s">
        <v>391</v>
      </c>
      <c r="H15" s="20">
        <v>2260</v>
      </c>
      <c r="I15" s="20">
        <v>2095</v>
      </c>
      <c r="J15" s="20">
        <v>2095</v>
      </c>
      <c r="K15" s="61"/>
      <c r="L15" s="61">
        <v>46598</v>
      </c>
      <c r="M15" s="61">
        <v>46053</v>
      </c>
      <c r="O15" s="20">
        <v>2095</v>
      </c>
      <c r="P15" s="20">
        <v>-1047.5</v>
      </c>
      <c r="Q15" s="20"/>
      <c r="R15" s="20">
        <v>25</v>
      </c>
      <c r="S15" s="20">
        <v>10</v>
      </c>
      <c r="T15" s="20"/>
      <c r="U15" s="20">
        <v>25</v>
      </c>
      <c r="V15" s="20"/>
      <c r="W15" s="20"/>
      <c r="X15" s="20"/>
      <c r="Y15" s="20"/>
      <c r="Z15" s="20"/>
      <c r="AA15" s="20"/>
      <c r="AB15" s="20"/>
    </row>
    <row r="16" spans="1:28" x14ac:dyDescent="0.3">
      <c r="A16" s="62" t="s">
        <v>405</v>
      </c>
      <c r="B16" s="62" t="s">
        <v>74</v>
      </c>
      <c r="C16" s="11">
        <v>1564</v>
      </c>
      <c r="D16" s="10">
        <v>3</v>
      </c>
      <c r="E16" s="10">
        <v>2</v>
      </c>
      <c r="F16" s="63" t="s">
        <v>390</v>
      </c>
      <c r="G16" s="63" t="s">
        <v>391</v>
      </c>
      <c r="H16" s="11">
        <v>2860</v>
      </c>
      <c r="I16" s="11">
        <v>2436</v>
      </c>
      <c r="J16" s="11">
        <v>2436</v>
      </c>
      <c r="K16" s="64"/>
      <c r="L16" s="64">
        <v>46404</v>
      </c>
      <c r="M16" s="64">
        <v>45675</v>
      </c>
      <c r="O16" s="11">
        <v>2436</v>
      </c>
      <c r="P16" s="11"/>
      <c r="Q16" s="11">
        <v>160</v>
      </c>
      <c r="R16" s="11">
        <v>25</v>
      </c>
      <c r="S16" s="11">
        <v>10</v>
      </c>
      <c r="T16" s="11">
        <v>65</v>
      </c>
      <c r="U16" s="11"/>
      <c r="V16" s="11"/>
      <c r="W16" s="11"/>
      <c r="X16" s="11"/>
      <c r="Y16" s="11"/>
      <c r="Z16" s="11"/>
      <c r="AA16" s="11"/>
      <c r="AB16" s="11"/>
    </row>
    <row r="17" spans="1:28" x14ac:dyDescent="0.3">
      <c r="A17" s="59" t="s">
        <v>406</v>
      </c>
      <c r="B17" s="59" t="s">
        <v>53</v>
      </c>
      <c r="C17" s="20">
        <v>803</v>
      </c>
      <c r="D17" s="19">
        <v>1</v>
      </c>
      <c r="E17" s="19">
        <v>1</v>
      </c>
      <c r="F17" s="60" t="s">
        <v>390</v>
      </c>
      <c r="G17" s="60" t="s">
        <v>391</v>
      </c>
      <c r="H17" s="20">
        <v>1775</v>
      </c>
      <c r="I17" s="20">
        <v>1775</v>
      </c>
      <c r="J17" s="20">
        <v>1775</v>
      </c>
      <c r="K17" s="61"/>
      <c r="L17" s="61">
        <v>46273</v>
      </c>
      <c r="M17" s="61">
        <v>45909</v>
      </c>
      <c r="O17" s="20">
        <v>1775</v>
      </c>
      <c r="P17" s="20"/>
      <c r="Q17" s="20"/>
      <c r="R17" s="20">
        <v>25</v>
      </c>
      <c r="S17" s="20">
        <v>10</v>
      </c>
      <c r="T17" s="20"/>
      <c r="U17" s="20"/>
      <c r="V17" s="20"/>
      <c r="W17" s="20"/>
      <c r="X17" s="20"/>
      <c r="Y17" s="20"/>
      <c r="Z17" s="20"/>
      <c r="AA17" s="20"/>
      <c r="AB17" s="20"/>
    </row>
    <row r="18" spans="1:28" x14ac:dyDescent="0.3">
      <c r="A18" s="62" t="s">
        <v>407</v>
      </c>
      <c r="B18" s="62" t="s">
        <v>39</v>
      </c>
      <c r="C18" s="11">
        <v>719</v>
      </c>
      <c r="D18" s="10">
        <v>1</v>
      </c>
      <c r="E18" s="10">
        <v>1</v>
      </c>
      <c r="F18" s="63" t="s">
        <v>390</v>
      </c>
      <c r="G18" s="63" t="s">
        <v>397</v>
      </c>
      <c r="H18" s="11">
        <v>1550</v>
      </c>
      <c r="I18" s="11">
        <v>0</v>
      </c>
      <c r="J18" s="11">
        <v>0</v>
      </c>
      <c r="K18" s="64"/>
      <c r="L18" s="64"/>
      <c r="M18" s="64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3">
      <c r="A19" s="59" t="s">
        <v>408</v>
      </c>
      <c r="B19" s="59" t="s">
        <v>53</v>
      </c>
      <c r="C19" s="20">
        <v>803</v>
      </c>
      <c r="D19" s="19">
        <v>1</v>
      </c>
      <c r="E19" s="19">
        <v>1</v>
      </c>
      <c r="F19" s="60" t="s">
        <v>390</v>
      </c>
      <c r="G19" s="60" t="s">
        <v>391</v>
      </c>
      <c r="H19" s="20">
        <v>1775</v>
      </c>
      <c r="I19" s="20">
        <v>1775</v>
      </c>
      <c r="J19" s="20">
        <v>1775</v>
      </c>
      <c r="K19" s="61"/>
      <c r="L19" s="61">
        <v>46279</v>
      </c>
      <c r="M19" s="61">
        <v>45915</v>
      </c>
      <c r="O19" s="20">
        <v>1775</v>
      </c>
      <c r="P19" s="20"/>
      <c r="Q19" s="20">
        <v>260</v>
      </c>
      <c r="R19" s="20">
        <v>25</v>
      </c>
      <c r="S19" s="20">
        <v>10</v>
      </c>
      <c r="T19" s="20"/>
      <c r="U19" s="20"/>
      <c r="V19" s="20"/>
      <c r="W19" s="20"/>
      <c r="X19" s="20"/>
      <c r="Y19" s="20"/>
      <c r="Z19" s="20"/>
      <c r="AA19" s="20"/>
      <c r="AB19" s="20"/>
    </row>
    <row r="20" spans="1:28" x14ac:dyDescent="0.3">
      <c r="A20" s="62" t="s">
        <v>409</v>
      </c>
      <c r="B20" s="62" t="s">
        <v>39</v>
      </c>
      <c r="C20" s="11">
        <v>719</v>
      </c>
      <c r="D20" s="10">
        <v>1</v>
      </c>
      <c r="E20" s="10">
        <v>1</v>
      </c>
      <c r="F20" s="63" t="s">
        <v>390</v>
      </c>
      <c r="G20" s="63" t="s">
        <v>391</v>
      </c>
      <c r="H20" s="11">
        <v>1550</v>
      </c>
      <c r="I20" s="11">
        <v>1550</v>
      </c>
      <c r="J20" s="11">
        <v>1550</v>
      </c>
      <c r="K20" s="64"/>
      <c r="L20" s="64">
        <v>46248</v>
      </c>
      <c r="M20" s="64">
        <v>46068</v>
      </c>
      <c r="O20" s="11">
        <v>1550</v>
      </c>
      <c r="P20" s="11"/>
      <c r="Q20" s="11"/>
      <c r="R20" s="11">
        <v>25</v>
      </c>
      <c r="S20" s="11">
        <v>10</v>
      </c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3">
      <c r="A21" s="59" t="s">
        <v>410</v>
      </c>
      <c r="B21" s="59" t="s">
        <v>64</v>
      </c>
      <c r="C21" s="20">
        <v>1109</v>
      </c>
      <c r="D21" s="19">
        <v>2</v>
      </c>
      <c r="E21" s="19">
        <v>2</v>
      </c>
      <c r="F21" s="60" t="s">
        <v>390</v>
      </c>
      <c r="G21" s="60" t="s">
        <v>391</v>
      </c>
      <c r="H21" s="20">
        <v>2210</v>
      </c>
      <c r="I21" s="20">
        <v>2210</v>
      </c>
      <c r="J21" s="20">
        <v>2210</v>
      </c>
      <c r="K21" s="61"/>
      <c r="L21" s="61">
        <v>46283</v>
      </c>
      <c r="M21" s="61">
        <v>45919</v>
      </c>
      <c r="O21" s="20">
        <v>2210</v>
      </c>
      <c r="P21" s="20"/>
      <c r="Q21" s="20">
        <v>200</v>
      </c>
      <c r="R21" s="20">
        <v>25</v>
      </c>
      <c r="S21" s="20">
        <v>10</v>
      </c>
      <c r="T21" s="20"/>
      <c r="U21" s="20"/>
      <c r="V21" s="20"/>
      <c r="W21" s="20"/>
      <c r="X21" s="20"/>
      <c r="Y21" s="20"/>
      <c r="Z21" s="20"/>
      <c r="AA21" s="20"/>
      <c r="AB21" s="20"/>
    </row>
    <row r="22" spans="1:28" x14ac:dyDescent="0.3">
      <c r="A22" s="62" t="s">
        <v>411</v>
      </c>
      <c r="B22" s="62" t="s">
        <v>64</v>
      </c>
      <c r="C22" s="11">
        <v>1109</v>
      </c>
      <c r="D22" s="10">
        <v>2</v>
      </c>
      <c r="E22" s="10">
        <v>2</v>
      </c>
      <c r="F22" s="63" t="s">
        <v>390</v>
      </c>
      <c r="G22" s="63" t="s">
        <v>391</v>
      </c>
      <c r="H22" s="11">
        <v>2035</v>
      </c>
      <c r="I22" s="11">
        <v>2035</v>
      </c>
      <c r="J22" s="11">
        <v>2035</v>
      </c>
      <c r="K22" s="64"/>
      <c r="L22" s="64">
        <v>46529</v>
      </c>
      <c r="M22" s="64">
        <v>46165</v>
      </c>
      <c r="O22" s="11">
        <v>2035</v>
      </c>
      <c r="P22" s="11"/>
      <c r="Q22" s="11"/>
      <c r="R22" s="11">
        <v>25</v>
      </c>
      <c r="S22" s="11">
        <v>10</v>
      </c>
      <c r="T22" s="11"/>
      <c r="U22" s="11">
        <v>25</v>
      </c>
      <c r="V22" s="11"/>
      <c r="W22" s="11"/>
      <c r="X22" s="11"/>
      <c r="Y22" s="11"/>
      <c r="Z22" s="11"/>
      <c r="AA22" s="11"/>
      <c r="AB22" s="11"/>
    </row>
    <row r="23" spans="1:28" x14ac:dyDescent="0.3">
      <c r="A23" s="59" t="s">
        <v>412</v>
      </c>
      <c r="B23" s="59" t="s">
        <v>45</v>
      </c>
      <c r="C23" s="20">
        <v>736</v>
      </c>
      <c r="D23" s="19">
        <v>1</v>
      </c>
      <c r="E23" s="19">
        <v>1</v>
      </c>
      <c r="F23" s="60" t="s">
        <v>390</v>
      </c>
      <c r="G23" s="60" t="s">
        <v>391</v>
      </c>
      <c r="H23" s="20">
        <v>1645</v>
      </c>
      <c r="I23" s="20">
        <v>1521</v>
      </c>
      <c r="J23" s="20">
        <v>1521</v>
      </c>
      <c r="K23" s="61"/>
      <c r="L23" s="61">
        <v>46591</v>
      </c>
      <c r="M23" s="61">
        <v>45589</v>
      </c>
      <c r="O23" s="20">
        <v>1521</v>
      </c>
      <c r="P23" s="20"/>
      <c r="Q23" s="20"/>
      <c r="R23" s="20">
        <v>25</v>
      </c>
      <c r="S23" s="20">
        <v>10</v>
      </c>
      <c r="T23" s="20"/>
      <c r="U23" s="20"/>
      <c r="V23" s="20"/>
      <c r="W23" s="20"/>
      <c r="X23" s="20"/>
      <c r="Y23" s="20"/>
      <c r="Z23" s="20"/>
      <c r="AA23" s="20"/>
      <c r="AB23" s="20"/>
    </row>
    <row r="24" spans="1:28" x14ac:dyDescent="0.3">
      <c r="A24" s="62" t="s">
        <v>413</v>
      </c>
      <c r="B24" s="62" t="s">
        <v>64</v>
      </c>
      <c r="C24" s="11">
        <v>1109</v>
      </c>
      <c r="D24" s="10">
        <v>2</v>
      </c>
      <c r="E24" s="10">
        <v>2</v>
      </c>
      <c r="F24" s="63" t="s">
        <v>390</v>
      </c>
      <c r="G24" s="63" t="s">
        <v>391</v>
      </c>
      <c r="H24" s="11">
        <v>2035</v>
      </c>
      <c r="I24" s="11">
        <v>1907</v>
      </c>
      <c r="J24" s="11">
        <v>1907</v>
      </c>
      <c r="K24" s="64"/>
      <c r="L24" s="64">
        <v>46527</v>
      </c>
      <c r="M24" s="64">
        <v>45689</v>
      </c>
      <c r="O24" s="11">
        <v>1907</v>
      </c>
      <c r="P24" s="11"/>
      <c r="Q24" s="11">
        <v>260</v>
      </c>
      <c r="R24" s="11">
        <v>25</v>
      </c>
      <c r="S24" s="11">
        <v>10</v>
      </c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3">
      <c r="A25" s="59" t="s">
        <v>414</v>
      </c>
      <c r="B25" s="59" t="s">
        <v>74</v>
      </c>
      <c r="C25" s="20">
        <v>1564</v>
      </c>
      <c r="D25" s="19">
        <v>3</v>
      </c>
      <c r="E25" s="19">
        <v>2</v>
      </c>
      <c r="F25" s="60" t="s">
        <v>390</v>
      </c>
      <c r="G25" s="60" t="s">
        <v>391</v>
      </c>
      <c r="H25" s="20">
        <v>2860</v>
      </c>
      <c r="I25" s="20">
        <v>2902</v>
      </c>
      <c r="J25" s="20">
        <v>2902</v>
      </c>
      <c r="K25" s="61"/>
      <c r="L25" s="61">
        <v>46203</v>
      </c>
      <c r="M25" s="61">
        <v>45474</v>
      </c>
      <c r="O25" s="20">
        <v>2902</v>
      </c>
      <c r="P25" s="20"/>
      <c r="Q25" s="20">
        <v>260</v>
      </c>
      <c r="R25" s="20">
        <v>25</v>
      </c>
      <c r="S25" s="20">
        <v>10</v>
      </c>
      <c r="T25" s="20"/>
      <c r="U25" s="20"/>
      <c r="V25" s="20"/>
      <c r="W25" s="20"/>
      <c r="X25" s="20"/>
      <c r="Y25" s="20"/>
      <c r="Z25" s="20"/>
      <c r="AA25" s="20"/>
      <c r="AB25" s="20"/>
    </row>
    <row r="26" spans="1:28" x14ac:dyDescent="0.3">
      <c r="A26" s="62" t="s">
        <v>415</v>
      </c>
      <c r="B26" s="62" t="s">
        <v>45</v>
      </c>
      <c r="C26" s="11">
        <v>736</v>
      </c>
      <c r="D26" s="10">
        <v>1</v>
      </c>
      <c r="E26" s="10">
        <v>1</v>
      </c>
      <c r="F26" s="63" t="s">
        <v>390</v>
      </c>
      <c r="G26" s="63" t="s">
        <v>391</v>
      </c>
      <c r="H26" s="11">
        <v>1645</v>
      </c>
      <c r="I26" s="11">
        <v>1645</v>
      </c>
      <c r="J26" s="11">
        <v>1645</v>
      </c>
      <c r="K26" s="64"/>
      <c r="L26" s="64">
        <v>46473</v>
      </c>
      <c r="M26" s="64">
        <v>45744</v>
      </c>
      <c r="O26" s="11">
        <v>1645</v>
      </c>
      <c r="P26" s="11"/>
      <c r="Q26" s="11"/>
      <c r="R26" s="11">
        <v>25</v>
      </c>
      <c r="S26" s="11">
        <v>10</v>
      </c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3">
      <c r="A27" s="59" t="s">
        <v>416</v>
      </c>
      <c r="B27" s="59" t="s">
        <v>39</v>
      </c>
      <c r="C27" s="20">
        <v>719</v>
      </c>
      <c r="D27" s="19">
        <v>1</v>
      </c>
      <c r="E27" s="19">
        <v>1</v>
      </c>
      <c r="F27" s="60" t="s">
        <v>390</v>
      </c>
      <c r="G27" s="60" t="s">
        <v>391</v>
      </c>
      <c r="H27" s="20">
        <v>1550</v>
      </c>
      <c r="I27" s="20">
        <v>1550</v>
      </c>
      <c r="J27" s="20">
        <v>1550</v>
      </c>
      <c r="K27" s="61"/>
      <c r="L27" s="61">
        <v>46340</v>
      </c>
      <c r="M27" s="61">
        <v>45519</v>
      </c>
      <c r="O27" s="20">
        <v>1550</v>
      </c>
      <c r="P27" s="20"/>
      <c r="Q27" s="20"/>
      <c r="R27" s="20">
        <v>25</v>
      </c>
      <c r="S27" s="20">
        <v>10</v>
      </c>
      <c r="T27" s="20"/>
      <c r="U27" s="20"/>
      <c r="V27" s="20"/>
      <c r="W27" s="20"/>
      <c r="X27" s="20"/>
      <c r="Y27" s="20"/>
      <c r="Z27" s="20"/>
      <c r="AA27" s="20"/>
      <c r="AB27" s="20"/>
    </row>
    <row r="28" spans="1:28" x14ac:dyDescent="0.3">
      <c r="A28" s="62" t="s">
        <v>417</v>
      </c>
      <c r="B28" s="62" t="s">
        <v>36</v>
      </c>
      <c r="C28" s="11">
        <v>698</v>
      </c>
      <c r="D28" s="10">
        <v>1</v>
      </c>
      <c r="E28" s="10">
        <v>1</v>
      </c>
      <c r="F28" s="63" t="s">
        <v>390</v>
      </c>
      <c r="G28" s="63" t="s">
        <v>391</v>
      </c>
      <c r="H28" s="11">
        <v>1660</v>
      </c>
      <c r="I28" s="11">
        <v>1364</v>
      </c>
      <c r="J28" s="11">
        <v>1364</v>
      </c>
      <c r="K28" s="64"/>
      <c r="L28" s="64">
        <v>46385</v>
      </c>
      <c r="M28" s="64">
        <v>46021</v>
      </c>
      <c r="O28" s="11">
        <v>1364</v>
      </c>
      <c r="P28" s="11"/>
      <c r="Q28" s="11"/>
      <c r="R28" s="11">
        <v>25</v>
      </c>
      <c r="S28" s="11">
        <v>10</v>
      </c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3">
      <c r="A29" s="59" t="s">
        <v>418</v>
      </c>
      <c r="B29" s="59" t="s">
        <v>64</v>
      </c>
      <c r="C29" s="20">
        <v>1109</v>
      </c>
      <c r="D29" s="19">
        <v>2</v>
      </c>
      <c r="E29" s="19">
        <v>2</v>
      </c>
      <c r="F29" s="60" t="s">
        <v>390</v>
      </c>
      <c r="G29" s="60" t="s">
        <v>391</v>
      </c>
      <c r="H29" s="20">
        <v>2035</v>
      </c>
      <c r="I29" s="20">
        <v>2035</v>
      </c>
      <c r="J29" s="20">
        <v>2035</v>
      </c>
      <c r="K29" s="61"/>
      <c r="L29" s="61">
        <v>46224</v>
      </c>
      <c r="M29" s="61">
        <v>45129</v>
      </c>
      <c r="O29" s="20">
        <v>2035</v>
      </c>
      <c r="P29" s="20"/>
      <c r="Q29" s="20"/>
      <c r="R29" s="20">
        <v>25</v>
      </c>
      <c r="S29" s="20">
        <v>10</v>
      </c>
      <c r="T29" s="20"/>
      <c r="U29" s="20">
        <v>25</v>
      </c>
      <c r="V29" s="20"/>
      <c r="W29" s="20"/>
      <c r="X29" s="20"/>
      <c r="Y29" s="20">
        <v>40</v>
      </c>
      <c r="Z29" s="20"/>
      <c r="AA29" s="20"/>
      <c r="AB29" s="20"/>
    </row>
    <row r="30" spans="1:28" x14ac:dyDescent="0.3">
      <c r="A30" s="62" t="s">
        <v>419</v>
      </c>
      <c r="B30" s="62" t="s">
        <v>36</v>
      </c>
      <c r="C30" s="11">
        <v>698</v>
      </c>
      <c r="D30" s="10">
        <v>1</v>
      </c>
      <c r="E30" s="10">
        <v>1</v>
      </c>
      <c r="F30" s="63" t="s">
        <v>390</v>
      </c>
      <c r="G30" s="63" t="s">
        <v>391</v>
      </c>
      <c r="H30" s="11">
        <v>1660</v>
      </c>
      <c r="I30" s="11">
        <v>1395</v>
      </c>
      <c r="J30" s="11">
        <v>1395</v>
      </c>
      <c r="K30" s="64"/>
      <c r="L30" s="64">
        <v>46558</v>
      </c>
      <c r="M30" s="64">
        <v>45709</v>
      </c>
      <c r="O30" s="11">
        <v>1395</v>
      </c>
      <c r="P30" s="11"/>
      <c r="Q30" s="11"/>
      <c r="R30" s="11">
        <v>25</v>
      </c>
      <c r="S30" s="11">
        <v>10</v>
      </c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3">
      <c r="A31" s="59" t="s">
        <v>420</v>
      </c>
      <c r="B31" s="59" t="s">
        <v>64</v>
      </c>
      <c r="C31" s="20">
        <v>1109</v>
      </c>
      <c r="D31" s="19">
        <v>2</v>
      </c>
      <c r="E31" s="19">
        <v>2</v>
      </c>
      <c r="F31" s="60" t="s">
        <v>390</v>
      </c>
      <c r="G31" s="60" t="s">
        <v>391</v>
      </c>
      <c r="H31" s="20">
        <v>2035</v>
      </c>
      <c r="I31" s="20">
        <v>2035</v>
      </c>
      <c r="J31" s="20">
        <v>2035</v>
      </c>
      <c r="K31" s="61"/>
      <c r="L31" s="61">
        <v>46503</v>
      </c>
      <c r="M31" s="61">
        <v>46080</v>
      </c>
      <c r="O31" s="20">
        <v>2035</v>
      </c>
      <c r="P31" s="20">
        <v>-1017.5</v>
      </c>
      <c r="Q31" s="20"/>
      <c r="R31" s="20">
        <v>25</v>
      </c>
      <c r="S31" s="20">
        <v>10</v>
      </c>
      <c r="T31" s="20"/>
      <c r="U31" s="20"/>
      <c r="V31" s="20"/>
      <c r="W31" s="20"/>
      <c r="X31" s="20"/>
      <c r="Y31" s="20"/>
      <c r="Z31" s="20"/>
      <c r="AA31" s="20"/>
      <c r="AB31" s="20"/>
    </row>
    <row r="32" spans="1:28" x14ac:dyDescent="0.3">
      <c r="A32" s="62" t="s">
        <v>421</v>
      </c>
      <c r="B32" s="62" t="s">
        <v>36</v>
      </c>
      <c r="C32" s="11">
        <v>698</v>
      </c>
      <c r="D32" s="10">
        <v>1</v>
      </c>
      <c r="E32" s="10">
        <v>1</v>
      </c>
      <c r="F32" s="63" t="s">
        <v>390</v>
      </c>
      <c r="G32" s="63" t="s">
        <v>391</v>
      </c>
      <c r="H32" s="11">
        <v>1660</v>
      </c>
      <c r="I32" s="11">
        <v>1660</v>
      </c>
      <c r="J32" s="11">
        <v>1660</v>
      </c>
      <c r="K32" s="64"/>
      <c r="L32" s="64">
        <v>46112</v>
      </c>
      <c r="M32" s="64">
        <v>45901</v>
      </c>
      <c r="O32" s="11">
        <v>1660</v>
      </c>
      <c r="P32" s="11"/>
      <c r="Q32" s="11"/>
      <c r="R32" s="11">
        <v>25</v>
      </c>
      <c r="S32" s="11">
        <v>10</v>
      </c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3">
      <c r="A33" s="59" t="s">
        <v>422</v>
      </c>
      <c r="B33" s="59" t="s">
        <v>59</v>
      </c>
      <c r="C33" s="20">
        <v>1082</v>
      </c>
      <c r="D33" s="19">
        <v>2</v>
      </c>
      <c r="E33" s="19">
        <v>2</v>
      </c>
      <c r="F33" s="60" t="s">
        <v>390</v>
      </c>
      <c r="G33" s="60" t="s">
        <v>391</v>
      </c>
      <c r="H33" s="20">
        <v>2085</v>
      </c>
      <c r="I33" s="20">
        <v>1915</v>
      </c>
      <c r="J33" s="20">
        <v>1915</v>
      </c>
      <c r="K33" s="61"/>
      <c r="L33" s="61">
        <v>46321</v>
      </c>
      <c r="M33" s="61">
        <v>45835</v>
      </c>
      <c r="O33" s="20">
        <v>1915</v>
      </c>
      <c r="P33" s="20"/>
      <c r="Q33" s="20">
        <v>225</v>
      </c>
      <c r="R33" s="20">
        <v>25</v>
      </c>
      <c r="S33" s="20">
        <v>10</v>
      </c>
      <c r="T33" s="20"/>
      <c r="U33" s="20"/>
      <c r="V33" s="20"/>
      <c r="W33" s="20"/>
      <c r="X33" s="20"/>
      <c r="Y33" s="20"/>
      <c r="Z33" s="20"/>
      <c r="AA33" s="20"/>
      <c r="AB33" s="20"/>
    </row>
    <row r="34" spans="1:28" x14ac:dyDescent="0.3">
      <c r="A34" s="62" t="s">
        <v>423</v>
      </c>
      <c r="B34" s="62" t="s">
        <v>59</v>
      </c>
      <c r="C34" s="11">
        <v>1082</v>
      </c>
      <c r="D34" s="10">
        <v>2</v>
      </c>
      <c r="E34" s="10">
        <v>2</v>
      </c>
      <c r="F34" s="63" t="s">
        <v>390</v>
      </c>
      <c r="G34" s="63" t="s">
        <v>391</v>
      </c>
      <c r="H34" s="11">
        <v>2260</v>
      </c>
      <c r="I34" s="11">
        <v>2260</v>
      </c>
      <c r="J34" s="11">
        <v>2260</v>
      </c>
      <c r="K34" s="64"/>
      <c r="L34" s="64">
        <v>46504</v>
      </c>
      <c r="M34" s="64">
        <v>46081</v>
      </c>
      <c r="O34" s="11">
        <v>2260</v>
      </c>
      <c r="P34" s="11">
        <v>-1130</v>
      </c>
      <c r="Q34" s="11">
        <v>230</v>
      </c>
      <c r="R34" s="11">
        <v>25</v>
      </c>
      <c r="S34" s="11">
        <v>10</v>
      </c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">
      <c r="A35" s="59" t="s">
        <v>424</v>
      </c>
      <c r="B35" s="59" t="s">
        <v>59</v>
      </c>
      <c r="C35" s="20">
        <v>1082</v>
      </c>
      <c r="D35" s="19">
        <v>2</v>
      </c>
      <c r="E35" s="19">
        <v>2</v>
      </c>
      <c r="F35" s="60" t="s">
        <v>390</v>
      </c>
      <c r="G35" s="60" t="s">
        <v>391</v>
      </c>
      <c r="H35" s="20">
        <v>2305</v>
      </c>
      <c r="I35" s="20">
        <v>2314</v>
      </c>
      <c r="J35" s="20">
        <v>2314</v>
      </c>
      <c r="K35" s="61"/>
      <c r="L35" s="61">
        <v>46599</v>
      </c>
      <c r="M35" s="61">
        <v>45061</v>
      </c>
      <c r="O35" s="20">
        <v>2314</v>
      </c>
      <c r="P35" s="20"/>
      <c r="Q35" s="20">
        <v>300</v>
      </c>
      <c r="R35" s="20">
        <v>25</v>
      </c>
      <c r="S35" s="20">
        <v>10</v>
      </c>
      <c r="T35" s="20"/>
      <c r="U35" s="20"/>
      <c r="V35" s="20"/>
      <c r="W35" s="20"/>
      <c r="X35" s="20"/>
      <c r="Y35" s="20"/>
      <c r="Z35" s="20"/>
      <c r="AA35" s="20"/>
      <c r="AB35" s="20"/>
    </row>
    <row r="36" spans="1:28" x14ac:dyDescent="0.3">
      <c r="A36" s="62" t="s">
        <v>425</v>
      </c>
      <c r="B36" s="62" t="s">
        <v>74</v>
      </c>
      <c r="C36" s="11">
        <v>1564</v>
      </c>
      <c r="D36" s="10">
        <v>3</v>
      </c>
      <c r="E36" s="10">
        <v>2</v>
      </c>
      <c r="F36" s="63" t="s">
        <v>390</v>
      </c>
      <c r="G36" s="63" t="s">
        <v>397</v>
      </c>
      <c r="H36" s="11">
        <v>2905</v>
      </c>
      <c r="I36" s="11">
        <v>0</v>
      </c>
      <c r="J36" s="11">
        <v>0</v>
      </c>
      <c r="K36" s="64"/>
      <c r="L36" s="64"/>
      <c r="M36" s="6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3">
      <c r="A37" s="59" t="s">
        <v>426</v>
      </c>
      <c r="B37" s="59" t="s">
        <v>53</v>
      </c>
      <c r="C37" s="20">
        <v>803</v>
      </c>
      <c r="D37" s="19">
        <v>1</v>
      </c>
      <c r="E37" s="19">
        <v>1</v>
      </c>
      <c r="F37" s="60" t="s">
        <v>390</v>
      </c>
      <c r="G37" s="60" t="s">
        <v>391</v>
      </c>
      <c r="H37" s="20">
        <v>1645</v>
      </c>
      <c r="I37" s="20">
        <v>1645</v>
      </c>
      <c r="J37" s="20">
        <v>1645</v>
      </c>
      <c r="K37" s="61"/>
      <c r="L37" s="61">
        <v>46596</v>
      </c>
      <c r="M37" s="61">
        <v>45594</v>
      </c>
      <c r="O37" s="20">
        <v>1645</v>
      </c>
      <c r="P37" s="20"/>
      <c r="Q37" s="20"/>
      <c r="R37" s="20">
        <v>25</v>
      </c>
      <c r="S37" s="20">
        <v>10</v>
      </c>
      <c r="T37" s="20"/>
      <c r="U37" s="20"/>
      <c r="V37" s="20"/>
      <c r="W37" s="20"/>
      <c r="X37" s="20"/>
      <c r="Y37" s="20"/>
      <c r="Z37" s="20"/>
      <c r="AA37" s="20"/>
      <c r="AB37" s="20"/>
    </row>
    <row r="38" spans="1:28" x14ac:dyDescent="0.3">
      <c r="A38" s="62" t="s">
        <v>427</v>
      </c>
      <c r="B38" s="62" t="s">
        <v>39</v>
      </c>
      <c r="C38" s="11">
        <v>719</v>
      </c>
      <c r="D38" s="10">
        <v>1</v>
      </c>
      <c r="E38" s="10">
        <v>1</v>
      </c>
      <c r="F38" s="63" t="s">
        <v>390</v>
      </c>
      <c r="G38" s="63" t="s">
        <v>391</v>
      </c>
      <c r="H38" s="11">
        <v>1595</v>
      </c>
      <c r="I38" s="11">
        <v>1435</v>
      </c>
      <c r="J38" s="11">
        <v>1435</v>
      </c>
      <c r="K38" s="64"/>
      <c r="L38" s="64">
        <v>46210</v>
      </c>
      <c r="M38" s="64">
        <v>45238</v>
      </c>
      <c r="O38" s="11">
        <v>1435</v>
      </c>
      <c r="P38" s="11"/>
      <c r="Q38" s="11"/>
      <c r="R38" s="11">
        <v>25</v>
      </c>
      <c r="S38" s="11">
        <v>10</v>
      </c>
      <c r="T38" s="11">
        <v>65</v>
      </c>
      <c r="U38" s="11"/>
      <c r="V38" s="11"/>
      <c r="W38" s="11"/>
      <c r="X38" s="11"/>
      <c r="Y38" s="11"/>
      <c r="Z38" s="11"/>
      <c r="AA38" s="11"/>
      <c r="AB38" s="11"/>
    </row>
    <row r="39" spans="1:28" x14ac:dyDescent="0.3">
      <c r="A39" s="59" t="s">
        <v>428</v>
      </c>
      <c r="B39" s="59" t="s">
        <v>53</v>
      </c>
      <c r="C39" s="20">
        <v>803</v>
      </c>
      <c r="D39" s="19">
        <v>1</v>
      </c>
      <c r="E39" s="19">
        <v>1</v>
      </c>
      <c r="F39" s="60" t="s">
        <v>390</v>
      </c>
      <c r="G39" s="60" t="s">
        <v>391</v>
      </c>
      <c r="H39" s="20">
        <v>1820</v>
      </c>
      <c r="I39" s="20">
        <v>1770</v>
      </c>
      <c r="J39" s="20">
        <v>1770</v>
      </c>
      <c r="K39" s="61"/>
      <c r="L39" s="61">
        <v>46300</v>
      </c>
      <c r="M39" s="61">
        <v>45113</v>
      </c>
      <c r="O39" s="20">
        <v>1770</v>
      </c>
      <c r="P39" s="20"/>
      <c r="Q39" s="20">
        <v>200</v>
      </c>
      <c r="R39" s="20">
        <v>25</v>
      </c>
      <c r="S39" s="20">
        <v>10</v>
      </c>
      <c r="T39" s="20"/>
      <c r="U39" s="20"/>
      <c r="V39" s="20"/>
      <c r="W39" s="20"/>
      <c r="X39" s="20"/>
      <c r="Y39" s="20"/>
      <c r="Z39" s="20"/>
      <c r="AA39" s="20"/>
      <c r="AB39" s="20"/>
    </row>
    <row r="40" spans="1:28" x14ac:dyDescent="0.3">
      <c r="A40" s="62" t="s">
        <v>429</v>
      </c>
      <c r="B40" s="62" t="s">
        <v>39</v>
      </c>
      <c r="C40" s="11">
        <v>719</v>
      </c>
      <c r="D40" s="10">
        <v>1</v>
      </c>
      <c r="E40" s="10">
        <v>1</v>
      </c>
      <c r="F40" s="63" t="s">
        <v>390</v>
      </c>
      <c r="G40" s="63" t="s">
        <v>391</v>
      </c>
      <c r="H40" s="11">
        <v>1595</v>
      </c>
      <c r="I40" s="11">
        <v>1397</v>
      </c>
      <c r="J40" s="11">
        <v>1397</v>
      </c>
      <c r="K40" s="64"/>
      <c r="L40" s="64">
        <v>46508</v>
      </c>
      <c r="M40" s="64">
        <v>45779</v>
      </c>
      <c r="O40" s="11">
        <v>1397</v>
      </c>
      <c r="P40" s="11"/>
      <c r="Q40" s="11"/>
      <c r="R40" s="11">
        <v>25</v>
      </c>
      <c r="S40" s="11">
        <v>10</v>
      </c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3">
      <c r="A41" s="59" t="s">
        <v>430</v>
      </c>
      <c r="B41" s="59" t="s">
        <v>64</v>
      </c>
      <c r="C41" s="20">
        <v>1109</v>
      </c>
      <c r="D41" s="19">
        <v>2</v>
      </c>
      <c r="E41" s="19">
        <v>2</v>
      </c>
      <c r="F41" s="60" t="s">
        <v>390</v>
      </c>
      <c r="G41" s="60" t="s">
        <v>391</v>
      </c>
      <c r="H41" s="20">
        <v>2255</v>
      </c>
      <c r="I41" s="20">
        <v>2253</v>
      </c>
      <c r="J41" s="20">
        <v>2253</v>
      </c>
      <c r="K41" s="61"/>
      <c r="L41" s="61">
        <v>46453</v>
      </c>
      <c r="M41" s="61">
        <v>45085</v>
      </c>
      <c r="O41" s="20">
        <v>2253</v>
      </c>
      <c r="P41" s="20"/>
      <c r="Q41" s="20"/>
      <c r="R41" s="20">
        <v>50</v>
      </c>
      <c r="S41" s="20">
        <v>20</v>
      </c>
      <c r="T41" s="20">
        <v>130</v>
      </c>
      <c r="U41" s="20">
        <v>50</v>
      </c>
      <c r="V41" s="20"/>
      <c r="W41" s="20"/>
      <c r="X41" s="20"/>
      <c r="Y41" s="20"/>
      <c r="Z41" s="20"/>
      <c r="AA41" s="20"/>
      <c r="AB41" s="20"/>
    </row>
    <row r="42" spans="1:28" x14ac:dyDescent="0.3">
      <c r="A42" s="62" t="s">
        <v>431</v>
      </c>
      <c r="B42" s="62" t="s">
        <v>64</v>
      </c>
      <c r="C42" s="11">
        <v>1109</v>
      </c>
      <c r="D42" s="10">
        <v>2</v>
      </c>
      <c r="E42" s="10">
        <v>2</v>
      </c>
      <c r="F42" s="63" t="s">
        <v>390</v>
      </c>
      <c r="G42" s="63" t="s">
        <v>391</v>
      </c>
      <c r="H42" s="11">
        <v>2080</v>
      </c>
      <c r="I42" s="11">
        <v>1980</v>
      </c>
      <c r="J42" s="11">
        <v>1980</v>
      </c>
      <c r="K42" s="64"/>
      <c r="L42" s="64">
        <v>46223</v>
      </c>
      <c r="M42" s="64">
        <v>45220</v>
      </c>
      <c r="O42" s="11">
        <v>1980</v>
      </c>
      <c r="P42" s="11"/>
      <c r="Q42" s="11">
        <v>350</v>
      </c>
      <c r="R42" s="11">
        <v>25</v>
      </c>
      <c r="S42" s="11">
        <v>10</v>
      </c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3">
      <c r="A43" s="59" t="s">
        <v>432</v>
      </c>
      <c r="B43" s="59" t="s">
        <v>45</v>
      </c>
      <c r="C43" s="20">
        <v>736</v>
      </c>
      <c r="D43" s="19">
        <v>1</v>
      </c>
      <c r="E43" s="19">
        <v>1</v>
      </c>
      <c r="F43" s="60" t="s">
        <v>390</v>
      </c>
      <c r="G43" s="60" t="s">
        <v>391</v>
      </c>
      <c r="H43" s="20">
        <v>1690</v>
      </c>
      <c r="I43" s="20">
        <v>1450</v>
      </c>
      <c r="J43" s="20">
        <v>1450</v>
      </c>
      <c r="K43" s="61"/>
      <c r="L43" s="61">
        <v>46318</v>
      </c>
      <c r="M43" s="61">
        <v>45954</v>
      </c>
      <c r="O43" s="20">
        <v>1450</v>
      </c>
      <c r="P43" s="20"/>
      <c r="Q43" s="20"/>
      <c r="R43" s="20">
        <v>25</v>
      </c>
      <c r="S43" s="20">
        <v>10</v>
      </c>
      <c r="T43" s="20"/>
      <c r="U43" s="20"/>
      <c r="V43" s="20"/>
      <c r="W43" s="20"/>
      <c r="X43" s="20"/>
      <c r="Y43" s="20"/>
      <c r="Z43" s="20"/>
      <c r="AA43" s="20"/>
      <c r="AB43" s="20"/>
    </row>
    <row r="44" spans="1:28" x14ac:dyDescent="0.3">
      <c r="A44" s="62" t="s">
        <v>433</v>
      </c>
      <c r="B44" s="62" t="s">
        <v>64</v>
      </c>
      <c r="C44" s="11">
        <v>1109</v>
      </c>
      <c r="D44" s="10">
        <v>2</v>
      </c>
      <c r="E44" s="10">
        <v>2</v>
      </c>
      <c r="F44" s="63" t="s">
        <v>390</v>
      </c>
      <c r="G44" s="63" t="s">
        <v>391</v>
      </c>
      <c r="H44" s="11">
        <v>2080</v>
      </c>
      <c r="I44" s="11">
        <v>2080</v>
      </c>
      <c r="J44" s="11">
        <v>2080</v>
      </c>
      <c r="K44" s="64"/>
      <c r="L44" s="64">
        <v>46488</v>
      </c>
      <c r="M44" s="64">
        <v>45700</v>
      </c>
      <c r="O44" s="11">
        <v>2080</v>
      </c>
      <c r="P44" s="11"/>
      <c r="Q44" s="11">
        <v>200</v>
      </c>
      <c r="R44" s="11">
        <v>25</v>
      </c>
      <c r="S44" s="11">
        <v>10</v>
      </c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3">
      <c r="A45" s="59" t="s">
        <v>434</v>
      </c>
      <c r="B45" s="59" t="s">
        <v>74</v>
      </c>
      <c r="C45" s="20">
        <v>1564</v>
      </c>
      <c r="D45" s="19">
        <v>3</v>
      </c>
      <c r="E45" s="19">
        <v>2</v>
      </c>
      <c r="F45" s="60" t="s">
        <v>390</v>
      </c>
      <c r="G45" s="60" t="s">
        <v>391</v>
      </c>
      <c r="H45" s="20">
        <v>2905</v>
      </c>
      <c r="I45" s="20">
        <v>2905</v>
      </c>
      <c r="J45" s="20">
        <v>2905</v>
      </c>
      <c r="K45" s="61"/>
      <c r="L45" s="61">
        <v>46499</v>
      </c>
      <c r="M45" s="61">
        <v>46076</v>
      </c>
      <c r="O45" s="20">
        <v>2905</v>
      </c>
      <c r="P45" s="20">
        <v>-1452.5</v>
      </c>
      <c r="Q45" s="20">
        <v>230</v>
      </c>
      <c r="R45" s="20">
        <v>25</v>
      </c>
      <c r="S45" s="20">
        <v>10</v>
      </c>
      <c r="T45" s="20"/>
      <c r="U45" s="20"/>
      <c r="V45" s="20"/>
      <c r="W45" s="20"/>
      <c r="X45" s="20"/>
      <c r="Y45" s="20"/>
      <c r="Z45" s="20"/>
      <c r="AA45" s="20"/>
      <c r="AB45" s="20"/>
    </row>
    <row r="46" spans="1:28" x14ac:dyDescent="0.3">
      <c r="A46" s="62" t="s">
        <v>435</v>
      </c>
      <c r="B46" s="62" t="s">
        <v>45</v>
      </c>
      <c r="C46" s="11">
        <v>736</v>
      </c>
      <c r="D46" s="10">
        <v>1</v>
      </c>
      <c r="E46" s="10">
        <v>1</v>
      </c>
      <c r="F46" s="63" t="s">
        <v>390</v>
      </c>
      <c r="G46" s="63" t="s">
        <v>391</v>
      </c>
      <c r="H46" s="11">
        <v>1690</v>
      </c>
      <c r="I46" s="11">
        <v>1690</v>
      </c>
      <c r="J46" s="11">
        <v>1690</v>
      </c>
      <c r="K46" s="64"/>
      <c r="L46" s="64">
        <v>46701</v>
      </c>
      <c r="M46" s="64">
        <v>45180</v>
      </c>
      <c r="O46" s="11">
        <v>1690</v>
      </c>
      <c r="P46" s="11"/>
      <c r="Q46" s="11">
        <v>350</v>
      </c>
      <c r="R46" s="11">
        <v>25</v>
      </c>
      <c r="S46" s="11">
        <v>10</v>
      </c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3">
      <c r="A47" s="59" t="s">
        <v>436</v>
      </c>
      <c r="B47" s="59" t="s">
        <v>39</v>
      </c>
      <c r="C47" s="20">
        <v>719</v>
      </c>
      <c r="D47" s="19">
        <v>1</v>
      </c>
      <c r="E47" s="19">
        <v>1</v>
      </c>
      <c r="F47" s="60" t="s">
        <v>390</v>
      </c>
      <c r="G47" s="60" t="s">
        <v>397</v>
      </c>
      <c r="H47" s="20">
        <v>1595</v>
      </c>
      <c r="I47" s="20">
        <v>0</v>
      </c>
      <c r="J47" s="20">
        <v>0</v>
      </c>
      <c r="K47" s="61"/>
      <c r="L47" s="61"/>
      <c r="M47" s="61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x14ac:dyDescent="0.3">
      <c r="A48" s="62" t="s">
        <v>437</v>
      </c>
      <c r="B48" s="62" t="s">
        <v>36</v>
      </c>
      <c r="C48" s="11">
        <v>698</v>
      </c>
      <c r="D48" s="10">
        <v>1</v>
      </c>
      <c r="E48" s="10">
        <v>1</v>
      </c>
      <c r="F48" s="63" t="s">
        <v>390</v>
      </c>
      <c r="G48" s="63" t="s">
        <v>397</v>
      </c>
      <c r="H48" s="11">
        <v>1705</v>
      </c>
      <c r="I48" s="11">
        <v>0</v>
      </c>
      <c r="J48" s="11">
        <v>0</v>
      </c>
      <c r="K48" s="64"/>
      <c r="L48" s="64"/>
      <c r="M48" s="6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3">
      <c r="A49" s="59" t="s">
        <v>438</v>
      </c>
      <c r="B49" s="59" t="s">
        <v>64</v>
      </c>
      <c r="C49" s="20">
        <v>1109</v>
      </c>
      <c r="D49" s="19">
        <v>2</v>
      </c>
      <c r="E49" s="19">
        <v>2</v>
      </c>
      <c r="F49" s="60" t="s">
        <v>390</v>
      </c>
      <c r="G49" s="60" t="s">
        <v>391</v>
      </c>
      <c r="H49" s="20">
        <v>2080</v>
      </c>
      <c r="I49" s="20">
        <v>2080</v>
      </c>
      <c r="J49" s="20">
        <v>2080</v>
      </c>
      <c r="K49" s="61"/>
      <c r="L49" s="61">
        <v>46527</v>
      </c>
      <c r="M49" s="61">
        <v>46104</v>
      </c>
      <c r="O49" s="20">
        <v>2080</v>
      </c>
      <c r="P49" s="20">
        <v>-1040</v>
      </c>
      <c r="Q49" s="20"/>
      <c r="R49" s="20">
        <v>25</v>
      </c>
      <c r="S49" s="20">
        <v>10</v>
      </c>
      <c r="T49" s="20"/>
      <c r="U49" s="20"/>
      <c r="V49" s="20"/>
      <c r="W49" s="20"/>
      <c r="X49" s="20"/>
      <c r="Y49" s="20"/>
      <c r="Z49" s="20"/>
      <c r="AA49" s="20"/>
      <c r="AB49" s="20"/>
    </row>
    <row r="50" spans="1:28" x14ac:dyDescent="0.3">
      <c r="A50" s="62" t="s">
        <v>439</v>
      </c>
      <c r="B50" s="62" t="s">
        <v>36</v>
      </c>
      <c r="C50" s="11">
        <v>698</v>
      </c>
      <c r="D50" s="10">
        <v>1</v>
      </c>
      <c r="E50" s="10">
        <v>1</v>
      </c>
      <c r="F50" s="63" t="s">
        <v>390</v>
      </c>
      <c r="G50" s="63" t="s">
        <v>391</v>
      </c>
      <c r="H50" s="11">
        <v>1705</v>
      </c>
      <c r="I50" s="11">
        <v>1421</v>
      </c>
      <c r="J50" s="11">
        <v>1421</v>
      </c>
      <c r="K50" s="64"/>
      <c r="L50" s="64">
        <v>46492</v>
      </c>
      <c r="M50" s="64">
        <v>45642</v>
      </c>
      <c r="O50" s="11">
        <v>1421</v>
      </c>
      <c r="P50" s="11"/>
      <c r="Q50" s="11">
        <v>200</v>
      </c>
      <c r="R50" s="11">
        <v>25</v>
      </c>
      <c r="S50" s="11">
        <v>10</v>
      </c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3">
      <c r="A51" s="59" t="s">
        <v>440</v>
      </c>
      <c r="B51" s="59" t="s">
        <v>64</v>
      </c>
      <c r="C51" s="20">
        <v>1109</v>
      </c>
      <c r="D51" s="19">
        <v>2</v>
      </c>
      <c r="E51" s="19">
        <v>2</v>
      </c>
      <c r="F51" s="60" t="s">
        <v>390</v>
      </c>
      <c r="G51" s="60" t="s">
        <v>391</v>
      </c>
      <c r="H51" s="20">
        <v>2080</v>
      </c>
      <c r="I51" s="20">
        <v>2030</v>
      </c>
      <c r="J51" s="20">
        <v>2030</v>
      </c>
      <c r="K51" s="61"/>
      <c r="L51" s="61">
        <v>46379</v>
      </c>
      <c r="M51" s="61">
        <v>45375</v>
      </c>
      <c r="O51" s="20">
        <v>2030</v>
      </c>
      <c r="P51" s="20"/>
      <c r="Q51" s="20"/>
      <c r="R51" s="20">
        <v>25</v>
      </c>
      <c r="S51" s="20">
        <v>10</v>
      </c>
      <c r="T51" s="20"/>
      <c r="U51" s="20"/>
      <c r="V51" s="20"/>
      <c r="W51" s="20"/>
      <c r="X51" s="20"/>
      <c r="Y51" s="20"/>
      <c r="Z51" s="20"/>
      <c r="AA51" s="20"/>
      <c r="AB51" s="20"/>
    </row>
    <row r="52" spans="1:28" x14ac:dyDescent="0.3">
      <c r="A52" s="62" t="s">
        <v>441</v>
      </c>
      <c r="B52" s="62" t="s">
        <v>36</v>
      </c>
      <c r="C52" s="11">
        <v>698</v>
      </c>
      <c r="D52" s="10">
        <v>1</v>
      </c>
      <c r="E52" s="10">
        <v>1</v>
      </c>
      <c r="F52" s="63" t="s">
        <v>390</v>
      </c>
      <c r="G52" s="63" t="s">
        <v>391</v>
      </c>
      <c r="H52" s="11">
        <v>1705</v>
      </c>
      <c r="I52" s="11">
        <v>1399</v>
      </c>
      <c r="J52" s="11">
        <v>1399</v>
      </c>
      <c r="K52" s="64"/>
      <c r="L52" s="64">
        <v>46533</v>
      </c>
      <c r="M52" s="64">
        <v>46108</v>
      </c>
      <c r="O52" s="11">
        <v>1399</v>
      </c>
      <c r="P52" s="11">
        <v>-699.5</v>
      </c>
      <c r="Q52" s="11"/>
      <c r="R52" s="11">
        <v>25</v>
      </c>
      <c r="S52" s="11">
        <v>10</v>
      </c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3">
      <c r="A53" s="59" t="s">
        <v>442</v>
      </c>
      <c r="B53" s="59" t="s">
        <v>59</v>
      </c>
      <c r="C53" s="20">
        <v>1082</v>
      </c>
      <c r="D53" s="19">
        <v>2</v>
      </c>
      <c r="E53" s="19">
        <v>2</v>
      </c>
      <c r="F53" s="60" t="s">
        <v>390</v>
      </c>
      <c r="G53" s="60" t="s">
        <v>391</v>
      </c>
      <c r="H53" s="20">
        <v>2130</v>
      </c>
      <c r="I53" s="20">
        <v>1840</v>
      </c>
      <c r="J53" s="20">
        <v>1840</v>
      </c>
      <c r="K53" s="61"/>
      <c r="L53" s="61">
        <v>46410</v>
      </c>
      <c r="M53" s="61">
        <v>45681</v>
      </c>
      <c r="O53" s="20">
        <v>1840</v>
      </c>
      <c r="P53" s="20"/>
      <c r="Q53" s="20"/>
      <c r="R53" s="20">
        <v>25</v>
      </c>
      <c r="S53" s="20">
        <v>10</v>
      </c>
      <c r="T53" s="20"/>
      <c r="U53" s="20"/>
      <c r="V53" s="20"/>
      <c r="W53" s="20"/>
      <c r="X53" s="20"/>
      <c r="Y53" s="20"/>
      <c r="Z53" s="20"/>
      <c r="AA53" s="20"/>
      <c r="AB53" s="20"/>
    </row>
    <row r="54" spans="1:28" x14ac:dyDescent="0.3">
      <c r="A54" s="62" t="s">
        <v>443</v>
      </c>
      <c r="B54" s="62" t="s">
        <v>59</v>
      </c>
      <c r="C54" s="11">
        <v>1082</v>
      </c>
      <c r="D54" s="10">
        <v>2</v>
      </c>
      <c r="E54" s="10">
        <v>2</v>
      </c>
      <c r="F54" s="63" t="s">
        <v>390</v>
      </c>
      <c r="G54" s="63" t="s">
        <v>391</v>
      </c>
      <c r="H54" s="11">
        <v>2305</v>
      </c>
      <c r="I54" s="11">
        <v>2121</v>
      </c>
      <c r="J54" s="11">
        <v>2121</v>
      </c>
      <c r="K54" s="64"/>
      <c r="L54" s="64">
        <v>46460</v>
      </c>
      <c r="M54" s="64">
        <v>45306</v>
      </c>
      <c r="O54" s="11">
        <v>2121</v>
      </c>
      <c r="P54" s="11"/>
      <c r="Q54" s="11"/>
      <c r="R54" s="11">
        <v>25</v>
      </c>
      <c r="S54" s="11">
        <v>10</v>
      </c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3">
      <c r="A55" s="59" t="s">
        <v>444</v>
      </c>
      <c r="B55" s="59" t="s">
        <v>68</v>
      </c>
      <c r="C55" s="20">
        <v>1213</v>
      </c>
      <c r="D55" s="19">
        <v>2</v>
      </c>
      <c r="E55" s="19">
        <v>2</v>
      </c>
      <c r="F55" s="60" t="s">
        <v>390</v>
      </c>
      <c r="G55" s="60" t="s">
        <v>391</v>
      </c>
      <c r="H55" s="20">
        <v>2210</v>
      </c>
      <c r="I55" s="20">
        <v>2058</v>
      </c>
      <c r="J55" s="20">
        <v>2058</v>
      </c>
      <c r="K55" s="61"/>
      <c r="L55" s="61">
        <v>46079</v>
      </c>
      <c r="M55" s="61">
        <v>45715</v>
      </c>
      <c r="O55" s="20">
        <v>2058</v>
      </c>
      <c r="P55" s="20"/>
      <c r="Q55" s="20"/>
      <c r="R55" s="20">
        <v>25</v>
      </c>
      <c r="S55" s="20">
        <v>10</v>
      </c>
      <c r="T55" s="20"/>
      <c r="U55" s="20"/>
      <c r="V55" s="20"/>
      <c r="W55" s="20"/>
      <c r="X55" s="20"/>
      <c r="Y55" s="20"/>
      <c r="Z55" s="20"/>
      <c r="AA55" s="20"/>
      <c r="AB55" s="20"/>
    </row>
    <row r="56" spans="1:28" x14ac:dyDescent="0.3">
      <c r="A56" s="62" t="s">
        <v>445</v>
      </c>
      <c r="B56" s="62" t="s">
        <v>39</v>
      </c>
      <c r="C56" s="11">
        <v>719</v>
      </c>
      <c r="D56" s="10">
        <v>1</v>
      </c>
      <c r="E56" s="10">
        <v>1</v>
      </c>
      <c r="F56" s="63" t="s">
        <v>390</v>
      </c>
      <c r="G56" s="63" t="s">
        <v>391</v>
      </c>
      <c r="H56" s="11">
        <v>1630</v>
      </c>
      <c r="I56" s="11">
        <v>1380</v>
      </c>
      <c r="J56" s="11">
        <v>1380</v>
      </c>
      <c r="K56" s="64"/>
      <c r="L56" s="64">
        <v>46413</v>
      </c>
      <c r="M56" s="64">
        <v>45684</v>
      </c>
      <c r="O56" s="11">
        <v>1380</v>
      </c>
      <c r="P56" s="11"/>
      <c r="Q56" s="11"/>
      <c r="R56" s="11">
        <v>25</v>
      </c>
      <c r="S56" s="11">
        <v>10</v>
      </c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3">
      <c r="A57" s="59" t="s">
        <v>446</v>
      </c>
      <c r="B57" s="59" t="s">
        <v>39</v>
      </c>
      <c r="C57" s="20">
        <v>719</v>
      </c>
      <c r="D57" s="19">
        <v>1</v>
      </c>
      <c r="E57" s="19">
        <v>1</v>
      </c>
      <c r="F57" s="60" t="s">
        <v>390</v>
      </c>
      <c r="G57" s="60" t="s">
        <v>391</v>
      </c>
      <c r="H57" s="20">
        <v>1630</v>
      </c>
      <c r="I57" s="20">
        <v>1431</v>
      </c>
      <c r="J57" s="20">
        <v>1431</v>
      </c>
      <c r="K57" s="61"/>
      <c r="L57" s="61">
        <v>46541</v>
      </c>
      <c r="M57" s="61">
        <v>45264</v>
      </c>
      <c r="O57" s="20">
        <v>1431</v>
      </c>
      <c r="P57" s="20"/>
      <c r="Q57" s="20"/>
      <c r="R57" s="20">
        <v>25</v>
      </c>
      <c r="S57" s="20">
        <v>10</v>
      </c>
      <c r="T57" s="20">
        <v>65</v>
      </c>
      <c r="U57" s="20"/>
      <c r="V57" s="20"/>
      <c r="W57" s="20"/>
      <c r="X57" s="20"/>
      <c r="Y57" s="20"/>
      <c r="Z57" s="20"/>
      <c r="AA57" s="20"/>
      <c r="AB57" s="20"/>
    </row>
    <row r="58" spans="1:28" x14ac:dyDescent="0.3">
      <c r="A58" s="62" t="s">
        <v>447</v>
      </c>
      <c r="B58" s="62" t="s">
        <v>39</v>
      </c>
      <c r="C58" s="11">
        <v>719</v>
      </c>
      <c r="D58" s="10">
        <v>1</v>
      </c>
      <c r="E58" s="10">
        <v>1</v>
      </c>
      <c r="F58" s="63" t="s">
        <v>390</v>
      </c>
      <c r="G58" s="63" t="s">
        <v>391</v>
      </c>
      <c r="H58" s="11">
        <v>1630</v>
      </c>
      <c r="I58" s="11">
        <v>1469</v>
      </c>
      <c r="J58" s="11">
        <v>1469</v>
      </c>
      <c r="K58" s="64"/>
      <c r="L58" s="64">
        <v>46521</v>
      </c>
      <c r="M58" s="64">
        <v>46096</v>
      </c>
      <c r="O58" s="11">
        <v>1469</v>
      </c>
      <c r="P58" s="11"/>
      <c r="Q58" s="11"/>
      <c r="R58" s="11">
        <v>25</v>
      </c>
      <c r="S58" s="11">
        <v>10</v>
      </c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3">
      <c r="A59" s="59" t="s">
        <v>448</v>
      </c>
      <c r="B59" s="59" t="s">
        <v>68</v>
      </c>
      <c r="C59" s="20">
        <v>1213</v>
      </c>
      <c r="D59" s="19">
        <v>2</v>
      </c>
      <c r="E59" s="19">
        <v>2</v>
      </c>
      <c r="F59" s="60" t="s">
        <v>390</v>
      </c>
      <c r="G59" s="60" t="s">
        <v>391</v>
      </c>
      <c r="H59" s="20">
        <v>2210</v>
      </c>
      <c r="I59" s="20">
        <v>2210</v>
      </c>
      <c r="J59" s="20">
        <v>2210</v>
      </c>
      <c r="K59" s="61"/>
      <c r="L59" s="61">
        <v>46304</v>
      </c>
      <c r="M59" s="61">
        <v>45940</v>
      </c>
      <c r="O59" s="20">
        <v>2210</v>
      </c>
      <c r="P59" s="20"/>
      <c r="Q59" s="20">
        <v>400</v>
      </c>
      <c r="R59" s="20">
        <v>25</v>
      </c>
      <c r="S59" s="20">
        <v>10</v>
      </c>
      <c r="T59" s="20"/>
      <c r="U59" s="20"/>
      <c r="V59" s="20"/>
      <c r="W59" s="20"/>
      <c r="X59" s="20"/>
      <c r="Y59" s="20"/>
      <c r="Z59" s="20"/>
      <c r="AA59" s="20"/>
      <c r="AB59" s="20"/>
    </row>
    <row r="60" spans="1:28" x14ac:dyDescent="0.3">
      <c r="A60" s="62" t="s">
        <v>449</v>
      </c>
      <c r="B60" s="62" t="s">
        <v>59</v>
      </c>
      <c r="C60" s="11">
        <v>1082</v>
      </c>
      <c r="D60" s="10">
        <v>2</v>
      </c>
      <c r="E60" s="10">
        <v>2</v>
      </c>
      <c r="F60" s="63" t="s">
        <v>390</v>
      </c>
      <c r="G60" s="63" t="s">
        <v>391</v>
      </c>
      <c r="H60" s="11">
        <v>2260</v>
      </c>
      <c r="I60" s="11">
        <v>1927</v>
      </c>
      <c r="J60" s="11">
        <v>1927</v>
      </c>
      <c r="K60" s="64"/>
      <c r="L60" s="64">
        <v>46491</v>
      </c>
      <c r="M60" s="64">
        <v>45580</v>
      </c>
      <c r="O60" s="11">
        <v>1927</v>
      </c>
      <c r="P60" s="11"/>
      <c r="Q60" s="11"/>
      <c r="R60" s="11">
        <v>25</v>
      </c>
      <c r="S60" s="11">
        <v>10</v>
      </c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3">
      <c r="A61" s="59" t="s">
        <v>450</v>
      </c>
      <c r="B61" s="59" t="s">
        <v>68</v>
      </c>
      <c r="C61" s="20">
        <v>1213</v>
      </c>
      <c r="D61" s="19">
        <v>2</v>
      </c>
      <c r="E61" s="19">
        <v>2</v>
      </c>
      <c r="F61" s="60" t="s">
        <v>390</v>
      </c>
      <c r="G61" s="60" t="s">
        <v>391</v>
      </c>
      <c r="H61" s="20">
        <v>2130</v>
      </c>
      <c r="I61" s="20">
        <v>2130</v>
      </c>
      <c r="J61" s="20">
        <v>2130</v>
      </c>
      <c r="K61" s="61"/>
      <c r="L61" s="61">
        <v>46353</v>
      </c>
      <c r="M61" s="61">
        <v>46019</v>
      </c>
      <c r="O61" s="20">
        <v>2130</v>
      </c>
      <c r="P61" s="20">
        <v>-1065</v>
      </c>
      <c r="Q61" s="20"/>
      <c r="R61" s="20">
        <v>25</v>
      </c>
      <c r="S61" s="20">
        <v>10</v>
      </c>
      <c r="T61" s="20"/>
      <c r="U61" s="20">
        <v>50</v>
      </c>
      <c r="V61" s="20"/>
      <c r="W61" s="20"/>
      <c r="X61" s="20"/>
      <c r="Y61" s="20"/>
      <c r="Z61" s="20"/>
      <c r="AA61" s="20"/>
      <c r="AB61" s="20"/>
    </row>
    <row r="62" spans="1:28" x14ac:dyDescent="0.3">
      <c r="A62" s="62" t="s">
        <v>451</v>
      </c>
      <c r="B62" s="62" t="s">
        <v>36</v>
      </c>
      <c r="C62" s="11">
        <v>698</v>
      </c>
      <c r="D62" s="10">
        <v>1</v>
      </c>
      <c r="E62" s="10">
        <v>1</v>
      </c>
      <c r="F62" s="63" t="s">
        <v>390</v>
      </c>
      <c r="G62" s="63" t="s">
        <v>391</v>
      </c>
      <c r="H62" s="11">
        <v>1660</v>
      </c>
      <c r="I62" s="11">
        <v>1660</v>
      </c>
      <c r="J62" s="11">
        <v>1660</v>
      </c>
      <c r="K62" s="64"/>
      <c r="L62" s="64">
        <v>46521</v>
      </c>
      <c r="M62" s="64">
        <v>46157</v>
      </c>
      <c r="O62" s="11">
        <v>1660</v>
      </c>
      <c r="P62" s="11"/>
      <c r="Q62" s="11">
        <v>285</v>
      </c>
      <c r="R62" s="11">
        <v>25</v>
      </c>
      <c r="S62" s="11">
        <v>10</v>
      </c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3">
      <c r="A63" s="59" t="s">
        <v>452</v>
      </c>
      <c r="B63" s="59" t="s">
        <v>39</v>
      </c>
      <c r="C63" s="20">
        <v>719</v>
      </c>
      <c r="D63" s="19">
        <v>1</v>
      </c>
      <c r="E63" s="19">
        <v>1</v>
      </c>
      <c r="F63" s="60" t="s">
        <v>390</v>
      </c>
      <c r="G63" s="60" t="s">
        <v>391</v>
      </c>
      <c r="H63" s="20">
        <v>1550</v>
      </c>
      <c r="I63" s="20">
        <v>1550</v>
      </c>
      <c r="J63" s="20">
        <v>1550</v>
      </c>
      <c r="K63" s="61"/>
      <c r="L63" s="61">
        <v>46538</v>
      </c>
      <c r="M63" s="61">
        <v>46113</v>
      </c>
      <c r="O63" s="20">
        <v>1550</v>
      </c>
      <c r="P63" s="20">
        <v>-775</v>
      </c>
      <c r="Q63" s="20"/>
      <c r="R63" s="20">
        <v>25</v>
      </c>
      <c r="S63" s="20">
        <v>10</v>
      </c>
      <c r="T63" s="20"/>
      <c r="U63" s="20"/>
      <c r="V63" s="20"/>
      <c r="W63" s="20"/>
      <c r="X63" s="20"/>
      <c r="Y63" s="20"/>
      <c r="Z63" s="20"/>
      <c r="AA63" s="20"/>
      <c r="AB63" s="20"/>
    </row>
    <row r="64" spans="1:28" x14ac:dyDescent="0.3">
      <c r="A64" s="62" t="s">
        <v>453</v>
      </c>
      <c r="B64" s="62" t="s">
        <v>36</v>
      </c>
      <c r="C64" s="11">
        <v>698</v>
      </c>
      <c r="D64" s="10">
        <v>1</v>
      </c>
      <c r="E64" s="10">
        <v>1</v>
      </c>
      <c r="F64" s="63" t="s">
        <v>390</v>
      </c>
      <c r="G64" s="63" t="s">
        <v>391</v>
      </c>
      <c r="H64" s="11">
        <v>1660</v>
      </c>
      <c r="I64" s="11">
        <v>1312</v>
      </c>
      <c r="J64" s="11">
        <v>1312</v>
      </c>
      <c r="K64" s="64"/>
      <c r="L64" s="64">
        <v>46458</v>
      </c>
      <c r="M64" s="64">
        <v>46066</v>
      </c>
      <c r="O64" s="11">
        <v>1312</v>
      </c>
      <c r="P64" s="11"/>
      <c r="Q64" s="11"/>
      <c r="R64" s="11">
        <v>25</v>
      </c>
      <c r="S64" s="11">
        <v>10</v>
      </c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3">
      <c r="A65" s="59" t="s">
        <v>454</v>
      </c>
      <c r="B65" s="59" t="s">
        <v>39</v>
      </c>
      <c r="C65" s="20">
        <v>719</v>
      </c>
      <c r="D65" s="19">
        <v>1</v>
      </c>
      <c r="E65" s="19">
        <v>1</v>
      </c>
      <c r="F65" s="60" t="s">
        <v>390</v>
      </c>
      <c r="G65" s="60" t="s">
        <v>391</v>
      </c>
      <c r="H65" s="20">
        <v>1550</v>
      </c>
      <c r="I65" s="20">
        <v>1550</v>
      </c>
      <c r="J65" s="20">
        <v>1550</v>
      </c>
      <c r="K65" s="61"/>
      <c r="L65" s="61">
        <v>46293</v>
      </c>
      <c r="M65" s="61">
        <v>45929</v>
      </c>
      <c r="O65" s="20">
        <v>1550</v>
      </c>
      <c r="P65" s="20"/>
      <c r="Q65" s="20"/>
      <c r="R65" s="20">
        <v>25</v>
      </c>
      <c r="S65" s="20">
        <v>10</v>
      </c>
      <c r="T65" s="20"/>
      <c r="U65" s="20"/>
      <c r="V65" s="20"/>
      <c r="W65" s="20"/>
      <c r="X65" s="20"/>
      <c r="Y65" s="20"/>
      <c r="Z65" s="20"/>
      <c r="AA65" s="20"/>
      <c r="AB65" s="20"/>
    </row>
    <row r="66" spans="1:28" x14ac:dyDescent="0.3">
      <c r="A66" s="62" t="s">
        <v>455</v>
      </c>
      <c r="B66" s="62" t="s">
        <v>36</v>
      </c>
      <c r="C66" s="11">
        <v>698</v>
      </c>
      <c r="D66" s="10">
        <v>1</v>
      </c>
      <c r="E66" s="10">
        <v>1</v>
      </c>
      <c r="F66" s="63" t="s">
        <v>390</v>
      </c>
      <c r="G66" s="63" t="s">
        <v>397</v>
      </c>
      <c r="H66" s="11">
        <v>1660</v>
      </c>
      <c r="I66" s="11">
        <v>0</v>
      </c>
      <c r="J66" s="11">
        <v>0</v>
      </c>
      <c r="K66" s="64"/>
      <c r="L66" s="64"/>
      <c r="M66" s="6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3">
      <c r="A67" s="59" t="s">
        <v>456</v>
      </c>
      <c r="B67" s="59" t="s">
        <v>39</v>
      </c>
      <c r="C67" s="20">
        <v>719</v>
      </c>
      <c r="D67" s="19">
        <v>1</v>
      </c>
      <c r="E67" s="19">
        <v>1</v>
      </c>
      <c r="F67" s="60" t="s">
        <v>390</v>
      </c>
      <c r="G67" s="60" t="s">
        <v>391</v>
      </c>
      <c r="H67" s="20">
        <v>1550</v>
      </c>
      <c r="I67" s="20">
        <v>1299</v>
      </c>
      <c r="J67" s="20">
        <v>1299</v>
      </c>
      <c r="K67" s="61"/>
      <c r="L67" s="61">
        <v>46462</v>
      </c>
      <c r="M67" s="61">
        <v>46039</v>
      </c>
      <c r="O67" s="20">
        <v>1299</v>
      </c>
      <c r="P67" s="20">
        <v>-649.5</v>
      </c>
      <c r="Q67" s="20"/>
      <c r="R67" s="20">
        <v>25</v>
      </c>
      <c r="S67" s="20">
        <v>10</v>
      </c>
      <c r="T67" s="20"/>
      <c r="U67" s="20"/>
      <c r="V67" s="20"/>
      <c r="W67" s="20"/>
      <c r="X67" s="20"/>
      <c r="Y67" s="20"/>
      <c r="Z67" s="20"/>
      <c r="AA67" s="20"/>
      <c r="AB67" s="20"/>
    </row>
    <row r="68" spans="1:28" x14ac:dyDescent="0.3">
      <c r="A68" s="62" t="s">
        <v>457</v>
      </c>
      <c r="B68" s="62" t="s">
        <v>59</v>
      </c>
      <c r="C68" s="11">
        <v>1082</v>
      </c>
      <c r="D68" s="10">
        <v>2</v>
      </c>
      <c r="E68" s="10">
        <v>2</v>
      </c>
      <c r="F68" s="63" t="s">
        <v>390</v>
      </c>
      <c r="G68" s="63" t="s">
        <v>391</v>
      </c>
      <c r="H68" s="11">
        <v>2260</v>
      </c>
      <c r="I68" s="11">
        <v>1948</v>
      </c>
      <c r="J68" s="11">
        <v>1948</v>
      </c>
      <c r="K68" s="64"/>
      <c r="L68" s="64">
        <v>46398</v>
      </c>
      <c r="M68" s="64">
        <v>45669</v>
      </c>
      <c r="O68" s="11">
        <v>1948</v>
      </c>
      <c r="P68" s="11"/>
      <c r="Q68" s="11"/>
      <c r="R68" s="11">
        <v>25</v>
      </c>
      <c r="S68" s="11">
        <v>10</v>
      </c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3">
      <c r="A69" s="59" t="s">
        <v>458</v>
      </c>
      <c r="B69" s="59" t="s">
        <v>68</v>
      </c>
      <c r="C69" s="20">
        <v>1213</v>
      </c>
      <c r="D69" s="19">
        <v>2</v>
      </c>
      <c r="E69" s="19">
        <v>2</v>
      </c>
      <c r="F69" s="60" t="s">
        <v>390</v>
      </c>
      <c r="G69" s="60" t="s">
        <v>391</v>
      </c>
      <c r="H69" s="20">
        <v>2130</v>
      </c>
      <c r="I69" s="20">
        <v>2099</v>
      </c>
      <c r="J69" s="20">
        <v>2099</v>
      </c>
      <c r="K69" s="61"/>
      <c r="L69" s="61">
        <v>46387</v>
      </c>
      <c r="M69" s="61">
        <v>45992</v>
      </c>
      <c r="O69" s="20">
        <v>2099</v>
      </c>
      <c r="P69" s="20">
        <v>-1049.5</v>
      </c>
      <c r="Q69" s="20"/>
      <c r="R69" s="20">
        <v>25</v>
      </c>
      <c r="S69" s="20">
        <v>10</v>
      </c>
      <c r="T69" s="20"/>
      <c r="U69" s="20"/>
      <c r="V69" s="20"/>
      <c r="W69" s="20"/>
      <c r="X69" s="20"/>
      <c r="Y69" s="20"/>
      <c r="Z69" s="20"/>
      <c r="AA69" s="20"/>
      <c r="AB69" s="20"/>
    </row>
    <row r="70" spans="1:28" x14ac:dyDescent="0.3">
      <c r="A70" s="62" t="s">
        <v>459</v>
      </c>
      <c r="B70" s="62" t="s">
        <v>59</v>
      </c>
      <c r="C70" s="11">
        <v>1082</v>
      </c>
      <c r="D70" s="10">
        <v>2</v>
      </c>
      <c r="E70" s="10">
        <v>2</v>
      </c>
      <c r="F70" s="63" t="s">
        <v>390</v>
      </c>
      <c r="G70" s="63" t="s">
        <v>391</v>
      </c>
      <c r="H70" s="11">
        <v>2305</v>
      </c>
      <c r="I70" s="11">
        <v>2305</v>
      </c>
      <c r="J70" s="11">
        <v>2305</v>
      </c>
      <c r="K70" s="64"/>
      <c r="L70" s="64">
        <v>46279</v>
      </c>
      <c r="M70" s="64">
        <v>45915</v>
      </c>
      <c r="O70" s="11">
        <v>2305</v>
      </c>
      <c r="P70" s="11"/>
      <c r="Q70" s="11"/>
      <c r="R70" s="11">
        <v>25</v>
      </c>
      <c r="S70" s="11">
        <v>10</v>
      </c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3">
      <c r="A71" s="59" t="s">
        <v>460</v>
      </c>
      <c r="B71" s="59" t="s">
        <v>68</v>
      </c>
      <c r="C71" s="20">
        <v>1213</v>
      </c>
      <c r="D71" s="19">
        <v>2</v>
      </c>
      <c r="E71" s="19">
        <v>2</v>
      </c>
      <c r="F71" s="60" t="s">
        <v>390</v>
      </c>
      <c r="G71" s="60" t="s">
        <v>391</v>
      </c>
      <c r="H71" s="20">
        <v>2175</v>
      </c>
      <c r="I71" s="20">
        <v>2175</v>
      </c>
      <c r="J71" s="20">
        <v>2175</v>
      </c>
      <c r="K71" s="61"/>
      <c r="L71" s="61">
        <v>46521</v>
      </c>
      <c r="M71" s="61">
        <v>46157</v>
      </c>
      <c r="O71" s="20">
        <v>2175</v>
      </c>
      <c r="P71" s="20"/>
      <c r="Q71" s="20"/>
      <c r="R71" s="20">
        <v>25</v>
      </c>
      <c r="S71" s="20">
        <v>10</v>
      </c>
      <c r="T71" s="20">
        <v>110</v>
      </c>
      <c r="U71" s="20">
        <v>25</v>
      </c>
      <c r="V71" s="20"/>
      <c r="W71" s="20"/>
      <c r="X71" s="20"/>
      <c r="Y71" s="20">
        <v>40</v>
      </c>
      <c r="Z71" s="20"/>
      <c r="AA71" s="20"/>
      <c r="AB71" s="20"/>
    </row>
    <row r="72" spans="1:28" x14ac:dyDescent="0.3">
      <c r="A72" s="62" t="s">
        <v>461</v>
      </c>
      <c r="B72" s="62" t="s">
        <v>36</v>
      </c>
      <c r="C72" s="11">
        <v>698</v>
      </c>
      <c r="D72" s="10">
        <v>1</v>
      </c>
      <c r="E72" s="10">
        <v>1</v>
      </c>
      <c r="F72" s="63" t="s">
        <v>390</v>
      </c>
      <c r="G72" s="63" t="s">
        <v>397</v>
      </c>
      <c r="H72" s="11">
        <v>1705</v>
      </c>
      <c r="I72" s="11">
        <v>0</v>
      </c>
      <c r="J72" s="11">
        <v>0</v>
      </c>
      <c r="K72" s="64"/>
      <c r="L72" s="64"/>
      <c r="M72" s="6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3">
      <c r="A73" s="59" t="s">
        <v>462</v>
      </c>
      <c r="B73" s="59" t="s">
        <v>39</v>
      </c>
      <c r="C73" s="20">
        <v>719</v>
      </c>
      <c r="D73" s="19">
        <v>1</v>
      </c>
      <c r="E73" s="19">
        <v>1</v>
      </c>
      <c r="F73" s="60" t="s">
        <v>390</v>
      </c>
      <c r="G73" s="60" t="s">
        <v>391</v>
      </c>
      <c r="H73" s="20">
        <v>1595</v>
      </c>
      <c r="I73" s="20">
        <v>1419</v>
      </c>
      <c r="J73" s="20">
        <v>1419</v>
      </c>
      <c r="K73" s="61"/>
      <c r="L73" s="61">
        <v>46368</v>
      </c>
      <c r="M73" s="61">
        <v>45611</v>
      </c>
      <c r="O73" s="20">
        <v>1419</v>
      </c>
      <c r="P73" s="20"/>
      <c r="Q73" s="20"/>
      <c r="R73" s="20">
        <v>25</v>
      </c>
      <c r="S73" s="20">
        <v>10</v>
      </c>
      <c r="T73" s="20">
        <v>130</v>
      </c>
      <c r="U73" s="20"/>
      <c r="V73" s="20"/>
      <c r="W73" s="20"/>
      <c r="X73" s="20"/>
      <c r="Y73" s="20"/>
      <c r="Z73" s="20"/>
      <c r="AA73" s="20"/>
      <c r="AB73" s="20"/>
    </row>
    <row r="74" spans="1:28" x14ac:dyDescent="0.3">
      <c r="A74" s="62" t="s">
        <v>463</v>
      </c>
      <c r="B74" s="62" t="s">
        <v>36</v>
      </c>
      <c r="C74" s="11">
        <v>698</v>
      </c>
      <c r="D74" s="10">
        <v>1</v>
      </c>
      <c r="E74" s="10">
        <v>1</v>
      </c>
      <c r="F74" s="63" t="s">
        <v>390</v>
      </c>
      <c r="G74" s="63" t="s">
        <v>391</v>
      </c>
      <c r="H74" s="11">
        <v>1705</v>
      </c>
      <c r="I74" s="11">
        <v>1705</v>
      </c>
      <c r="J74" s="11">
        <v>1705</v>
      </c>
      <c r="K74" s="64"/>
      <c r="L74" s="64">
        <v>46190</v>
      </c>
      <c r="M74" s="64">
        <v>45278</v>
      </c>
      <c r="O74" s="11">
        <v>1705</v>
      </c>
      <c r="P74" s="11"/>
      <c r="Q74" s="11"/>
      <c r="R74" s="11">
        <v>25</v>
      </c>
      <c r="S74" s="11">
        <v>10</v>
      </c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3">
      <c r="A75" s="59" t="s">
        <v>464</v>
      </c>
      <c r="B75" s="59" t="s">
        <v>39</v>
      </c>
      <c r="C75" s="20">
        <v>719</v>
      </c>
      <c r="D75" s="19">
        <v>1</v>
      </c>
      <c r="E75" s="19">
        <v>1</v>
      </c>
      <c r="F75" s="60" t="s">
        <v>390</v>
      </c>
      <c r="G75" s="60" t="s">
        <v>391</v>
      </c>
      <c r="H75" s="20">
        <v>1595</v>
      </c>
      <c r="I75" s="20">
        <v>1595</v>
      </c>
      <c r="J75" s="20">
        <v>1595</v>
      </c>
      <c r="K75" s="61"/>
      <c r="L75" s="61">
        <v>46265</v>
      </c>
      <c r="M75" s="61">
        <v>45901</v>
      </c>
      <c r="O75" s="20">
        <v>1595</v>
      </c>
      <c r="P75" s="20"/>
      <c r="Q75" s="20"/>
      <c r="R75" s="20">
        <v>25</v>
      </c>
      <c r="S75" s="20">
        <v>10</v>
      </c>
      <c r="T75" s="20"/>
      <c r="U75" s="20"/>
      <c r="V75" s="20"/>
      <c r="W75" s="20"/>
      <c r="X75" s="20"/>
      <c r="Y75" s="20"/>
      <c r="Z75" s="20"/>
      <c r="AA75" s="20"/>
      <c r="AB75" s="20"/>
    </row>
    <row r="76" spans="1:28" x14ac:dyDescent="0.3">
      <c r="A76" s="62" t="s">
        <v>465</v>
      </c>
      <c r="B76" s="62" t="s">
        <v>36</v>
      </c>
      <c r="C76" s="11">
        <v>698</v>
      </c>
      <c r="D76" s="10">
        <v>1</v>
      </c>
      <c r="E76" s="10">
        <v>1</v>
      </c>
      <c r="F76" s="63" t="s">
        <v>390</v>
      </c>
      <c r="G76" s="63" t="s">
        <v>391</v>
      </c>
      <c r="H76" s="11">
        <v>1705</v>
      </c>
      <c r="I76" s="11">
        <v>1399</v>
      </c>
      <c r="J76" s="11">
        <v>1399</v>
      </c>
      <c r="K76" s="64"/>
      <c r="L76" s="64">
        <v>46513</v>
      </c>
      <c r="M76" s="64">
        <v>46088</v>
      </c>
      <c r="O76" s="11">
        <v>1399</v>
      </c>
      <c r="P76" s="11"/>
      <c r="Q76" s="11"/>
      <c r="R76" s="11"/>
      <c r="S76" s="11">
        <v>10</v>
      </c>
      <c r="T76" s="11"/>
      <c r="U76" s="11">
        <v>50</v>
      </c>
      <c r="V76" s="11"/>
      <c r="W76" s="11"/>
      <c r="X76" s="11"/>
      <c r="Y76" s="11"/>
      <c r="Z76" s="11">
        <v>25</v>
      </c>
      <c r="AA76" s="11"/>
      <c r="AB76" s="11"/>
    </row>
    <row r="77" spans="1:28" x14ac:dyDescent="0.3">
      <c r="A77" s="59" t="s">
        <v>466</v>
      </c>
      <c r="B77" s="59" t="s">
        <v>39</v>
      </c>
      <c r="C77" s="20">
        <v>719</v>
      </c>
      <c r="D77" s="19">
        <v>1</v>
      </c>
      <c r="E77" s="19">
        <v>1</v>
      </c>
      <c r="F77" s="60" t="s">
        <v>390</v>
      </c>
      <c r="G77" s="60" t="s">
        <v>391</v>
      </c>
      <c r="H77" s="20">
        <v>1595</v>
      </c>
      <c r="I77" s="20">
        <v>1451</v>
      </c>
      <c r="J77" s="20">
        <v>1451</v>
      </c>
      <c r="K77" s="61"/>
      <c r="L77" s="61">
        <v>46443</v>
      </c>
      <c r="M77" s="61">
        <v>45698</v>
      </c>
      <c r="O77" s="20">
        <v>1451</v>
      </c>
      <c r="P77" s="20"/>
      <c r="Q77" s="20"/>
      <c r="R77" s="20">
        <v>25</v>
      </c>
      <c r="S77" s="20">
        <v>10</v>
      </c>
      <c r="T77" s="20"/>
      <c r="U77" s="20"/>
      <c r="V77" s="20"/>
      <c r="W77" s="20"/>
      <c r="X77" s="20"/>
      <c r="Y77" s="20"/>
      <c r="Z77" s="20"/>
      <c r="AA77" s="20"/>
      <c r="AB77" s="20"/>
    </row>
    <row r="78" spans="1:28" x14ac:dyDescent="0.3">
      <c r="A78" s="62" t="s">
        <v>467</v>
      </c>
      <c r="B78" s="62" t="s">
        <v>59</v>
      </c>
      <c r="C78" s="11">
        <v>1082</v>
      </c>
      <c r="D78" s="10">
        <v>2</v>
      </c>
      <c r="E78" s="10">
        <v>2</v>
      </c>
      <c r="F78" s="63" t="s">
        <v>390</v>
      </c>
      <c r="G78" s="63" t="s">
        <v>391</v>
      </c>
      <c r="H78" s="11">
        <v>2305</v>
      </c>
      <c r="I78" s="11">
        <v>2305</v>
      </c>
      <c r="J78" s="11">
        <v>2305</v>
      </c>
      <c r="K78" s="64"/>
      <c r="L78" s="64">
        <v>46359</v>
      </c>
      <c r="M78" s="64">
        <v>45539</v>
      </c>
      <c r="O78" s="11">
        <v>2305</v>
      </c>
      <c r="P78" s="11"/>
      <c r="Q78" s="11">
        <v>260</v>
      </c>
      <c r="R78" s="11">
        <v>25</v>
      </c>
      <c r="S78" s="11">
        <v>10</v>
      </c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3">
      <c r="A79" s="59" t="s">
        <v>468</v>
      </c>
      <c r="B79" s="59" t="s">
        <v>68</v>
      </c>
      <c r="C79" s="20">
        <v>1213</v>
      </c>
      <c r="D79" s="19">
        <v>2</v>
      </c>
      <c r="E79" s="19">
        <v>2</v>
      </c>
      <c r="F79" s="60" t="s">
        <v>390</v>
      </c>
      <c r="G79" s="60" t="s">
        <v>391</v>
      </c>
      <c r="H79" s="20">
        <v>2175</v>
      </c>
      <c r="I79" s="20">
        <v>2110</v>
      </c>
      <c r="J79" s="20">
        <v>2110</v>
      </c>
      <c r="K79" s="61"/>
      <c r="L79" s="61">
        <v>46350</v>
      </c>
      <c r="M79" s="61">
        <v>45621</v>
      </c>
      <c r="O79" s="20">
        <v>2110</v>
      </c>
      <c r="P79" s="20"/>
      <c r="Q79" s="20"/>
      <c r="R79" s="20">
        <v>25</v>
      </c>
      <c r="S79" s="20">
        <v>10</v>
      </c>
      <c r="T79" s="20"/>
      <c r="U79" s="20">
        <v>50</v>
      </c>
      <c r="V79" s="20"/>
      <c r="W79" s="20"/>
      <c r="X79" s="20"/>
      <c r="Y79" s="20"/>
      <c r="Z79" s="20"/>
      <c r="AA79" s="20"/>
      <c r="AB79" s="20"/>
    </row>
    <row r="80" spans="1:28" x14ac:dyDescent="0.3">
      <c r="A80" s="62" t="s">
        <v>469</v>
      </c>
      <c r="B80" s="62" t="s">
        <v>39</v>
      </c>
      <c r="C80" s="11">
        <v>719</v>
      </c>
      <c r="D80" s="10">
        <v>1</v>
      </c>
      <c r="E80" s="10">
        <v>1</v>
      </c>
      <c r="F80" s="63" t="s">
        <v>390</v>
      </c>
      <c r="G80" s="63" t="s">
        <v>391</v>
      </c>
      <c r="H80" s="11">
        <v>1630</v>
      </c>
      <c r="I80" s="11">
        <v>1436</v>
      </c>
      <c r="J80" s="11">
        <v>1436</v>
      </c>
      <c r="K80" s="64"/>
      <c r="L80" s="64">
        <v>46217</v>
      </c>
      <c r="M80" s="64">
        <v>45306</v>
      </c>
      <c r="O80" s="11">
        <v>1436</v>
      </c>
      <c r="P80" s="11"/>
      <c r="Q80" s="11"/>
      <c r="R80" s="11">
        <v>25</v>
      </c>
      <c r="S80" s="11">
        <v>10</v>
      </c>
      <c r="T80" s="11">
        <v>65</v>
      </c>
      <c r="U80" s="11"/>
      <c r="V80" s="11"/>
      <c r="W80" s="11"/>
      <c r="X80" s="11"/>
      <c r="Y80" s="11">
        <v>40</v>
      </c>
      <c r="Z80" s="11"/>
      <c r="AA80" s="11"/>
      <c r="AB80" s="11"/>
    </row>
    <row r="81" spans="1:28" x14ac:dyDescent="0.3">
      <c r="A81" s="59" t="s">
        <v>470</v>
      </c>
      <c r="B81" s="59" t="s">
        <v>39</v>
      </c>
      <c r="C81" s="20">
        <v>719</v>
      </c>
      <c r="D81" s="19">
        <v>1</v>
      </c>
      <c r="E81" s="19">
        <v>1</v>
      </c>
      <c r="F81" s="60" t="s">
        <v>390</v>
      </c>
      <c r="G81" s="60" t="s">
        <v>397</v>
      </c>
      <c r="H81" s="20">
        <v>1630</v>
      </c>
      <c r="I81" s="20">
        <v>0</v>
      </c>
      <c r="J81" s="20">
        <v>0</v>
      </c>
      <c r="K81" s="61"/>
      <c r="L81" s="61"/>
      <c r="M81" s="61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x14ac:dyDescent="0.3">
      <c r="A82" s="62" t="s">
        <v>471</v>
      </c>
      <c r="B82" s="62" t="s">
        <v>56</v>
      </c>
      <c r="C82" s="11">
        <v>941</v>
      </c>
      <c r="D82" s="10">
        <v>1</v>
      </c>
      <c r="E82" s="10">
        <v>1</v>
      </c>
      <c r="F82" s="63" t="s">
        <v>390</v>
      </c>
      <c r="G82" s="63" t="s">
        <v>391</v>
      </c>
      <c r="H82" s="11">
        <v>1895</v>
      </c>
      <c r="I82" s="11">
        <v>1860</v>
      </c>
      <c r="J82" s="11">
        <v>1860</v>
      </c>
      <c r="K82" s="64"/>
      <c r="L82" s="64">
        <v>46618</v>
      </c>
      <c r="M82" s="64">
        <v>46132</v>
      </c>
      <c r="O82" s="11">
        <v>1860</v>
      </c>
      <c r="P82" s="11">
        <v>-930</v>
      </c>
      <c r="Q82" s="11"/>
      <c r="R82" s="11">
        <v>25</v>
      </c>
      <c r="S82" s="11">
        <v>10</v>
      </c>
      <c r="T82" s="11"/>
      <c r="U82" s="11">
        <v>25</v>
      </c>
      <c r="V82" s="11"/>
      <c r="W82" s="11"/>
      <c r="X82" s="11"/>
      <c r="Y82" s="11"/>
      <c r="Z82" s="11"/>
      <c r="AA82" s="11"/>
      <c r="AB82" s="11"/>
    </row>
    <row r="83" spans="1:28" x14ac:dyDescent="0.3">
      <c r="A83" s="59" t="s">
        <v>472</v>
      </c>
      <c r="B83" s="59" t="s">
        <v>45</v>
      </c>
      <c r="C83" s="20">
        <v>736</v>
      </c>
      <c r="D83" s="19">
        <v>1</v>
      </c>
      <c r="E83" s="19">
        <v>1</v>
      </c>
      <c r="F83" s="60" t="s">
        <v>390</v>
      </c>
      <c r="G83" s="60" t="s">
        <v>391</v>
      </c>
      <c r="H83" s="20">
        <v>1725</v>
      </c>
      <c r="I83" s="20">
        <v>1384</v>
      </c>
      <c r="J83" s="20">
        <v>1384</v>
      </c>
      <c r="K83" s="61"/>
      <c r="L83" s="61">
        <v>46459</v>
      </c>
      <c r="M83" s="61">
        <v>46067</v>
      </c>
      <c r="O83" s="20">
        <v>1384</v>
      </c>
      <c r="P83" s="20">
        <v>-692</v>
      </c>
      <c r="Q83" s="20"/>
      <c r="R83" s="20">
        <v>25</v>
      </c>
      <c r="S83" s="20">
        <v>10</v>
      </c>
      <c r="T83" s="20"/>
      <c r="U83" s="20"/>
      <c r="V83" s="20"/>
      <c r="W83" s="20"/>
      <c r="X83" s="20"/>
      <c r="Y83" s="20"/>
      <c r="Z83" s="20"/>
      <c r="AA83" s="20"/>
      <c r="AB83" s="20"/>
    </row>
    <row r="84" spans="1:28" x14ac:dyDescent="0.3">
      <c r="A84" s="62" t="s">
        <v>473</v>
      </c>
      <c r="B84" s="62" t="s">
        <v>56</v>
      </c>
      <c r="C84" s="11">
        <v>941</v>
      </c>
      <c r="D84" s="10">
        <v>1</v>
      </c>
      <c r="E84" s="10">
        <v>1</v>
      </c>
      <c r="F84" s="63" t="s">
        <v>390</v>
      </c>
      <c r="G84" s="63" t="s">
        <v>391</v>
      </c>
      <c r="H84" s="11">
        <v>1895</v>
      </c>
      <c r="I84" s="11">
        <v>1895</v>
      </c>
      <c r="J84" s="11">
        <v>1895</v>
      </c>
      <c r="K84" s="64"/>
      <c r="L84" s="64">
        <v>46446</v>
      </c>
      <c r="M84" s="64">
        <v>45566</v>
      </c>
      <c r="O84" s="11">
        <v>1895</v>
      </c>
      <c r="P84" s="11"/>
      <c r="Q84" s="11"/>
      <c r="R84" s="11">
        <v>25</v>
      </c>
      <c r="S84" s="11">
        <v>10</v>
      </c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3">
      <c r="A85" s="59" t="s">
        <v>474</v>
      </c>
      <c r="B85" s="59" t="s">
        <v>76</v>
      </c>
      <c r="C85" s="20">
        <v>1564</v>
      </c>
      <c r="D85" s="19">
        <v>3</v>
      </c>
      <c r="E85" s="19">
        <v>2</v>
      </c>
      <c r="F85" s="60" t="s">
        <v>390</v>
      </c>
      <c r="G85" s="60" t="s">
        <v>391</v>
      </c>
      <c r="H85" s="20">
        <v>2925</v>
      </c>
      <c r="I85" s="20">
        <v>2550</v>
      </c>
      <c r="J85" s="20">
        <v>2550</v>
      </c>
      <c r="K85" s="61"/>
      <c r="L85" s="61">
        <v>46350</v>
      </c>
      <c r="M85" s="61">
        <v>45986</v>
      </c>
      <c r="O85" s="20">
        <v>2550</v>
      </c>
      <c r="P85" s="20"/>
      <c r="Q85" s="20"/>
      <c r="R85" s="20">
        <v>25</v>
      </c>
      <c r="S85" s="20">
        <v>10</v>
      </c>
      <c r="T85" s="20"/>
      <c r="U85" s="20"/>
      <c r="V85" s="20"/>
      <c r="W85" s="20"/>
      <c r="X85" s="20"/>
      <c r="Y85" s="20"/>
      <c r="Z85" s="20"/>
      <c r="AA85" s="20"/>
      <c r="AB85" s="20"/>
    </row>
    <row r="86" spans="1:28" x14ac:dyDescent="0.3">
      <c r="A86" s="62" t="s">
        <v>475</v>
      </c>
      <c r="B86" s="62" t="s">
        <v>43</v>
      </c>
      <c r="C86" s="11">
        <v>739</v>
      </c>
      <c r="D86" s="10">
        <v>1</v>
      </c>
      <c r="E86" s="10">
        <v>1</v>
      </c>
      <c r="F86" s="63" t="s">
        <v>390</v>
      </c>
      <c r="G86" s="63" t="s">
        <v>391</v>
      </c>
      <c r="H86" s="11">
        <v>1605</v>
      </c>
      <c r="I86" s="11">
        <v>1395</v>
      </c>
      <c r="J86" s="11">
        <v>1395</v>
      </c>
      <c r="K86" s="64"/>
      <c r="L86" s="64">
        <v>46519</v>
      </c>
      <c r="M86" s="64">
        <v>45701</v>
      </c>
      <c r="O86" s="11">
        <v>1395</v>
      </c>
      <c r="P86" s="11"/>
      <c r="Q86" s="11"/>
      <c r="R86" s="11">
        <v>25</v>
      </c>
      <c r="S86" s="11">
        <v>10</v>
      </c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3">
      <c r="A87" s="59" t="s">
        <v>476</v>
      </c>
      <c r="B87" s="59" t="s">
        <v>45</v>
      </c>
      <c r="C87" s="20">
        <v>736</v>
      </c>
      <c r="D87" s="19">
        <v>1</v>
      </c>
      <c r="E87" s="19">
        <v>1</v>
      </c>
      <c r="F87" s="60" t="s">
        <v>390</v>
      </c>
      <c r="G87" s="60" t="s">
        <v>391</v>
      </c>
      <c r="H87" s="20">
        <v>1725</v>
      </c>
      <c r="I87" s="20">
        <v>1492</v>
      </c>
      <c r="J87" s="20">
        <v>1492</v>
      </c>
      <c r="K87" s="61"/>
      <c r="L87" s="61">
        <v>46381</v>
      </c>
      <c r="M87" s="61">
        <v>45652</v>
      </c>
      <c r="O87" s="20">
        <v>1492</v>
      </c>
      <c r="P87" s="20"/>
      <c r="Q87" s="20"/>
      <c r="R87" s="20">
        <v>25</v>
      </c>
      <c r="S87" s="20">
        <v>10</v>
      </c>
      <c r="T87" s="20"/>
      <c r="U87" s="20">
        <v>25</v>
      </c>
      <c r="V87" s="20"/>
      <c r="W87" s="20"/>
      <c r="X87" s="20"/>
      <c r="Y87" s="20"/>
      <c r="Z87" s="20"/>
      <c r="AA87" s="20"/>
      <c r="AB87" s="20"/>
    </row>
    <row r="88" spans="1:28" x14ac:dyDescent="0.3">
      <c r="A88" s="62" t="s">
        <v>477</v>
      </c>
      <c r="B88" s="62" t="s">
        <v>48</v>
      </c>
      <c r="C88" s="11">
        <v>762</v>
      </c>
      <c r="D88" s="10">
        <v>1</v>
      </c>
      <c r="E88" s="10">
        <v>1</v>
      </c>
      <c r="F88" s="63" t="s">
        <v>390</v>
      </c>
      <c r="G88" s="63" t="s">
        <v>391</v>
      </c>
      <c r="H88" s="11">
        <v>1645</v>
      </c>
      <c r="I88" s="11">
        <v>1433</v>
      </c>
      <c r="J88" s="11">
        <v>1433</v>
      </c>
      <c r="K88" s="64"/>
      <c r="L88" s="64">
        <v>46465</v>
      </c>
      <c r="M88" s="64">
        <v>46073</v>
      </c>
      <c r="O88" s="11">
        <v>1433</v>
      </c>
      <c r="P88" s="11">
        <v>-716.5</v>
      </c>
      <c r="Q88" s="11"/>
      <c r="R88" s="11">
        <v>25</v>
      </c>
      <c r="S88" s="11">
        <v>10</v>
      </c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3">
      <c r="A89" s="59" t="s">
        <v>478</v>
      </c>
      <c r="B89" s="59" t="s">
        <v>48</v>
      </c>
      <c r="C89" s="20">
        <v>762</v>
      </c>
      <c r="D89" s="19">
        <v>1</v>
      </c>
      <c r="E89" s="19">
        <v>1</v>
      </c>
      <c r="F89" s="60" t="s">
        <v>390</v>
      </c>
      <c r="G89" s="60" t="s">
        <v>391</v>
      </c>
      <c r="H89" s="20">
        <v>1645</v>
      </c>
      <c r="I89" s="20">
        <v>1645</v>
      </c>
      <c r="J89" s="20">
        <v>1645</v>
      </c>
      <c r="K89" s="61"/>
      <c r="L89" s="61">
        <v>46509</v>
      </c>
      <c r="M89" s="61">
        <v>45780</v>
      </c>
      <c r="O89" s="20">
        <v>1645</v>
      </c>
      <c r="P89" s="20"/>
      <c r="Q89" s="20"/>
      <c r="R89" s="20">
        <v>25</v>
      </c>
      <c r="S89" s="20">
        <v>10</v>
      </c>
      <c r="T89" s="20"/>
      <c r="U89" s="20"/>
      <c r="V89" s="20"/>
      <c r="W89" s="20"/>
      <c r="X89" s="20"/>
      <c r="Y89" s="20"/>
      <c r="Z89" s="20"/>
      <c r="AA89" s="20"/>
      <c r="AB89" s="20"/>
    </row>
    <row r="90" spans="1:28" x14ac:dyDescent="0.3">
      <c r="A90" s="62" t="s">
        <v>479</v>
      </c>
      <c r="B90" s="62" t="s">
        <v>32</v>
      </c>
      <c r="C90" s="11">
        <v>690</v>
      </c>
      <c r="D90" s="10">
        <v>1</v>
      </c>
      <c r="E90" s="10">
        <v>1</v>
      </c>
      <c r="F90" s="63" t="s">
        <v>390</v>
      </c>
      <c r="G90" s="63" t="s">
        <v>391</v>
      </c>
      <c r="H90" s="11">
        <v>1615</v>
      </c>
      <c r="I90" s="11">
        <v>1470</v>
      </c>
      <c r="J90" s="11">
        <v>1470</v>
      </c>
      <c r="K90" s="64"/>
      <c r="L90" s="64">
        <v>46622</v>
      </c>
      <c r="M90" s="64">
        <v>44980</v>
      </c>
      <c r="O90" s="11">
        <v>1470</v>
      </c>
      <c r="P90" s="11"/>
      <c r="Q90" s="11">
        <v>250</v>
      </c>
      <c r="R90" s="11">
        <v>25</v>
      </c>
      <c r="S90" s="11">
        <v>10</v>
      </c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3">
      <c r="A91" s="59" t="s">
        <v>480</v>
      </c>
      <c r="B91" s="59" t="s">
        <v>59</v>
      </c>
      <c r="C91" s="20">
        <v>1082</v>
      </c>
      <c r="D91" s="19">
        <v>2</v>
      </c>
      <c r="E91" s="19">
        <v>2</v>
      </c>
      <c r="F91" s="60" t="s">
        <v>390</v>
      </c>
      <c r="G91" s="60" t="s">
        <v>391</v>
      </c>
      <c r="H91" s="20">
        <v>2340</v>
      </c>
      <c r="I91" s="20">
        <v>2238</v>
      </c>
      <c r="J91" s="20">
        <v>2238</v>
      </c>
      <c r="K91" s="61"/>
      <c r="L91" s="61">
        <v>46477</v>
      </c>
      <c r="M91" s="61">
        <v>45017</v>
      </c>
      <c r="O91" s="20">
        <v>2238</v>
      </c>
      <c r="P91" s="20"/>
      <c r="Q91" s="20">
        <v>210</v>
      </c>
      <c r="R91" s="20">
        <v>25</v>
      </c>
      <c r="S91" s="20">
        <v>10</v>
      </c>
      <c r="T91" s="20"/>
      <c r="U91" s="20"/>
      <c r="V91" s="20"/>
      <c r="W91" s="20"/>
      <c r="X91" s="20"/>
      <c r="Y91" s="20"/>
      <c r="Z91" s="20"/>
      <c r="AA91" s="20"/>
      <c r="AB91" s="20"/>
    </row>
    <row r="92" spans="1:28" x14ac:dyDescent="0.3">
      <c r="A92" s="62" t="s">
        <v>481</v>
      </c>
      <c r="B92" s="62" t="s">
        <v>59</v>
      </c>
      <c r="C92" s="11">
        <v>1082</v>
      </c>
      <c r="D92" s="10">
        <v>2</v>
      </c>
      <c r="E92" s="10">
        <v>2</v>
      </c>
      <c r="F92" s="63" t="s">
        <v>390</v>
      </c>
      <c r="G92" s="63" t="s">
        <v>391</v>
      </c>
      <c r="H92" s="11">
        <v>2260</v>
      </c>
      <c r="I92" s="11">
        <v>2260</v>
      </c>
      <c r="J92" s="11">
        <v>2260</v>
      </c>
      <c r="K92" s="64"/>
      <c r="L92" s="64">
        <v>46222</v>
      </c>
      <c r="M92" s="64">
        <v>45402</v>
      </c>
      <c r="O92" s="11">
        <v>2260</v>
      </c>
      <c r="P92" s="11"/>
      <c r="Q92" s="11"/>
      <c r="R92" s="11">
        <v>25</v>
      </c>
      <c r="S92" s="11">
        <v>10</v>
      </c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3">
      <c r="A93" s="59" t="s">
        <v>482</v>
      </c>
      <c r="B93" s="59" t="s">
        <v>59</v>
      </c>
      <c r="C93" s="20">
        <v>1082</v>
      </c>
      <c r="D93" s="19">
        <v>2</v>
      </c>
      <c r="E93" s="19">
        <v>2</v>
      </c>
      <c r="F93" s="60" t="s">
        <v>390</v>
      </c>
      <c r="G93" s="60" t="s">
        <v>391</v>
      </c>
      <c r="H93" s="20">
        <v>2085</v>
      </c>
      <c r="I93" s="20">
        <v>4170</v>
      </c>
      <c r="J93" s="20">
        <v>4170</v>
      </c>
      <c r="K93" s="61"/>
      <c r="L93" s="61">
        <v>46522</v>
      </c>
      <c r="M93" s="61">
        <v>46158</v>
      </c>
      <c r="O93" s="20">
        <v>4170</v>
      </c>
      <c r="P93" s="20"/>
      <c r="Q93" s="20"/>
      <c r="R93" s="20">
        <v>50</v>
      </c>
      <c r="S93" s="20">
        <v>20</v>
      </c>
      <c r="T93" s="20"/>
      <c r="U93" s="20">
        <v>75</v>
      </c>
      <c r="V93" s="20">
        <v>700</v>
      </c>
      <c r="W93" s="20"/>
      <c r="X93" s="20"/>
      <c r="Y93" s="20"/>
      <c r="Z93" s="20"/>
      <c r="AA93" s="20"/>
      <c r="AB93" s="20"/>
    </row>
    <row r="94" spans="1:28" x14ac:dyDescent="0.3">
      <c r="A94" s="62" t="s">
        <v>483</v>
      </c>
      <c r="B94" s="62" t="s">
        <v>53</v>
      </c>
      <c r="C94" s="11">
        <v>803</v>
      </c>
      <c r="D94" s="10">
        <v>1</v>
      </c>
      <c r="E94" s="10">
        <v>1</v>
      </c>
      <c r="F94" s="63" t="s">
        <v>390</v>
      </c>
      <c r="G94" s="63" t="s">
        <v>391</v>
      </c>
      <c r="H94" s="11">
        <v>1775</v>
      </c>
      <c r="I94" s="11">
        <v>1775</v>
      </c>
      <c r="J94" s="11">
        <v>1775</v>
      </c>
      <c r="K94" s="64"/>
      <c r="L94" s="64">
        <v>46503</v>
      </c>
      <c r="M94" s="64">
        <v>45715</v>
      </c>
      <c r="O94" s="11">
        <v>1775</v>
      </c>
      <c r="P94" s="11"/>
      <c r="Q94" s="11"/>
      <c r="R94" s="11">
        <v>25</v>
      </c>
      <c r="S94" s="11">
        <v>10</v>
      </c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3">
      <c r="A95" s="59" t="s">
        <v>484</v>
      </c>
      <c r="B95" s="59" t="s">
        <v>39</v>
      </c>
      <c r="C95" s="20">
        <v>719</v>
      </c>
      <c r="D95" s="19">
        <v>1</v>
      </c>
      <c r="E95" s="19">
        <v>1</v>
      </c>
      <c r="F95" s="60" t="s">
        <v>390</v>
      </c>
      <c r="G95" s="60" t="s">
        <v>391</v>
      </c>
      <c r="H95" s="20">
        <v>1550</v>
      </c>
      <c r="I95" s="20">
        <v>1550</v>
      </c>
      <c r="J95" s="20">
        <v>1550</v>
      </c>
      <c r="K95" s="61"/>
      <c r="L95" s="61">
        <v>46203</v>
      </c>
      <c r="M95" s="61">
        <v>45839</v>
      </c>
      <c r="O95" s="20">
        <v>1550</v>
      </c>
      <c r="P95" s="20"/>
      <c r="Q95" s="20"/>
      <c r="R95" s="20">
        <v>25</v>
      </c>
      <c r="S95" s="20">
        <v>10</v>
      </c>
      <c r="T95" s="20"/>
      <c r="U95" s="20"/>
      <c r="V95" s="20"/>
      <c r="W95" s="20"/>
      <c r="X95" s="20"/>
      <c r="Y95" s="20"/>
      <c r="Z95" s="20"/>
      <c r="AA95" s="20"/>
      <c r="AB95" s="20"/>
    </row>
    <row r="96" spans="1:28" x14ac:dyDescent="0.3">
      <c r="A96" s="62" t="s">
        <v>485</v>
      </c>
      <c r="B96" s="62" t="s">
        <v>53</v>
      </c>
      <c r="C96" s="11">
        <v>803</v>
      </c>
      <c r="D96" s="10">
        <v>1</v>
      </c>
      <c r="E96" s="10">
        <v>1</v>
      </c>
      <c r="F96" s="63" t="s">
        <v>390</v>
      </c>
      <c r="G96" s="63" t="s">
        <v>391</v>
      </c>
      <c r="H96" s="11">
        <v>1775</v>
      </c>
      <c r="I96" s="11">
        <v>1599</v>
      </c>
      <c r="J96" s="11">
        <v>1599</v>
      </c>
      <c r="K96" s="64"/>
      <c r="L96" s="64">
        <v>46531</v>
      </c>
      <c r="M96" s="64">
        <v>46106</v>
      </c>
      <c r="O96" s="11">
        <v>1599</v>
      </c>
      <c r="P96" s="11">
        <v>-799.5</v>
      </c>
      <c r="Q96" s="11"/>
      <c r="R96" s="11">
        <v>25</v>
      </c>
      <c r="S96" s="11">
        <v>10</v>
      </c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3">
      <c r="A97" s="59" t="s">
        <v>486</v>
      </c>
      <c r="B97" s="59" t="s">
        <v>39</v>
      </c>
      <c r="C97" s="20">
        <v>719</v>
      </c>
      <c r="D97" s="19">
        <v>1</v>
      </c>
      <c r="E97" s="19">
        <v>1</v>
      </c>
      <c r="F97" s="60" t="s">
        <v>390</v>
      </c>
      <c r="G97" s="60" t="s">
        <v>391</v>
      </c>
      <c r="H97" s="20">
        <v>1550</v>
      </c>
      <c r="I97" s="20">
        <v>1550</v>
      </c>
      <c r="J97" s="20">
        <v>1550</v>
      </c>
      <c r="K97" s="61"/>
      <c r="L97" s="61">
        <v>46234</v>
      </c>
      <c r="M97" s="61">
        <v>45839</v>
      </c>
      <c r="O97" s="20">
        <v>1550</v>
      </c>
      <c r="P97" s="20"/>
      <c r="Q97" s="20"/>
      <c r="R97" s="20">
        <v>25</v>
      </c>
      <c r="S97" s="20">
        <v>10</v>
      </c>
      <c r="T97" s="20"/>
      <c r="U97" s="20"/>
      <c r="V97" s="20"/>
      <c r="W97" s="20"/>
      <c r="X97" s="20"/>
      <c r="Y97" s="20"/>
      <c r="Z97" s="20"/>
      <c r="AA97" s="20"/>
      <c r="AB97" s="20"/>
    </row>
    <row r="98" spans="1:28" x14ac:dyDescent="0.3">
      <c r="A98" s="62" t="s">
        <v>487</v>
      </c>
      <c r="B98" s="62" t="s">
        <v>56</v>
      </c>
      <c r="C98" s="11">
        <v>941</v>
      </c>
      <c r="D98" s="10">
        <v>1</v>
      </c>
      <c r="E98" s="10">
        <v>1</v>
      </c>
      <c r="F98" s="63" t="s">
        <v>390</v>
      </c>
      <c r="G98" s="63" t="s">
        <v>391</v>
      </c>
      <c r="H98" s="11">
        <v>1815</v>
      </c>
      <c r="I98" s="11">
        <v>1815</v>
      </c>
      <c r="J98" s="11">
        <v>1815</v>
      </c>
      <c r="K98" s="64"/>
      <c r="L98" s="64">
        <v>46393</v>
      </c>
      <c r="M98" s="64">
        <v>45998</v>
      </c>
      <c r="O98" s="11">
        <v>1815</v>
      </c>
      <c r="P98" s="11">
        <v>-907.5</v>
      </c>
      <c r="Q98" s="11"/>
      <c r="R98" s="11">
        <v>25</v>
      </c>
      <c r="S98" s="11">
        <v>10</v>
      </c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3">
      <c r="A99" s="59" t="s">
        <v>488</v>
      </c>
      <c r="B99" s="59" t="s">
        <v>45</v>
      </c>
      <c r="C99" s="20">
        <v>736</v>
      </c>
      <c r="D99" s="19">
        <v>1</v>
      </c>
      <c r="E99" s="19">
        <v>1</v>
      </c>
      <c r="F99" s="60" t="s">
        <v>390</v>
      </c>
      <c r="G99" s="60" t="s">
        <v>391</v>
      </c>
      <c r="H99" s="20">
        <v>1645</v>
      </c>
      <c r="I99" s="20">
        <v>1395</v>
      </c>
      <c r="J99" s="20">
        <v>1395</v>
      </c>
      <c r="K99" s="61"/>
      <c r="L99" s="61">
        <v>46545</v>
      </c>
      <c r="M99" s="61">
        <v>45999</v>
      </c>
      <c r="O99" s="20">
        <v>1395</v>
      </c>
      <c r="P99" s="20">
        <v>-697.5</v>
      </c>
      <c r="Q99" s="20"/>
      <c r="R99" s="20">
        <v>25</v>
      </c>
      <c r="S99" s="20">
        <v>10</v>
      </c>
      <c r="T99" s="20"/>
      <c r="U99" s="20"/>
      <c r="V99" s="20"/>
      <c r="W99" s="20"/>
      <c r="X99" s="20"/>
      <c r="Y99" s="20"/>
      <c r="Z99" s="20"/>
      <c r="AA99" s="20"/>
      <c r="AB99" s="20"/>
    </row>
    <row r="100" spans="1:28" x14ac:dyDescent="0.3">
      <c r="A100" s="62" t="s">
        <v>489</v>
      </c>
      <c r="B100" s="62" t="s">
        <v>56</v>
      </c>
      <c r="C100" s="11">
        <v>941</v>
      </c>
      <c r="D100" s="10">
        <v>1</v>
      </c>
      <c r="E100" s="10">
        <v>1</v>
      </c>
      <c r="F100" s="63" t="s">
        <v>390</v>
      </c>
      <c r="G100" s="63" t="s">
        <v>391</v>
      </c>
      <c r="H100" s="11">
        <v>1815</v>
      </c>
      <c r="I100" s="11">
        <v>1769</v>
      </c>
      <c r="J100" s="11">
        <v>1769</v>
      </c>
      <c r="K100" s="64"/>
      <c r="L100" s="64">
        <v>46446</v>
      </c>
      <c r="M100" s="64">
        <v>46054</v>
      </c>
      <c r="O100" s="11">
        <v>1769</v>
      </c>
      <c r="P100" s="11"/>
      <c r="Q100" s="11">
        <v>200</v>
      </c>
      <c r="R100" s="11">
        <v>25</v>
      </c>
      <c r="S100" s="11">
        <v>10</v>
      </c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3">
      <c r="A101" s="59" t="s">
        <v>490</v>
      </c>
      <c r="B101" s="59" t="s">
        <v>74</v>
      </c>
      <c r="C101" s="20">
        <v>1564</v>
      </c>
      <c r="D101" s="19">
        <v>3</v>
      </c>
      <c r="E101" s="19">
        <v>2</v>
      </c>
      <c r="F101" s="60" t="s">
        <v>390</v>
      </c>
      <c r="G101" s="60" t="s">
        <v>391</v>
      </c>
      <c r="H101" s="20">
        <v>2860</v>
      </c>
      <c r="I101" s="20">
        <v>2465</v>
      </c>
      <c r="J101" s="20">
        <v>2465</v>
      </c>
      <c r="K101" s="61"/>
      <c r="L101" s="61">
        <v>46441</v>
      </c>
      <c r="M101" s="61">
        <v>45712</v>
      </c>
      <c r="O101" s="20">
        <v>2465</v>
      </c>
      <c r="P101" s="20"/>
      <c r="Q101" s="20">
        <v>200</v>
      </c>
      <c r="R101" s="20">
        <v>25</v>
      </c>
      <c r="S101" s="20">
        <v>10</v>
      </c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x14ac:dyDescent="0.3">
      <c r="A102" s="62" t="s">
        <v>491</v>
      </c>
      <c r="B102" s="62" t="s">
        <v>64</v>
      </c>
      <c r="C102" s="11">
        <v>1109</v>
      </c>
      <c r="D102" s="10">
        <v>2</v>
      </c>
      <c r="E102" s="10">
        <v>2</v>
      </c>
      <c r="F102" s="63" t="s">
        <v>390</v>
      </c>
      <c r="G102" s="63" t="s">
        <v>391</v>
      </c>
      <c r="H102" s="11">
        <v>2035</v>
      </c>
      <c r="I102" s="11">
        <v>2035</v>
      </c>
      <c r="J102" s="11">
        <v>2035</v>
      </c>
      <c r="K102" s="64"/>
      <c r="L102" s="64">
        <v>46237</v>
      </c>
      <c r="M102" s="64">
        <v>45873</v>
      </c>
      <c r="O102" s="11">
        <v>2035</v>
      </c>
      <c r="P102" s="11"/>
      <c r="Q102" s="11">
        <v>200</v>
      </c>
      <c r="R102" s="11">
        <v>50</v>
      </c>
      <c r="S102" s="11">
        <v>10</v>
      </c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3">
      <c r="A103" s="59" t="s">
        <v>492</v>
      </c>
      <c r="B103" s="59" t="s">
        <v>45</v>
      </c>
      <c r="C103" s="20">
        <v>736</v>
      </c>
      <c r="D103" s="19">
        <v>1</v>
      </c>
      <c r="E103" s="19">
        <v>1</v>
      </c>
      <c r="F103" s="60" t="s">
        <v>390</v>
      </c>
      <c r="G103" s="60" t="s">
        <v>391</v>
      </c>
      <c r="H103" s="20">
        <v>1645</v>
      </c>
      <c r="I103" s="20">
        <v>1304</v>
      </c>
      <c r="J103" s="20">
        <v>1304</v>
      </c>
      <c r="K103" s="61"/>
      <c r="L103" s="61">
        <v>46446</v>
      </c>
      <c r="M103" s="61">
        <v>46052</v>
      </c>
      <c r="O103" s="20">
        <v>1304</v>
      </c>
      <c r="P103" s="20">
        <v>-652</v>
      </c>
      <c r="Q103" s="20"/>
      <c r="R103" s="20">
        <v>25</v>
      </c>
      <c r="S103" s="20">
        <v>10</v>
      </c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x14ac:dyDescent="0.3">
      <c r="A104" s="62" t="s">
        <v>493</v>
      </c>
      <c r="B104" s="62" t="s">
        <v>48</v>
      </c>
      <c r="C104" s="11">
        <v>762</v>
      </c>
      <c r="D104" s="10">
        <v>1</v>
      </c>
      <c r="E104" s="10">
        <v>1</v>
      </c>
      <c r="F104" s="63" t="s">
        <v>390</v>
      </c>
      <c r="G104" s="63" t="s">
        <v>391</v>
      </c>
      <c r="H104" s="11">
        <v>1565</v>
      </c>
      <c r="I104" s="11">
        <v>1565</v>
      </c>
      <c r="J104" s="11">
        <v>1565</v>
      </c>
      <c r="K104" s="64"/>
      <c r="L104" s="64">
        <v>46575</v>
      </c>
      <c r="M104" s="64">
        <v>46150</v>
      </c>
      <c r="O104" s="11">
        <v>1565</v>
      </c>
      <c r="P104" s="11"/>
      <c r="Q104" s="11"/>
      <c r="R104" s="11">
        <v>25</v>
      </c>
      <c r="S104" s="11">
        <v>10</v>
      </c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3">
      <c r="A105" s="59" t="s">
        <v>494</v>
      </c>
      <c r="B105" s="59" t="s">
        <v>53</v>
      </c>
      <c r="C105" s="20">
        <v>803</v>
      </c>
      <c r="D105" s="19">
        <v>1</v>
      </c>
      <c r="E105" s="19">
        <v>1</v>
      </c>
      <c r="F105" s="60" t="s">
        <v>390</v>
      </c>
      <c r="G105" s="60" t="s">
        <v>397</v>
      </c>
      <c r="H105" s="20">
        <v>1775</v>
      </c>
      <c r="I105" s="20">
        <v>0</v>
      </c>
      <c r="J105" s="20">
        <v>0</v>
      </c>
      <c r="K105" s="61"/>
      <c r="L105" s="61"/>
      <c r="M105" s="61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x14ac:dyDescent="0.3">
      <c r="A106" s="62" t="s">
        <v>495</v>
      </c>
      <c r="B106" s="62" t="s">
        <v>48</v>
      </c>
      <c r="C106" s="11">
        <v>762</v>
      </c>
      <c r="D106" s="10">
        <v>1</v>
      </c>
      <c r="E106" s="10">
        <v>1</v>
      </c>
      <c r="F106" s="63" t="s">
        <v>390</v>
      </c>
      <c r="G106" s="63" t="s">
        <v>391</v>
      </c>
      <c r="H106" s="11">
        <v>1565</v>
      </c>
      <c r="I106" s="11">
        <v>1565</v>
      </c>
      <c r="J106" s="11">
        <v>1565</v>
      </c>
      <c r="K106" s="64"/>
      <c r="L106" s="64">
        <v>46233</v>
      </c>
      <c r="M106" s="64">
        <v>45504</v>
      </c>
      <c r="O106" s="11">
        <v>1565</v>
      </c>
      <c r="P106" s="11"/>
      <c r="Q106" s="11"/>
      <c r="R106" s="11">
        <v>25</v>
      </c>
      <c r="S106" s="11">
        <v>10</v>
      </c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3">
      <c r="A107" s="59" t="s">
        <v>496</v>
      </c>
      <c r="B107" s="59" t="s">
        <v>53</v>
      </c>
      <c r="C107" s="20">
        <v>803</v>
      </c>
      <c r="D107" s="19">
        <v>1</v>
      </c>
      <c r="E107" s="19">
        <v>1</v>
      </c>
      <c r="F107" s="60" t="s">
        <v>390</v>
      </c>
      <c r="G107" s="60" t="s">
        <v>391</v>
      </c>
      <c r="H107" s="20">
        <v>1775</v>
      </c>
      <c r="I107" s="20">
        <v>1598</v>
      </c>
      <c r="J107" s="20">
        <v>1598</v>
      </c>
      <c r="K107" s="61"/>
      <c r="L107" s="61">
        <v>46660</v>
      </c>
      <c r="M107" s="61">
        <v>45566</v>
      </c>
      <c r="O107" s="20">
        <v>1598</v>
      </c>
      <c r="P107" s="20"/>
      <c r="Q107" s="20"/>
      <c r="R107" s="20">
        <v>25</v>
      </c>
      <c r="S107" s="20">
        <v>10</v>
      </c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x14ac:dyDescent="0.3">
      <c r="A108" s="62" t="s">
        <v>497</v>
      </c>
      <c r="B108" s="62" t="s">
        <v>32</v>
      </c>
      <c r="C108" s="11">
        <v>690</v>
      </c>
      <c r="D108" s="10">
        <v>1</v>
      </c>
      <c r="E108" s="10">
        <v>1</v>
      </c>
      <c r="F108" s="63" t="s">
        <v>390</v>
      </c>
      <c r="G108" s="63" t="s">
        <v>391</v>
      </c>
      <c r="H108" s="11">
        <v>1535</v>
      </c>
      <c r="I108" s="11">
        <v>1499</v>
      </c>
      <c r="J108" s="11">
        <v>1499</v>
      </c>
      <c r="K108" s="64"/>
      <c r="L108" s="64">
        <v>46190</v>
      </c>
      <c r="M108" s="64">
        <v>45826</v>
      </c>
      <c r="O108" s="11">
        <v>1499</v>
      </c>
      <c r="P108" s="11"/>
      <c r="Q108" s="11"/>
      <c r="R108" s="11">
        <v>25</v>
      </c>
      <c r="S108" s="11">
        <v>10</v>
      </c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3">
      <c r="A109" s="59" t="s">
        <v>498</v>
      </c>
      <c r="B109" s="59" t="s">
        <v>64</v>
      </c>
      <c r="C109" s="20">
        <v>1109</v>
      </c>
      <c r="D109" s="19">
        <v>2</v>
      </c>
      <c r="E109" s="19">
        <v>2</v>
      </c>
      <c r="F109" s="60" t="s">
        <v>390</v>
      </c>
      <c r="G109" s="60" t="s">
        <v>391</v>
      </c>
      <c r="H109" s="20">
        <v>2210</v>
      </c>
      <c r="I109" s="20">
        <v>2177</v>
      </c>
      <c r="J109" s="20">
        <v>2177</v>
      </c>
      <c r="K109" s="61"/>
      <c r="L109" s="61">
        <v>46521</v>
      </c>
      <c r="M109" s="61">
        <v>45519</v>
      </c>
      <c r="O109" s="20">
        <v>2177</v>
      </c>
      <c r="P109" s="20"/>
      <c r="Q109" s="20">
        <v>290</v>
      </c>
      <c r="R109" s="20">
        <v>25</v>
      </c>
      <c r="S109" s="20">
        <v>10</v>
      </c>
      <c r="T109" s="20"/>
      <c r="U109" s="20">
        <v>50</v>
      </c>
      <c r="V109" s="20"/>
      <c r="W109" s="20"/>
      <c r="X109" s="20"/>
      <c r="Y109" s="20">
        <v>40</v>
      </c>
      <c r="Z109" s="20"/>
      <c r="AA109" s="20"/>
      <c r="AB109" s="20"/>
    </row>
    <row r="110" spans="1:28" x14ac:dyDescent="0.3">
      <c r="A110" s="62" t="s">
        <v>499</v>
      </c>
      <c r="B110" s="62" t="s">
        <v>59</v>
      </c>
      <c r="C110" s="11">
        <v>1082</v>
      </c>
      <c r="D110" s="10">
        <v>2</v>
      </c>
      <c r="E110" s="10">
        <v>2</v>
      </c>
      <c r="F110" s="63" t="s">
        <v>390</v>
      </c>
      <c r="G110" s="63" t="s">
        <v>391</v>
      </c>
      <c r="H110" s="11">
        <v>2260</v>
      </c>
      <c r="I110" s="11">
        <v>1699</v>
      </c>
      <c r="J110" s="11">
        <v>1699</v>
      </c>
      <c r="K110" s="64"/>
      <c r="L110" s="64">
        <v>46367</v>
      </c>
      <c r="M110" s="64">
        <v>45973</v>
      </c>
      <c r="O110" s="11">
        <v>1699</v>
      </c>
      <c r="P110" s="11"/>
      <c r="Q110" s="11"/>
      <c r="R110" s="11">
        <v>25</v>
      </c>
      <c r="S110" s="11">
        <v>10</v>
      </c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3">
      <c r="A111" s="59" t="s">
        <v>500</v>
      </c>
      <c r="B111" s="59" t="s">
        <v>59</v>
      </c>
      <c r="C111" s="20">
        <v>1082</v>
      </c>
      <c r="D111" s="19">
        <v>2</v>
      </c>
      <c r="E111" s="19">
        <v>2</v>
      </c>
      <c r="F111" s="60" t="s">
        <v>390</v>
      </c>
      <c r="G111" s="60" t="s">
        <v>391</v>
      </c>
      <c r="H111" s="20">
        <v>2305</v>
      </c>
      <c r="I111" s="20">
        <v>1879</v>
      </c>
      <c r="J111" s="20">
        <v>1879</v>
      </c>
      <c r="K111" s="61"/>
      <c r="L111" s="61">
        <v>46315</v>
      </c>
      <c r="M111" s="61">
        <v>45768</v>
      </c>
      <c r="O111" s="20">
        <v>1879</v>
      </c>
      <c r="P111" s="20"/>
      <c r="Q111" s="20"/>
      <c r="R111" s="20">
        <v>25</v>
      </c>
      <c r="S111" s="20">
        <v>10</v>
      </c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x14ac:dyDescent="0.3">
      <c r="A112" s="62" t="s">
        <v>501</v>
      </c>
      <c r="B112" s="62" t="s">
        <v>59</v>
      </c>
      <c r="C112" s="11">
        <v>1082</v>
      </c>
      <c r="D112" s="10">
        <v>2</v>
      </c>
      <c r="E112" s="10">
        <v>2</v>
      </c>
      <c r="F112" s="63" t="s">
        <v>390</v>
      </c>
      <c r="G112" s="63" t="s">
        <v>391</v>
      </c>
      <c r="H112" s="11">
        <v>2130</v>
      </c>
      <c r="I112" s="11">
        <v>1999</v>
      </c>
      <c r="J112" s="11">
        <v>1999</v>
      </c>
      <c r="K112" s="64"/>
      <c r="L112" s="64">
        <v>46304</v>
      </c>
      <c r="M112" s="64">
        <v>45940</v>
      </c>
      <c r="O112" s="11">
        <v>1999</v>
      </c>
      <c r="P112" s="11"/>
      <c r="Q112" s="11"/>
      <c r="R112" s="11">
        <v>25</v>
      </c>
      <c r="S112" s="11">
        <v>10</v>
      </c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3">
      <c r="A113" s="59" t="s">
        <v>502</v>
      </c>
      <c r="B113" s="59" t="s">
        <v>53</v>
      </c>
      <c r="C113" s="20">
        <v>803</v>
      </c>
      <c r="D113" s="19">
        <v>1</v>
      </c>
      <c r="E113" s="19">
        <v>1</v>
      </c>
      <c r="F113" s="60" t="s">
        <v>390</v>
      </c>
      <c r="G113" s="60" t="s">
        <v>391</v>
      </c>
      <c r="H113" s="20">
        <v>1820</v>
      </c>
      <c r="I113" s="20">
        <v>1510</v>
      </c>
      <c r="J113" s="20">
        <v>1510</v>
      </c>
      <c r="K113" s="61"/>
      <c r="L113" s="61">
        <v>46500</v>
      </c>
      <c r="M113" s="61">
        <v>46077</v>
      </c>
      <c r="O113" s="20">
        <v>1510</v>
      </c>
      <c r="P113" s="20">
        <v>-755</v>
      </c>
      <c r="Q113" s="20">
        <v>230</v>
      </c>
      <c r="R113" s="20">
        <v>25</v>
      </c>
      <c r="S113" s="20">
        <v>10</v>
      </c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x14ac:dyDescent="0.3">
      <c r="A114" s="62" t="s">
        <v>503</v>
      </c>
      <c r="B114" s="62" t="s">
        <v>39</v>
      </c>
      <c r="C114" s="11">
        <v>719</v>
      </c>
      <c r="D114" s="10">
        <v>1</v>
      </c>
      <c r="E114" s="10">
        <v>1</v>
      </c>
      <c r="F114" s="63" t="s">
        <v>390</v>
      </c>
      <c r="G114" s="63" t="s">
        <v>391</v>
      </c>
      <c r="H114" s="11">
        <v>1595</v>
      </c>
      <c r="I114" s="11">
        <v>1351</v>
      </c>
      <c r="J114" s="11">
        <v>1351</v>
      </c>
      <c r="K114" s="64"/>
      <c r="L114" s="64">
        <v>46445</v>
      </c>
      <c r="M114" s="64">
        <v>46050</v>
      </c>
      <c r="O114" s="11">
        <v>1351</v>
      </c>
      <c r="P114" s="11">
        <v>-675.5</v>
      </c>
      <c r="Q114" s="11"/>
      <c r="R114" s="11">
        <v>25</v>
      </c>
      <c r="S114" s="11">
        <v>10</v>
      </c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3">
      <c r="A115" s="59" t="s">
        <v>504</v>
      </c>
      <c r="B115" s="59" t="s">
        <v>53</v>
      </c>
      <c r="C115" s="20">
        <v>803</v>
      </c>
      <c r="D115" s="19">
        <v>1</v>
      </c>
      <c r="E115" s="19">
        <v>1</v>
      </c>
      <c r="F115" s="60" t="s">
        <v>390</v>
      </c>
      <c r="G115" s="60" t="s">
        <v>391</v>
      </c>
      <c r="H115" s="20">
        <v>1820</v>
      </c>
      <c r="I115" s="20">
        <v>1510</v>
      </c>
      <c r="J115" s="20">
        <v>1510</v>
      </c>
      <c r="K115" s="61"/>
      <c r="L115" s="61">
        <v>46644</v>
      </c>
      <c r="M115" s="61">
        <v>46096</v>
      </c>
      <c r="O115" s="20">
        <v>1510</v>
      </c>
      <c r="P115" s="20">
        <v>-755</v>
      </c>
      <c r="Q115" s="20"/>
      <c r="R115" s="20">
        <v>25</v>
      </c>
      <c r="S115" s="20">
        <v>10</v>
      </c>
      <c r="T115" s="20"/>
      <c r="U115" s="20">
        <v>25</v>
      </c>
      <c r="V115" s="20"/>
      <c r="W115" s="20"/>
      <c r="X115" s="20"/>
      <c r="Y115" s="20"/>
      <c r="Z115" s="20"/>
      <c r="AA115" s="20"/>
      <c r="AB115" s="20"/>
    </row>
    <row r="116" spans="1:28" x14ac:dyDescent="0.3">
      <c r="A116" s="62" t="s">
        <v>505</v>
      </c>
      <c r="B116" s="62" t="s">
        <v>39</v>
      </c>
      <c r="C116" s="11">
        <v>719</v>
      </c>
      <c r="D116" s="10">
        <v>1</v>
      </c>
      <c r="E116" s="10">
        <v>1</v>
      </c>
      <c r="F116" s="63" t="s">
        <v>390</v>
      </c>
      <c r="G116" s="63" t="s">
        <v>391</v>
      </c>
      <c r="H116" s="11">
        <v>1595</v>
      </c>
      <c r="I116" s="11">
        <v>1595</v>
      </c>
      <c r="J116" s="11">
        <v>1595</v>
      </c>
      <c r="K116" s="64"/>
      <c r="L116" s="64">
        <v>46214</v>
      </c>
      <c r="M116" s="64">
        <v>45669</v>
      </c>
      <c r="O116" s="11">
        <v>1595</v>
      </c>
      <c r="P116" s="11"/>
      <c r="Q116" s="11"/>
      <c r="R116" s="11">
        <v>25</v>
      </c>
      <c r="S116" s="11">
        <v>10</v>
      </c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3">
      <c r="A117" s="59" t="s">
        <v>506</v>
      </c>
      <c r="B117" s="59" t="s">
        <v>56</v>
      </c>
      <c r="C117" s="20">
        <v>941</v>
      </c>
      <c r="D117" s="19">
        <v>1</v>
      </c>
      <c r="E117" s="19">
        <v>1</v>
      </c>
      <c r="F117" s="60" t="s">
        <v>390</v>
      </c>
      <c r="G117" s="60" t="s">
        <v>391</v>
      </c>
      <c r="H117" s="20">
        <v>1860</v>
      </c>
      <c r="I117" s="20">
        <v>1860</v>
      </c>
      <c r="J117" s="20">
        <v>1860</v>
      </c>
      <c r="K117" s="61"/>
      <c r="L117" s="61">
        <v>46391</v>
      </c>
      <c r="M117" s="61">
        <v>45417</v>
      </c>
      <c r="O117" s="20">
        <v>1860</v>
      </c>
      <c r="P117" s="20"/>
      <c r="Q117" s="20"/>
      <c r="R117" s="20">
        <v>25</v>
      </c>
      <c r="S117" s="20">
        <v>10</v>
      </c>
      <c r="T117" s="20">
        <v>65</v>
      </c>
      <c r="U117" s="20"/>
      <c r="V117" s="20"/>
      <c r="W117" s="20"/>
      <c r="X117" s="20"/>
      <c r="Y117" s="20"/>
      <c r="Z117" s="20"/>
      <c r="AA117" s="20"/>
      <c r="AB117" s="20"/>
    </row>
    <row r="118" spans="1:28" x14ac:dyDescent="0.3">
      <c r="A118" s="62" t="s">
        <v>507</v>
      </c>
      <c r="B118" s="62" t="s">
        <v>45</v>
      </c>
      <c r="C118" s="11">
        <v>736</v>
      </c>
      <c r="D118" s="10">
        <v>1</v>
      </c>
      <c r="E118" s="10">
        <v>1</v>
      </c>
      <c r="F118" s="63" t="s">
        <v>390</v>
      </c>
      <c r="G118" s="63" t="s">
        <v>391</v>
      </c>
      <c r="H118" s="11">
        <v>1690</v>
      </c>
      <c r="I118" s="11">
        <v>1578</v>
      </c>
      <c r="J118" s="11">
        <v>1578</v>
      </c>
      <c r="K118" s="64"/>
      <c r="L118" s="64">
        <v>46275</v>
      </c>
      <c r="M118" s="64">
        <v>45546</v>
      </c>
      <c r="O118" s="11">
        <v>1578</v>
      </c>
      <c r="P118" s="11"/>
      <c r="Q118" s="11"/>
      <c r="R118" s="11">
        <v>25</v>
      </c>
      <c r="S118" s="11">
        <v>10</v>
      </c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3">
      <c r="A119" s="59" t="s">
        <v>508</v>
      </c>
      <c r="B119" s="59" t="s">
        <v>56</v>
      </c>
      <c r="C119" s="20">
        <v>941</v>
      </c>
      <c r="D119" s="19">
        <v>1</v>
      </c>
      <c r="E119" s="19">
        <v>1</v>
      </c>
      <c r="F119" s="60" t="s">
        <v>390</v>
      </c>
      <c r="G119" s="60" t="s">
        <v>397</v>
      </c>
      <c r="H119" s="20">
        <v>1860</v>
      </c>
      <c r="I119" s="20">
        <v>0</v>
      </c>
      <c r="J119" s="20">
        <v>0</v>
      </c>
      <c r="K119" s="61"/>
      <c r="L119" s="61"/>
      <c r="M119" s="61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x14ac:dyDescent="0.3">
      <c r="A120" s="62" t="s">
        <v>509</v>
      </c>
      <c r="B120" s="62" t="s">
        <v>74</v>
      </c>
      <c r="C120" s="11">
        <v>1564</v>
      </c>
      <c r="D120" s="10">
        <v>3</v>
      </c>
      <c r="E120" s="10">
        <v>2</v>
      </c>
      <c r="F120" s="63" t="s">
        <v>390</v>
      </c>
      <c r="G120" s="63" t="s">
        <v>397</v>
      </c>
      <c r="H120" s="11">
        <v>2905</v>
      </c>
      <c r="I120" s="11">
        <v>0</v>
      </c>
      <c r="J120" s="11">
        <v>0</v>
      </c>
      <c r="K120" s="64"/>
      <c r="L120" s="64"/>
      <c r="M120" s="6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3">
      <c r="A121" s="59" t="s">
        <v>510</v>
      </c>
      <c r="B121" s="59" t="s">
        <v>64</v>
      </c>
      <c r="C121" s="20">
        <v>1109</v>
      </c>
      <c r="D121" s="19">
        <v>2</v>
      </c>
      <c r="E121" s="19">
        <v>2</v>
      </c>
      <c r="F121" s="60" t="s">
        <v>390</v>
      </c>
      <c r="G121" s="60" t="s">
        <v>391</v>
      </c>
      <c r="H121" s="20">
        <v>2080</v>
      </c>
      <c r="I121" s="20">
        <v>2019</v>
      </c>
      <c r="J121" s="20">
        <v>2019</v>
      </c>
      <c r="K121" s="61"/>
      <c r="L121" s="61">
        <v>46245</v>
      </c>
      <c r="M121" s="61">
        <v>45424</v>
      </c>
      <c r="O121" s="20">
        <v>2019</v>
      </c>
      <c r="P121" s="20"/>
      <c r="Q121" s="20"/>
      <c r="R121" s="20">
        <v>25</v>
      </c>
      <c r="S121" s="20">
        <v>10</v>
      </c>
      <c r="T121" s="20">
        <v>130</v>
      </c>
      <c r="U121" s="20"/>
      <c r="V121" s="20"/>
      <c r="W121" s="20"/>
      <c r="X121" s="20"/>
      <c r="Y121" s="20"/>
      <c r="Z121" s="20"/>
      <c r="AA121" s="20"/>
      <c r="AB121" s="20"/>
    </row>
    <row r="122" spans="1:28" x14ac:dyDescent="0.3">
      <c r="A122" s="62" t="s">
        <v>511</v>
      </c>
      <c r="B122" s="62" t="s">
        <v>45</v>
      </c>
      <c r="C122" s="11">
        <v>736</v>
      </c>
      <c r="D122" s="10">
        <v>1</v>
      </c>
      <c r="E122" s="10">
        <v>1</v>
      </c>
      <c r="F122" s="63" t="s">
        <v>390</v>
      </c>
      <c r="G122" s="63" t="s">
        <v>391</v>
      </c>
      <c r="H122" s="11">
        <v>1690</v>
      </c>
      <c r="I122" s="11">
        <v>1690</v>
      </c>
      <c r="J122" s="11">
        <v>1690</v>
      </c>
      <c r="K122" s="64"/>
      <c r="L122" s="64">
        <v>46338</v>
      </c>
      <c r="M122" s="64">
        <v>45712</v>
      </c>
      <c r="O122" s="11">
        <v>1690</v>
      </c>
      <c r="P122" s="11"/>
      <c r="Q122" s="11"/>
      <c r="R122" s="11">
        <v>25</v>
      </c>
      <c r="S122" s="11">
        <v>10</v>
      </c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3">
      <c r="A123" s="59" t="s">
        <v>512</v>
      </c>
      <c r="B123" s="59" t="s">
        <v>48</v>
      </c>
      <c r="C123" s="20">
        <v>762</v>
      </c>
      <c r="D123" s="19">
        <v>1</v>
      </c>
      <c r="E123" s="19">
        <v>1</v>
      </c>
      <c r="F123" s="60" t="s">
        <v>390</v>
      </c>
      <c r="G123" s="60" t="s">
        <v>391</v>
      </c>
      <c r="H123" s="20">
        <v>1610</v>
      </c>
      <c r="I123" s="20">
        <v>1398</v>
      </c>
      <c r="J123" s="20">
        <v>1398</v>
      </c>
      <c r="K123" s="61"/>
      <c r="L123" s="61">
        <v>46480</v>
      </c>
      <c r="M123" s="61">
        <v>46057</v>
      </c>
      <c r="O123" s="20">
        <v>1398</v>
      </c>
      <c r="P123" s="20">
        <v>-699</v>
      </c>
      <c r="Q123" s="20"/>
      <c r="R123" s="20">
        <v>25</v>
      </c>
      <c r="S123" s="20">
        <v>10</v>
      </c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x14ac:dyDescent="0.3">
      <c r="A124" s="62" t="s">
        <v>513</v>
      </c>
      <c r="B124" s="62" t="s">
        <v>53</v>
      </c>
      <c r="C124" s="11">
        <v>803</v>
      </c>
      <c r="D124" s="10">
        <v>1</v>
      </c>
      <c r="E124" s="10">
        <v>1</v>
      </c>
      <c r="F124" s="63" t="s">
        <v>390</v>
      </c>
      <c r="G124" s="63" t="s">
        <v>391</v>
      </c>
      <c r="H124" s="11">
        <v>1820</v>
      </c>
      <c r="I124" s="11">
        <v>1820</v>
      </c>
      <c r="J124" s="11">
        <v>1820</v>
      </c>
      <c r="K124" s="64"/>
      <c r="L124" s="64">
        <v>46214</v>
      </c>
      <c r="M124" s="64">
        <v>45669</v>
      </c>
      <c r="O124" s="11">
        <v>1820</v>
      </c>
      <c r="P124" s="11"/>
      <c r="Q124" s="11"/>
      <c r="R124" s="11">
        <v>25</v>
      </c>
      <c r="S124" s="11">
        <v>10</v>
      </c>
      <c r="T124" s="11">
        <v>65</v>
      </c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3">
      <c r="A125" s="59" t="s">
        <v>514</v>
      </c>
      <c r="B125" s="59" t="s">
        <v>48</v>
      </c>
      <c r="C125" s="20">
        <v>762</v>
      </c>
      <c r="D125" s="19">
        <v>1</v>
      </c>
      <c r="E125" s="19">
        <v>1</v>
      </c>
      <c r="F125" s="60" t="s">
        <v>390</v>
      </c>
      <c r="G125" s="60" t="s">
        <v>391</v>
      </c>
      <c r="H125" s="20">
        <v>1610</v>
      </c>
      <c r="I125" s="20">
        <v>1610</v>
      </c>
      <c r="J125" s="20">
        <v>1610</v>
      </c>
      <c r="K125" s="61"/>
      <c r="L125" s="61">
        <v>46221</v>
      </c>
      <c r="M125" s="61">
        <v>45492</v>
      </c>
      <c r="O125" s="20">
        <v>1610</v>
      </c>
      <c r="P125" s="20"/>
      <c r="Q125" s="20"/>
      <c r="R125" s="20">
        <v>25</v>
      </c>
      <c r="S125" s="20">
        <v>10</v>
      </c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x14ac:dyDescent="0.3">
      <c r="A126" s="62" t="s">
        <v>515</v>
      </c>
      <c r="B126" s="62" t="s">
        <v>53</v>
      </c>
      <c r="C126" s="11">
        <v>803</v>
      </c>
      <c r="D126" s="10">
        <v>1</v>
      </c>
      <c r="E126" s="10">
        <v>1</v>
      </c>
      <c r="F126" s="63" t="s">
        <v>390</v>
      </c>
      <c r="G126" s="63" t="s">
        <v>391</v>
      </c>
      <c r="H126" s="11">
        <v>1820</v>
      </c>
      <c r="I126" s="11">
        <v>1820</v>
      </c>
      <c r="J126" s="11">
        <v>1820</v>
      </c>
      <c r="K126" s="64"/>
      <c r="L126" s="64">
        <v>46445</v>
      </c>
      <c r="M126" s="64">
        <v>46019</v>
      </c>
      <c r="O126" s="11">
        <v>1820</v>
      </c>
      <c r="P126" s="11">
        <v>-910</v>
      </c>
      <c r="Q126" s="11">
        <v>225</v>
      </c>
      <c r="R126" s="11">
        <v>25</v>
      </c>
      <c r="S126" s="11">
        <v>10</v>
      </c>
      <c r="T126" s="11"/>
      <c r="U126" s="11">
        <v>25</v>
      </c>
      <c r="V126" s="11"/>
      <c r="W126" s="11"/>
      <c r="X126" s="11"/>
      <c r="Y126" s="11"/>
      <c r="Z126" s="11"/>
      <c r="AA126" s="11"/>
      <c r="AB126" s="11"/>
    </row>
    <row r="127" spans="1:28" x14ac:dyDescent="0.3">
      <c r="A127" s="59" t="s">
        <v>516</v>
      </c>
      <c r="B127" s="59" t="s">
        <v>32</v>
      </c>
      <c r="C127" s="20">
        <v>690</v>
      </c>
      <c r="D127" s="19">
        <v>1</v>
      </c>
      <c r="E127" s="19">
        <v>1</v>
      </c>
      <c r="F127" s="60" t="s">
        <v>390</v>
      </c>
      <c r="G127" s="60" t="s">
        <v>391</v>
      </c>
      <c r="H127" s="20">
        <v>1580</v>
      </c>
      <c r="I127" s="20">
        <v>1441</v>
      </c>
      <c r="J127" s="20">
        <v>1441</v>
      </c>
      <c r="K127" s="61"/>
      <c r="L127" s="61">
        <v>46324</v>
      </c>
      <c r="M127" s="61">
        <v>45199</v>
      </c>
      <c r="O127" s="20">
        <v>1441</v>
      </c>
      <c r="P127" s="20"/>
      <c r="Q127" s="20"/>
      <c r="R127" s="20">
        <v>25</v>
      </c>
      <c r="S127" s="20">
        <v>10</v>
      </c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x14ac:dyDescent="0.3">
      <c r="A128" s="62" t="s">
        <v>517</v>
      </c>
      <c r="B128" s="62" t="s">
        <v>64</v>
      </c>
      <c r="C128" s="11">
        <v>1109</v>
      </c>
      <c r="D128" s="10">
        <v>2</v>
      </c>
      <c r="E128" s="10">
        <v>2</v>
      </c>
      <c r="F128" s="63" t="s">
        <v>390</v>
      </c>
      <c r="G128" s="63" t="s">
        <v>391</v>
      </c>
      <c r="H128" s="11">
        <v>2255</v>
      </c>
      <c r="I128" s="11">
        <v>2255</v>
      </c>
      <c r="J128" s="11">
        <v>2255</v>
      </c>
      <c r="K128" s="64"/>
      <c r="L128" s="64">
        <v>46229</v>
      </c>
      <c r="M128" s="64">
        <v>45835</v>
      </c>
      <c r="O128" s="11">
        <v>2255</v>
      </c>
      <c r="P128" s="11"/>
      <c r="Q128" s="11"/>
      <c r="R128" s="11">
        <v>25</v>
      </c>
      <c r="S128" s="11">
        <v>10</v>
      </c>
      <c r="T128" s="11">
        <v>65</v>
      </c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3">
      <c r="A129" s="59" t="s">
        <v>518</v>
      </c>
      <c r="B129" s="59" t="s">
        <v>59</v>
      </c>
      <c r="C129" s="20">
        <v>1082</v>
      </c>
      <c r="D129" s="19">
        <v>2</v>
      </c>
      <c r="E129" s="19">
        <v>2</v>
      </c>
      <c r="F129" s="60" t="s">
        <v>390</v>
      </c>
      <c r="G129" s="60" t="s">
        <v>391</v>
      </c>
      <c r="H129" s="20">
        <v>2305</v>
      </c>
      <c r="I129" s="20">
        <v>2305</v>
      </c>
      <c r="J129" s="20">
        <v>2305</v>
      </c>
      <c r="K129" s="61"/>
      <c r="L129" s="61">
        <v>46221</v>
      </c>
      <c r="M129" s="61">
        <v>45857</v>
      </c>
      <c r="O129" s="20">
        <v>2305</v>
      </c>
      <c r="P129" s="20"/>
      <c r="Q129" s="20"/>
      <c r="R129" s="20">
        <v>25</v>
      </c>
      <c r="S129" s="20">
        <v>10</v>
      </c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x14ac:dyDescent="0.3">
      <c r="A130" s="62" t="s">
        <v>519</v>
      </c>
      <c r="B130" s="62" t="s">
        <v>59</v>
      </c>
      <c r="C130" s="11">
        <v>1082</v>
      </c>
      <c r="D130" s="10">
        <v>2</v>
      </c>
      <c r="E130" s="10">
        <v>2</v>
      </c>
      <c r="F130" s="63" t="s">
        <v>390</v>
      </c>
      <c r="G130" s="63" t="s">
        <v>391</v>
      </c>
      <c r="H130" s="11">
        <v>2165</v>
      </c>
      <c r="I130" s="11">
        <v>1923</v>
      </c>
      <c r="J130" s="11">
        <v>1923</v>
      </c>
      <c r="K130" s="64"/>
      <c r="L130" s="64">
        <v>46458</v>
      </c>
      <c r="M130" s="64">
        <v>45729</v>
      </c>
      <c r="O130" s="11">
        <v>1923</v>
      </c>
      <c r="P130" s="11"/>
      <c r="Q130" s="11"/>
      <c r="R130" s="11">
        <v>25</v>
      </c>
      <c r="S130" s="11">
        <v>10</v>
      </c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3">
      <c r="A131" s="59" t="s">
        <v>520</v>
      </c>
      <c r="B131" s="59" t="s">
        <v>39</v>
      </c>
      <c r="C131" s="20">
        <v>719</v>
      </c>
      <c r="D131" s="19">
        <v>1</v>
      </c>
      <c r="E131" s="19">
        <v>1</v>
      </c>
      <c r="F131" s="60" t="s">
        <v>390</v>
      </c>
      <c r="G131" s="60" t="s">
        <v>391</v>
      </c>
      <c r="H131" s="20">
        <v>1630</v>
      </c>
      <c r="I131" s="20">
        <v>1630</v>
      </c>
      <c r="J131" s="20">
        <v>1630</v>
      </c>
      <c r="K131" s="61"/>
      <c r="L131" s="61">
        <v>46435</v>
      </c>
      <c r="M131" s="61">
        <v>46129</v>
      </c>
      <c r="O131" s="20">
        <v>1630</v>
      </c>
      <c r="P131" s="20">
        <v>-815</v>
      </c>
      <c r="Q131" s="20"/>
      <c r="R131" s="20">
        <v>25</v>
      </c>
      <c r="S131" s="20">
        <v>20</v>
      </c>
      <c r="T131" s="20"/>
      <c r="U131" s="20"/>
      <c r="V131" s="20"/>
      <c r="W131" s="20"/>
      <c r="X131" s="20"/>
      <c r="Y131" s="20"/>
      <c r="Z131" s="20">
        <v>25</v>
      </c>
      <c r="AA131" s="20"/>
      <c r="AB131" s="20"/>
    </row>
    <row r="132" spans="1:28" x14ac:dyDescent="0.3">
      <c r="A132" s="62" t="s">
        <v>521</v>
      </c>
      <c r="B132" s="62" t="s">
        <v>39</v>
      </c>
      <c r="C132" s="11">
        <v>719</v>
      </c>
      <c r="D132" s="10">
        <v>1</v>
      </c>
      <c r="E132" s="10">
        <v>1</v>
      </c>
      <c r="F132" s="63" t="s">
        <v>390</v>
      </c>
      <c r="G132" s="63" t="s">
        <v>391</v>
      </c>
      <c r="H132" s="11">
        <v>1630</v>
      </c>
      <c r="I132" s="11">
        <v>1630</v>
      </c>
      <c r="J132" s="11">
        <v>1630</v>
      </c>
      <c r="K132" s="64"/>
      <c r="L132" s="64">
        <v>46295</v>
      </c>
      <c r="M132" s="64">
        <v>45931</v>
      </c>
      <c r="O132" s="11">
        <v>1630</v>
      </c>
      <c r="P132" s="11"/>
      <c r="Q132" s="11"/>
      <c r="R132" s="11"/>
      <c r="S132" s="11">
        <v>10</v>
      </c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3">
      <c r="A133" s="59" t="s">
        <v>522</v>
      </c>
      <c r="B133" s="59" t="s">
        <v>56</v>
      </c>
      <c r="C133" s="20">
        <v>941</v>
      </c>
      <c r="D133" s="19">
        <v>1</v>
      </c>
      <c r="E133" s="19">
        <v>1</v>
      </c>
      <c r="F133" s="60" t="s">
        <v>390</v>
      </c>
      <c r="G133" s="60" t="s">
        <v>391</v>
      </c>
      <c r="H133" s="20">
        <v>1895</v>
      </c>
      <c r="I133" s="20">
        <v>1895</v>
      </c>
      <c r="J133" s="20">
        <v>1895</v>
      </c>
      <c r="K133" s="61"/>
      <c r="L133" s="61">
        <v>46469</v>
      </c>
      <c r="M133" s="61">
        <v>46046</v>
      </c>
      <c r="O133" s="20">
        <v>1895</v>
      </c>
      <c r="P133" s="20">
        <v>-947.5</v>
      </c>
      <c r="Q133" s="20"/>
      <c r="R133" s="20">
        <v>25</v>
      </c>
      <c r="S133" s="20">
        <v>10</v>
      </c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x14ac:dyDescent="0.3">
      <c r="A134" s="62" t="s">
        <v>523</v>
      </c>
      <c r="B134" s="62" t="s">
        <v>45</v>
      </c>
      <c r="C134" s="11">
        <v>736</v>
      </c>
      <c r="D134" s="10">
        <v>1</v>
      </c>
      <c r="E134" s="10">
        <v>1</v>
      </c>
      <c r="F134" s="63" t="s">
        <v>390</v>
      </c>
      <c r="G134" s="63" t="s">
        <v>391</v>
      </c>
      <c r="H134" s="11">
        <v>1725</v>
      </c>
      <c r="I134" s="11">
        <v>1485</v>
      </c>
      <c r="J134" s="11">
        <v>1485</v>
      </c>
      <c r="K134" s="64"/>
      <c r="L134" s="64">
        <v>46168</v>
      </c>
      <c r="M134" s="64">
        <v>45623</v>
      </c>
      <c r="O134" s="11">
        <v>1485</v>
      </c>
      <c r="P134" s="11"/>
      <c r="Q134" s="11">
        <v>200</v>
      </c>
      <c r="R134" s="11">
        <v>25</v>
      </c>
      <c r="S134" s="11">
        <v>10</v>
      </c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3">
      <c r="A135" s="59" t="s">
        <v>524</v>
      </c>
      <c r="B135" s="59" t="s">
        <v>56</v>
      </c>
      <c r="C135" s="20">
        <v>941</v>
      </c>
      <c r="D135" s="19">
        <v>1</v>
      </c>
      <c r="E135" s="19">
        <v>1</v>
      </c>
      <c r="F135" s="60" t="s">
        <v>390</v>
      </c>
      <c r="G135" s="60" t="s">
        <v>391</v>
      </c>
      <c r="H135" s="20">
        <v>1895</v>
      </c>
      <c r="I135" s="20">
        <v>1895</v>
      </c>
      <c r="J135" s="20">
        <v>1895</v>
      </c>
      <c r="K135" s="61"/>
      <c r="L135" s="61">
        <v>46265</v>
      </c>
      <c r="M135" s="61">
        <v>45901</v>
      </c>
      <c r="O135" s="20">
        <v>1895</v>
      </c>
      <c r="P135" s="20"/>
      <c r="Q135" s="20"/>
      <c r="R135" s="20">
        <v>25</v>
      </c>
      <c r="S135" s="20">
        <v>10</v>
      </c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x14ac:dyDescent="0.3">
      <c r="A136" s="62" t="s">
        <v>525</v>
      </c>
      <c r="B136" s="62" t="s">
        <v>74</v>
      </c>
      <c r="C136" s="11">
        <v>1564</v>
      </c>
      <c r="D136" s="10">
        <v>3</v>
      </c>
      <c r="E136" s="10">
        <v>2</v>
      </c>
      <c r="F136" s="63" t="s">
        <v>390</v>
      </c>
      <c r="G136" s="63" t="s">
        <v>391</v>
      </c>
      <c r="H136" s="11">
        <v>2940</v>
      </c>
      <c r="I136" s="11">
        <v>2984</v>
      </c>
      <c r="J136" s="11">
        <v>2984</v>
      </c>
      <c r="K136" s="64"/>
      <c r="L136" s="64">
        <v>46196</v>
      </c>
      <c r="M136" s="64">
        <v>45375</v>
      </c>
      <c r="O136" s="11">
        <v>2984</v>
      </c>
      <c r="P136" s="11"/>
      <c r="Q136" s="11">
        <v>295</v>
      </c>
      <c r="R136" s="11">
        <v>25</v>
      </c>
      <c r="S136" s="11">
        <v>10</v>
      </c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3">
      <c r="A137" s="59" t="s">
        <v>526</v>
      </c>
      <c r="B137" s="59" t="s">
        <v>43</v>
      </c>
      <c r="C137" s="20">
        <v>739</v>
      </c>
      <c r="D137" s="19">
        <v>1</v>
      </c>
      <c r="E137" s="19">
        <v>1</v>
      </c>
      <c r="F137" s="60" t="s">
        <v>390</v>
      </c>
      <c r="G137" s="60" t="s">
        <v>391</v>
      </c>
      <c r="H137" s="20">
        <v>1525</v>
      </c>
      <c r="I137" s="20">
        <v>1525</v>
      </c>
      <c r="J137" s="20">
        <v>1525</v>
      </c>
      <c r="K137" s="61"/>
      <c r="L137" s="61">
        <v>46635</v>
      </c>
      <c r="M137" s="61">
        <v>45694</v>
      </c>
      <c r="O137" s="20">
        <v>1525</v>
      </c>
      <c r="P137" s="20"/>
      <c r="Q137" s="20"/>
      <c r="R137" s="20">
        <v>25</v>
      </c>
      <c r="S137" s="20">
        <v>10</v>
      </c>
      <c r="T137" s="20"/>
      <c r="U137" s="20">
        <v>25</v>
      </c>
      <c r="V137" s="20"/>
      <c r="W137" s="20"/>
      <c r="X137" s="20"/>
      <c r="Y137" s="20"/>
      <c r="Z137" s="20"/>
      <c r="AA137" s="20"/>
      <c r="AB137" s="20"/>
    </row>
    <row r="138" spans="1:28" x14ac:dyDescent="0.3">
      <c r="A138" s="62" t="s">
        <v>527</v>
      </c>
      <c r="B138" s="62" t="s">
        <v>45</v>
      </c>
      <c r="C138" s="11">
        <v>736</v>
      </c>
      <c r="D138" s="10">
        <v>1</v>
      </c>
      <c r="E138" s="10">
        <v>1</v>
      </c>
      <c r="F138" s="63" t="s">
        <v>390</v>
      </c>
      <c r="G138" s="63" t="s">
        <v>391</v>
      </c>
      <c r="H138" s="11">
        <v>1725</v>
      </c>
      <c r="I138" s="11">
        <v>1530</v>
      </c>
      <c r="J138" s="11">
        <v>1530</v>
      </c>
      <c r="K138" s="64"/>
      <c r="L138" s="64">
        <v>46240</v>
      </c>
      <c r="M138" s="64">
        <v>45893</v>
      </c>
      <c r="O138" s="11">
        <v>1530</v>
      </c>
      <c r="P138" s="11"/>
      <c r="Q138" s="11"/>
      <c r="R138" s="11">
        <v>25</v>
      </c>
      <c r="S138" s="11">
        <v>10</v>
      </c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3">
      <c r="A139" s="59" t="s">
        <v>528</v>
      </c>
      <c r="B139" s="59" t="s">
        <v>48</v>
      </c>
      <c r="C139" s="20">
        <v>762</v>
      </c>
      <c r="D139" s="19">
        <v>1</v>
      </c>
      <c r="E139" s="19">
        <v>1</v>
      </c>
      <c r="F139" s="60" t="s">
        <v>390</v>
      </c>
      <c r="G139" s="60" t="s">
        <v>391</v>
      </c>
      <c r="H139" s="20">
        <v>1645</v>
      </c>
      <c r="I139" s="20">
        <v>1510</v>
      </c>
      <c r="J139" s="20">
        <v>1510</v>
      </c>
      <c r="K139" s="61"/>
      <c r="L139" s="61">
        <v>46262</v>
      </c>
      <c r="M139" s="61">
        <v>45167</v>
      </c>
      <c r="O139" s="20">
        <v>1510</v>
      </c>
      <c r="P139" s="20"/>
      <c r="Q139" s="20"/>
      <c r="R139" s="20">
        <v>10</v>
      </c>
      <c r="S139" s="20">
        <v>10</v>
      </c>
      <c r="T139" s="20"/>
      <c r="U139" s="20">
        <v>25</v>
      </c>
      <c r="V139" s="20"/>
      <c r="W139" s="20"/>
      <c r="X139" s="20"/>
      <c r="Y139" s="20"/>
      <c r="Z139" s="20"/>
      <c r="AA139" s="20"/>
      <c r="AB139" s="20"/>
    </row>
    <row r="140" spans="1:28" x14ac:dyDescent="0.3">
      <c r="A140" s="62" t="s">
        <v>529</v>
      </c>
      <c r="B140" s="62" t="s">
        <v>48</v>
      </c>
      <c r="C140" s="11">
        <v>762</v>
      </c>
      <c r="D140" s="10">
        <v>1</v>
      </c>
      <c r="E140" s="10">
        <v>1</v>
      </c>
      <c r="F140" s="63" t="s">
        <v>390</v>
      </c>
      <c r="G140" s="63" t="s">
        <v>391</v>
      </c>
      <c r="H140" s="11">
        <v>1645</v>
      </c>
      <c r="I140" s="11">
        <v>1645</v>
      </c>
      <c r="J140" s="11">
        <v>1645</v>
      </c>
      <c r="K140" s="64"/>
      <c r="L140" s="64">
        <v>46173</v>
      </c>
      <c r="M140" s="64">
        <v>45778</v>
      </c>
      <c r="O140" s="11">
        <v>1645</v>
      </c>
      <c r="P140" s="11"/>
      <c r="Q140" s="11"/>
      <c r="R140" s="11">
        <v>25</v>
      </c>
      <c r="S140" s="11">
        <v>10</v>
      </c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3">
      <c r="A141" s="59" t="s">
        <v>530</v>
      </c>
      <c r="B141" s="59" t="s">
        <v>32</v>
      </c>
      <c r="C141" s="20">
        <v>690</v>
      </c>
      <c r="D141" s="19">
        <v>1</v>
      </c>
      <c r="E141" s="19">
        <v>1</v>
      </c>
      <c r="F141" s="60" t="s">
        <v>390</v>
      </c>
      <c r="G141" s="60" t="s">
        <v>391</v>
      </c>
      <c r="H141" s="20">
        <v>1615</v>
      </c>
      <c r="I141" s="20">
        <v>1375</v>
      </c>
      <c r="J141" s="20">
        <v>1375</v>
      </c>
      <c r="K141" s="61"/>
      <c r="L141" s="61">
        <v>46542</v>
      </c>
      <c r="M141" s="61">
        <v>45296</v>
      </c>
      <c r="O141" s="20">
        <v>1375</v>
      </c>
      <c r="P141" s="20"/>
      <c r="Q141" s="20"/>
      <c r="R141" s="20">
        <v>25</v>
      </c>
      <c r="S141" s="20">
        <v>10</v>
      </c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x14ac:dyDescent="0.3">
      <c r="A142" s="62" t="s">
        <v>531</v>
      </c>
      <c r="B142" s="62" t="s">
        <v>59</v>
      </c>
      <c r="C142" s="11">
        <v>1082</v>
      </c>
      <c r="D142" s="10">
        <v>2</v>
      </c>
      <c r="E142" s="10">
        <v>2</v>
      </c>
      <c r="F142" s="63" t="s">
        <v>390</v>
      </c>
      <c r="G142" s="63" t="s">
        <v>391</v>
      </c>
      <c r="H142" s="11">
        <v>2165</v>
      </c>
      <c r="I142" s="11">
        <v>2165</v>
      </c>
      <c r="J142" s="11">
        <v>2165</v>
      </c>
      <c r="K142" s="64"/>
      <c r="L142" s="64">
        <v>46561</v>
      </c>
      <c r="M142" s="64">
        <v>46136</v>
      </c>
      <c r="O142" s="11">
        <v>2165</v>
      </c>
      <c r="P142" s="11"/>
      <c r="Q142" s="11">
        <v>230</v>
      </c>
      <c r="R142" s="11">
        <v>25</v>
      </c>
      <c r="S142" s="11">
        <v>10</v>
      </c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3">
      <c r="A143" s="59" t="s">
        <v>532</v>
      </c>
      <c r="B143" s="59" t="s">
        <v>59</v>
      </c>
      <c r="C143" s="20">
        <v>1082</v>
      </c>
      <c r="D143" s="19">
        <v>2</v>
      </c>
      <c r="E143" s="19">
        <v>2</v>
      </c>
      <c r="F143" s="60" t="s">
        <v>390</v>
      </c>
      <c r="G143" s="60" t="s">
        <v>391</v>
      </c>
      <c r="H143" s="20">
        <v>2260</v>
      </c>
      <c r="I143" s="20">
        <v>2260</v>
      </c>
      <c r="J143" s="20">
        <v>2260</v>
      </c>
      <c r="K143" s="61"/>
      <c r="L143" s="61">
        <v>46234</v>
      </c>
      <c r="M143" s="61">
        <v>45505</v>
      </c>
      <c r="O143" s="20">
        <v>2260</v>
      </c>
      <c r="P143" s="20"/>
      <c r="Q143" s="20">
        <v>260</v>
      </c>
      <c r="R143" s="20">
        <v>25</v>
      </c>
      <c r="S143" s="20">
        <v>10</v>
      </c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x14ac:dyDescent="0.3">
      <c r="A144" s="62" t="s">
        <v>533</v>
      </c>
      <c r="B144" s="62" t="s">
        <v>59</v>
      </c>
      <c r="C144" s="11">
        <v>1082</v>
      </c>
      <c r="D144" s="10">
        <v>2</v>
      </c>
      <c r="E144" s="10">
        <v>2</v>
      </c>
      <c r="F144" s="63" t="s">
        <v>390</v>
      </c>
      <c r="G144" s="63" t="s">
        <v>391</v>
      </c>
      <c r="H144" s="11">
        <v>2085</v>
      </c>
      <c r="I144" s="11">
        <v>1605</v>
      </c>
      <c r="J144" s="11">
        <v>1605</v>
      </c>
      <c r="K144" s="64"/>
      <c r="L144" s="64">
        <v>46355</v>
      </c>
      <c r="M144" s="64">
        <v>46021</v>
      </c>
      <c r="O144" s="11">
        <v>1605</v>
      </c>
      <c r="P144" s="11">
        <v>-802.5</v>
      </c>
      <c r="Q144" s="11"/>
      <c r="R144" s="11">
        <v>25</v>
      </c>
      <c r="S144" s="11">
        <v>10</v>
      </c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3">
      <c r="A145" s="59" t="s">
        <v>534</v>
      </c>
      <c r="B145" s="59" t="s">
        <v>53</v>
      </c>
      <c r="C145" s="20">
        <v>803</v>
      </c>
      <c r="D145" s="19">
        <v>1</v>
      </c>
      <c r="E145" s="19">
        <v>1</v>
      </c>
      <c r="F145" s="60" t="s">
        <v>390</v>
      </c>
      <c r="G145" s="60" t="s">
        <v>391</v>
      </c>
      <c r="H145" s="20">
        <v>1775</v>
      </c>
      <c r="I145" s="20">
        <v>1775</v>
      </c>
      <c r="J145" s="20">
        <v>1775</v>
      </c>
      <c r="K145" s="61"/>
      <c r="L145" s="61">
        <v>46454</v>
      </c>
      <c r="M145" s="61">
        <v>45574</v>
      </c>
      <c r="O145" s="20">
        <v>1775</v>
      </c>
      <c r="P145" s="20"/>
      <c r="Q145" s="20">
        <v>260</v>
      </c>
      <c r="R145" s="20">
        <v>25</v>
      </c>
      <c r="S145" s="20">
        <v>10</v>
      </c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x14ac:dyDescent="0.3">
      <c r="A146" s="62" t="s">
        <v>535</v>
      </c>
      <c r="B146" s="62" t="s">
        <v>39</v>
      </c>
      <c r="C146" s="11">
        <v>719</v>
      </c>
      <c r="D146" s="10">
        <v>1</v>
      </c>
      <c r="E146" s="10">
        <v>1</v>
      </c>
      <c r="F146" s="63" t="s">
        <v>390</v>
      </c>
      <c r="G146" s="63" t="s">
        <v>391</v>
      </c>
      <c r="H146" s="11">
        <v>1550</v>
      </c>
      <c r="I146" s="11">
        <v>1360</v>
      </c>
      <c r="J146" s="11">
        <v>1360</v>
      </c>
      <c r="K146" s="64"/>
      <c r="L146" s="64">
        <v>46223</v>
      </c>
      <c r="M146" s="64">
        <v>45737</v>
      </c>
      <c r="O146" s="11">
        <v>1360</v>
      </c>
      <c r="P146" s="11"/>
      <c r="Q146" s="11"/>
      <c r="R146" s="11">
        <v>25</v>
      </c>
      <c r="S146" s="11">
        <v>10</v>
      </c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3">
      <c r="A147" s="59" t="s">
        <v>536</v>
      </c>
      <c r="B147" s="59" t="s">
        <v>53</v>
      </c>
      <c r="C147" s="20">
        <v>803</v>
      </c>
      <c r="D147" s="19">
        <v>1</v>
      </c>
      <c r="E147" s="19">
        <v>1</v>
      </c>
      <c r="F147" s="60" t="s">
        <v>390</v>
      </c>
      <c r="G147" s="60" t="s">
        <v>391</v>
      </c>
      <c r="H147" s="20">
        <v>1775</v>
      </c>
      <c r="I147" s="20">
        <v>1775</v>
      </c>
      <c r="J147" s="20">
        <v>1775</v>
      </c>
      <c r="K147" s="61"/>
      <c r="L147" s="61">
        <v>46319</v>
      </c>
      <c r="M147" s="61">
        <v>45955</v>
      </c>
      <c r="O147" s="20">
        <v>1775</v>
      </c>
      <c r="P147" s="20"/>
      <c r="Q147" s="20">
        <v>200</v>
      </c>
      <c r="R147" s="20">
        <v>25</v>
      </c>
      <c r="S147" s="20">
        <v>10</v>
      </c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x14ac:dyDescent="0.3">
      <c r="A148" s="62" t="s">
        <v>537</v>
      </c>
      <c r="B148" s="62" t="s">
        <v>39</v>
      </c>
      <c r="C148" s="11">
        <v>719</v>
      </c>
      <c r="D148" s="10">
        <v>1</v>
      </c>
      <c r="E148" s="10">
        <v>1</v>
      </c>
      <c r="F148" s="63" t="s">
        <v>390</v>
      </c>
      <c r="G148" s="63" t="s">
        <v>391</v>
      </c>
      <c r="H148" s="11">
        <v>1550</v>
      </c>
      <c r="I148" s="11">
        <v>1550</v>
      </c>
      <c r="J148" s="11">
        <v>1550</v>
      </c>
      <c r="K148" s="64"/>
      <c r="L148" s="64">
        <v>46528</v>
      </c>
      <c r="M148" s="64">
        <v>46164</v>
      </c>
      <c r="O148" s="11">
        <v>1550</v>
      </c>
      <c r="P148" s="11"/>
      <c r="Q148" s="11"/>
      <c r="R148" s="11">
        <v>25</v>
      </c>
      <c r="S148" s="11">
        <v>10</v>
      </c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3">
      <c r="A149" s="59" t="s">
        <v>538</v>
      </c>
      <c r="B149" s="59" t="s">
        <v>56</v>
      </c>
      <c r="C149" s="20">
        <v>941</v>
      </c>
      <c r="D149" s="19">
        <v>1</v>
      </c>
      <c r="E149" s="19">
        <v>1</v>
      </c>
      <c r="F149" s="60" t="s">
        <v>390</v>
      </c>
      <c r="G149" s="60" t="s">
        <v>391</v>
      </c>
      <c r="H149" s="20">
        <v>1815</v>
      </c>
      <c r="I149" s="20">
        <v>1815</v>
      </c>
      <c r="J149" s="20">
        <v>1815</v>
      </c>
      <c r="K149" s="61"/>
      <c r="L149" s="61">
        <v>46300</v>
      </c>
      <c r="M149" s="61">
        <v>45814</v>
      </c>
      <c r="O149" s="20">
        <v>1815</v>
      </c>
      <c r="P149" s="20"/>
      <c r="Q149" s="20"/>
      <c r="R149" s="20">
        <v>25</v>
      </c>
      <c r="S149" s="20">
        <v>10</v>
      </c>
      <c r="T149" s="20"/>
      <c r="U149" s="20">
        <v>25</v>
      </c>
      <c r="V149" s="20"/>
      <c r="W149" s="20"/>
      <c r="X149" s="20"/>
      <c r="Y149" s="20"/>
      <c r="Z149" s="20"/>
      <c r="AA149" s="20"/>
      <c r="AB149" s="20"/>
    </row>
    <row r="150" spans="1:28" x14ac:dyDescent="0.3">
      <c r="A150" s="62" t="s">
        <v>539</v>
      </c>
      <c r="B150" s="62" t="s">
        <v>45</v>
      </c>
      <c r="C150" s="11">
        <v>736</v>
      </c>
      <c r="D150" s="10">
        <v>1</v>
      </c>
      <c r="E150" s="10">
        <v>1</v>
      </c>
      <c r="F150" s="63" t="s">
        <v>390</v>
      </c>
      <c r="G150" s="63" t="s">
        <v>391</v>
      </c>
      <c r="H150" s="11">
        <v>1645</v>
      </c>
      <c r="I150" s="11">
        <v>1700</v>
      </c>
      <c r="J150" s="11">
        <v>1700</v>
      </c>
      <c r="K150" s="64"/>
      <c r="L150" s="64">
        <v>46238</v>
      </c>
      <c r="M150" s="64">
        <v>45096</v>
      </c>
      <c r="O150" s="11">
        <v>1700</v>
      </c>
      <c r="P150" s="11"/>
      <c r="Q150" s="11"/>
      <c r="R150" s="11">
        <v>25</v>
      </c>
      <c r="S150" s="11">
        <v>10</v>
      </c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3">
      <c r="A151" s="59" t="s">
        <v>540</v>
      </c>
      <c r="B151" s="59" t="s">
        <v>56</v>
      </c>
      <c r="C151" s="20">
        <v>941</v>
      </c>
      <c r="D151" s="19">
        <v>1</v>
      </c>
      <c r="E151" s="19">
        <v>1</v>
      </c>
      <c r="F151" s="60" t="s">
        <v>390</v>
      </c>
      <c r="G151" s="60" t="s">
        <v>391</v>
      </c>
      <c r="H151" s="20">
        <v>1815</v>
      </c>
      <c r="I151" s="20">
        <v>1650</v>
      </c>
      <c r="J151" s="20">
        <v>1650</v>
      </c>
      <c r="K151" s="61"/>
      <c r="L151" s="61">
        <v>46437</v>
      </c>
      <c r="M151" s="61">
        <v>46011</v>
      </c>
      <c r="O151" s="20">
        <v>1650</v>
      </c>
      <c r="P151" s="20"/>
      <c r="Q151" s="20"/>
      <c r="R151" s="20">
        <v>25</v>
      </c>
      <c r="S151" s="20">
        <v>10</v>
      </c>
      <c r="T151" s="20">
        <v>65</v>
      </c>
      <c r="U151" s="20"/>
      <c r="V151" s="20"/>
      <c r="W151" s="20"/>
      <c r="X151" s="20"/>
      <c r="Y151" s="20"/>
      <c r="Z151" s="20"/>
      <c r="AA151" s="20"/>
      <c r="AB151" s="20"/>
    </row>
    <row r="152" spans="1:28" x14ac:dyDescent="0.3">
      <c r="A152" s="62" t="s">
        <v>541</v>
      </c>
      <c r="B152" s="62" t="s">
        <v>74</v>
      </c>
      <c r="C152" s="11">
        <v>1564</v>
      </c>
      <c r="D152" s="10">
        <v>3</v>
      </c>
      <c r="E152" s="10">
        <v>2</v>
      </c>
      <c r="F152" s="63" t="s">
        <v>390</v>
      </c>
      <c r="G152" s="63" t="s">
        <v>391</v>
      </c>
      <c r="H152" s="11">
        <v>2860</v>
      </c>
      <c r="I152" s="11">
        <v>2465</v>
      </c>
      <c r="J152" s="11">
        <v>2465</v>
      </c>
      <c r="K152" s="64"/>
      <c r="L152" s="64">
        <v>46660</v>
      </c>
      <c r="M152" s="64">
        <v>45717</v>
      </c>
      <c r="O152" s="11">
        <v>2465</v>
      </c>
      <c r="P152" s="11"/>
      <c r="Q152" s="11"/>
      <c r="R152" s="11">
        <v>50</v>
      </c>
      <c r="S152" s="11">
        <v>10</v>
      </c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3">
      <c r="A153" s="59" t="s">
        <v>542</v>
      </c>
      <c r="B153" s="59" t="s">
        <v>64</v>
      </c>
      <c r="C153" s="20">
        <v>1109</v>
      </c>
      <c r="D153" s="19">
        <v>2</v>
      </c>
      <c r="E153" s="19">
        <v>2</v>
      </c>
      <c r="F153" s="60" t="s">
        <v>390</v>
      </c>
      <c r="G153" s="60" t="s">
        <v>391</v>
      </c>
      <c r="H153" s="20">
        <v>2035</v>
      </c>
      <c r="I153" s="20">
        <v>1989</v>
      </c>
      <c r="J153" s="20">
        <v>1989</v>
      </c>
      <c r="K153" s="61"/>
      <c r="L153" s="61">
        <v>46280</v>
      </c>
      <c r="M153" s="61">
        <v>45916</v>
      </c>
      <c r="O153" s="20">
        <v>1989</v>
      </c>
      <c r="P153" s="20"/>
      <c r="Q153" s="20"/>
      <c r="R153" s="20">
        <v>25</v>
      </c>
      <c r="S153" s="20">
        <v>10</v>
      </c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x14ac:dyDescent="0.3">
      <c r="A154" s="62" t="s">
        <v>543</v>
      </c>
      <c r="B154" s="62" t="s">
        <v>45</v>
      </c>
      <c r="C154" s="11">
        <v>736</v>
      </c>
      <c r="D154" s="10">
        <v>1</v>
      </c>
      <c r="E154" s="10">
        <v>1</v>
      </c>
      <c r="F154" s="63" t="s">
        <v>390</v>
      </c>
      <c r="G154" s="63" t="s">
        <v>391</v>
      </c>
      <c r="H154" s="11">
        <v>1645</v>
      </c>
      <c r="I154" s="11">
        <v>1450</v>
      </c>
      <c r="J154" s="11">
        <v>1450</v>
      </c>
      <c r="K154" s="64"/>
      <c r="L154" s="64">
        <v>46319</v>
      </c>
      <c r="M154" s="64">
        <v>45955</v>
      </c>
      <c r="O154" s="11">
        <v>1450</v>
      </c>
      <c r="P154" s="11"/>
      <c r="Q154" s="11"/>
      <c r="R154" s="11">
        <v>25</v>
      </c>
      <c r="S154" s="11">
        <v>10</v>
      </c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3">
      <c r="A155" s="59" t="s">
        <v>544</v>
      </c>
      <c r="B155" s="59" t="s">
        <v>48</v>
      </c>
      <c r="C155" s="20">
        <v>762</v>
      </c>
      <c r="D155" s="19">
        <v>1</v>
      </c>
      <c r="E155" s="19">
        <v>1</v>
      </c>
      <c r="F155" s="60" t="s">
        <v>390</v>
      </c>
      <c r="G155" s="60" t="s">
        <v>391</v>
      </c>
      <c r="H155" s="20">
        <v>1565</v>
      </c>
      <c r="I155" s="20">
        <v>1353</v>
      </c>
      <c r="J155" s="20">
        <v>1353</v>
      </c>
      <c r="K155" s="61"/>
      <c r="L155" s="61">
        <v>46439</v>
      </c>
      <c r="M155" s="61">
        <v>46044</v>
      </c>
      <c r="O155" s="20">
        <v>1353</v>
      </c>
      <c r="P155" s="20">
        <v>-676.5</v>
      </c>
      <c r="Q155" s="20"/>
      <c r="R155" s="20">
        <v>25</v>
      </c>
      <c r="S155" s="20">
        <v>10</v>
      </c>
      <c r="T155" s="20">
        <v>55</v>
      </c>
      <c r="U155" s="20">
        <v>25</v>
      </c>
      <c r="V155" s="20"/>
      <c r="W155" s="20"/>
      <c r="X155" s="20"/>
      <c r="Y155" s="20"/>
      <c r="Z155" s="20"/>
      <c r="AA155" s="20"/>
      <c r="AB155" s="20"/>
    </row>
    <row r="156" spans="1:28" x14ac:dyDescent="0.3">
      <c r="A156" s="62" t="s">
        <v>545</v>
      </c>
      <c r="B156" s="62" t="s">
        <v>53</v>
      </c>
      <c r="C156" s="11">
        <v>803</v>
      </c>
      <c r="D156" s="10">
        <v>1</v>
      </c>
      <c r="E156" s="10">
        <v>1</v>
      </c>
      <c r="F156" s="63" t="s">
        <v>390</v>
      </c>
      <c r="G156" s="63" t="s">
        <v>391</v>
      </c>
      <c r="H156" s="11">
        <v>1775</v>
      </c>
      <c r="I156" s="11">
        <v>1775</v>
      </c>
      <c r="J156" s="11">
        <v>1775</v>
      </c>
      <c r="K156" s="64"/>
      <c r="L156" s="64">
        <v>46304</v>
      </c>
      <c r="M156" s="64">
        <v>45940</v>
      </c>
      <c r="O156" s="11">
        <v>1775</v>
      </c>
      <c r="P156" s="11"/>
      <c r="Q156" s="11"/>
      <c r="R156" s="11">
        <v>25</v>
      </c>
      <c r="S156" s="11">
        <v>10</v>
      </c>
      <c r="T156" s="11"/>
      <c r="U156" s="11">
        <v>25</v>
      </c>
      <c r="V156" s="11"/>
      <c r="W156" s="11"/>
      <c r="X156" s="11"/>
      <c r="Y156" s="11"/>
      <c r="Z156" s="11"/>
      <c r="AA156" s="11"/>
      <c r="AB156" s="11"/>
    </row>
    <row r="157" spans="1:28" x14ac:dyDescent="0.3">
      <c r="A157" s="59" t="s">
        <v>546</v>
      </c>
      <c r="B157" s="59" t="s">
        <v>48</v>
      </c>
      <c r="C157" s="20">
        <v>762</v>
      </c>
      <c r="D157" s="19">
        <v>1</v>
      </c>
      <c r="E157" s="19">
        <v>1</v>
      </c>
      <c r="F157" s="60" t="s">
        <v>390</v>
      </c>
      <c r="G157" s="60" t="s">
        <v>391</v>
      </c>
      <c r="H157" s="20">
        <v>1565</v>
      </c>
      <c r="I157" s="20">
        <v>1535</v>
      </c>
      <c r="J157" s="20">
        <v>1535</v>
      </c>
      <c r="K157" s="61"/>
      <c r="L157" s="61">
        <v>46226</v>
      </c>
      <c r="M157" s="61">
        <v>45131</v>
      </c>
      <c r="O157" s="20">
        <v>1535</v>
      </c>
      <c r="P157" s="20"/>
      <c r="Q157" s="20"/>
      <c r="R157" s="20">
        <v>25</v>
      </c>
      <c r="S157" s="20">
        <v>10</v>
      </c>
      <c r="T157" s="20">
        <v>55</v>
      </c>
      <c r="U157" s="20"/>
      <c r="V157" s="20"/>
      <c r="W157" s="20"/>
      <c r="X157" s="20"/>
      <c r="Y157" s="20"/>
      <c r="Z157" s="20"/>
      <c r="AA157" s="20"/>
      <c r="AB157" s="20"/>
    </row>
    <row r="158" spans="1:28" x14ac:dyDescent="0.3">
      <c r="A158" s="62" t="s">
        <v>547</v>
      </c>
      <c r="B158" s="62" t="s">
        <v>53</v>
      </c>
      <c r="C158" s="11">
        <v>803</v>
      </c>
      <c r="D158" s="10">
        <v>1</v>
      </c>
      <c r="E158" s="10">
        <v>1</v>
      </c>
      <c r="F158" s="63" t="s">
        <v>390</v>
      </c>
      <c r="G158" s="63" t="s">
        <v>391</v>
      </c>
      <c r="H158" s="11">
        <v>1775</v>
      </c>
      <c r="I158" s="11">
        <v>1775</v>
      </c>
      <c r="J158" s="11">
        <v>1775</v>
      </c>
      <c r="K158" s="64"/>
      <c r="L158" s="64">
        <v>46218</v>
      </c>
      <c r="M158" s="64">
        <v>45398</v>
      </c>
      <c r="O158" s="11">
        <v>1775</v>
      </c>
      <c r="P158" s="11"/>
      <c r="Q158" s="11">
        <v>225</v>
      </c>
      <c r="R158" s="11">
        <v>25</v>
      </c>
      <c r="S158" s="11">
        <v>10</v>
      </c>
      <c r="T158" s="11"/>
      <c r="U158" s="11">
        <v>25</v>
      </c>
      <c r="V158" s="11"/>
      <c r="W158" s="11"/>
      <c r="X158" s="11"/>
      <c r="Y158" s="11"/>
      <c r="Z158" s="11"/>
      <c r="AA158" s="11"/>
      <c r="AB158" s="11"/>
    </row>
    <row r="159" spans="1:28" x14ac:dyDescent="0.3">
      <c r="A159" s="59" t="s">
        <v>548</v>
      </c>
      <c r="B159" s="59" t="s">
        <v>32</v>
      </c>
      <c r="C159" s="20">
        <v>690</v>
      </c>
      <c r="D159" s="19">
        <v>1</v>
      </c>
      <c r="E159" s="19">
        <v>1</v>
      </c>
      <c r="F159" s="60" t="s">
        <v>390</v>
      </c>
      <c r="G159" s="60" t="s">
        <v>391</v>
      </c>
      <c r="H159" s="20">
        <v>1535</v>
      </c>
      <c r="I159" s="20">
        <v>1370</v>
      </c>
      <c r="J159" s="20">
        <v>1370</v>
      </c>
      <c r="K159" s="61"/>
      <c r="L159" s="61">
        <v>46203</v>
      </c>
      <c r="M159" s="61">
        <v>45717</v>
      </c>
      <c r="O159" s="20">
        <v>1370</v>
      </c>
      <c r="P159" s="20"/>
      <c r="Q159" s="20"/>
      <c r="R159" s="20">
        <v>25</v>
      </c>
      <c r="S159" s="20">
        <v>10</v>
      </c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x14ac:dyDescent="0.3">
      <c r="A160" s="62" t="s">
        <v>549</v>
      </c>
      <c r="B160" s="62" t="s">
        <v>64</v>
      </c>
      <c r="C160" s="11">
        <v>1109</v>
      </c>
      <c r="D160" s="10">
        <v>2</v>
      </c>
      <c r="E160" s="10">
        <v>2</v>
      </c>
      <c r="F160" s="63" t="s">
        <v>390</v>
      </c>
      <c r="G160" s="63" t="s">
        <v>391</v>
      </c>
      <c r="H160" s="11">
        <v>2210</v>
      </c>
      <c r="I160" s="11">
        <v>2235</v>
      </c>
      <c r="J160" s="11">
        <v>2235</v>
      </c>
      <c r="K160" s="64"/>
      <c r="L160" s="64">
        <v>46151</v>
      </c>
      <c r="M160" s="64">
        <v>44915</v>
      </c>
      <c r="O160" s="11">
        <v>2235</v>
      </c>
      <c r="P160" s="11"/>
      <c r="Q160" s="11">
        <v>190</v>
      </c>
      <c r="R160" s="11">
        <v>25</v>
      </c>
      <c r="S160" s="11">
        <v>10</v>
      </c>
      <c r="T160" s="11"/>
      <c r="U160" s="11">
        <v>50</v>
      </c>
      <c r="V160" s="11"/>
      <c r="W160" s="11"/>
      <c r="X160" s="11"/>
      <c r="Y160" s="11"/>
      <c r="Z160" s="11"/>
      <c r="AA160" s="11"/>
      <c r="AB160" s="11"/>
    </row>
    <row r="161" spans="1:28" x14ac:dyDescent="0.3">
      <c r="A161" s="59" t="s">
        <v>550</v>
      </c>
      <c r="B161" s="59" t="s">
        <v>59</v>
      </c>
      <c r="C161" s="20">
        <v>1082</v>
      </c>
      <c r="D161" s="19">
        <v>2</v>
      </c>
      <c r="E161" s="19">
        <v>2</v>
      </c>
      <c r="F161" s="60" t="s">
        <v>390</v>
      </c>
      <c r="G161" s="60" t="s">
        <v>391</v>
      </c>
      <c r="H161" s="20">
        <v>2260</v>
      </c>
      <c r="I161" s="20">
        <v>2260</v>
      </c>
      <c r="J161" s="20">
        <v>2260</v>
      </c>
      <c r="K161" s="61"/>
      <c r="L161" s="61">
        <v>46187</v>
      </c>
      <c r="M161" s="61">
        <v>45823</v>
      </c>
      <c r="O161" s="20">
        <v>2260</v>
      </c>
      <c r="P161" s="20"/>
      <c r="Q161" s="20"/>
      <c r="R161" s="20">
        <v>25</v>
      </c>
      <c r="S161" s="20">
        <v>10</v>
      </c>
      <c r="T161" s="20">
        <v>65</v>
      </c>
      <c r="U161" s="20"/>
      <c r="V161" s="20"/>
      <c r="W161" s="20"/>
      <c r="X161" s="20"/>
      <c r="Y161" s="20"/>
      <c r="Z161" s="20"/>
      <c r="AA161" s="20"/>
      <c r="AB161" s="20"/>
    </row>
    <row r="162" spans="1:28" x14ac:dyDescent="0.3">
      <c r="A162" s="62" t="s">
        <v>551</v>
      </c>
      <c r="B162" s="62" t="s">
        <v>59</v>
      </c>
      <c r="C162" s="11">
        <v>1082</v>
      </c>
      <c r="D162" s="10">
        <v>2</v>
      </c>
      <c r="E162" s="10">
        <v>2</v>
      </c>
      <c r="F162" s="63" t="s">
        <v>390</v>
      </c>
      <c r="G162" s="63" t="s">
        <v>391</v>
      </c>
      <c r="H162" s="11">
        <v>2305</v>
      </c>
      <c r="I162" s="11">
        <v>2305</v>
      </c>
      <c r="J162" s="11">
        <v>2305</v>
      </c>
      <c r="K162" s="64"/>
      <c r="L162" s="64">
        <v>46414</v>
      </c>
      <c r="M162" s="64">
        <v>45958</v>
      </c>
      <c r="O162" s="11">
        <v>2305</v>
      </c>
      <c r="P162" s="11"/>
      <c r="Q162" s="11"/>
      <c r="R162" s="11">
        <v>25</v>
      </c>
      <c r="S162" s="11">
        <v>10</v>
      </c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3">
      <c r="A163" s="59" t="s">
        <v>552</v>
      </c>
      <c r="B163" s="59" t="s">
        <v>59</v>
      </c>
      <c r="C163" s="20">
        <v>1082</v>
      </c>
      <c r="D163" s="19">
        <v>2</v>
      </c>
      <c r="E163" s="19">
        <v>2</v>
      </c>
      <c r="F163" s="60" t="s">
        <v>390</v>
      </c>
      <c r="G163" s="60" t="s">
        <v>391</v>
      </c>
      <c r="H163" s="20">
        <v>2130</v>
      </c>
      <c r="I163" s="20">
        <v>1948</v>
      </c>
      <c r="J163" s="20">
        <v>1948</v>
      </c>
      <c r="K163" s="61"/>
      <c r="L163" s="61">
        <v>46356</v>
      </c>
      <c r="M163" s="61">
        <v>45719</v>
      </c>
      <c r="O163" s="20">
        <v>1948</v>
      </c>
      <c r="P163" s="20"/>
      <c r="Q163" s="20"/>
      <c r="R163" s="20">
        <v>25</v>
      </c>
      <c r="S163" s="20">
        <v>10</v>
      </c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x14ac:dyDescent="0.3">
      <c r="A164" s="62" t="s">
        <v>553</v>
      </c>
      <c r="B164" s="62" t="s">
        <v>53</v>
      </c>
      <c r="C164" s="11">
        <v>803</v>
      </c>
      <c r="D164" s="10">
        <v>1</v>
      </c>
      <c r="E164" s="10">
        <v>1</v>
      </c>
      <c r="F164" s="63" t="s">
        <v>390</v>
      </c>
      <c r="G164" s="63" t="s">
        <v>391</v>
      </c>
      <c r="H164" s="11">
        <v>1820</v>
      </c>
      <c r="I164" s="11">
        <v>1820</v>
      </c>
      <c r="J164" s="11">
        <v>1820</v>
      </c>
      <c r="K164" s="64"/>
      <c r="L164" s="64">
        <v>46394</v>
      </c>
      <c r="M164" s="64">
        <v>45999</v>
      </c>
      <c r="O164" s="11">
        <v>1820</v>
      </c>
      <c r="P164" s="11"/>
      <c r="Q164" s="11"/>
      <c r="R164" s="11">
        <v>25</v>
      </c>
      <c r="S164" s="11">
        <v>10</v>
      </c>
      <c r="T164" s="11"/>
      <c r="U164" s="11">
        <v>25</v>
      </c>
      <c r="V164" s="11"/>
      <c r="W164" s="11"/>
      <c r="X164" s="11"/>
      <c r="Y164" s="11"/>
      <c r="Z164" s="11"/>
      <c r="AA164" s="11"/>
      <c r="AB164" s="11"/>
    </row>
    <row r="165" spans="1:28" x14ac:dyDescent="0.3">
      <c r="A165" s="59" t="s">
        <v>554</v>
      </c>
      <c r="B165" s="59" t="s">
        <v>39</v>
      </c>
      <c r="C165" s="20">
        <v>719</v>
      </c>
      <c r="D165" s="19">
        <v>1</v>
      </c>
      <c r="E165" s="19">
        <v>1</v>
      </c>
      <c r="F165" s="60" t="s">
        <v>390</v>
      </c>
      <c r="G165" s="60" t="s">
        <v>391</v>
      </c>
      <c r="H165" s="20">
        <v>1595</v>
      </c>
      <c r="I165" s="20">
        <v>1595</v>
      </c>
      <c r="J165" s="20">
        <v>1595</v>
      </c>
      <c r="K165" s="61"/>
      <c r="L165" s="61">
        <v>46126</v>
      </c>
      <c r="M165" s="61">
        <v>45214</v>
      </c>
      <c r="O165" s="20">
        <v>1595</v>
      </c>
      <c r="P165" s="20"/>
      <c r="Q165" s="20"/>
      <c r="R165" s="20">
        <v>25</v>
      </c>
      <c r="S165" s="20">
        <v>10</v>
      </c>
      <c r="T165" s="20"/>
      <c r="U165" s="20"/>
      <c r="V165" s="20"/>
      <c r="W165" s="20">
        <v>400</v>
      </c>
      <c r="X165" s="20"/>
      <c r="Y165" s="20"/>
      <c r="Z165" s="20"/>
      <c r="AA165" s="20"/>
      <c r="AB165" s="20"/>
    </row>
    <row r="166" spans="1:28" x14ac:dyDescent="0.3">
      <c r="A166" s="62" t="s">
        <v>555</v>
      </c>
      <c r="B166" s="62" t="s">
        <v>53</v>
      </c>
      <c r="C166" s="11">
        <v>803</v>
      </c>
      <c r="D166" s="10">
        <v>1</v>
      </c>
      <c r="E166" s="10">
        <v>1</v>
      </c>
      <c r="F166" s="63" t="s">
        <v>390</v>
      </c>
      <c r="G166" s="63" t="s">
        <v>397</v>
      </c>
      <c r="H166" s="11">
        <v>1820</v>
      </c>
      <c r="I166" s="11">
        <v>0</v>
      </c>
      <c r="J166" s="11">
        <v>0</v>
      </c>
      <c r="K166" s="64"/>
      <c r="L166" s="64"/>
      <c r="M166" s="6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3">
      <c r="A167" s="59" t="s">
        <v>556</v>
      </c>
      <c r="B167" s="59" t="s">
        <v>39</v>
      </c>
      <c r="C167" s="20">
        <v>719</v>
      </c>
      <c r="D167" s="19">
        <v>1</v>
      </c>
      <c r="E167" s="19">
        <v>1</v>
      </c>
      <c r="F167" s="60" t="s">
        <v>390</v>
      </c>
      <c r="G167" s="60" t="s">
        <v>391</v>
      </c>
      <c r="H167" s="20">
        <v>1595</v>
      </c>
      <c r="I167" s="20">
        <v>1365</v>
      </c>
      <c r="J167" s="20">
        <v>1365</v>
      </c>
      <c r="K167" s="61"/>
      <c r="L167" s="61">
        <v>46377</v>
      </c>
      <c r="M167" s="61">
        <v>45983</v>
      </c>
      <c r="O167" s="20">
        <v>1365</v>
      </c>
      <c r="P167" s="20"/>
      <c r="Q167" s="20"/>
      <c r="R167" s="20">
        <v>25</v>
      </c>
      <c r="S167" s="20">
        <v>10</v>
      </c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x14ac:dyDescent="0.3">
      <c r="A168" s="62" t="s">
        <v>557</v>
      </c>
      <c r="B168" s="62" t="s">
        <v>56</v>
      </c>
      <c r="C168" s="11">
        <v>941</v>
      </c>
      <c r="D168" s="10">
        <v>1</v>
      </c>
      <c r="E168" s="10">
        <v>1</v>
      </c>
      <c r="F168" s="63" t="s">
        <v>390</v>
      </c>
      <c r="G168" s="63" t="s">
        <v>391</v>
      </c>
      <c r="H168" s="11">
        <v>1860</v>
      </c>
      <c r="I168" s="11">
        <v>1860</v>
      </c>
      <c r="J168" s="11">
        <v>1860</v>
      </c>
      <c r="K168" s="64"/>
      <c r="L168" s="64">
        <v>46234</v>
      </c>
      <c r="M168" s="64">
        <v>45870</v>
      </c>
      <c r="O168" s="11">
        <v>1860</v>
      </c>
      <c r="P168" s="11"/>
      <c r="Q168" s="11"/>
      <c r="R168" s="11">
        <v>25</v>
      </c>
      <c r="S168" s="11">
        <v>10</v>
      </c>
      <c r="T168" s="11"/>
      <c r="U168" s="11"/>
      <c r="V168" s="11"/>
      <c r="W168" s="11"/>
      <c r="X168" s="11"/>
      <c r="Y168" s="11">
        <v>40</v>
      </c>
      <c r="Z168" s="11"/>
      <c r="AA168" s="11"/>
      <c r="AB168" s="11"/>
    </row>
    <row r="169" spans="1:28" x14ac:dyDescent="0.3">
      <c r="A169" s="59" t="s">
        <v>558</v>
      </c>
      <c r="B169" s="59" t="s">
        <v>45</v>
      </c>
      <c r="C169" s="20">
        <v>736</v>
      </c>
      <c r="D169" s="19">
        <v>1</v>
      </c>
      <c r="E169" s="19">
        <v>1</v>
      </c>
      <c r="F169" s="60" t="s">
        <v>390</v>
      </c>
      <c r="G169" s="60" t="s">
        <v>391</v>
      </c>
      <c r="H169" s="20">
        <v>1690</v>
      </c>
      <c r="I169" s="20">
        <v>1550</v>
      </c>
      <c r="J169" s="20">
        <v>1550</v>
      </c>
      <c r="K169" s="61"/>
      <c r="L169" s="61">
        <v>46274</v>
      </c>
      <c r="M169" s="61">
        <v>45910</v>
      </c>
      <c r="O169" s="20">
        <v>1550</v>
      </c>
      <c r="P169" s="20"/>
      <c r="Q169" s="20"/>
      <c r="R169" s="20">
        <v>25</v>
      </c>
      <c r="S169" s="20">
        <v>10</v>
      </c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x14ac:dyDescent="0.3">
      <c r="A170" s="62" t="s">
        <v>559</v>
      </c>
      <c r="B170" s="62" t="s">
        <v>56</v>
      </c>
      <c r="C170" s="11">
        <v>941</v>
      </c>
      <c r="D170" s="10">
        <v>1</v>
      </c>
      <c r="E170" s="10">
        <v>1</v>
      </c>
      <c r="F170" s="63" t="s">
        <v>390</v>
      </c>
      <c r="G170" s="63" t="s">
        <v>391</v>
      </c>
      <c r="H170" s="11">
        <v>1860</v>
      </c>
      <c r="I170" s="11">
        <v>1860</v>
      </c>
      <c r="J170" s="11">
        <v>1860</v>
      </c>
      <c r="K170" s="64"/>
      <c r="L170" s="64">
        <v>46234</v>
      </c>
      <c r="M170" s="64">
        <v>45870</v>
      </c>
      <c r="O170" s="11">
        <v>1860</v>
      </c>
      <c r="P170" s="11"/>
      <c r="Q170" s="11"/>
      <c r="R170" s="11"/>
      <c r="S170" s="11">
        <v>10</v>
      </c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3">
      <c r="A171" s="59" t="s">
        <v>560</v>
      </c>
      <c r="B171" s="59" t="s">
        <v>74</v>
      </c>
      <c r="C171" s="20">
        <v>1564</v>
      </c>
      <c r="D171" s="19">
        <v>3</v>
      </c>
      <c r="E171" s="19">
        <v>2</v>
      </c>
      <c r="F171" s="60" t="s">
        <v>390</v>
      </c>
      <c r="G171" s="60" t="s">
        <v>391</v>
      </c>
      <c r="H171" s="20">
        <v>2905</v>
      </c>
      <c r="I171" s="20">
        <v>2905</v>
      </c>
      <c r="J171" s="20">
        <v>2905</v>
      </c>
      <c r="K171" s="61"/>
      <c r="L171" s="61">
        <v>46278</v>
      </c>
      <c r="M171" s="61">
        <v>45457</v>
      </c>
      <c r="O171" s="20">
        <v>2905</v>
      </c>
      <c r="P171" s="20"/>
      <c r="Q171" s="20"/>
      <c r="R171" s="20">
        <v>25</v>
      </c>
      <c r="S171" s="20">
        <v>10</v>
      </c>
      <c r="T171" s="20"/>
      <c r="U171" s="20">
        <v>25</v>
      </c>
      <c r="V171" s="20"/>
      <c r="W171" s="20"/>
      <c r="X171" s="20"/>
      <c r="Y171" s="20"/>
      <c r="Z171" s="20"/>
      <c r="AA171" s="20"/>
      <c r="AB171" s="20"/>
    </row>
    <row r="172" spans="1:28" x14ac:dyDescent="0.3">
      <c r="A172" s="62" t="s">
        <v>561</v>
      </c>
      <c r="B172" s="62" t="s">
        <v>64</v>
      </c>
      <c r="C172" s="11">
        <v>1109</v>
      </c>
      <c r="D172" s="10">
        <v>2</v>
      </c>
      <c r="E172" s="10">
        <v>2</v>
      </c>
      <c r="F172" s="63" t="s">
        <v>390</v>
      </c>
      <c r="G172" s="63" t="s">
        <v>391</v>
      </c>
      <c r="H172" s="11">
        <v>2080</v>
      </c>
      <c r="I172" s="11">
        <v>1605</v>
      </c>
      <c r="J172" s="11">
        <v>1605</v>
      </c>
      <c r="K172" s="64"/>
      <c r="L172" s="64">
        <v>46433</v>
      </c>
      <c r="M172" s="64">
        <v>46038</v>
      </c>
      <c r="O172" s="11">
        <v>1605</v>
      </c>
      <c r="P172" s="11">
        <v>-802.5</v>
      </c>
      <c r="Q172" s="11"/>
      <c r="R172" s="11">
        <v>25</v>
      </c>
      <c r="S172" s="11">
        <v>10</v>
      </c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3">
      <c r="A173" s="59" t="s">
        <v>562</v>
      </c>
      <c r="B173" s="59" t="s">
        <v>45</v>
      </c>
      <c r="C173" s="20">
        <v>736</v>
      </c>
      <c r="D173" s="19">
        <v>1</v>
      </c>
      <c r="E173" s="19">
        <v>1</v>
      </c>
      <c r="F173" s="60" t="s">
        <v>390</v>
      </c>
      <c r="G173" s="60" t="s">
        <v>391</v>
      </c>
      <c r="H173" s="20">
        <v>1690</v>
      </c>
      <c r="I173" s="20">
        <v>1395</v>
      </c>
      <c r="J173" s="20">
        <v>1395</v>
      </c>
      <c r="K173" s="61"/>
      <c r="L173" s="61">
        <v>46337</v>
      </c>
      <c r="M173" s="61">
        <v>45973</v>
      </c>
      <c r="O173" s="20">
        <v>1395</v>
      </c>
      <c r="P173" s="20"/>
      <c r="Q173" s="20"/>
      <c r="R173" s="20">
        <v>25</v>
      </c>
      <c r="S173" s="20">
        <v>10</v>
      </c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x14ac:dyDescent="0.3">
      <c r="A174" s="62" t="s">
        <v>563</v>
      </c>
      <c r="B174" s="62" t="s">
        <v>48</v>
      </c>
      <c r="C174" s="11">
        <v>762</v>
      </c>
      <c r="D174" s="10">
        <v>1</v>
      </c>
      <c r="E174" s="10">
        <v>1</v>
      </c>
      <c r="F174" s="63" t="s">
        <v>390</v>
      </c>
      <c r="G174" s="63" t="s">
        <v>391</v>
      </c>
      <c r="H174" s="11">
        <v>1610</v>
      </c>
      <c r="I174" s="11">
        <v>1593</v>
      </c>
      <c r="J174" s="11">
        <v>1593</v>
      </c>
      <c r="K174" s="64"/>
      <c r="L174" s="64">
        <v>46234</v>
      </c>
      <c r="M174" s="64">
        <v>45139</v>
      </c>
      <c r="O174" s="11">
        <v>1593</v>
      </c>
      <c r="P174" s="11"/>
      <c r="Q174" s="11"/>
      <c r="R174" s="11">
        <v>25</v>
      </c>
      <c r="S174" s="11">
        <v>10</v>
      </c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3">
      <c r="A175" s="59" t="s">
        <v>564</v>
      </c>
      <c r="B175" s="59" t="s">
        <v>53</v>
      </c>
      <c r="C175" s="20">
        <v>803</v>
      </c>
      <c r="D175" s="19">
        <v>1</v>
      </c>
      <c r="E175" s="19">
        <v>1</v>
      </c>
      <c r="F175" s="60" t="s">
        <v>390</v>
      </c>
      <c r="G175" s="60" t="s">
        <v>391</v>
      </c>
      <c r="H175" s="20">
        <v>1820</v>
      </c>
      <c r="I175" s="20">
        <v>1820</v>
      </c>
      <c r="J175" s="20">
        <v>1820</v>
      </c>
      <c r="K175" s="61"/>
      <c r="L175" s="61">
        <v>46242</v>
      </c>
      <c r="M175" s="61">
        <v>45847</v>
      </c>
      <c r="O175" s="20">
        <v>1820</v>
      </c>
      <c r="P175" s="20"/>
      <c r="Q175" s="20">
        <v>250</v>
      </c>
      <c r="R175" s="20">
        <v>25</v>
      </c>
      <c r="S175" s="20">
        <v>10</v>
      </c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x14ac:dyDescent="0.3">
      <c r="A176" s="62" t="s">
        <v>565</v>
      </c>
      <c r="B176" s="62" t="s">
        <v>48</v>
      </c>
      <c r="C176" s="11">
        <v>762</v>
      </c>
      <c r="D176" s="10">
        <v>1</v>
      </c>
      <c r="E176" s="10">
        <v>1</v>
      </c>
      <c r="F176" s="63" t="s">
        <v>390</v>
      </c>
      <c r="G176" s="63" t="s">
        <v>391</v>
      </c>
      <c r="H176" s="11">
        <v>1610</v>
      </c>
      <c r="I176" s="11">
        <v>1610</v>
      </c>
      <c r="J176" s="11">
        <v>1610</v>
      </c>
      <c r="K176" s="64"/>
      <c r="L176" s="64">
        <v>46260</v>
      </c>
      <c r="M176" s="64">
        <v>45896</v>
      </c>
      <c r="O176" s="11">
        <v>1610</v>
      </c>
      <c r="P176" s="11"/>
      <c r="Q176" s="11"/>
      <c r="R176" s="11">
        <v>25</v>
      </c>
      <c r="S176" s="11">
        <v>10</v>
      </c>
      <c r="T176" s="11">
        <v>65</v>
      </c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3">
      <c r="A177" s="59" t="s">
        <v>566</v>
      </c>
      <c r="B177" s="59" t="s">
        <v>53</v>
      </c>
      <c r="C177" s="20">
        <v>803</v>
      </c>
      <c r="D177" s="19">
        <v>1</v>
      </c>
      <c r="E177" s="19">
        <v>1</v>
      </c>
      <c r="F177" s="60" t="s">
        <v>390</v>
      </c>
      <c r="G177" s="60" t="s">
        <v>391</v>
      </c>
      <c r="H177" s="20">
        <v>1820</v>
      </c>
      <c r="I177" s="20">
        <v>1820</v>
      </c>
      <c r="J177" s="20">
        <v>1820</v>
      </c>
      <c r="K177" s="61"/>
      <c r="L177" s="61">
        <v>46533</v>
      </c>
      <c r="M177" s="61">
        <v>45774</v>
      </c>
      <c r="O177" s="20">
        <v>1820</v>
      </c>
      <c r="P177" s="20"/>
      <c r="Q177" s="20"/>
      <c r="R177" s="20">
        <v>25</v>
      </c>
      <c r="S177" s="20">
        <v>10</v>
      </c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x14ac:dyDescent="0.3">
      <c r="A178" s="62" t="s">
        <v>567</v>
      </c>
      <c r="B178" s="62" t="s">
        <v>32</v>
      </c>
      <c r="C178" s="11">
        <v>690</v>
      </c>
      <c r="D178" s="10">
        <v>1</v>
      </c>
      <c r="E178" s="10">
        <v>1</v>
      </c>
      <c r="F178" s="63" t="s">
        <v>390</v>
      </c>
      <c r="G178" s="63" t="s">
        <v>391</v>
      </c>
      <c r="H178" s="11">
        <v>1580</v>
      </c>
      <c r="I178" s="11">
        <v>1350</v>
      </c>
      <c r="J178" s="11">
        <v>1350</v>
      </c>
      <c r="K178" s="64"/>
      <c r="L178" s="64">
        <v>46547</v>
      </c>
      <c r="M178" s="64">
        <v>46122</v>
      </c>
      <c r="O178" s="11">
        <v>1350</v>
      </c>
      <c r="P178" s="11">
        <v>-675</v>
      </c>
      <c r="Q178" s="11"/>
      <c r="R178" s="11">
        <v>25</v>
      </c>
      <c r="S178" s="11">
        <v>10</v>
      </c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3">
      <c r="A179" s="59" t="s">
        <v>568</v>
      </c>
      <c r="B179" s="59" t="s">
        <v>64</v>
      </c>
      <c r="C179" s="20">
        <v>1109</v>
      </c>
      <c r="D179" s="19">
        <v>2</v>
      </c>
      <c r="E179" s="19">
        <v>2</v>
      </c>
      <c r="F179" s="60" t="s">
        <v>390</v>
      </c>
      <c r="G179" s="60" t="s">
        <v>391</v>
      </c>
      <c r="H179" s="20">
        <v>2255</v>
      </c>
      <c r="I179" s="20">
        <v>2255</v>
      </c>
      <c r="J179" s="20">
        <v>2255</v>
      </c>
      <c r="K179" s="61"/>
      <c r="L179" s="61">
        <v>46358</v>
      </c>
      <c r="M179" s="61">
        <v>45538</v>
      </c>
      <c r="O179" s="20">
        <v>2255</v>
      </c>
      <c r="P179" s="20"/>
      <c r="Q179" s="20">
        <v>350</v>
      </c>
      <c r="R179" s="20">
        <v>25</v>
      </c>
      <c r="S179" s="20">
        <v>10</v>
      </c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x14ac:dyDescent="0.3">
      <c r="A180" s="62" t="s">
        <v>569</v>
      </c>
      <c r="B180" s="62" t="s">
        <v>59</v>
      </c>
      <c r="C180" s="11">
        <v>1082</v>
      </c>
      <c r="D180" s="10">
        <v>2</v>
      </c>
      <c r="E180" s="10">
        <v>2</v>
      </c>
      <c r="F180" s="63" t="s">
        <v>390</v>
      </c>
      <c r="G180" s="63" t="s">
        <v>391</v>
      </c>
      <c r="H180" s="11">
        <v>2305</v>
      </c>
      <c r="I180" s="11">
        <v>2305</v>
      </c>
      <c r="J180" s="11">
        <v>2305</v>
      </c>
      <c r="K180" s="64"/>
      <c r="L180" s="64">
        <v>46265</v>
      </c>
      <c r="M180" s="64">
        <v>45768</v>
      </c>
      <c r="O180" s="11">
        <v>2305</v>
      </c>
      <c r="P180" s="11"/>
      <c r="Q180" s="11"/>
      <c r="R180" s="11">
        <v>25</v>
      </c>
      <c r="S180" s="11">
        <v>10</v>
      </c>
      <c r="T180" s="11"/>
      <c r="U180" s="11"/>
      <c r="V180" s="11"/>
      <c r="W180" s="11">
        <v>250</v>
      </c>
      <c r="X180" s="11"/>
      <c r="Y180" s="11"/>
      <c r="Z180" s="11"/>
      <c r="AA180" s="11"/>
      <c r="AB180" s="11"/>
    </row>
    <row r="181" spans="1:28" x14ac:dyDescent="0.3">
      <c r="A181" s="59" t="s">
        <v>570</v>
      </c>
      <c r="B181" s="59" t="s">
        <v>68</v>
      </c>
      <c r="C181" s="20">
        <v>1213</v>
      </c>
      <c r="D181" s="19">
        <v>2</v>
      </c>
      <c r="E181" s="19">
        <v>2</v>
      </c>
      <c r="F181" s="60" t="s">
        <v>390</v>
      </c>
      <c r="G181" s="60" t="s">
        <v>391</v>
      </c>
      <c r="H181" s="20">
        <v>2210</v>
      </c>
      <c r="I181" s="20">
        <v>2210</v>
      </c>
      <c r="J181" s="20">
        <v>2210</v>
      </c>
      <c r="K181" s="61"/>
      <c r="L181" s="61">
        <v>46474</v>
      </c>
      <c r="M181" s="61">
        <v>45745</v>
      </c>
      <c r="O181" s="20">
        <v>2210</v>
      </c>
      <c r="P181" s="20"/>
      <c r="Q181" s="20">
        <v>200</v>
      </c>
      <c r="R181" s="20">
        <v>25</v>
      </c>
      <c r="S181" s="20">
        <v>10</v>
      </c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x14ac:dyDescent="0.3">
      <c r="A182" s="62" t="s">
        <v>571</v>
      </c>
      <c r="B182" s="62" t="s">
        <v>51</v>
      </c>
      <c r="C182" s="11">
        <v>762</v>
      </c>
      <c r="D182" s="10">
        <v>1</v>
      </c>
      <c r="E182" s="10">
        <v>1</v>
      </c>
      <c r="F182" s="63" t="s">
        <v>390</v>
      </c>
      <c r="G182" s="63" t="s">
        <v>391</v>
      </c>
      <c r="H182" s="11">
        <v>1605</v>
      </c>
      <c r="I182" s="11">
        <v>1605</v>
      </c>
      <c r="J182" s="11">
        <v>1605</v>
      </c>
      <c r="K182" s="64"/>
      <c r="L182" s="64">
        <v>46227</v>
      </c>
      <c r="M182" s="64">
        <v>45863</v>
      </c>
      <c r="O182" s="11">
        <v>1605</v>
      </c>
      <c r="P182" s="11"/>
      <c r="Q182" s="11"/>
      <c r="R182" s="11">
        <v>25</v>
      </c>
      <c r="S182" s="11">
        <v>10</v>
      </c>
      <c r="T182" s="11"/>
      <c r="U182" s="11">
        <v>25</v>
      </c>
      <c r="V182" s="11"/>
      <c r="W182" s="11"/>
      <c r="X182" s="11"/>
      <c r="Y182" s="11"/>
      <c r="Z182" s="11"/>
      <c r="AA182" s="11"/>
      <c r="AB182" s="11"/>
    </row>
    <row r="183" spans="1:28" x14ac:dyDescent="0.3">
      <c r="A183" s="59" t="s">
        <v>572</v>
      </c>
      <c r="B183" s="59" t="s">
        <v>51</v>
      </c>
      <c r="C183" s="20">
        <v>762</v>
      </c>
      <c r="D183" s="19">
        <v>1</v>
      </c>
      <c r="E183" s="19">
        <v>1</v>
      </c>
      <c r="F183" s="60" t="s">
        <v>390</v>
      </c>
      <c r="G183" s="60" t="s">
        <v>391</v>
      </c>
      <c r="H183" s="20">
        <v>1605</v>
      </c>
      <c r="I183" s="20">
        <v>1385</v>
      </c>
      <c r="J183" s="20">
        <v>1385</v>
      </c>
      <c r="K183" s="61"/>
      <c r="L183" s="61">
        <v>46426</v>
      </c>
      <c r="M183" s="61">
        <v>46031</v>
      </c>
      <c r="O183" s="20">
        <v>1385</v>
      </c>
      <c r="P183" s="20">
        <v>-692.5</v>
      </c>
      <c r="Q183" s="20"/>
      <c r="R183" s="20">
        <v>25</v>
      </c>
      <c r="S183" s="20">
        <v>10</v>
      </c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x14ac:dyDescent="0.3">
      <c r="A184" s="62" t="s">
        <v>573</v>
      </c>
      <c r="B184" s="62" t="s">
        <v>68</v>
      </c>
      <c r="C184" s="11">
        <v>1213</v>
      </c>
      <c r="D184" s="10">
        <v>2</v>
      </c>
      <c r="E184" s="10">
        <v>2</v>
      </c>
      <c r="F184" s="63" t="s">
        <v>390</v>
      </c>
      <c r="G184" s="63" t="s">
        <v>391</v>
      </c>
      <c r="H184" s="11">
        <v>2210</v>
      </c>
      <c r="I184" s="11">
        <v>2182</v>
      </c>
      <c r="J184" s="11">
        <v>2182</v>
      </c>
      <c r="K184" s="64"/>
      <c r="L184" s="64">
        <v>46487</v>
      </c>
      <c r="M184" s="64">
        <v>45576</v>
      </c>
      <c r="O184" s="11">
        <v>2182</v>
      </c>
      <c r="P184" s="11"/>
      <c r="Q184" s="11"/>
      <c r="R184" s="11">
        <v>25</v>
      </c>
      <c r="S184" s="11">
        <v>10</v>
      </c>
      <c r="T184" s="11"/>
      <c r="U184" s="11">
        <v>25</v>
      </c>
      <c r="V184" s="11"/>
      <c r="W184" s="11"/>
      <c r="X184" s="11"/>
      <c r="Y184" s="11"/>
      <c r="Z184" s="11"/>
      <c r="AA184" s="11"/>
      <c r="AB184" s="11"/>
    </row>
    <row r="185" spans="1:28" x14ac:dyDescent="0.3">
      <c r="A185" s="59" t="s">
        <v>574</v>
      </c>
      <c r="B185" s="59" t="s">
        <v>59</v>
      </c>
      <c r="C185" s="20">
        <v>1082</v>
      </c>
      <c r="D185" s="19">
        <v>2</v>
      </c>
      <c r="E185" s="19">
        <v>2</v>
      </c>
      <c r="F185" s="60" t="s">
        <v>390</v>
      </c>
      <c r="G185" s="60" t="s">
        <v>391</v>
      </c>
      <c r="H185" s="20">
        <v>2355</v>
      </c>
      <c r="I185" s="20">
        <v>1955</v>
      </c>
      <c r="J185" s="20">
        <v>1955</v>
      </c>
      <c r="K185" s="61"/>
      <c r="L185" s="61">
        <v>46179</v>
      </c>
      <c r="M185" s="61">
        <v>45815</v>
      </c>
      <c r="O185" s="20">
        <v>1955</v>
      </c>
      <c r="P185" s="20"/>
      <c r="Q185" s="20">
        <v>200</v>
      </c>
      <c r="R185" s="20">
        <v>25</v>
      </c>
      <c r="S185" s="20">
        <v>10</v>
      </c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x14ac:dyDescent="0.3">
      <c r="A186" s="62" t="s">
        <v>575</v>
      </c>
      <c r="B186" s="62" t="s">
        <v>68</v>
      </c>
      <c r="C186" s="11">
        <v>1213</v>
      </c>
      <c r="D186" s="10">
        <v>2</v>
      </c>
      <c r="E186" s="10">
        <v>2</v>
      </c>
      <c r="F186" s="63" t="s">
        <v>390</v>
      </c>
      <c r="G186" s="63" t="s">
        <v>391</v>
      </c>
      <c r="H186" s="11">
        <v>2130</v>
      </c>
      <c r="I186" s="11">
        <v>2130</v>
      </c>
      <c r="J186" s="11">
        <v>2130</v>
      </c>
      <c r="K186" s="64"/>
      <c r="L186" s="64">
        <v>46282</v>
      </c>
      <c r="M186" s="64">
        <v>45614</v>
      </c>
      <c r="O186" s="11">
        <v>2130</v>
      </c>
      <c r="P186" s="11"/>
      <c r="Q186" s="11">
        <v>160</v>
      </c>
      <c r="R186" s="11">
        <v>25</v>
      </c>
      <c r="S186" s="11">
        <v>10</v>
      </c>
      <c r="T186" s="11">
        <v>55</v>
      </c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3">
      <c r="A187" s="59" t="s">
        <v>576</v>
      </c>
      <c r="B187" s="59" t="s">
        <v>36</v>
      </c>
      <c r="C187" s="20">
        <v>698</v>
      </c>
      <c r="D187" s="19">
        <v>1</v>
      </c>
      <c r="E187" s="19">
        <v>1</v>
      </c>
      <c r="F187" s="60" t="s">
        <v>390</v>
      </c>
      <c r="G187" s="60" t="s">
        <v>391</v>
      </c>
      <c r="H187" s="20">
        <v>1755</v>
      </c>
      <c r="I187" s="20">
        <v>1340</v>
      </c>
      <c r="J187" s="20">
        <v>1340</v>
      </c>
      <c r="K187" s="61"/>
      <c r="L187" s="61">
        <v>46226</v>
      </c>
      <c r="M187" s="61">
        <v>45681</v>
      </c>
      <c r="O187" s="20">
        <v>1340</v>
      </c>
      <c r="P187" s="20"/>
      <c r="Q187" s="20"/>
      <c r="R187" s="20">
        <v>25</v>
      </c>
      <c r="S187" s="20">
        <v>10</v>
      </c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x14ac:dyDescent="0.3">
      <c r="A188" s="62" t="s">
        <v>577</v>
      </c>
      <c r="B188" s="62" t="s">
        <v>48</v>
      </c>
      <c r="C188" s="11">
        <v>762</v>
      </c>
      <c r="D188" s="10">
        <v>1</v>
      </c>
      <c r="E188" s="10">
        <v>1</v>
      </c>
      <c r="F188" s="63" t="s">
        <v>390</v>
      </c>
      <c r="G188" s="63" t="s">
        <v>391</v>
      </c>
      <c r="H188" s="11">
        <v>1565</v>
      </c>
      <c r="I188" s="11">
        <v>1570</v>
      </c>
      <c r="J188" s="11">
        <v>1570</v>
      </c>
      <c r="K188" s="64"/>
      <c r="L188" s="64">
        <v>46167</v>
      </c>
      <c r="M188" s="64">
        <v>45072</v>
      </c>
      <c r="O188" s="11">
        <v>1570</v>
      </c>
      <c r="P188" s="11"/>
      <c r="Q188" s="11"/>
      <c r="R188" s="11">
        <v>25</v>
      </c>
      <c r="S188" s="11">
        <v>10</v>
      </c>
      <c r="T188" s="11"/>
      <c r="U188" s="11">
        <v>50</v>
      </c>
      <c r="V188" s="11"/>
      <c r="W188" s="11"/>
      <c r="X188" s="11"/>
      <c r="Y188" s="11"/>
      <c r="Z188" s="11"/>
      <c r="AA188" s="11"/>
      <c r="AB188" s="11"/>
    </row>
    <row r="189" spans="1:28" x14ac:dyDescent="0.3">
      <c r="A189" s="59" t="s">
        <v>578</v>
      </c>
      <c r="B189" s="59" t="s">
        <v>36</v>
      </c>
      <c r="C189" s="20">
        <v>698</v>
      </c>
      <c r="D189" s="19">
        <v>1</v>
      </c>
      <c r="E189" s="19">
        <v>1</v>
      </c>
      <c r="F189" s="60" t="s">
        <v>390</v>
      </c>
      <c r="G189" s="60" t="s">
        <v>391</v>
      </c>
      <c r="H189" s="20">
        <v>1755</v>
      </c>
      <c r="I189" s="20">
        <v>1399</v>
      </c>
      <c r="J189" s="20">
        <v>1399</v>
      </c>
      <c r="K189" s="61"/>
      <c r="L189" s="61">
        <v>46535</v>
      </c>
      <c r="M189" s="61">
        <v>46110</v>
      </c>
      <c r="O189" s="20">
        <v>1399</v>
      </c>
      <c r="P189" s="20">
        <v>-699.5</v>
      </c>
      <c r="Q189" s="20"/>
      <c r="R189" s="20">
        <v>25</v>
      </c>
      <c r="S189" s="20">
        <v>10</v>
      </c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x14ac:dyDescent="0.3">
      <c r="A190" s="62" t="s">
        <v>579</v>
      </c>
      <c r="B190" s="62" t="s">
        <v>48</v>
      </c>
      <c r="C190" s="11">
        <v>762</v>
      </c>
      <c r="D190" s="10">
        <v>1</v>
      </c>
      <c r="E190" s="10">
        <v>1</v>
      </c>
      <c r="F190" s="63" t="s">
        <v>390</v>
      </c>
      <c r="G190" s="63" t="s">
        <v>391</v>
      </c>
      <c r="H190" s="11">
        <v>1565</v>
      </c>
      <c r="I190" s="11">
        <v>1419</v>
      </c>
      <c r="J190" s="11">
        <v>1419</v>
      </c>
      <c r="K190" s="64"/>
      <c r="L190" s="64">
        <v>46498</v>
      </c>
      <c r="M190" s="64">
        <v>45710</v>
      </c>
      <c r="O190" s="11">
        <v>1419</v>
      </c>
      <c r="P190" s="11"/>
      <c r="Q190" s="11">
        <v>200</v>
      </c>
      <c r="R190" s="11">
        <v>25</v>
      </c>
      <c r="S190" s="11">
        <v>10</v>
      </c>
      <c r="T190" s="11"/>
      <c r="U190" s="11">
        <v>25</v>
      </c>
      <c r="V190" s="11"/>
      <c r="W190" s="11"/>
      <c r="X190" s="11"/>
      <c r="Y190" s="11"/>
      <c r="Z190" s="11"/>
      <c r="AA190" s="11"/>
      <c r="AB190" s="11"/>
    </row>
    <row r="191" spans="1:28" x14ac:dyDescent="0.3">
      <c r="A191" s="59" t="s">
        <v>580</v>
      </c>
      <c r="B191" s="59" t="s">
        <v>59</v>
      </c>
      <c r="C191" s="20">
        <v>1082</v>
      </c>
      <c r="D191" s="19">
        <v>2</v>
      </c>
      <c r="E191" s="19">
        <v>2</v>
      </c>
      <c r="F191" s="60" t="s">
        <v>390</v>
      </c>
      <c r="G191" s="60" t="s">
        <v>391</v>
      </c>
      <c r="H191" s="20">
        <v>2355</v>
      </c>
      <c r="I191" s="20">
        <v>2355</v>
      </c>
      <c r="J191" s="20">
        <v>2355</v>
      </c>
      <c r="K191" s="61"/>
      <c r="L191" s="61">
        <v>46224</v>
      </c>
      <c r="M191" s="61">
        <v>45313</v>
      </c>
      <c r="O191" s="20">
        <v>2355</v>
      </c>
      <c r="P191" s="20"/>
      <c r="Q191" s="20"/>
      <c r="R191" s="20">
        <v>25</v>
      </c>
      <c r="S191" s="20">
        <v>10</v>
      </c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x14ac:dyDescent="0.3">
      <c r="A192" s="62" t="s">
        <v>581</v>
      </c>
      <c r="B192" s="62" t="s">
        <v>68</v>
      </c>
      <c r="C192" s="11">
        <v>1213</v>
      </c>
      <c r="D192" s="10">
        <v>2</v>
      </c>
      <c r="E192" s="10">
        <v>2</v>
      </c>
      <c r="F192" s="63" t="s">
        <v>390</v>
      </c>
      <c r="G192" s="63" t="s">
        <v>391</v>
      </c>
      <c r="H192" s="11">
        <v>2130</v>
      </c>
      <c r="I192" s="11">
        <v>2130</v>
      </c>
      <c r="J192" s="11">
        <v>2130</v>
      </c>
      <c r="K192" s="64"/>
      <c r="L192" s="64">
        <v>46469</v>
      </c>
      <c r="M192" s="64">
        <v>46077</v>
      </c>
      <c r="O192" s="11">
        <v>2130</v>
      </c>
      <c r="P192" s="11">
        <v>-1065</v>
      </c>
      <c r="Q192" s="11">
        <v>230</v>
      </c>
      <c r="R192" s="11">
        <v>25</v>
      </c>
      <c r="S192" s="11">
        <v>10</v>
      </c>
      <c r="T192" s="11">
        <v>65</v>
      </c>
      <c r="U192" s="11"/>
      <c r="V192" s="11"/>
      <c r="W192" s="11"/>
      <c r="X192" s="11"/>
      <c r="Y192" s="11"/>
      <c r="Z192" s="11"/>
      <c r="AA192" s="11"/>
      <c r="AB192" s="11"/>
    </row>
    <row r="193" spans="1:28" x14ac:dyDescent="0.3">
      <c r="A193" s="59" t="s">
        <v>582</v>
      </c>
      <c r="B193" s="59" t="s">
        <v>59</v>
      </c>
      <c r="C193" s="20">
        <v>1082</v>
      </c>
      <c r="D193" s="19">
        <v>2</v>
      </c>
      <c r="E193" s="19">
        <v>2</v>
      </c>
      <c r="F193" s="60" t="s">
        <v>390</v>
      </c>
      <c r="G193" s="60" t="s">
        <v>391</v>
      </c>
      <c r="H193" s="20">
        <v>2355</v>
      </c>
      <c r="I193" s="20">
        <v>2355</v>
      </c>
      <c r="J193" s="20">
        <v>2355</v>
      </c>
      <c r="K193" s="61"/>
      <c r="L193" s="61">
        <v>46477</v>
      </c>
      <c r="M193" s="61">
        <v>45748</v>
      </c>
      <c r="O193" s="20">
        <v>2355</v>
      </c>
      <c r="P193" s="20"/>
      <c r="Q193" s="20">
        <v>160</v>
      </c>
      <c r="R193" s="20">
        <v>25</v>
      </c>
      <c r="S193" s="20">
        <v>10</v>
      </c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x14ac:dyDescent="0.3">
      <c r="A194" s="62" t="s">
        <v>583</v>
      </c>
      <c r="B194" s="62" t="s">
        <v>68</v>
      </c>
      <c r="C194" s="11">
        <v>1213</v>
      </c>
      <c r="D194" s="10">
        <v>2</v>
      </c>
      <c r="E194" s="10">
        <v>2</v>
      </c>
      <c r="F194" s="63" t="s">
        <v>390</v>
      </c>
      <c r="G194" s="63" t="s">
        <v>391</v>
      </c>
      <c r="H194" s="11">
        <v>2175</v>
      </c>
      <c r="I194" s="11">
        <v>2175</v>
      </c>
      <c r="J194" s="11">
        <v>2175</v>
      </c>
      <c r="K194" s="64"/>
      <c r="L194" s="64">
        <v>46166</v>
      </c>
      <c r="M194" s="64">
        <v>45802</v>
      </c>
      <c r="O194" s="11">
        <v>2175</v>
      </c>
      <c r="P194" s="11"/>
      <c r="Q194" s="11"/>
      <c r="R194" s="11">
        <v>25</v>
      </c>
      <c r="S194" s="11">
        <v>10</v>
      </c>
      <c r="T194" s="11"/>
      <c r="U194" s="11">
        <v>50</v>
      </c>
      <c r="V194" s="11"/>
      <c r="W194" s="11"/>
      <c r="X194" s="11"/>
      <c r="Y194" s="11"/>
      <c r="Z194" s="11"/>
      <c r="AA194" s="11"/>
      <c r="AB194" s="11"/>
    </row>
    <row r="195" spans="1:28" x14ac:dyDescent="0.3">
      <c r="A195" s="59" t="s">
        <v>584</v>
      </c>
      <c r="B195" s="59" t="s">
        <v>36</v>
      </c>
      <c r="C195" s="20">
        <v>698</v>
      </c>
      <c r="D195" s="19">
        <v>1</v>
      </c>
      <c r="E195" s="19">
        <v>1</v>
      </c>
      <c r="F195" s="60" t="s">
        <v>390</v>
      </c>
      <c r="G195" s="60" t="s">
        <v>391</v>
      </c>
      <c r="H195" s="20">
        <v>1800</v>
      </c>
      <c r="I195" s="20">
        <v>1800</v>
      </c>
      <c r="J195" s="20">
        <v>1800</v>
      </c>
      <c r="K195" s="61"/>
      <c r="L195" s="61">
        <v>46197</v>
      </c>
      <c r="M195" s="61">
        <v>45833</v>
      </c>
      <c r="O195" s="20">
        <v>1800</v>
      </c>
      <c r="P195" s="20"/>
      <c r="Q195" s="20"/>
      <c r="R195" s="20">
        <v>25</v>
      </c>
      <c r="S195" s="20">
        <v>10</v>
      </c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x14ac:dyDescent="0.3">
      <c r="A196" s="62" t="s">
        <v>585</v>
      </c>
      <c r="B196" s="62" t="s">
        <v>48</v>
      </c>
      <c r="C196" s="11">
        <v>762</v>
      </c>
      <c r="D196" s="10">
        <v>1</v>
      </c>
      <c r="E196" s="10">
        <v>1</v>
      </c>
      <c r="F196" s="63" t="s">
        <v>390</v>
      </c>
      <c r="G196" s="63" t="s">
        <v>391</v>
      </c>
      <c r="H196" s="11">
        <v>1610</v>
      </c>
      <c r="I196" s="11">
        <v>1634</v>
      </c>
      <c r="J196" s="11">
        <v>1634</v>
      </c>
      <c r="K196" s="64"/>
      <c r="L196" s="64">
        <v>46173</v>
      </c>
      <c r="M196" s="64">
        <v>45444</v>
      </c>
      <c r="O196" s="11">
        <v>1634</v>
      </c>
      <c r="P196" s="11"/>
      <c r="Q196" s="11"/>
      <c r="R196" s="11">
        <v>25</v>
      </c>
      <c r="S196" s="11">
        <v>10</v>
      </c>
      <c r="T196" s="11"/>
      <c r="U196" s="11"/>
      <c r="V196" s="11"/>
      <c r="W196" s="11"/>
      <c r="X196" s="11"/>
      <c r="Y196" s="11"/>
      <c r="Z196" s="11"/>
      <c r="AA196" s="11"/>
      <c r="AB196" s="11">
        <v>25</v>
      </c>
    </row>
    <row r="197" spans="1:28" x14ac:dyDescent="0.3">
      <c r="A197" s="59" t="s">
        <v>586</v>
      </c>
      <c r="B197" s="59" t="s">
        <v>36</v>
      </c>
      <c r="C197" s="20">
        <v>698</v>
      </c>
      <c r="D197" s="19">
        <v>1</v>
      </c>
      <c r="E197" s="19">
        <v>1</v>
      </c>
      <c r="F197" s="60" t="s">
        <v>390</v>
      </c>
      <c r="G197" s="60" t="s">
        <v>391</v>
      </c>
      <c r="H197" s="20">
        <v>1800</v>
      </c>
      <c r="I197" s="20">
        <v>1387</v>
      </c>
      <c r="J197" s="20">
        <v>1387</v>
      </c>
      <c r="K197" s="61"/>
      <c r="L197" s="61">
        <v>46486</v>
      </c>
      <c r="M197" s="61">
        <v>46063</v>
      </c>
      <c r="O197" s="20">
        <v>1387</v>
      </c>
      <c r="P197" s="20">
        <v>-692</v>
      </c>
      <c r="Q197" s="20">
        <v>230</v>
      </c>
      <c r="R197" s="20">
        <v>25</v>
      </c>
      <c r="S197" s="20">
        <v>10</v>
      </c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x14ac:dyDescent="0.3">
      <c r="A198" s="62" t="s">
        <v>587</v>
      </c>
      <c r="B198" s="62" t="s">
        <v>48</v>
      </c>
      <c r="C198" s="11">
        <v>762</v>
      </c>
      <c r="D198" s="10">
        <v>1</v>
      </c>
      <c r="E198" s="10">
        <v>1</v>
      </c>
      <c r="F198" s="63" t="s">
        <v>390</v>
      </c>
      <c r="G198" s="63" t="s">
        <v>391</v>
      </c>
      <c r="H198" s="11">
        <v>1610</v>
      </c>
      <c r="I198" s="11">
        <v>1398</v>
      </c>
      <c r="J198" s="11">
        <v>1398</v>
      </c>
      <c r="K198" s="64"/>
      <c r="L198" s="64">
        <v>46591</v>
      </c>
      <c r="M198" s="64">
        <v>46105</v>
      </c>
      <c r="O198" s="11">
        <v>1398</v>
      </c>
      <c r="P198" s="11">
        <v>-699</v>
      </c>
      <c r="Q198" s="11"/>
      <c r="R198" s="11"/>
      <c r="S198" s="11">
        <v>10</v>
      </c>
      <c r="T198" s="11"/>
      <c r="U198" s="11"/>
      <c r="V198" s="11"/>
      <c r="W198" s="11"/>
      <c r="X198" s="11"/>
      <c r="Y198" s="11"/>
      <c r="Z198" s="11">
        <v>25</v>
      </c>
      <c r="AA198" s="11"/>
      <c r="AB198" s="11"/>
    </row>
    <row r="199" spans="1:28" x14ac:dyDescent="0.3">
      <c r="A199" s="59" t="s">
        <v>588</v>
      </c>
      <c r="B199" s="59" t="s">
        <v>59</v>
      </c>
      <c r="C199" s="20">
        <v>1082</v>
      </c>
      <c r="D199" s="19">
        <v>2</v>
      </c>
      <c r="E199" s="19">
        <v>2</v>
      </c>
      <c r="F199" s="60" t="s">
        <v>390</v>
      </c>
      <c r="G199" s="60" t="s">
        <v>391</v>
      </c>
      <c r="H199" s="20">
        <v>2400</v>
      </c>
      <c r="I199" s="20">
        <v>2400</v>
      </c>
      <c r="J199" s="20">
        <v>2400</v>
      </c>
      <c r="K199" s="61"/>
      <c r="L199" s="61">
        <v>46308</v>
      </c>
      <c r="M199" s="61">
        <v>45822</v>
      </c>
      <c r="O199" s="20">
        <v>2400</v>
      </c>
      <c r="P199" s="20"/>
      <c r="Q199" s="20">
        <v>225</v>
      </c>
      <c r="R199" s="20">
        <v>25</v>
      </c>
      <c r="S199" s="20">
        <v>10</v>
      </c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x14ac:dyDescent="0.3">
      <c r="A200" s="62" t="s">
        <v>589</v>
      </c>
      <c r="B200" s="62" t="s">
        <v>68</v>
      </c>
      <c r="C200" s="11">
        <v>1213</v>
      </c>
      <c r="D200" s="10">
        <v>2</v>
      </c>
      <c r="E200" s="10">
        <v>2</v>
      </c>
      <c r="F200" s="63" t="s">
        <v>390</v>
      </c>
      <c r="G200" s="63" t="s">
        <v>391</v>
      </c>
      <c r="H200" s="11">
        <v>2175</v>
      </c>
      <c r="I200" s="11">
        <v>2136</v>
      </c>
      <c r="J200" s="11">
        <v>2136</v>
      </c>
      <c r="K200" s="64"/>
      <c r="L200" s="64">
        <v>46630</v>
      </c>
      <c r="M200" s="64">
        <v>45717</v>
      </c>
      <c r="O200" s="11">
        <v>2136</v>
      </c>
      <c r="P200" s="11"/>
      <c r="Q200" s="11"/>
      <c r="R200" s="11">
        <v>25</v>
      </c>
      <c r="S200" s="11">
        <v>10</v>
      </c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x14ac:dyDescent="0.3">
      <c r="A201" s="59" t="s">
        <v>590</v>
      </c>
      <c r="B201" s="59" t="s">
        <v>62</v>
      </c>
      <c r="C201" s="20">
        <v>1082</v>
      </c>
      <c r="D201" s="19">
        <v>2</v>
      </c>
      <c r="E201" s="19">
        <v>2</v>
      </c>
      <c r="F201" s="60" t="s">
        <v>390</v>
      </c>
      <c r="G201" s="60" t="s">
        <v>391</v>
      </c>
      <c r="H201" s="20">
        <v>2190</v>
      </c>
      <c r="I201" s="20">
        <v>2190</v>
      </c>
      <c r="J201" s="20">
        <v>2190</v>
      </c>
      <c r="K201" s="61"/>
      <c r="L201" s="61">
        <v>46286</v>
      </c>
      <c r="M201" s="61">
        <v>45860</v>
      </c>
      <c r="O201" s="20">
        <v>2190</v>
      </c>
      <c r="P201" s="20"/>
      <c r="Q201" s="20">
        <v>350</v>
      </c>
      <c r="R201" s="20">
        <v>25</v>
      </c>
      <c r="S201" s="20">
        <v>10</v>
      </c>
      <c r="T201" s="20">
        <v>130</v>
      </c>
      <c r="U201" s="20"/>
      <c r="V201" s="20"/>
      <c r="W201" s="20"/>
      <c r="X201" s="20"/>
      <c r="Y201" s="20"/>
      <c r="Z201" s="20"/>
      <c r="AA201" s="20"/>
      <c r="AB201" s="20"/>
    </row>
    <row r="202" spans="1:28" x14ac:dyDescent="0.3">
      <c r="A202" s="62" t="s">
        <v>591</v>
      </c>
      <c r="B202" s="62" t="s">
        <v>39</v>
      </c>
      <c r="C202" s="11">
        <v>719</v>
      </c>
      <c r="D202" s="10">
        <v>1</v>
      </c>
      <c r="E202" s="10">
        <v>1</v>
      </c>
      <c r="F202" s="63" t="s">
        <v>390</v>
      </c>
      <c r="G202" s="63" t="s">
        <v>391</v>
      </c>
      <c r="H202" s="11">
        <v>1630</v>
      </c>
      <c r="I202" s="11">
        <v>1630</v>
      </c>
      <c r="J202" s="11">
        <v>1630</v>
      </c>
      <c r="K202" s="64"/>
      <c r="L202" s="64">
        <v>46396</v>
      </c>
      <c r="M202" s="64">
        <v>45392</v>
      </c>
      <c r="O202" s="11">
        <v>1630</v>
      </c>
      <c r="P202" s="11"/>
      <c r="Q202" s="11"/>
      <c r="R202" s="11">
        <v>25</v>
      </c>
      <c r="S202" s="11">
        <v>10</v>
      </c>
      <c r="T202" s="11">
        <v>65</v>
      </c>
      <c r="U202" s="11"/>
      <c r="V202" s="11"/>
      <c r="W202" s="11"/>
      <c r="X202" s="11"/>
      <c r="Y202" s="11"/>
      <c r="Z202" s="11"/>
      <c r="AA202" s="11"/>
      <c r="AB202" s="11"/>
    </row>
    <row r="203" spans="1:28" x14ac:dyDescent="0.3">
      <c r="A203" s="59" t="s">
        <v>592</v>
      </c>
      <c r="B203" s="59" t="s">
        <v>39</v>
      </c>
      <c r="C203" s="20">
        <v>719</v>
      </c>
      <c r="D203" s="19">
        <v>1</v>
      </c>
      <c r="E203" s="19">
        <v>1</v>
      </c>
      <c r="F203" s="60" t="s">
        <v>390</v>
      </c>
      <c r="G203" s="60" t="s">
        <v>391</v>
      </c>
      <c r="H203" s="20">
        <v>1630</v>
      </c>
      <c r="I203" s="20">
        <v>1416</v>
      </c>
      <c r="J203" s="20">
        <v>1416</v>
      </c>
      <c r="K203" s="61"/>
      <c r="L203" s="61">
        <v>46583</v>
      </c>
      <c r="M203" s="61">
        <v>45612</v>
      </c>
      <c r="O203" s="20">
        <v>1416</v>
      </c>
      <c r="P203" s="20"/>
      <c r="Q203" s="20"/>
      <c r="R203" s="20">
        <v>25</v>
      </c>
      <c r="S203" s="20">
        <v>10</v>
      </c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x14ac:dyDescent="0.3">
      <c r="A204" s="62" t="s">
        <v>593</v>
      </c>
      <c r="B204" s="62" t="s">
        <v>53</v>
      </c>
      <c r="C204" s="11">
        <v>803</v>
      </c>
      <c r="D204" s="10">
        <v>1</v>
      </c>
      <c r="E204" s="10">
        <v>1</v>
      </c>
      <c r="F204" s="63" t="s">
        <v>390</v>
      </c>
      <c r="G204" s="63" t="s">
        <v>391</v>
      </c>
      <c r="H204" s="11">
        <v>1680</v>
      </c>
      <c r="I204" s="11">
        <v>1680</v>
      </c>
      <c r="J204" s="11">
        <v>1680</v>
      </c>
      <c r="K204" s="64"/>
      <c r="L204" s="64">
        <v>46165</v>
      </c>
      <c r="M204" s="64">
        <v>45620</v>
      </c>
      <c r="O204" s="11">
        <v>1680</v>
      </c>
      <c r="P204" s="11"/>
      <c r="Q204" s="11"/>
      <c r="R204" s="11"/>
      <c r="S204" s="11">
        <v>10</v>
      </c>
      <c r="T204" s="11">
        <v>65</v>
      </c>
      <c r="U204" s="11">
        <v>25</v>
      </c>
      <c r="V204" s="11"/>
      <c r="W204" s="11"/>
      <c r="X204" s="11"/>
      <c r="Y204" s="11"/>
      <c r="Z204" s="11"/>
      <c r="AA204" s="11"/>
      <c r="AB204" s="11"/>
    </row>
    <row r="205" spans="1:28" x14ac:dyDescent="0.3">
      <c r="A205" s="59" t="s">
        <v>594</v>
      </c>
      <c r="B205" s="59" t="s">
        <v>53</v>
      </c>
      <c r="C205" s="20">
        <v>803</v>
      </c>
      <c r="D205" s="19">
        <v>1</v>
      </c>
      <c r="E205" s="19">
        <v>1</v>
      </c>
      <c r="F205" s="60" t="s">
        <v>390</v>
      </c>
      <c r="G205" s="60" t="s">
        <v>391</v>
      </c>
      <c r="H205" s="20">
        <v>1680</v>
      </c>
      <c r="I205" s="20">
        <v>1680</v>
      </c>
      <c r="J205" s="20">
        <v>1680</v>
      </c>
      <c r="K205" s="61"/>
      <c r="L205" s="61">
        <v>46476</v>
      </c>
      <c r="M205" s="61">
        <v>45747</v>
      </c>
      <c r="O205" s="20">
        <v>1680</v>
      </c>
      <c r="P205" s="20"/>
      <c r="Q205" s="20"/>
      <c r="R205" s="20">
        <v>25</v>
      </c>
      <c r="S205" s="20">
        <v>10</v>
      </c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x14ac:dyDescent="0.3">
      <c r="A206" s="62" t="s">
        <v>595</v>
      </c>
      <c r="B206" s="62" t="s">
        <v>39</v>
      </c>
      <c r="C206" s="11">
        <v>719</v>
      </c>
      <c r="D206" s="10">
        <v>1</v>
      </c>
      <c r="E206" s="10">
        <v>1</v>
      </c>
      <c r="F206" s="63" t="s">
        <v>390</v>
      </c>
      <c r="G206" s="63" t="s">
        <v>391</v>
      </c>
      <c r="H206" s="11">
        <v>1630</v>
      </c>
      <c r="I206" s="11">
        <v>1386</v>
      </c>
      <c r="J206" s="11">
        <v>1386</v>
      </c>
      <c r="K206" s="64"/>
      <c r="L206" s="64">
        <v>46502</v>
      </c>
      <c r="M206" s="64">
        <v>46079</v>
      </c>
      <c r="O206" s="11">
        <v>1386</v>
      </c>
      <c r="P206" s="11">
        <v>-693</v>
      </c>
      <c r="Q206" s="11"/>
      <c r="R206" s="11">
        <v>25</v>
      </c>
      <c r="S206" s="11">
        <v>10</v>
      </c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x14ac:dyDescent="0.3">
      <c r="A207" s="59" t="s">
        <v>596</v>
      </c>
      <c r="B207" s="59" t="s">
        <v>39</v>
      </c>
      <c r="C207" s="20">
        <v>719</v>
      </c>
      <c r="D207" s="19">
        <v>1</v>
      </c>
      <c r="E207" s="19">
        <v>1</v>
      </c>
      <c r="F207" s="60" t="s">
        <v>390</v>
      </c>
      <c r="G207" s="60" t="s">
        <v>391</v>
      </c>
      <c r="H207" s="20">
        <v>1630</v>
      </c>
      <c r="I207" s="20">
        <v>1630</v>
      </c>
      <c r="J207" s="20">
        <v>1630</v>
      </c>
      <c r="K207" s="61"/>
      <c r="L207" s="61">
        <v>46411</v>
      </c>
      <c r="M207" s="61">
        <v>46047</v>
      </c>
      <c r="O207" s="20">
        <v>1630</v>
      </c>
      <c r="P207" s="20"/>
      <c r="Q207" s="20">
        <v>200</v>
      </c>
      <c r="R207" s="20">
        <v>25</v>
      </c>
      <c r="S207" s="20">
        <v>10</v>
      </c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x14ac:dyDescent="0.3">
      <c r="A208" s="62" t="s">
        <v>597</v>
      </c>
      <c r="B208" s="62" t="s">
        <v>59</v>
      </c>
      <c r="C208" s="11">
        <v>1082</v>
      </c>
      <c r="D208" s="10">
        <v>2</v>
      </c>
      <c r="E208" s="10">
        <v>2</v>
      </c>
      <c r="F208" s="63" t="s">
        <v>390</v>
      </c>
      <c r="G208" s="63" t="s">
        <v>397</v>
      </c>
      <c r="H208" s="11">
        <v>2340</v>
      </c>
      <c r="I208" s="11">
        <v>0</v>
      </c>
      <c r="J208" s="11">
        <v>0</v>
      </c>
      <c r="K208" s="64"/>
      <c r="L208" s="64"/>
      <c r="M208" s="6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x14ac:dyDescent="0.3">
      <c r="A209" s="59" t="s">
        <v>598</v>
      </c>
      <c r="B209" s="59" t="s">
        <v>68</v>
      </c>
      <c r="C209" s="20">
        <v>1213</v>
      </c>
      <c r="D209" s="19">
        <v>2</v>
      </c>
      <c r="E209" s="19">
        <v>2</v>
      </c>
      <c r="F209" s="60" t="s">
        <v>390</v>
      </c>
      <c r="G209" s="60" t="s">
        <v>391</v>
      </c>
      <c r="H209" s="20">
        <v>2210</v>
      </c>
      <c r="I209" s="20">
        <v>2210</v>
      </c>
      <c r="J209" s="20">
        <v>2210</v>
      </c>
      <c r="K209" s="61"/>
      <c r="L209" s="61">
        <v>46355</v>
      </c>
      <c r="M209" s="61">
        <v>45930</v>
      </c>
      <c r="O209" s="20">
        <v>2210</v>
      </c>
      <c r="P209" s="20"/>
      <c r="Q209" s="20">
        <v>200</v>
      </c>
      <c r="R209" s="20">
        <v>25</v>
      </c>
      <c r="S209" s="20">
        <v>10</v>
      </c>
      <c r="T209" s="20"/>
      <c r="U209" s="20">
        <v>25</v>
      </c>
      <c r="V209" s="20"/>
      <c r="W209" s="20"/>
      <c r="X209" s="20"/>
      <c r="Y209" s="20"/>
      <c r="Z209" s="20"/>
      <c r="AA209" s="20"/>
      <c r="AB209" s="20"/>
    </row>
    <row r="210" spans="1:28" x14ac:dyDescent="0.3">
      <c r="A210" s="62" t="s">
        <v>599</v>
      </c>
      <c r="B210" s="62" t="s">
        <v>59</v>
      </c>
      <c r="C210" s="11">
        <v>1082</v>
      </c>
      <c r="D210" s="10">
        <v>2</v>
      </c>
      <c r="E210" s="10">
        <v>2</v>
      </c>
      <c r="F210" s="63" t="s">
        <v>390</v>
      </c>
      <c r="G210" s="63" t="s">
        <v>397</v>
      </c>
      <c r="H210" s="11">
        <v>2260</v>
      </c>
      <c r="I210" s="11">
        <v>0</v>
      </c>
      <c r="J210" s="11">
        <v>0</v>
      </c>
      <c r="K210" s="64"/>
      <c r="L210" s="64"/>
      <c r="M210" s="6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x14ac:dyDescent="0.3">
      <c r="A211" s="59" t="s">
        <v>600</v>
      </c>
      <c r="B211" s="59" t="s">
        <v>59</v>
      </c>
      <c r="C211" s="20">
        <v>1082</v>
      </c>
      <c r="D211" s="19">
        <v>2</v>
      </c>
      <c r="E211" s="19">
        <v>2</v>
      </c>
      <c r="F211" s="60" t="s">
        <v>390</v>
      </c>
      <c r="G211" s="60" t="s">
        <v>391</v>
      </c>
      <c r="H211" s="20">
        <v>2260</v>
      </c>
      <c r="I211" s="20">
        <v>2260</v>
      </c>
      <c r="J211" s="20">
        <v>2260</v>
      </c>
      <c r="K211" s="61"/>
      <c r="L211" s="61">
        <v>46560</v>
      </c>
      <c r="M211" s="61">
        <v>46076</v>
      </c>
      <c r="O211" s="20">
        <v>2260</v>
      </c>
      <c r="P211" s="20">
        <v>-1130</v>
      </c>
      <c r="Q211" s="20"/>
      <c r="R211" s="20">
        <v>25</v>
      </c>
      <c r="S211" s="20">
        <v>10</v>
      </c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x14ac:dyDescent="0.3">
      <c r="A212" s="62" t="s">
        <v>601</v>
      </c>
      <c r="B212" s="62" t="s">
        <v>32</v>
      </c>
      <c r="C212" s="11">
        <v>690</v>
      </c>
      <c r="D212" s="10">
        <v>1</v>
      </c>
      <c r="E212" s="10">
        <v>1</v>
      </c>
      <c r="F212" s="63" t="s">
        <v>390</v>
      </c>
      <c r="G212" s="63" t="s">
        <v>397</v>
      </c>
      <c r="H212" s="11">
        <v>1575</v>
      </c>
      <c r="I212" s="11">
        <v>0</v>
      </c>
      <c r="J212" s="11">
        <v>0</v>
      </c>
      <c r="K212" s="64"/>
      <c r="L212" s="64"/>
      <c r="M212" s="6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x14ac:dyDescent="0.3">
      <c r="A213" s="59" t="s">
        <v>602</v>
      </c>
      <c r="B213" s="59" t="s">
        <v>39</v>
      </c>
      <c r="C213" s="20">
        <v>719</v>
      </c>
      <c r="D213" s="19">
        <v>1</v>
      </c>
      <c r="E213" s="19">
        <v>1</v>
      </c>
      <c r="F213" s="60" t="s">
        <v>390</v>
      </c>
      <c r="G213" s="60" t="s">
        <v>391</v>
      </c>
      <c r="H213" s="20">
        <v>1550</v>
      </c>
      <c r="I213" s="20">
        <v>1406</v>
      </c>
      <c r="J213" s="20">
        <v>1406</v>
      </c>
      <c r="K213" s="61"/>
      <c r="L213" s="61">
        <v>46301</v>
      </c>
      <c r="M213" s="61">
        <v>45389</v>
      </c>
      <c r="O213" s="20">
        <v>1406</v>
      </c>
      <c r="P213" s="20"/>
      <c r="Q213" s="20"/>
      <c r="R213" s="20">
        <v>25</v>
      </c>
      <c r="S213" s="20">
        <v>10</v>
      </c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x14ac:dyDescent="0.3">
      <c r="A214" s="62" t="s">
        <v>603</v>
      </c>
      <c r="B214" s="62" t="s">
        <v>32</v>
      </c>
      <c r="C214" s="11">
        <v>690</v>
      </c>
      <c r="D214" s="10">
        <v>1</v>
      </c>
      <c r="E214" s="10">
        <v>1</v>
      </c>
      <c r="F214" s="63" t="s">
        <v>390</v>
      </c>
      <c r="G214" s="63" t="s">
        <v>391</v>
      </c>
      <c r="H214" s="11">
        <v>1575</v>
      </c>
      <c r="I214" s="11">
        <v>1575</v>
      </c>
      <c r="J214" s="11">
        <v>1575</v>
      </c>
      <c r="K214" s="64"/>
      <c r="L214" s="64">
        <v>46238</v>
      </c>
      <c r="M214" s="64">
        <v>45752</v>
      </c>
      <c r="O214" s="11">
        <v>1575</v>
      </c>
      <c r="P214" s="11"/>
      <c r="Q214" s="11"/>
      <c r="R214" s="11">
        <v>25</v>
      </c>
      <c r="S214" s="11">
        <v>10</v>
      </c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x14ac:dyDescent="0.3">
      <c r="A215" s="59" t="s">
        <v>604</v>
      </c>
      <c r="B215" s="59" t="s">
        <v>39</v>
      </c>
      <c r="C215" s="20">
        <v>719</v>
      </c>
      <c r="D215" s="19">
        <v>1</v>
      </c>
      <c r="E215" s="19">
        <v>1</v>
      </c>
      <c r="F215" s="60" t="s">
        <v>390</v>
      </c>
      <c r="G215" s="60" t="s">
        <v>391</v>
      </c>
      <c r="H215" s="20">
        <v>1550</v>
      </c>
      <c r="I215" s="20">
        <v>1550</v>
      </c>
      <c r="J215" s="20">
        <v>1550</v>
      </c>
      <c r="K215" s="61"/>
      <c r="L215" s="61">
        <v>46529</v>
      </c>
      <c r="M215" s="61">
        <v>46165</v>
      </c>
      <c r="O215" s="20">
        <v>1550</v>
      </c>
      <c r="P215" s="20"/>
      <c r="Q215" s="20"/>
      <c r="R215" s="20">
        <v>25</v>
      </c>
      <c r="S215" s="20">
        <v>10</v>
      </c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x14ac:dyDescent="0.3">
      <c r="A216" s="62" t="s">
        <v>605</v>
      </c>
      <c r="B216" s="62" t="s">
        <v>39</v>
      </c>
      <c r="C216" s="11">
        <v>719</v>
      </c>
      <c r="D216" s="10">
        <v>1</v>
      </c>
      <c r="E216" s="10">
        <v>1</v>
      </c>
      <c r="F216" s="63" t="s">
        <v>390</v>
      </c>
      <c r="G216" s="63" t="s">
        <v>391</v>
      </c>
      <c r="H216" s="11">
        <v>1590</v>
      </c>
      <c r="I216" s="11">
        <v>1429</v>
      </c>
      <c r="J216" s="11">
        <v>1429</v>
      </c>
      <c r="K216" s="64"/>
      <c r="L216" s="64">
        <v>46538</v>
      </c>
      <c r="M216" s="64">
        <v>46113</v>
      </c>
      <c r="O216" s="11">
        <v>1429</v>
      </c>
      <c r="P216" s="11">
        <v>-714.5</v>
      </c>
      <c r="Q216" s="11">
        <v>260</v>
      </c>
      <c r="R216" s="11">
        <v>25</v>
      </c>
      <c r="S216" s="11">
        <v>10</v>
      </c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x14ac:dyDescent="0.3">
      <c r="A217" s="59" t="s">
        <v>606</v>
      </c>
      <c r="B217" s="59" t="s">
        <v>53</v>
      </c>
      <c r="C217" s="20">
        <v>803</v>
      </c>
      <c r="D217" s="19">
        <v>1</v>
      </c>
      <c r="E217" s="19">
        <v>1</v>
      </c>
      <c r="F217" s="60" t="s">
        <v>390</v>
      </c>
      <c r="G217" s="60" t="s">
        <v>391</v>
      </c>
      <c r="H217" s="20">
        <v>1600</v>
      </c>
      <c r="I217" s="20">
        <v>1600</v>
      </c>
      <c r="J217" s="20">
        <v>1600</v>
      </c>
      <c r="K217" s="61"/>
      <c r="L217" s="61">
        <v>46529</v>
      </c>
      <c r="M217" s="61">
        <v>46165</v>
      </c>
      <c r="O217" s="20">
        <v>1600</v>
      </c>
      <c r="P217" s="20"/>
      <c r="Q217" s="20"/>
      <c r="R217" s="20">
        <v>25</v>
      </c>
      <c r="S217" s="20">
        <v>10</v>
      </c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x14ac:dyDescent="0.3">
      <c r="A218" s="62" t="s">
        <v>607</v>
      </c>
      <c r="B218" s="62" t="s">
        <v>39</v>
      </c>
      <c r="C218" s="11">
        <v>719</v>
      </c>
      <c r="D218" s="10">
        <v>1</v>
      </c>
      <c r="E218" s="10">
        <v>1</v>
      </c>
      <c r="F218" s="63" t="s">
        <v>390</v>
      </c>
      <c r="G218" s="63" t="s">
        <v>391</v>
      </c>
      <c r="H218" s="11">
        <v>1550</v>
      </c>
      <c r="I218" s="11">
        <v>1550</v>
      </c>
      <c r="J218" s="11">
        <v>1550</v>
      </c>
      <c r="K218" s="64"/>
      <c r="L218" s="64">
        <v>46400</v>
      </c>
      <c r="M218" s="64">
        <v>46005</v>
      </c>
      <c r="O218" s="11">
        <v>1550</v>
      </c>
      <c r="P218" s="11">
        <v>-775</v>
      </c>
      <c r="Q218" s="11"/>
      <c r="R218" s="11">
        <v>25</v>
      </c>
      <c r="S218" s="11">
        <v>10</v>
      </c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x14ac:dyDescent="0.3">
      <c r="A219" s="59" t="s">
        <v>608</v>
      </c>
      <c r="B219" s="59" t="s">
        <v>53</v>
      </c>
      <c r="C219" s="20">
        <v>803</v>
      </c>
      <c r="D219" s="19">
        <v>1</v>
      </c>
      <c r="E219" s="19">
        <v>1</v>
      </c>
      <c r="F219" s="60" t="s">
        <v>390</v>
      </c>
      <c r="G219" s="60" t="s">
        <v>391</v>
      </c>
      <c r="H219" s="20">
        <v>1600</v>
      </c>
      <c r="I219" s="20">
        <v>1640</v>
      </c>
      <c r="J219" s="20">
        <v>1640</v>
      </c>
      <c r="K219" s="61"/>
      <c r="L219" s="61">
        <v>46249</v>
      </c>
      <c r="M219" s="61">
        <v>44911</v>
      </c>
      <c r="O219" s="20">
        <v>1640</v>
      </c>
      <c r="P219" s="20"/>
      <c r="Q219" s="20">
        <v>185</v>
      </c>
      <c r="R219" s="20">
        <v>25</v>
      </c>
      <c r="S219" s="20">
        <v>10</v>
      </c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x14ac:dyDescent="0.3">
      <c r="A220" s="62" t="s">
        <v>609</v>
      </c>
      <c r="B220" s="62" t="s">
        <v>32</v>
      </c>
      <c r="C220" s="11">
        <v>690</v>
      </c>
      <c r="D220" s="10">
        <v>1</v>
      </c>
      <c r="E220" s="10">
        <v>1</v>
      </c>
      <c r="F220" s="63" t="s">
        <v>390</v>
      </c>
      <c r="G220" s="63" t="s">
        <v>391</v>
      </c>
      <c r="H220" s="11">
        <v>1535</v>
      </c>
      <c r="I220" s="11">
        <v>1299</v>
      </c>
      <c r="J220" s="11">
        <v>1299</v>
      </c>
      <c r="K220" s="64"/>
      <c r="L220" s="64">
        <v>46452</v>
      </c>
      <c r="M220" s="64">
        <v>46060</v>
      </c>
      <c r="O220" s="11">
        <v>1299</v>
      </c>
      <c r="P220" s="11">
        <v>-649.5</v>
      </c>
      <c r="Q220" s="11"/>
      <c r="R220" s="11">
        <v>25</v>
      </c>
      <c r="S220" s="11">
        <v>10</v>
      </c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x14ac:dyDescent="0.3">
      <c r="A221" s="59" t="s">
        <v>610</v>
      </c>
      <c r="B221" s="59" t="s">
        <v>39</v>
      </c>
      <c r="C221" s="20">
        <v>719</v>
      </c>
      <c r="D221" s="19">
        <v>1</v>
      </c>
      <c r="E221" s="19">
        <v>1</v>
      </c>
      <c r="F221" s="60" t="s">
        <v>390</v>
      </c>
      <c r="G221" s="60" t="s">
        <v>391</v>
      </c>
      <c r="H221" s="20">
        <v>1550</v>
      </c>
      <c r="I221" s="20">
        <v>1306</v>
      </c>
      <c r="J221" s="20">
        <v>1306</v>
      </c>
      <c r="K221" s="61"/>
      <c r="L221" s="61">
        <v>46469</v>
      </c>
      <c r="M221" s="61">
        <v>46077</v>
      </c>
      <c r="O221" s="20">
        <v>1306</v>
      </c>
      <c r="P221" s="20">
        <v>-653</v>
      </c>
      <c r="Q221" s="20"/>
      <c r="R221" s="20">
        <v>25</v>
      </c>
      <c r="S221" s="20">
        <v>10</v>
      </c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x14ac:dyDescent="0.3">
      <c r="A222" s="62" t="s">
        <v>611</v>
      </c>
      <c r="B222" s="62" t="s">
        <v>32</v>
      </c>
      <c r="C222" s="11">
        <v>690</v>
      </c>
      <c r="D222" s="10">
        <v>1</v>
      </c>
      <c r="E222" s="10">
        <v>1</v>
      </c>
      <c r="F222" s="63" t="s">
        <v>390</v>
      </c>
      <c r="G222" s="63" t="s">
        <v>391</v>
      </c>
      <c r="H222" s="11">
        <v>1535</v>
      </c>
      <c r="I222" s="11">
        <v>1400</v>
      </c>
      <c r="J222" s="11">
        <v>1400</v>
      </c>
      <c r="K222" s="64"/>
      <c r="L222" s="64">
        <v>46497</v>
      </c>
      <c r="M222" s="64">
        <v>44947</v>
      </c>
      <c r="O222" s="11">
        <v>1400</v>
      </c>
      <c r="P222" s="11"/>
      <c r="Q222" s="11"/>
      <c r="R222" s="11">
        <v>25</v>
      </c>
      <c r="S222" s="11">
        <v>10</v>
      </c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x14ac:dyDescent="0.3">
      <c r="A223" s="59" t="s">
        <v>612</v>
      </c>
      <c r="B223" s="59" t="s">
        <v>39</v>
      </c>
      <c r="C223" s="20">
        <v>719</v>
      </c>
      <c r="D223" s="19">
        <v>1</v>
      </c>
      <c r="E223" s="19">
        <v>1</v>
      </c>
      <c r="F223" s="60" t="s">
        <v>390</v>
      </c>
      <c r="G223" s="60" t="s">
        <v>391</v>
      </c>
      <c r="H223" s="20">
        <v>1550</v>
      </c>
      <c r="I223" s="20">
        <v>1485</v>
      </c>
      <c r="J223" s="20">
        <v>1485</v>
      </c>
      <c r="K223" s="61"/>
      <c r="L223" s="61">
        <v>46441</v>
      </c>
      <c r="M223" s="61">
        <v>45101</v>
      </c>
      <c r="O223" s="20">
        <v>1485</v>
      </c>
      <c r="P223" s="20"/>
      <c r="Q223" s="20">
        <v>460</v>
      </c>
      <c r="R223" s="20">
        <v>25</v>
      </c>
      <c r="S223" s="20">
        <v>10</v>
      </c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x14ac:dyDescent="0.3">
      <c r="A224" s="62" t="s">
        <v>613</v>
      </c>
      <c r="B224" s="62" t="s">
        <v>59</v>
      </c>
      <c r="C224" s="11">
        <v>1082</v>
      </c>
      <c r="D224" s="10">
        <v>2</v>
      </c>
      <c r="E224" s="10">
        <v>2</v>
      </c>
      <c r="F224" s="63" t="s">
        <v>390</v>
      </c>
      <c r="G224" s="63" t="s">
        <v>391</v>
      </c>
      <c r="H224" s="11">
        <v>2260</v>
      </c>
      <c r="I224" s="11">
        <v>1875</v>
      </c>
      <c r="J224" s="11">
        <v>1875</v>
      </c>
      <c r="K224" s="64"/>
      <c r="L224" s="64">
        <v>46483</v>
      </c>
      <c r="M224" s="64">
        <v>46060</v>
      </c>
      <c r="O224" s="11">
        <v>1875</v>
      </c>
      <c r="P224" s="11">
        <v>-937.5</v>
      </c>
      <c r="Q224" s="11"/>
      <c r="R224" s="11">
        <v>25</v>
      </c>
      <c r="S224" s="11">
        <v>10</v>
      </c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x14ac:dyDescent="0.3">
      <c r="A225" s="59" t="s">
        <v>614</v>
      </c>
      <c r="B225" s="59" t="s">
        <v>68</v>
      </c>
      <c r="C225" s="20">
        <v>1213</v>
      </c>
      <c r="D225" s="19">
        <v>2</v>
      </c>
      <c r="E225" s="19">
        <v>2</v>
      </c>
      <c r="F225" s="60" t="s">
        <v>390</v>
      </c>
      <c r="G225" s="60" t="s">
        <v>391</v>
      </c>
      <c r="H225" s="20">
        <v>2130</v>
      </c>
      <c r="I225" s="20">
        <v>1999</v>
      </c>
      <c r="J225" s="20">
        <v>1999</v>
      </c>
      <c r="K225" s="61"/>
      <c r="L225" s="61">
        <v>46345</v>
      </c>
      <c r="M225" s="61">
        <v>45981</v>
      </c>
      <c r="O225" s="20">
        <v>1999</v>
      </c>
      <c r="P225" s="20"/>
      <c r="Q225" s="20"/>
      <c r="R225" s="20">
        <v>25</v>
      </c>
      <c r="S225" s="20">
        <v>10</v>
      </c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x14ac:dyDescent="0.3">
      <c r="A226" s="62" t="s">
        <v>615</v>
      </c>
      <c r="B226" s="62" t="s">
        <v>59</v>
      </c>
      <c r="C226" s="11">
        <v>1082</v>
      </c>
      <c r="D226" s="10">
        <v>2</v>
      </c>
      <c r="E226" s="10">
        <v>2</v>
      </c>
      <c r="F226" s="63" t="s">
        <v>390</v>
      </c>
      <c r="G226" s="63" t="s">
        <v>391</v>
      </c>
      <c r="H226" s="11">
        <v>2305</v>
      </c>
      <c r="I226" s="11">
        <v>2305</v>
      </c>
      <c r="J226" s="11">
        <v>2305</v>
      </c>
      <c r="K226" s="64"/>
      <c r="L226" s="64">
        <v>46229</v>
      </c>
      <c r="M226" s="64">
        <v>45409</v>
      </c>
      <c r="O226" s="11">
        <v>2305</v>
      </c>
      <c r="P226" s="11"/>
      <c r="Q226" s="11">
        <v>295</v>
      </c>
      <c r="R226" s="11">
        <v>25</v>
      </c>
      <c r="S226" s="11">
        <v>10</v>
      </c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x14ac:dyDescent="0.3">
      <c r="A227" s="59" t="s">
        <v>616</v>
      </c>
      <c r="B227" s="59" t="s">
        <v>59</v>
      </c>
      <c r="C227" s="20">
        <v>1082</v>
      </c>
      <c r="D227" s="19">
        <v>2</v>
      </c>
      <c r="E227" s="19">
        <v>2</v>
      </c>
      <c r="F227" s="60" t="s">
        <v>390</v>
      </c>
      <c r="G227" s="60" t="s">
        <v>391</v>
      </c>
      <c r="H227" s="20">
        <v>2305</v>
      </c>
      <c r="I227" s="20">
        <v>1909</v>
      </c>
      <c r="J227" s="20">
        <v>1909</v>
      </c>
      <c r="K227" s="61"/>
      <c r="L227" s="61">
        <v>46451</v>
      </c>
      <c r="M227" s="61">
        <v>46059</v>
      </c>
      <c r="O227" s="20">
        <v>1909</v>
      </c>
      <c r="P227" s="20">
        <v>-954.5</v>
      </c>
      <c r="Q227" s="20"/>
      <c r="R227" s="20">
        <v>25</v>
      </c>
      <c r="S227" s="20">
        <v>10</v>
      </c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x14ac:dyDescent="0.3">
      <c r="A228" s="62" t="s">
        <v>617</v>
      </c>
      <c r="B228" s="62" t="s">
        <v>32</v>
      </c>
      <c r="C228" s="11">
        <v>690</v>
      </c>
      <c r="D228" s="10">
        <v>1</v>
      </c>
      <c r="E228" s="10">
        <v>1</v>
      </c>
      <c r="F228" s="63" t="s">
        <v>390</v>
      </c>
      <c r="G228" s="63" t="s">
        <v>391</v>
      </c>
      <c r="H228" s="11">
        <v>1620</v>
      </c>
      <c r="I228" s="11">
        <v>1350</v>
      </c>
      <c r="J228" s="11">
        <v>1350</v>
      </c>
      <c r="K228" s="64"/>
      <c r="L228" s="64">
        <v>46574</v>
      </c>
      <c r="M228" s="64">
        <v>46119</v>
      </c>
      <c r="O228" s="11">
        <v>1350</v>
      </c>
      <c r="P228" s="11"/>
      <c r="Q228" s="11"/>
      <c r="R228" s="11">
        <v>25</v>
      </c>
      <c r="S228" s="11">
        <v>10</v>
      </c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x14ac:dyDescent="0.3">
      <c r="A229" s="59" t="s">
        <v>618</v>
      </c>
      <c r="B229" s="59" t="s">
        <v>39</v>
      </c>
      <c r="C229" s="20">
        <v>719</v>
      </c>
      <c r="D229" s="19">
        <v>1</v>
      </c>
      <c r="E229" s="19">
        <v>1</v>
      </c>
      <c r="F229" s="60" t="s">
        <v>390</v>
      </c>
      <c r="G229" s="60" t="s">
        <v>397</v>
      </c>
      <c r="H229" s="20">
        <v>1595</v>
      </c>
      <c r="I229" s="20">
        <v>0</v>
      </c>
      <c r="J229" s="20">
        <v>0</v>
      </c>
      <c r="K229" s="61"/>
      <c r="L229" s="61"/>
      <c r="M229" s="61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x14ac:dyDescent="0.3">
      <c r="A230" s="62" t="s">
        <v>619</v>
      </c>
      <c r="B230" s="62" t="s">
        <v>32</v>
      </c>
      <c r="C230" s="11">
        <v>690</v>
      </c>
      <c r="D230" s="10">
        <v>1</v>
      </c>
      <c r="E230" s="10">
        <v>1</v>
      </c>
      <c r="F230" s="63" t="s">
        <v>390</v>
      </c>
      <c r="G230" s="63" t="s">
        <v>397</v>
      </c>
      <c r="H230" s="11">
        <v>1620</v>
      </c>
      <c r="I230" s="11">
        <v>0</v>
      </c>
      <c r="J230" s="11">
        <v>0</v>
      </c>
      <c r="K230" s="64"/>
      <c r="L230" s="64"/>
      <c r="M230" s="6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x14ac:dyDescent="0.3">
      <c r="A231" s="59" t="s">
        <v>620</v>
      </c>
      <c r="B231" s="59" t="s">
        <v>39</v>
      </c>
      <c r="C231" s="20">
        <v>719</v>
      </c>
      <c r="D231" s="19">
        <v>1</v>
      </c>
      <c r="E231" s="19">
        <v>1</v>
      </c>
      <c r="F231" s="60" t="s">
        <v>390</v>
      </c>
      <c r="G231" s="60" t="s">
        <v>391</v>
      </c>
      <c r="H231" s="20">
        <v>1595</v>
      </c>
      <c r="I231" s="20">
        <v>1399</v>
      </c>
      <c r="J231" s="20">
        <v>1399</v>
      </c>
      <c r="K231" s="61"/>
      <c r="L231" s="61">
        <v>46318</v>
      </c>
      <c r="M231" s="61">
        <v>45954</v>
      </c>
      <c r="O231" s="20">
        <v>1399</v>
      </c>
      <c r="P231" s="20"/>
      <c r="Q231" s="20">
        <v>200</v>
      </c>
      <c r="R231" s="20">
        <v>25</v>
      </c>
      <c r="S231" s="20">
        <v>10</v>
      </c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x14ac:dyDescent="0.3">
      <c r="A232" s="62" t="s">
        <v>621</v>
      </c>
      <c r="B232" s="62" t="s">
        <v>39</v>
      </c>
      <c r="C232" s="11">
        <v>719</v>
      </c>
      <c r="D232" s="10">
        <v>1</v>
      </c>
      <c r="E232" s="10">
        <v>1</v>
      </c>
      <c r="F232" s="63" t="s">
        <v>390</v>
      </c>
      <c r="G232" s="63" t="s">
        <v>391</v>
      </c>
      <c r="H232" s="11">
        <v>1635</v>
      </c>
      <c r="I232" s="11">
        <v>1635</v>
      </c>
      <c r="J232" s="11">
        <v>1635</v>
      </c>
      <c r="K232" s="64"/>
      <c r="L232" s="64">
        <v>46173</v>
      </c>
      <c r="M232" s="64">
        <v>44866</v>
      </c>
      <c r="O232" s="11">
        <v>1635</v>
      </c>
      <c r="P232" s="11"/>
      <c r="Q232" s="11">
        <v>185</v>
      </c>
      <c r="R232" s="11">
        <v>25</v>
      </c>
      <c r="S232" s="11">
        <v>10</v>
      </c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x14ac:dyDescent="0.3">
      <c r="A233" s="59" t="s">
        <v>622</v>
      </c>
      <c r="B233" s="59" t="s">
        <v>53</v>
      </c>
      <c r="C233" s="20">
        <v>803</v>
      </c>
      <c r="D233" s="19">
        <v>1</v>
      </c>
      <c r="E233" s="19">
        <v>1</v>
      </c>
      <c r="F233" s="60" t="s">
        <v>390</v>
      </c>
      <c r="G233" s="60" t="s">
        <v>391</v>
      </c>
      <c r="H233" s="20">
        <v>1645</v>
      </c>
      <c r="I233" s="20">
        <v>1603</v>
      </c>
      <c r="J233" s="20">
        <v>1603</v>
      </c>
      <c r="K233" s="61"/>
      <c r="L233" s="61">
        <v>46501</v>
      </c>
      <c r="M233" s="61">
        <v>45010</v>
      </c>
      <c r="O233" s="20">
        <v>1603</v>
      </c>
      <c r="P233" s="20"/>
      <c r="Q233" s="20"/>
      <c r="R233" s="20">
        <v>25</v>
      </c>
      <c r="S233" s="20">
        <v>10</v>
      </c>
      <c r="T233" s="20"/>
      <c r="U233" s="20"/>
      <c r="V233" s="20"/>
      <c r="W233" s="20"/>
      <c r="X233" s="20"/>
      <c r="Y233" s="20">
        <v>40</v>
      </c>
      <c r="Z233" s="20"/>
      <c r="AA233" s="20"/>
      <c r="AB233" s="20"/>
    </row>
    <row r="234" spans="1:28" x14ac:dyDescent="0.3">
      <c r="A234" s="62" t="s">
        <v>623</v>
      </c>
      <c r="B234" s="62" t="s">
        <v>39</v>
      </c>
      <c r="C234" s="11">
        <v>719</v>
      </c>
      <c r="D234" s="10">
        <v>1</v>
      </c>
      <c r="E234" s="10">
        <v>1</v>
      </c>
      <c r="F234" s="63" t="s">
        <v>390</v>
      </c>
      <c r="G234" s="63" t="s">
        <v>391</v>
      </c>
      <c r="H234" s="11">
        <v>1595</v>
      </c>
      <c r="I234" s="11">
        <v>1595</v>
      </c>
      <c r="J234" s="11">
        <v>1595</v>
      </c>
      <c r="K234" s="64"/>
      <c r="L234" s="64">
        <v>46507</v>
      </c>
      <c r="M234" s="64">
        <v>46143</v>
      </c>
      <c r="O234" s="11">
        <v>1595</v>
      </c>
      <c r="P234" s="11"/>
      <c r="Q234" s="11"/>
      <c r="R234" s="11"/>
      <c r="S234" s="11">
        <v>10</v>
      </c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x14ac:dyDescent="0.3">
      <c r="A235" s="59" t="s">
        <v>624</v>
      </c>
      <c r="B235" s="59" t="s">
        <v>53</v>
      </c>
      <c r="C235" s="20">
        <v>803</v>
      </c>
      <c r="D235" s="19">
        <v>1</v>
      </c>
      <c r="E235" s="19">
        <v>1</v>
      </c>
      <c r="F235" s="60" t="s">
        <v>390</v>
      </c>
      <c r="G235" s="60" t="s">
        <v>391</v>
      </c>
      <c r="H235" s="20">
        <v>1645</v>
      </c>
      <c r="I235" s="20">
        <v>1645</v>
      </c>
      <c r="J235" s="20">
        <v>1645</v>
      </c>
      <c r="K235" s="61"/>
      <c r="L235" s="61">
        <v>46251</v>
      </c>
      <c r="M235" s="61">
        <v>45400</v>
      </c>
      <c r="O235" s="20">
        <v>1645</v>
      </c>
      <c r="P235" s="20"/>
      <c r="Q235" s="20">
        <v>250</v>
      </c>
      <c r="R235" s="20">
        <v>25</v>
      </c>
      <c r="S235" s="20">
        <v>10</v>
      </c>
      <c r="T235" s="20"/>
      <c r="U235" s="20">
        <v>25</v>
      </c>
      <c r="V235" s="20"/>
      <c r="W235" s="20"/>
      <c r="X235" s="20"/>
      <c r="Y235" s="20"/>
      <c r="Z235" s="20"/>
      <c r="AA235" s="20"/>
      <c r="AB235" s="20"/>
    </row>
    <row r="236" spans="1:28" x14ac:dyDescent="0.3">
      <c r="A236" s="62" t="s">
        <v>625</v>
      </c>
      <c r="B236" s="62" t="s">
        <v>32</v>
      </c>
      <c r="C236" s="11">
        <v>690</v>
      </c>
      <c r="D236" s="10">
        <v>1</v>
      </c>
      <c r="E236" s="10">
        <v>1</v>
      </c>
      <c r="F236" s="63" t="s">
        <v>390</v>
      </c>
      <c r="G236" s="63" t="s">
        <v>391</v>
      </c>
      <c r="H236" s="11">
        <v>1580</v>
      </c>
      <c r="I236" s="11">
        <v>1530</v>
      </c>
      <c r="J236" s="11">
        <v>1530</v>
      </c>
      <c r="K236" s="64"/>
      <c r="L236" s="64">
        <v>46238</v>
      </c>
      <c r="M236" s="64">
        <v>45417</v>
      </c>
      <c r="O236" s="11">
        <v>1530</v>
      </c>
      <c r="P236" s="11"/>
      <c r="Q236" s="11"/>
      <c r="R236" s="11">
        <v>25</v>
      </c>
      <c r="S236" s="11">
        <v>10</v>
      </c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x14ac:dyDescent="0.3">
      <c r="A237" s="59" t="s">
        <v>626</v>
      </c>
      <c r="B237" s="59" t="s">
        <v>39</v>
      </c>
      <c r="C237" s="20">
        <v>719</v>
      </c>
      <c r="D237" s="19">
        <v>1</v>
      </c>
      <c r="E237" s="19">
        <v>1</v>
      </c>
      <c r="F237" s="60" t="s">
        <v>390</v>
      </c>
      <c r="G237" s="60" t="s">
        <v>391</v>
      </c>
      <c r="H237" s="20">
        <v>1595</v>
      </c>
      <c r="I237" s="20">
        <v>1595</v>
      </c>
      <c r="J237" s="20">
        <v>1595</v>
      </c>
      <c r="K237" s="61"/>
      <c r="L237" s="61">
        <v>46160</v>
      </c>
      <c r="M237" s="61">
        <v>45766</v>
      </c>
      <c r="O237" s="20">
        <v>1595</v>
      </c>
      <c r="P237" s="20"/>
      <c r="Q237" s="20"/>
      <c r="R237" s="20">
        <v>25</v>
      </c>
      <c r="S237" s="20">
        <v>10</v>
      </c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x14ac:dyDescent="0.3">
      <c r="A238" s="62" t="s">
        <v>627</v>
      </c>
      <c r="B238" s="62" t="s">
        <v>32</v>
      </c>
      <c r="C238" s="11">
        <v>690</v>
      </c>
      <c r="D238" s="10">
        <v>1</v>
      </c>
      <c r="E238" s="10">
        <v>1</v>
      </c>
      <c r="F238" s="63" t="s">
        <v>390</v>
      </c>
      <c r="G238" s="63" t="s">
        <v>391</v>
      </c>
      <c r="H238" s="11">
        <v>1580</v>
      </c>
      <c r="I238" s="11">
        <v>1532</v>
      </c>
      <c r="J238" s="11">
        <v>1532</v>
      </c>
      <c r="K238" s="64"/>
      <c r="L238" s="64">
        <v>46465</v>
      </c>
      <c r="M238" s="64">
        <v>44946</v>
      </c>
      <c r="O238" s="11">
        <v>1532</v>
      </c>
      <c r="P238" s="11"/>
      <c r="Q238" s="11"/>
      <c r="R238" s="11">
        <v>25</v>
      </c>
      <c r="S238" s="11">
        <v>10</v>
      </c>
      <c r="T238" s="11">
        <v>50</v>
      </c>
      <c r="U238" s="11"/>
      <c r="V238" s="11"/>
      <c r="W238" s="11"/>
      <c r="X238" s="11"/>
      <c r="Y238" s="11"/>
      <c r="Z238" s="11"/>
      <c r="AA238" s="11"/>
      <c r="AB238" s="11"/>
    </row>
    <row r="239" spans="1:28" x14ac:dyDescent="0.3">
      <c r="A239" s="59" t="s">
        <v>628</v>
      </c>
      <c r="B239" s="59" t="s">
        <v>39</v>
      </c>
      <c r="C239" s="20">
        <v>719</v>
      </c>
      <c r="D239" s="19">
        <v>1</v>
      </c>
      <c r="E239" s="19">
        <v>1</v>
      </c>
      <c r="F239" s="60" t="s">
        <v>390</v>
      </c>
      <c r="G239" s="60" t="s">
        <v>391</v>
      </c>
      <c r="H239" s="20">
        <v>1595</v>
      </c>
      <c r="I239" s="20">
        <v>1365</v>
      </c>
      <c r="J239" s="20">
        <v>1365</v>
      </c>
      <c r="K239" s="61"/>
      <c r="L239" s="61">
        <v>46339</v>
      </c>
      <c r="M239" s="61">
        <v>45975</v>
      </c>
      <c r="O239" s="20">
        <v>1365</v>
      </c>
      <c r="P239" s="20"/>
      <c r="Q239" s="20"/>
      <c r="R239" s="20">
        <v>25</v>
      </c>
      <c r="S239" s="20">
        <v>10</v>
      </c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x14ac:dyDescent="0.3">
      <c r="A240" s="62" t="s">
        <v>629</v>
      </c>
      <c r="B240" s="62" t="s">
        <v>59</v>
      </c>
      <c r="C240" s="11">
        <v>1082</v>
      </c>
      <c r="D240" s="10">
        <v>2</v>
      </c>
      <c r="E240" s="10">
        <v>2</v>
      </c>
      <c r="F240" s="63" t="s">
        <v>390</v>
      </c>
      <c r="G240" s="63" t="s">
        <v>391</v>
      </c>
      <c r="H240" s="11">
        <v>2305</v>
      </c>
      <c r="I240" s="11">
        <v>2305</v>
      </c>
      <c r="J240" s="11">
        <v>2305</v>
      </c>
      <c r="K240" s="64"/>
      <c r="L240" s="64">
        <v>46576</v>
      </c>
      <c r="M240" s="64">
        <v>46122</v>
      </c>
      <c r="O240" s="11">
        <v>2305</v>
      </c>
      <c r="P240" s="11">
        <v>-1152.5</v>
      </c>
      <c r="Q240" s="11"/>
      <c r="R240" s="11">
        <v>25</v>
      </c>
      <c r="S240" s="11">
        <v>10</v>
      </c>
      <c r="T240" s="11"/>
      <c r="U240" s="11">
        <v>50</v>
      </c>
      <c r="V240" s="11"/>
      <c r="W240" s="11"/>
      <c r="X240" s="11"/>
      <c r="Y240" s="11"/>
      <c r="Z240" s="11"/>
      <c r="AA240" s="11"/>
      <c r="AB240" s="11"/>
    </row>
    <row r="241" spans="1:28" x14ac:dyDescent="0.3">
      <c r="A241" s="59" t="s">
        <v>630</v>
      </c>
      <c r="B241" s="59" t="s">
        <v>68</v>
      </c>
      <c r="C241" s="20">
        <v>1213</v>
      </c>
      <c r="D241" s="19">
        <v>2</v>
      </c>
      <c r="E241" s="19">
        <v>2</v>
      </c>
      <c r="F241" s="60" t="s">
        <v>390</v>
      </c>
      <c r="G241" s="60" t="s">
        <v>391</v>
      </c>
      <c r="H241" s="20">
        <v>2175</v>
      </c>
      <c r="I241" s="20">
        <v>2175</v>
      </c>
      <c r="J241" s="20">
        <v>2175</v>
      </c>
      <c r="K241" s="61"/>
      <c r="L241" s="61">
        <v>46452</v>
      </c>
      <c r="M241" s="61">
        <v>46060</v>
      </c>
      <c r="O241" s="20">
        <v>2175</v>
      </c>
      <c r="P241" s="20">
        <v>-1087.5</v>
      </c>
      <c r="Q241" s="20"/>
      <c r="R241" s="20">
        <v>25</v>
      </c>
      <c r="S241" s="20">
        <v>10</v>
      </c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x14ac:dyDescent="0.3">
      <c r="A242" s="62" t="s">
        <v>631</v>
      </c>
      <c r="B242" s="62" t="s">
        <v>62</v>
      </c>
      <c r="C242" s="11">
        <v>1082</v>
      </c>
      <c r="D242" s="10">
        <v>2</v>
      </c>
      <c r="E242" s="10">
        <v>2</v>
      </c>
      <c r="F242" s="63" t="s">
        <v>390</v>
      </c>
      <c r="G242" s="63" t="s">
        <v>391</v>
      </c>
      <c r="H242" s="11">
        <v>2285</v>
      </c>
      <c r="I242" s="11">
        <v>1899</v>
      </c>
      <c r="J242" s="11">
        <v>1899</v>
      </c>
      <c r="K242" s="64"/>
      <c r="L242" s="64">
        <v>46445</v>
      </c>
      <c r="M242" s="64">
        <v>46050</v>
      </c>
      <c r="O242" s="11">
        <v>1899</v>
      </c>
      <c r="P242" s="11">
        <v>-949.5</v>
      </c>
      <c r="Q242" s="11"/>
      <c r="R242" s="11">
        <v>25</v>
      </c>
      <c r="S242" s="11">
        <v>10</v>
      </c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x14ac:dyDescent="0.3">
      <c r="A243" s="59" t="s">
        <v>632</v>
      </c>
      <c r="B243" s="59" t="s">
        <v>68</v>
      </c>
      <c r="C243" s="20">
        <v>1213</v>
      </c>
      <c r="D243" s="19">
        <v>2</v>
      </c>
      <c r="E243" s="19">
        <v>2</v>
      </c>
      <c r="F243" s="60" t="s">
        <v>390</v>
      </c>
      <c r="G243" s="60" t="s">
        <v>391</v>
      </c>
      <c r="H243" s="20">
        <v>2210</v>
      </c>
      <c r="I243" s="20">
        <v>1999</v>
      </c>
      <c r="J243" s="20">
        <v>1999</v>
      </c>
      <c r="K243" s="61"/>
      <c r="L243" s="61">
        <v>46230</v>
      </c>
      <c r="M243" s="61">
        <v>45744</v>
      </c>
      <c r="O243" s="20">
        <v>1999</v>
      </c>
      <c r="P243" s="20"/>
      <c r="Q243" s="20">
        <v>200</v>
      </c>
      <c r="R243" s="20">
        <v>25</v>
      </c>
      <c r="S243" s="20">
        <v>10</v>
      </c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x14ac:dyDescent="0.3">
      <c r="A244" s="62" t="s">
        <v>633</v>
      </c>
      <c r="B244" s="62" t="s">
        <v>36</v>
      </c>
      <c r="C244" s="11">
        <v>698</v>
      </c>
      <c r="D244" s="10">
        <v>1</v>
      </c>
      <c r="E244" s="10">
        <v>1</v>
      </c>
      <c r="F244" s="63" t="s">
        <v>390</v>
      </c>
      <c r="G244" s="63" t="s">
        <v>391</v>
      </c>
      <c r="H244" s="11">
        <v>1565</v>
      </c>
      <c r="I244" s="11">
        <v>1565</v>
      </c>
      <c r="J244" s="11">
        <v>1565</v>
      </c>
      <c r="K244" s="64"/>
      <c r="L244" s="64">
        <v>46224</v>
      </c>
      <c r="M244" s="64">
        <v>45860</v>
      </c>
      <c r="O244" s="11">
        <v>1565</v>
      </c>
      <c r="P244" s="11"/>
      <c r="Q244" s="11">
        <v>200</v>
      </c>
      <c r="R244" s="11">
        <v>25</v>
      </c>
      <c r="S244" s="11">
        <v>10</v>
      </c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x14ac:dyDescent="0.3">
      <c r="A245" s="59" t="s">
        <v>634</v>
      </c>
      <c r="B245" s="59" t="s">
        <v>56</v>
      </c>
      <c r="C245" s="20">
        <v>941</v>
      </c>
      <c r="D245" s="19">
        <v>1</v>
      </c>
      <c r="E245" s="19">
        <v>1</v>
      </c>
      <c r="F245" s="60" t="s">
        <v>390</v>
      </c>
      <c r="G245" s="60" t="s">
        <v>391</v>
      </c>
      <c r="H245" s="20">
        <v>1895</v>
      </c>
      <c r="I245" s="20">
        <v>1923</v>
      </c>
      <c r="J245" s="20">
        <v>1923</v>
      </c>
      <c r="K245" s="61"/>
      <c r="L245" s="61">
        <v>46302</v>
      </c>
      <c r="M245" s="61">
        <v>45330</v>
      </c>
      <c r="O245" s="20">
        <v>1923</v>
      </c>
      <c r="P245" s="20"/>
      <c r="Q245" s="20">
        <v>295</v>
      </c>
      <c r="R245" s="20">
        <v>25</v>
      </c>
      <c r="S245" s="20">
        <v>10</v>
      </c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x14ac:dyDescent="0.3">
      <c r="A246" s="62" t="s">
        <v>635</v>
      </c>
      <c r="B246" s="62" t="s">
        <v>56</v>
      </c>
      <c r="C246" s="11">
        <v>941</v>
      </c>
      <c r="D246" s="10">
        <v>1</v>
      </c>
      <c r="E246" s="10">
        <v>1</v>
      </c>
      <c r="F246" s="63" t="s">
        <v>390</v>
      </c>
      <c r="G246" s="63" t="s">
        <v>391</v>
      </c>
      <c r="H246" s="11">
        <v>1895</v>
      </c>
      <c r="I246" s="11">
        <v>1895</v>
      </c>
      <c r="J246" s="11">
        <v>1895</v>
      </c>
      <c r="K246" s="64"/>
      <c r="L246" s="64">
        <v>46691</v>
      </c>
      <c r="M246" s="64">
        <v>45778</v>
      </c>
      <c r="O246" s="11">
        <v>1895</v>
      </c>
      <c r="P246" s="11"/>
      <c r="Q246" s="11">
        <v>200</v>
      </c>
      <c r="R246" s="11">
        <v>25</v>
      </c>
      <c r="S246" s="11">
        <v>10</v>
      </c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x14ac:dyDescent="0.3">
      <c r="A247" s="59" t="s">
        <v>636</v>
      </c>
      <c r="B247" s="59" t="s">
        <v>64</v>
      </c>
      <c r="C247" s="20">
        <v>1109</v>
      </c>
      <c r="D247" s="19">
        <v>2</v>
      </c>
      <c r="E247" s="19">
        <v>2</v>
      </c>
      <c r="F247" s="60" t="s">
        <v>390</v>
      </c>
      <c r="G247" s="60" t="s">
        <v>391</v>
      </c>
      <c r="H247" s="20">
        <v>2115</v>
      </c>
      <c r="I247" s="20">
        <v>2115</v>
      </c>
      <c r="J247" s="20">
        <v>2115</v>
      </c>
      <c r="K247" s="61"/>
      <c r="L247" s="61">
        <v>46568</v>
      </c>
      <c r="M247" s="61">
        <v>46143</v>
      </c>
      <c r="O247" s="20">
        <v>2115</v>
      </c>
      <c r="P247" s="20"/>
      <c r="Q247" s="20"/>
      <c r="R247" s="20"/>
      <c r="S247" s="20">
        <v>10</v>
      </c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x14ac:dyDescent="0.3">
      <c r="A248" s="62" t="s">
        <v>637</v>
      </c>
      <c r="B248" s="62" t="s">
        <v>51</v>
      </c>
      <c r="C248" s="11">
        <v>762</v>
      </c>
      <c r="D248" s="10">
        <v>1</v>
      </c>
      <c r="E248" s="10">
        <v>1</v>
      </c>
      <c r="F248" s="63" t="s">
        <v>390</v>
      </c>
      <c r="G248" s="63" t="s">
        <v>391</v>
      </c>
      <c r="H248" s="11">
        <v>1605</v>
      </c>
      <c r="I248" s="11">
        <v>1510</v>
      </c>
      <c r="J248" s="11">
        <v>1510</v>
      </c>
      <c r="K248" s="64"/>
      <c r="L248" s="64">
        <v>46235</v>
      </c>
      <c r="M248" s="64">
        <v>45506</v>
      </c>
      <c r="O248" s="11">
        <v>1510</v>
      </c>
      <c r="P248" s="11"/>
      <c r="Q248" s="11"/>
      <c r="R248" s="11">
        <v>25</v>
      </c>
      <c r="S248" s="11">
        <v>10</v>
      </c>
      <c r="T248" s="11"/>
      <c r="U248" s="11">
        <v>25</v>
      </c>
      <c r="V248" s="11"/>
      <c r="W248" s="11"/>
      <c r="X248" s="11"/>
      <c r="Y248" s="11"/>
      <c r="Z248" s="11"/>
      <c r="AA248" s="11"/>
      <c r="AB248" s="11"/>
    </row>
    <row r="249" spans="1:28" x14ac:dyDescent="0.3">
      <c r="A249" s="59" t="s">
        <v>638</v>
      </c>
      <c r="B249" s="59" t="s">
        <v>48</v>
      </c>
      <c r="C249" s="20">
        <v>762</v>
      </c>
      <c r="D249" s="19">
        <v>1</v>
      </c>
      <c r="E249" s="19">
        <v>1</v>
      </c>
      <c r="F249" s="60" t="s">
        <v>390</v>
      </c>
      <c r="G249" s="60" t="s">
        <v>391</v>
      </c>
      <c r="H249" s="20">
        <v>1645</v>
      </c>
      <c r="I249" s="20">
        <v>1660</v>
      </c>
      <c r="J249" s="20">
        <v>1660</v>
      </c>
      <c r="K249" s="61"/>
      <c r="L249" s="61">
        <v>46548</v>
      </c>
      <c r="M249" s="61">
        <v>44968</v>
      </c>
      <c r="O249" s="20">
        <v>1660</v>
      </c>
      <c r="P249" s="20"/>
      <c r="Q249" s="20"/>
      <c r="R249" s="20">
        <v>25</v>
      </c>
      <c r="S249" s="20">
        <v>10</v>
      </c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x14ac:dyDescent="0.3">
      <c r="A250" s="62" t="s">
        <v>639</v>
      </c>
      <c r="B250" s="62" t="s">
        <v>59</v>
      </c>
      <c r="C250" s="11">
        <v>1082</v>
      </c>
      <c r="D250" s="10">
        <v>2</v>
      </c>
      <c r="E250" s="10">
        <v>2</v>
      </c>
      <c r="F250" s="63" t="s">
        <v>390</v>
      </c>
      <c r="G250" s="63" t="s">
        <v>391</v>
      </c>
      <c r="H250" s="11">
        <v>2165</v>
      </c>
      <c r="I250" s="11">
        <v>2165</v>
      </c>
      <c r="J250" s="11">
        <v>2165</v>
      </c>
      <c r="K250" s="64"/>
      <c r="L250" s="64">
        <v>46234</v>
      </c>
      <c r="M250" s="64">
        <v>45870</v>
      </c>
      <c r="O250" s="11">
        <v>2165</v>
      </c>
      <c r="P250" s="11"/>
      <c r="Q250" s="11"/>
      <c r="R250" s="11">
        <v>25</v>
      </c>
      <c r="S250" s="11">
        <v>10</v>
      </c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x14ac:dyDescent="0.3">
      <c r="A251" s="59" t="s">
        <v>640</v>
      </c>
      <c r="B251" s="59" t="s">
        <v>59</v>
      </c>
      <c r="C251" s="20">
        <v>1082</v>
      </c>
      <c r="D251" s="19">
        <v>2</v>
      </c>
      <c r="E251" s="19">
        <v>2</v>
      </c>
      <c r="F251" s="60" t="s">
        <v>390</v>
      </c>
      <c r="G251" s="60" t="s">
        <v>391</v>
      </c>
      <c r="H251" s="20">
        <v>2435</v>
      </c>
      <c r="I251" s="20">
        <v>2329</v>
      </c>
      <c r="J251" s="20">
        <v>2329</v>
      </c>
      <c r="K251" s="61"/>
      <c r="L251" s="61">
        <v>46412</v>
      </c>
      <c r="M251" s="61">
        <v>44891</v>
      </c>
      <c r="O251" s="20">
        <v>2329</v>
      </c>
      <c r="P251" s="20"/>
      <c r="Q251" s="20"/>
      <c r="R251" s="20">
        <v>25</v>
      </c>
      <c r="S251" s="20">
        <v>10</v>
      </c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x14ac:dyDescent="0.3">
      <c r="A252" s="62" t="s">
        <v>641</v>
      </c>
      <c r="B252" s="62" t="s">
        <v>59</v>
      </c>
      <c r="C252" s="11">
        <v>1082</v>
      </c>
      <c r="D252" s="10">
        <v>2</v>
      </c>
      <c r="E252" s="10">
        <v>2</v>
      </c>
      <c r="F252" s="63" t="s">
        <v>390</v>
      </c>
      <c r="G252" s="63" t="s">
        <v>391</v>
      </c>
      <c r="H252" s="11">
        <v>2165</v>
      </c>
      <c r="I252" s="11">
        <v>2165</v>
      </c>
      <c r="J252" s="11">
        <v>2165</v>
      </c>
      <c r="K252" s="64"/>
      <c r="L252" s="64">
        <v>46387</v>
      </c>
      <c r="M252" s="64">
        <v>45474</v>
      </c>
      <c r="O252" s="11">
        <v>2165</v>
      </c>
      <c r="P252" s="11"/>
      <c r="Q252" s="11">
        <v>260</v>
      </c>
      <c r="R252" s="11">
        <v>25</v>
      </c>
      <c r="S252" s="11">
        <v>10</v>
      </c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x14ac:dyDescent="0.3">
      <c r="A253" s="59" t="s">
        <v>642</v>
      </c>
      <c r="B253" s="59" t="s">
        <v>59</v>
      </c>
      <c r="C253" s="20">
        <v>1082</v>
      </c>
      <c r="D253" s="19">
        <v>2</v>
      </c>
      <c r="E253" s="19">
        <v>2</v>
      </c>
      <c r="F253" s="60" t="s">
        <v>390</v>
      </c>
      <c r="G253" s="60" t="s">
        <v>391</v>
      </c>
      <c r="H253" s="20">
        <v>2355</v>
      </c>
      <c r="I253" s="20">
        <v>2126</v>
      </c>
      <c r="J253" s="20">
        <v>2126</v>
      </c>
      <c r="K253" s="61"/>
      <c r="L253" s="61">
        <v>46370</v>
      </c>
      <c r="M253" s="61">
        <v>45458</v>
      </c>
      <c r="O253" s="20">
        <v>2126</v>
      </c>
      <c r="P253" s="20"/>
      <c r="Q253" s="20"/>
      <c r="R253" s="20">
        <v>25</v>
      </c>
      <c r="S253" s="20">
        <v>10</v>
      </c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x14ac:dyDescent="0.3">
      <c r="A254" s="62" t="s">
        <v>643</v>
      </c>
      <c r="B254" s="62" t="s">
        <v>68</v>
      </c>
      <c r="C254" s="11">
        <v>1213</v>
      </c>
      <c r="D254" s="10">
        <v>2</v>
      </c>
      <c r="E254" s="10">
        <v>2</v>
      </c>
      <c r="F254" s="63" t="s">
        <v>390</v>
      </c>
      <c r="G254" s="63" t="s">
        <v>391</v>
      </c>
      <c r="H254" s="11">
        <v>2130</v>
      </c>
      <c r="I254" s="11">
        <v>2130</v>
      </c>
      <c r="J254" s="11">
        <v>2130</v>
      </c>
      <c r="K254" s="64"/>
      <c r="L254" s="64">
        <v>46197</v>
      </c>
      <c r="M254" s="64">
        <v>45498</v>
      </c>
      <c r="O254" s="11">
        <v>2130</v>
      </c>
      <c r="P254" s="11"/>
      <c r="Q254" s="11"/>
      <c r="R254" s="11">
        <v>50</v>
      </c>
      <c r="S254" s="11">
        <v>20</v>
      </c>
      <c r="T254" s="11"/>
      <c r="U254" s="11">
        <v>50</v>
      </c>
      <c r="V254" s="11"/>
      <c r="W254" s="11"/>
      <c r="X254" s="11"/>
      <c r="Y254" s="11"/>
      <c r="Z254" s="11"/>
      <c r="AA254" s="11"/>
      <c r="AB254" s="11"/>
    </row>
    <row r="255" spans="1:28" x14ac:dyDescent="0.3">
      <c r="A255" s="59" t="s">
        <v>644</v>
      </c>
      <c r="B255" s="59" t="s">
        <v>36</v>
      </c>
      <c r="C255" s="20">
        <v>698</v>
      </c>
      <c r="D255" s="19">
        <v>1</v>
      </c>
      <c r="E255" s="19">
        <v>1</v>
      </c>
      <c r="F255" s="60" t="s">
        <v>390</v>
      </c>
      <c r="G255" s="60" t="s">
        <v>391</v>
      </c>
      <c r="H255" s="20">
        <v>1755</v>
      </c>
      <c r="I255" s="20">
        <v>1399</v>
      </c>
      <c r="J255" s="20">
        <v>1399</v>
      </c>
      <c r="K255" s="61"/>
      <c r="L255" s="61">
        <v>46240</v>
      </c>
      <c r="M255" s="61">
        <v>45754</v>
      </c>
      <c r="O255" s="20">
        <v>1399</v>
      </c>
      <c r="P255" s="20"/>
      <c r="Q255" s="20"/>
      <c r="R255" s="20">
        <v>25</v>
      </c>
      <c r="S255" s="20">
        <v>10</v>
      </c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x14ac:dyDescent="0.3">
      <c r="A256" s="62" t="s">
        <v>645</v>
      </c>
      <c r="B256" s="62" t="s">
        <v>36</v>
      </c>
      <c r="C256" s="11">
        <v>698</v>
      </c>
      <c r="D256" s="10">
        <v>1</v>
      </c>
      <c r="E256" s="10">
        <v>1</v>
      </c>
      <c r="F256" s="63" t="s">
        <v>390</v>
      </c>
      <c r="G256" s="63" t="s">
        <v>391</v>
      </c>
      <c r="H256" s="11">
        <v>1485</v>
      </c>
      <c r="I256" s="11">
        <v>1350</v>
      </c>
      <c r="J256" s="11">
        <v>1350</v>
      </c>
      <c r="K256" s="64"/>
      <c r="L256" s="64">
        <v>46313</v>
      </c>
      <c r="M256" s="64">
        <v>45584</v>
      </c>
      <c r="O256" s="11">
        <v>1350</v>
      </c>
      <c r="P256" s="11"/>
      <c r="Q256" s="11"/>
      <c r="R256" s="11">
        <v>25</v>
      </c>
      <c r="S256" s="11">
        <v>10</v>
      </c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x14ac:dyDescent="0.3">
      <c r="A257" s="59" t="s">
        <v>646</v>
      </c>
      <c r="B257" s="59" t="s">
        <v>36</v>
      </c>
      <c r="C257" s="20">
        <v>698</v>
      </c>
      <c r="D257" s="19">
        <v>1</v>
      </c>
      <c r="E257" s="19">
        <v>1</v>
      </c>
      <c r="F257" s="60" t="s">
        <v>390</v>
      </c>
      <c r="G257" s="60" t="s">
        <v>391</v>
      </c>
      <c r="H257" s="20">
        <v>1755</v>
      </c>
      <c r="I257" s="20">
        <v>1330</v>
      </c>
      <c r="J257" s="20">
        <v>1330</v>
      </c>
      <c r="K257" s="61"/>
      <c r="L257" s="61">
        <v>46407</v>
      </c>
      <c r="M257" s="61">
        <v>46012</v>
      </c>
      <c r="O257" s="20">
        <v>1330</v>
      </c>
      <c r="P257" s="20">
        <v>-665</v>
      </c>
      <c r="Q257" s="20"/>
      <c r="R257" s="20">
        <v>25</v>
      </c>
      <c r="S257" s="20">
        <v>10</v>
      </c>
      <c r="T257" s="20"/>
      <c r="U257" s="20">
        <v>25</v>
      </c>
      <c r="V257" s="20"/>
      <c r="W257" s="20"/>
      <c r="X257" s="20"/>
      <c r="Y257" s="20"/>
      <c r="Z257" s="20"/>
      <c r="AA257" s="20"/>
      <c r="AB257" s="20"/>
    </row>
    <row r="258" spans="1:28" x14ac:dyDescent="0.3">
      <c r="A258" s="62" t="s">
        <v>647</v>
      </c>
      <c r="B258" s="62" t="s">
        <v>56</v>
      </c>
      <c r="C258" s="11">
        <v>941</v>
      </c>
      <c r="D258" s="10">
        <v>1</v>
      </c>
      <c r="E258" s="10">
        <v>1</v>
      </c>
      <c r="F258" s="63" t="s">
        <v>390</v>
      </c>
      <c r="G258" s="63" t="s">
        <v>391</v>
      </c>
      <c r="H258" s="11">
        <v>1815</v>
      </c>
      <c r="I258" s="11">
        <v>1795</v>
      </c>
      <c r="J258" s="11">
        <v>1795</v>
      </c>
      <c r="K258" s="64"/>
      <c r="L258" s="64">
        <v>46364</v>
      </c>
      <c r="M258" s="64">
        <v>44904</v>
      </c>
      <c r="O258" s="11">
        <v>1795</v>
      </c>
      <c r="P258" s="11"/>
      <c r="Q258" s="11">
        <v>185</v>
      </c>
      <c r="R258" s="11">
        <v>25</v>
      </c>
      <c r="S258" s="11">
        <v>10</v>
      </c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x14ac:dyDescent="0.3">
      <c r="A259" s="59" t="s">
        <v>648</v>
      </c>
      <c r="B259" s="59" t="s">
        <v>36</v>
      </c>
      <c r="C259" s="20">
        <v>698</v>
      </c>
      <c r="D259" s="19">
        <v>1</v>
      </c>
      <c r="E259" s="19">
        <v>1</v>
      </c>
      <c r="F259" s="60" t="s">
        <v>390</v>
      </c>
      <c r="G259" s="60" t="s">
        <v>391</v>
      </c>
      <c r="H259" s="20">
        <v>1755</v>
      </c>
      <c r="I259" s="20">
        <v>1755</v>
      </c>
      <c r="J259" s="20">
        <v>1755</v>
      </c>
      <c r="K259" s="61"/>
      <c r="L259" s="61">
        <v>46209</v>
      </c>
      <c r="M259" s="61">
        <v>45815</v>
      </c>
      <c r="O259" s="20">
        <v>1755</v>
      </c>
      <c r="P259" s="20"/>
      <c r="Q259" s="20"/>
      <c r="R259" s="20">
        <v>25</v>
      </c>
      <c r="S259" s="20">
        <v>10</v>
      </c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x14ac:dyDescent="0.3">
      <c r="A260" s="62" t="s">
        <v>649</v>
      </c>
      <c r="B260" s="62" t="s">
        <v>56</v>
      </c>
      <c r="C260" s="11">
        <v>941</v>
      </c>
      <c r="D260" s="10">
        <v>1</v>
      </c>
      <c r="E260" s="10">
        <v>1</v>
      </c>
      <c r="F260" s="63" t="s">
        <v>390</v>
      </c>
      <c r="G260" s="63" t="s">
        <v>391</v>
      </c>
      <c r="H260" s="11">
        <v>1815</v>
      </c>
      <c r="I260" s="11">
        <v>1842</v>
      </c>
      <c r="J260" s="11">
        <v>1842</v>
      </c>
      <c r="K260" s="64"/>
      <c r="L260" s="64">
        <v>46348</v>
      </c>
      <c r="M260" s="64">
        <v>45345</v>
      </c>
      <c r="O260" s="11">
        <v>1842</v>
      </c>
      <c r="P260" s="11"/>
      <c r="Q260" s="11"/>
      <c r="R260" s="11">
        <v>25</v>
      </c>
      <c r="S260" s="11">
        <v>10</v>
      </c>
      <c r="T260" s="11"/>
      <c r="U260" s="11">
        <v>25</v>
      </c>
      <c r="V260" s="11"/>
      <c r="W260" s="11"/>
      <c r="X260" s="11"/>
      <c r="Y260" s="11"/>
      <c r="Z260" s="11"/>
      <c r="AA260" s="11"/>
      <c r="AB260" s="11"/>
    </row>
    <row r="261" spans="1:28" x14ac:dyDescent="0.3">
      <c r="A261" s="59" t="s">
        <v>650</v>
      </c>
      <c r="B261" s="59" t="s">
        <v>36</v>
      </c>
      <c r="C261" s="20">
        <v>698</v>
      </c>
      <c r="D261" s="19">
        <v>1</v>
      </c>
      <c r="E261" s="19">
        <v>1</v>
      </c>
      <c r="F261" s="60" t="s">
        <v>390</v>
      </c>
      <c r="G261" s="60" t="s">
        <v>391</v>
      </c>
      <c r="H261" s="20">
        <v>1755</v>
      </c>
      <c r="I261" s="20">
        <v>1375</v>
      </c>
      <c r="J261" s="20">
        <v>1375</v>
      </c>
      <c r="K261" s="61"/>
      <c r="L261" s="61">
        <v>46357</v>
      </c>
      <c r="M261" s="61">
        <v>45628</v>
      </c>
      <c r="O261" s="20">
        <v>1375</v>
      </c>
      <c r="P261" s="20"/>
      <c r="Q261" s="20"/>
      <c r="R261" s="20">
        <v>25</v>
      </c>
      <c r="S261" s="20">
        <v>10</v>
      </c>
      <c r="T261" s="20"/>
      <c r="U261" s="20">
        <v>25</v>
      </c>
      <c r="V261" s="20"/>
      <c r="W261" s="20"/>
      <c r="X261" s="20"/>
      <c r="Y261" s="20"/>
      <c r="Z261" s="20"/>
      <c r="AA261" s="20"/>
      <c r="AB261" s="20"/>
    </row>
    <row r="262" spans="1:28" x14ac:dyDescent="0.3">
      <c r="A262" s="62" t="s">
        <v>651</v>
      </c>
      <c r="B262" s="62" t="s">
        <v>64</v>
      </c>
      <c r="C262" s="11">
        <v>1109</v>
      </c>
      <c r="D262" s="10">
        <v>2</v>
      </c>
      <c r="E262" s="10">
        <v>2</v>
      </c>
      <c r="F262" s="63" t="s">
        <v>390</v>
      </c>
      <c r="G262" s="63" t="s">
        <v>391</v>
      </c>
      <c r="H262" s="11">
        <v>2035</v>
      </c>
      <c r="I262" s="11">
        <v>2055</v>
      </c>
      <c r="J262" s="11">
        <v>2055</v>
      </c>
      <c r="K262" s="64"/>
      <c r="L262" s="64">
        <v>46406</v>
      </c>
      <c r="M262" s="64">
        <v>45000</v>
      </c>
      <c r="O262" s="11">
        <v>2055</v>
      </c>
      <c r="P262" s="11"/>
      <c r="Q262" s="11"/>
      <c r="R262" s="11">
        <v>25</v>
      </c>
      <c r="S262" s="11">
        <v>10</v>
      </c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x14ac:dyDescent="0.3">
      <c r="A263" s="59" t="s">
        <v>652</v>
      </c>
      <c r="B263" s="59" t="s">
        <v>36</v>
      </c>
      <c r="C263" s="20">
        <v>698</v>
      </c>
      <c r="D263" s="19">
        <v>1</v>
      </c>
      <c r="E263" s="19">
        <v>1</v>
      </c>
      <c r="F263" s="60" t="s">
        <v>390</v>
      </c>
      <c r="G263" s="60" t="s">
        <v>391</v>
      </c>
      <c r="H263" s="20">
        <v>1755</v>
      </c>
      <c r="I263" s="20">
        <v>1342</v>
      </c>
      <c r="J263" s="20">
        <v>1342</v>
      </c>
      <c r="K263" s="61"/>
      <c r="L263" s="61">
        <v>46476</v>
      </c>
      <c r="M263" s="61">
        <v>46053</v>
      </c>
      <c r="O263" s="20">
        <v>1342</v>
      </c>
      <c r="P263" s="20">
        <v>-671</v>
      </c>
      <c r="Q263" s="20"/>
      <c r="R263" s="20">
        <v>25</v>
      </c>
      <c r="S263" s="20">
        <v>10</v>
      </c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x14ac:dyDescent="0.3">
      <c r="A264" s="62" t="s">
        <v>653</v>
      </c>
      <c r="B264" s="62" t="s">
        <v>48</v>
      </c>
      <c r="C264" s="11">
        <v>762</v>
      </c>
      <c r="D264" s="10">
        <v>1</v>
      </c>
      <c r="E264" s="10">
        <v>1</v>
      </c>
      <c r="F264" s="63" t="s">
        <v>390</v>
      </c>
      <c r="G264" s="63" t="s">
        <v>391</v>
      </c>
      <c r="H264" s="11">
        <v>1565</v>
      </c>
      <c r="I264" s="11">
        <v>1565</v>
      </c>
      <c r="J264" s="11">
        <v>1565</v>
      </c>
      <c r="K264" s="64"/>
      <c r="L264" s="64">
        <v>46326</v>
      </c>
      <c r="M264" s="64">
        <v>45597</v>
      </c>
      <c r="O264" s="11">
        <v>1565</v>
      </c>
      <c r="P264" s="11"/>
      <c r="Q264" s="11"/>
      <c r="R264" s="11">
        <v>25</v>
      </c>
      <c r="S264" s="11">
        <v>10</v>
      </c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x14ac:dyDescent="0.3">
      <c r="A265" s="59" t="s">
        <v>654</v>
      </c>
      <c r="B265" s="59" t="s">
        <v>64</v>
      </c>
      <c r="C265" s="20">
        <v>1109</v>
      </c>
      <c r="D265" s="19">
        <v>2</v>
      </c>
      <c r="E265" s="19">
        <v>2</v>
      </c>
      <c r="F265" s="60" t="s">
        <v>390</v>
      </c>
      <c r="G265" s="60" t="s">
        <v>391</v>
      </c>
      <c r="H265" s="20">
        <v>2305</v>
      </c>
      <c r="I265" s="20">
        <v>2305</v>
      </c>
      <c r="J265" s="20">
        <v>2305</v>
      </c>
      <c r="K265" s="61"/>
      <c r="L265" s="61">
        <v>46196</v>
      </c>
      <c r="M265" s="61">
        <v>45832</v>
      </c>
      <c r="O265" s="20">
        <v>2305</v>
      </c>
      <c r="P265" s="20"/>
      <c r="Q265" s="20">
        <v>225</v>
      </c>
      <c r="R265" s="20">
        <v>25</v>
      </c>
      <c r="S265" s="20">
        <v>10</v>
      </c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x14ac:dyDescent="0.3">
      <c r="A266" s="62" t="s">
        <v>655</v>
      </c>
      <c r="B266" s="62" t="s">
        <v>48</v>
      </c>
      <c r="C266" s="11">
        <v>762</v>
      </c>
      <c r="D266" s="10">
        <v>1</v>
      </c>
      <c r="E266" s="10">
        <v>1</v>
      </c>
      <c r="F266" s="63" t="s">
        <v>390</v>
      </c>
      <c r="G266" s="63" t="s">
        <v>391</v>
      </c>
      <c r="H266" s="11">
        <v>1565</v>
      </c>
      <c r="I266" s="11">
        <v>2271.77</v>
      </c>
      <c r="J266" s="11">
        <v>2271.77</v>
      </c>
      <c r="K266" s="64"/>
      <c r="L266" s="64">
        <v>46585</v>
      </c>
      <c r="M266" s="64">
        <v>46160</v>
      </c>
      <c r="O266" s="11">
        <v>2271.77</v>
      </c>
      <c r="P266" s="11"/>
      <c r="Q266" s="11"/>
      <c r="R266" s="11">
        <v>50</v>
      </c>
      <c r="S266" s="11">
        <v>20</v>
      </c>
      <c r="T266" s="11"/>
      <c r="U266" s="11"/>
      <c r="V266" s="11"/>
      <c r="W266" s="11"/>
      <c r="X266" s="11">
        <v>600</v>
      </c>
      <c r="Y266" s="11"/>
      <c r="Z266" s="11"/>
      <c r="AA266" s="11"/>
      <c r="AB266" s="11"/>
    </row>
    <row r="267" spans="1:28" x14ac:dyDescent="0.3">
      <c r="A267" s="59" t="s">
        <v>656</v>
      </c>
      <c r="B267" s="59" t="s">
        <v>67</v>
      </c>
      <c r="C267" s="20">
        <v>1155</v>
      </c>
      <c r="D267" s="19">
        <v>2</v>
      </c>
      <c r="E267" s="19">
        <v>2</v>
      </c>
      <c r="F267" s="60" t="s">
        <v>390</v>
      </c>
      <c r="G267" s="60" t="s">
        <v>391</v>
      </c>
      <c r="H267" s="20">
        <v>2305</v>
      </c>
      <c r="I267" s="20">
        <v>2245</v>
      </c>
      <c r="J267" s="20">
        <v>2245</v>
      </c>
      <c r="K267" s="61"/>
      <c r="L267" s="61">
        <v>46379</v>
      </c>
      <c r="M267" s="61">
        <v>45009</v>
      </c>
      <c r="O267" s="20">
        <v>2245</v>
      </c>
      <c r="P267" s="20"/>
      <c r="Q267" s="20">
        <v>260</v>
      </c>
      <c r="R267" s="20">
        <v>25</v>
      </c>
      <c r="S267" s="20">
        <v>10</v>
      </c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x14ac:dyDescent="0.3">
      <c r="A268" s="62" t="s">
        <v>657</v>
      </c>
      <c r="B268" s="62" t="s">
        <v>59</v>
      </c>
      <c r="C268" s="11">
        <v>1082</v>
      </c>
      <c r="D268" s="10">
        <v>2</v>
      </c>
      <c r="E268" s="10">
        <v>2</v>
      </c>
      <c r="F268" s="63" t="s">
        <v>390</v>
      </c>
      <c r="G268" s="63" t="s">
        <v>391</v>
      </c>
      <c r="H268" s="11">
        <v>2085</v>
      </c>
      <c r="I268" s="11">
        <v>2085</v>
      </c>
      <c r="J268" s="11">
        <v>2085</v>
      </c>
      <c r="K268" s="64"/>
      <c r="L268" s="64">
        <v>46238</v>
      </c>
      <c r="M268" s="64">
        <v>45417</v>
      </c>
      <c r="O268" s="11">
        <v>2085</v>
      </c>
      <c r="P268" s="11"/>
      <c r="Q268" s="11"/>
      <c r="R268" s="11">
        <v>25</v>
      </c>
      <c r="S268" s="11">
        <v>10</v>
      </c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x14ac:dyDescent="0.3">
      <c r="A269" s="59" t="s">
        <v>658</v>
      </c>
      <c r="B269" s="59" t="s">
        <v>59</v>
      </c>
      <c r="C269" s="20">
        <v>1082</v>
      </c>
      <c r="D269" s="19">
        <v>2</v>
      </c>
      <c r="E269" s="19">
        <v>2</v>
      </c>
      <c r="F269" s="60" t="s">
        <v>390</v>
      </c>
      <c r="G269" s="60" t="s">
        <v>391</v>
      </c>
      <c r="H269" s="20">
        <v>2355</v>
      </c>
      <c r="I269" s="20">
        <v>2355</v>
      </c>
      <c r="J269" s="20">
        <v>2355</v>
      </c>
      <c r="K269" s="61"/>
      <c r="L269" s="61">
        <v>46454</v>
      </c>
      <c r="M269" s="61">
        <v>45970</v>
      </c>
      <c r="O269" s="20">
        <v>2355</v>
      </c>
      <c r="P269" s="20"/>
      <c r="Q269" s="20">
        <v>200</v>
      </c>
      <c r="R269" s="20">
        <v>25</v>
      </c>
      <c r="S269" s="20">
        <v>10</v>
      </c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x14ac:dyDescent="0.3">
      <c r="A270" s="62" t="s">
        <v>659</v>
      </c>
      <c r="B270" s="62" t="s">
        <v>59</v>
      </c>
      <c r="C270" s="11">
        <v>1082</v>
      </c>
      <c r="D270" s="10">
        <v>2</v>
      </c>
      <c r="E270" s="10">
        <v>2</v>
      </c>
      <c r="F270" s="63" t="s">
        <v>390</v>
      </c>
      <c r="G270" s="63" t="s">
        <v>391</v>
      </c>
      <c r="H270" s="11">
        <v>2085</v>
      </c>
      <c r="I270" s="11">
        <v>2085</v>
      </c>
      <c r="J270" s="11">
        <v>2085</v>
      </c>
      <c r="K270" s="64"/>
      <c r="L270" s="64">
        <v>46574</v>
      </c>
      <c r="M270" s="64">
        <v>45572</v>
      </c>
      <c r="O270" s="11">
        <v>2085</v>
      </c>
      <c r="P270" s="11"/>
      <c r="Q270" s="11">
        <v>350</v>
      </c>
      <c r="R270" s="11">
        <v>25</v>
      </c>
      <c r="S270" s="11">
        <v>10</v>
      </c>
      <c r="T270" s="11"/>
      <c r="U270" s="11">
        <v>25</v>
      </c>
      <c r="V270" s="11"/>
      <c r="W270" s="11"/>
      <c r="X270" s="11"/>
      <c r="Y270" s="11"/>
      <c r="Z270" s="11"/>
      <c r="AA270" s="11"/>
      <c r="AB270" s="11"/>
    </row>
    <row r="271" spans="1:28" x14ac:dyDescent="0.3">
      <c r="A271" s="59" t="s">
        <v>660</v>
      </c>
      <c r="B271" s="59" t="s">
        <v>59</v>
      </c>
      <c r="C271" s="20">
        <v>1082</v>
      </c>
      <c r="D271" s="19">
        <v>2</v>
      </c>
      <c r="E271" s="19">
        <v>2</v>
      </c>
      <c r="F271" s="60" t="s">
        <v>390</v>
      </c>
      <c r="G271" s="60" t="s">
        <v>391</v>
      </c>
      <c r="H271" s="20">
        <v>2400</v>
      </c>
      <c r="I271" s="20">
        <v>1699</v>
      </c>
      <c r="J271" s="20">
        <v>1699</v>
      </c>
      <c r="K271" s="61"/>
      <c r="L271" s="61">
        <v>46401</v>
      </c>
      <c r="M271" s="61">
        <v>45976</v>
      </c>
      <c r="O271" s="20">
        <v>1699</v>
      </c>
      <c r="P271" s="20"/>
      <c r="Q271" s="20"/>
      <c r="R271" s="20">
        <v>25</v>
      </c>
      <c r="S271" s="20">
        <v>10</v>
      </c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x14ac:dyDescent="0.3">
      <c r="A272" s="62" t="s">
        <v>661</v>
      </c>
      <c r="B272" s="62" t="s">
        <v>68</v>
      </c>
      <c r="C272" s="11">
        <v>1213</v>
      </c>
      <c r="D272" s="10">
        <v>2</v>
      </c>
      <c r="E272" s="10">
        <v>2</v>
      </c>
      <c r="F272" s="63" t="s">
        <v>390</v>
      </c>
      <c r="G272" s="63" t="s">
        <v>391</v>
      </c>
      <c r="H272" s="11">
        <v>2175</v>
      </c>
      <c r="I272" s="11">
        <v>2175</v>
      </c>
      <c r="J272" s="11">
        <v>2175</v>
      </c>
      <c r="K272" s="64"/>
      <c r="L272" s="64">
        <v>46395</v>
      </c>
      <c r="M272" s="64">
        <v>45513</v>
      </c>
      <c r="O272" s="11">
        <v>2175</v>
      </c>
      <c r="P272" s="11"/>
      <c r="Q272" s="11"/>
      <c r="R272" s="11">
        <v>25</v>
      </c>
      <c r="S272" s="11">
        <v>10</v>
      </c>
      <c r="T272" s="11">
        <v>65</v>
      </c>
      <c r="U272" s="11"/>
      <c r="V272" s="11"/>
      <c r="W272" s="11"/>
      <c r="X272" s="11"/>
      <c r="Y272" s="11"/>
      <c r="Z272" s="11"/>
      <c r="AA272" s="11"/>
      <c r="AB272" s="11"/>
    </row>
    <row r="273" spans="1:28" x14ac:dyDescent="0.3">
      <c r="A273" s="59" t="s">
        <v>662</v>
      </c>
      <c r="B273" s="59" t="s">
        <v>36</v>
      </c>
      <c r="C273" s="20">
        <v>698</v>
      </c>
      <c r="D273" s="19">
        <v>1</v>
      </c>
      <c r="E273" s="19">
        <v>1</v>
      </c>
      <c r="F273" s="60" t="s">
        <v>390</v>
      </c>
      <c r="G273" s="60" t="s">
        <v>391</v>
      </c>
      <c r="H273" s="20">
        <v>1800</v>
      </c>
      <c r="I273" s="20">
        <v>1387</v>
      </c>
      <c r="J273" s="20">
        <v>1387</v>
      </c>
      <c r="K273" s="61"/>
      <c r="L273" s="61">
        <v>46500</v>
      </c>
      <c r="M273" s="61">
        <v>46077</v>
      </c>
      <c r="O273" s="20">
        <v>1387</v>
      </c>
      <c r="P273" s="20">
        <v>-693.5</v>
      </c>
      <c r="Q273" s="20"/>
      <c r="R273" s="20">
        <v>25</v>
      </c>
      <c r="S273" s="20">
        <v>10</v>
      </c>
      <c r="T273" s="20">
        <v>55</v>
      </c>
      <c r="U273" s="20"/>
      <c r="V273" s="20"/>
      <c r="W273" s="20"/>
      <c r="X273" s="20"/>
      <c r="Y273" s="20"/>
      <c r="Z273" s="20"/>
      <c r="AA273" s="20"/>
      <c r="AB273" s="20"/>
    </row>
    <row r="274" spans="1:28" x14ac:dyDescent="0.3">
      <c r="A274" s="62" t="s">
        <v>663</v>
      </c>
      <c r="B274" s="62" t="s">
        <v>36</v>
      </c>
      <c r="C274" s="11">
        <v>698</v>
      </c>
      <c r="D274" s="10">
        <v>1</v>
      </c>
      <c r="E274" s="10">
        <v>1</v>
      </c>
      <c r="F274" s="63" t="s">
        <v>390</v>
      </c>
      <c r="G274" s="63" t="s">
        <v>391</v>
      </c>
      <c r="H274" s="11">
        <v>1530</v>
      </c>
      <c r="I274" s="11">
        <v>1340</v>
      </c>
      <c r="J274" s="11">
        <v>1340</v>
      </c>
      <c r="K274" s="64"/>
      <c r="L274" s="64">
        <v>46500</v>
      </c>
      <c r="M274" s="64">
        <v>45954</v>
      </c>
      <c r="O274" s="11">
        <v>1340</v>
      </c>
      <c r="P274" s="11"/>
      <c r="Q274" s="11"/>
      <c r="R274" s="11">
        <v>25</v>
      </c>
      <c r="S274" s="11">
        <v>10</v>
      </c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x14ac:dyDescent="0.3">
      <c r="A275" s="59" t="s">
        <v>664</v>
      </c>
      <c r="B275" s="59" t="s">
        <v>36</v>
      </c>
      <c r="C275" s="20">
        <v>698</v>
      </c>
      <c r="D275" s="19">
        <v>1</v>
      </c>
      <c r="E275" s="19">
        <v>1</v>
      </c>
      <c r="F275" s="60" t="s">
        <v>390</v>
      </c>
      <c r="G275" s="60" t="s">
        <v>391</v>
      </c>
      <c r="H275" s="20">
        <v>1800</v>
      </c>
      <c r="I275" s="20">
        <v>1800</v>
      </c>
      <c r="J275" s="20">
        <v>1800</v>
      </c>
      <c r="K275" s="61"/>
      <c r="L275" s="61">
        <v>46296</v>
      </c>
      <c r="M275" s="61">
        <v>45932</v>
      </c>
      <c r="O275" s="20">
        <v>1800</v>
      </c>
      <c r="P275" s="20"/>
      <c r="Q275" s="20">
        <v>200</v>
      </c>
      <c r="R275" s="20">
        <v>25</v>
      </c>
      <c r="S275" s="20">
        <v>10</v>
      </c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x14ac:dyDescent="0.3">
      <c r="A276" s="62" t="s">
        <v>665</v>
      </c>
      <c r="B276" s="62" t="s">
        <v>56</v>
      </c>
      <c r="C276" s="11">
        <v>941</v>
      </c>
      <c r="D276" s="10">
        <v>1</v>
      </c>
      <c r="E276" s="10">
        <v>1</v>
      </c>
      <c r="F276" s="63" t="s">
        <v>390</v>
      </c>
      <c r="G276" s="63" t="s">
        <v>391</v>
      </c>
      <c r="H276" s="11">
        <v>1860</v>
      </c>
      <c r="I276" s="11">
        <v>1800</v>
      </c>
      <c r="J276" s="11">
        <v>1800</v>
      </c>
      <c r="K276" s="64"/>
      <c r="L276" s="64">
        <v>46547</v>
      </c>
      <c r="M276" s="64">
        <v>46122</v>
      </c>
      <c r="O276" s="11">
        <v>1800</v>
      </c>
      <c r="P276" s="11">
        <v>-900</v>
      </c>
      <c r="Q276" s="11"/>
      <c r="R276" s="11">
        <v>25</v>
      </c>
      <c r="S276" s="11">
        <v>10</v>
      </c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x14ac:dyDescent="0.3">
      <c r="A277" s="59" t="s">
        <v>666</v>
      </c>
      <c r="B277" s="59" t="s">
        <v>36</v>
      </c>
      <c r="C277" s="20">
        <v>698</v>
      </c>
      <c r="D277" s="19">
        <v>1</v>
      </c>
      <c r="E277" s="19">
        <v>1</v>
      </c>
      <c r="F277" s="60" t="s">
        <v>390</v>
      </c>
      <c r="G277" s="60" t="s">
        <v>391</v>
      </c>
      <c r="H277" s="20">
        <v>1800</v>
      </c>
      <c r="I277" s="20">
        <v>1690</v>
      </c>
      <c r="J277" s="20">
        <v>1690</v>
      </c>
      <c r="K277" s="61"/>
      <c r="L277" s="61">
        <v>46603</v>
      </c>
      <c r="M277" s="61">
        <v>45051</v>
      </c>
      <c r="O277" s="20">
        <v>1690</v>
      </c>
      <c r="P277" s="20"/>
      <c r="Q277" s="20"/>
      <c r="R277" s="20">
        <v>25</v>
      </c>
      <c r="S277" s="20">
        <v>10</v>
      </c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x14ac:dyDescent="0.3">
      <c r="A278" s="62" t="s">
        <v>667</v>
      </c>
      <c r="B278" s="62" t="s">
        <v>56</v>
      </c>
      <c r="C278" s="11">
        <v>941</v>
      </c>
      <c r="D278" s="10">
        <v>1</v>
      </c>
      <c r="E278" s="10">
        <v>1</v>
      </c>
      <c r="F278" s="63" t="s">
        <v>390</v>
      </c>
      <c r="G278" s="63" t="s">
        <v>391</v>
      </c>
      <c r="H278" s="11">
        <v>1860</v>
      </c>
      <c r="I278" s="11">
        <v>1860</v>
      </c>
      <c r="J278" s="11">
        <v>1860</v>
      </c>
      <c r="K278" s="64"/>
      <c r="L278" s="64">
        <v>46234</v>
      </c>
      <c r="M278" s="64">
        <v>45870</v>
      </c>
      <c r="O278" s="11">
        <v>1860</v>
      </c>
      <c r="P278" s="11"/>
      <c r="Q278" s="11">
        <v>200</v>
      </c>
      <c r="R278" s="11">
        <v>25</v>
      </c>
      <c r="S278" s="11">
        <v>10</v>
      </c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x14ac:dyDescent="0.3">
      <c r="A279" s="59" t="s">
        <v>668</v>
      </c>
      <c r="B279" s="59" t="s">
        <v>36</v>
      </c>
      <c r="C279" s="20">
        <v>698</v>
      </c>
      <c r="D279" s="19">
        <v>1</v>
      </c>
      <c r="E279" s="19">
        <v>1</v>
      </c>
      <c r="F279" s="60" t="s">
        <v>390</v>
      </c>
      <c r="G279" s="60" t="s">
        <v>391</v>
      </c>
      <c r="H279" s="20">
        <v>1800</v>
      </c>
      <c r="I279" s="20">
        <v>1700</v>
      </c>
      <c r="J279" s="20">
        <v>1700</v>
      </c>
      <c r="K279" s="61"/>
      <c r="L279" s="61">
        <v>46369</v>
      </c>
      <c r="M279" s="61">
        <v>45549</v>
      </c>
      <c r="O279" s="20">
        <v>1700</v>
      </c>
      <c r="P279" s="20"/>
      <c r="Q279" s="20"/>
      <c r="R279" s="20">
        <v>25</v>
      </c>
      <c r="S279" s="20">
        <v>10</v>
      </c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x14ac:dyDescent="0.3">
      <c r="A280" s="62" t="s">
        <v>669</v>
      </c>
      <c r="B280" s="62" t="s">
        <v>64</v>
      </c>
      <c r="C280" s="11">
        <v>1109</v>
      </c>
      <c r="D280" s="10">
        <v>2</v>
      </c>
      <c r="E280" s="10">
        <v>2</v>
      </c>
      <c r="F280" s="63" t="s">
        <v>390</v>
      </c>
      <c r="G280" s="63" t="s">
        <v>391</v>
      </c>
      <c r="H280" s="11">
        <v>2080</v>
      </c>
      <c r="I280" s="11">
        <v>2035</v>
      </c>
      <c r="J280" s="11">
        <v>2035</v>
      </c>
      <c r="K280" s="64"/>
      <c r="L280" s="64">
        <v>46220</v>
      </c>
      <c r="M280" s="64">
        <v>45003</v>
      </c>
      <c r="O280" s="11">
        <v>2035</v>
      </c>
      <c r="P280" s="11"/>
      <c r="Q280" s="11">
        <v>250</v>
      </c>
      <c r="R280" s="11">
        <v>25</v>
      </c>
      <c r="S280" s="11">
        <v>10</v>
      </c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x14ac:dyDescent="0.3">
      <c r="A281" s="59" t="s">
        <v>670</v>
      </c>
      <c r="B281" s="59" t="s">
        <v>36</v>
      </c>
      <c r="C281" s="20">
        <v>698</v>
      </c>
      <c r="D281" s="19">
        <v>1</v>
      </c>
      <c r="E281" s="19">
        <v>1</v>
      </c>
      <c r="F281" s="60" t="s">
        <v>390</v>
      </c>
      <c r="G281" s="60" t="s">
        <v>391</v>
      </c>
      <c r="H281" s="20">
        <v>1800</v>
      </c>
      <c r="I281" s="20">
        <v>1800</v>
      </c>
      <c r="J281" s="20">
        <v>1800</v>
      </c>
      <c r="K281" s="61"/>
      <c r="L281" s="61">
        <v>46214</v>
      </c>
      <c r="M281" s="61">
        <v>45394</v>
      </c>
      <c r="O281" s="20">
        <v>1800</v>
      </c>
      <c r="P281" s="20"/>
      <c r="Q281" s="20"/>
      <c r="R281" s="20">
        <v>25</v>
      </c>
      <c r="S281" s="20">
        <v>10</v>
      </c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x14ac:dyDescent="0.3">
      <c r="A282" s="62" t="s">
        <v>671</v>
      </c>
      <c r="B282" s="62" t="s">
        <v>48</v>
      </c>
      <c r="C282" s="11">
        <v>762</v>
      </c>
      <c r="D282" s="10">
        <v>1</v>
      </c>
      <c r="E282" s="10">
        <v>1</v>
      </c>
      <c r="F282" s="63" t="s">
        <v>390</v>
      </c>
      <c r="G282" s="63" t="s">
        <v>391</v>
      </c>
      <c r="H282" s="11">
        <v>1610</v>
      </c>
      <c r="I282" s="11">
        <v>1521</v>
      </c>
      <c r="J282" s="11">
        <v>1521</v>
      </c>
      <c r="K282" s="64"/>
      <c r="L282" s="64">
        <v>46581</v>
      </c>
      <c r="M282" s="64">
        <v>45640</v>
      </c>
      <c r="O282" s="11">
        <v>1521</v>
      </c>
      <c r="P282" s="11"/>
      <c r="Q282" s="11">
        <v>160</v>
      </c>
      <c r="R282" s="11">
        <v>25</v>
      </c>
      <c r="S282" s="11">
        <v>10</v>
      </c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x14ac:dyDescent="0.3">
      <c r="A283" s="59" t="s">
        <v>672</v>
      </c>
      <c r="B283" s="59" t="s">
        <v>64</v>
      </c>
      <c r="C283" s="20">
        <v>1109</v>
      </c>
      <c r="D283" s="19">
        <v>2</v>
      </c>
      <c r="E283" s="19">
        <v>2</v>
      </c>
      <c r="F283" s="60" t="s">
        <v>390</v>
      </c>
      <c r="G283" s="60" t="s">
        <v>391</v>
      </c>
      <c r="H283" s="20">
        <v>2350</v>
      </c>
      <c r="I283" s="20">
        <v>2350</v>
      </c>
      <c r="J283" s="20">
        <v>2350</v>
      </c>
      <c r="K283" s="61"/>
      <c r="L283" s="61">
        <v>46462</v>
      </c>
      <c r="M283" s="61">
        <v>46039</v>
      </c>
      <c r="O283" s="20">
        <v>2350</v>
      </c>
      <c r="P283" s="20">
        <v>-1175</v>
      </c>
      <c r="Q283" s="20"/>
      <c r="R283" s="20">
        <v>25</v>
      </c>
      <c r="S283" s="20">
        <v>10</v>
      </c>
      <c r="T283" s="20">
        <v>110</v>
      </c>
      <c r="U283" s="20"/>
      <c r="V283" s="20"/>
      <c r="W283" s="20"/>
      <c r="X283" s="20"/>
      <c r="Y283" s="20"/>
      <c r="Z283" s="20"/>
      <c r="AA283" s="20"/>
      <c r="AB283" s="20"/>
    </row>
    <row r="284" spans="1:28" x14ac:dyDescent="0.3">
      <c r="A284" s="62" t="s">
        <v>673</v>
      </c>
      <c r="B284" s="62" t="s">
        <v>48</v>
      </c>
      <c r="C284" s="11">
        <v>762</v>
      </c>
      <c r="D284" s="10">
        <v>1</v>
      </c>
      <c r="E284" s="10">
        <v>1</v>
      </c>
      <c r="F284" s="63" t="s">
        <v>390</v>
      </c>
      <c r="G284" s="63" t="s">
        <v>391</v>
      </c>
      <c r="H284" s="11">
        <v>1610</v>
      </c>
      <c r="I284" s="11">
        <v>1398</v>
      </c>
      <c r="J284" s="11">
        <v>1398</v>
      </c>
      <c r="K284" s="64"/>
      <c r="L284" s="64">
        <v>46494</v>
      </c>
      <c r="M284" s="64">
        <v>46071</v>
      </c>
      <c r="O284" s="11">
        <v>1398</v>
      </c>
      <c r="P284" s="11">
        <v>-699</v>
      </c>
      <c r="Q284" s="11"/>
      <c r="R284" s="11">
        <v>25</v>
      </c>
      <c r="S284" s="11">
        <v>10</v>
      </c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x14ac:dyDescent="0.3">
      <c r="A285" s="59" t="s">
        <v>674</v>
      </c>
      <c r="B285" s="59" t="s">
        <v>67</v>
      </c>
      <c r="C285" s="20">
        <v>1155</v>
      </c>
      <c r="D285" s="19">
        <v>2</v>
      </c>
      <c r="E285" s="19">
        <v>2</v>
      </c>
      <c r="F285" s="60" t="s">
        <v>390</v>
      </c>
      <c r="G285" s="60" t="s">
        <v>391</v>
      </c>
      <c r="H285" s="20">
        <v>2350</v>
      </c>
      <c r="I285" s="20">
        <v>2350</v>
      </c>
      <c r="J285" s="20">
        <v>2350</v>
      </c>
      <c r="K285" s="61"/>
      <c r="L285" s="61">
        <v>46299</v>
      </c>
      <c r="M285" s="61">
        <v>45935</v>
      </c>
      <c r="O285" s="20">
        <v>2350</v>
      </c>
      <c r="P285" s="20"/>
      <c r="Q285" s="20"/>
      <c r="R285" s="20"/>
      <c r="S285" s="20">
        <v>10</v>
      </c>
      <c r="T285" s="20">
        <v>65</v>
      </c>
      <c r="U285" s="20"/>
      <c r="V285" s="20"/>
      <c r="W285" s="20"/>
      <c r="X285" s="20"/>
      <c r="Y285" s="20"/>
      <c r="Z285" s="20"/>
      <c r="AA285" s="20"/>
      <c r="AB285" s="20"/>
    </row>
    <row r="286" spans="1:28" x14ac:dyDescent="0.3">
      <c r="A286" s="62" t="s">
        <v>675</v>
      </c>
      <c r="B286" s="62" t="s">
        <v>59</v>
      </c>
      <c r="C286" s="11">
        <v>1082</v>
      </c>
      <c r="D286" s="10">
        <v>2</v>
      </c>
      <c r="E286" s="10">
        <v>2</v>
      </c>
      <c r="F286" s="63" t="s">
        <v>390</v>
      </c>
      <c r="G286" s="63" t="s">
        <v>391</v>
      </c>
      <c r="H286" s="11">
        <v>2130</v>
      </c>
      <c r="I286" s="11">
        <v>2130</v>
      </c>
      <c r="J286" s="11">
        <v>2130</v>
      </c>
      <c r="K286" s="64"/>
      <c r="L286" s="64">
        <v>46521</v>
      </c>
      <c r="M286" s="64">
        <v>46096</v>
      </c>
      <c r="O286" s="11">
        <v>2130</v>
      </c>
      <c r="P286" s="11"/>
      <c r="Q286" s="11">
        <v>230</v>
      </c>
      <c r="R286" s="11">
        <v>25</v>
      </c>
      <c r="S286" s="11">
        <v>10</v>
      </c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x14ac:dyDescent="0.3">
      <c r="A287" s="59" t="s">
        <v>676</v>
      </c>
      <c r="B287" s="59" t="s">
        <v>59</v>
      </c>
      <c r="C287" s="20">
        <v>1082</v>
      </c>
      <c r="D287" s="19">
        <v>2</v>
      </c>
      <c r="E287" s="19">
        <v>2</v>
      </c>
      <c r="F287" s="60" t="s">
        <v>390</v>
      </c>
      <c r="G287" s="60" t="s">
        <v>391</v>
      </c>
      <c r="H287" s="20">
        <v>2400</v>
      </c>
      <c r="I287" s="20">
        <v>2383</v>
      </c>
      <c r="J287" s="20">
        <v>2383</v>
      </c>
      <c r="K287" s="61"/>
      <c r="L287" s="61">
        <v>46407</v>
      </c>
      <c r="M287" s="61">
        <v>44855</v>
      </c>
      <c r="O287" s="20">
        <v>2383</v>
      </c>
      <c r="P287" s="20"/>
      <c r="Q287" s="20">
        <v>175</v>
      </c>
      <c r="R287" s="20">
        <v>25</v>
      </c>
      <c r="S287" s="20">
        <v>10</v>
      </c>
      <c r="T287" s="20"/>
      <c r="U287" s="20">
        <v>50</v>
      </c>
      <c r="V287" s="20"/>
      <c r="W287" s="20"/>
      <c r="X287" s="20"/>
      <c r="Y287" s="20"/>
      <c r="Z287" s="20"/>
      <c r="AA287" s="20"/>
      <c r="AB287" s="20"/>
    </row>
    <row r="288" spans="1:28" x14ac:dyDescent="0.3">
      <c r="A288" s="62" t="s">
        <v>677</v>
      </c>
      <c r="B288" s="62" t="s">
        <v>59</v>
      </c>
      <c r="C288" s="11">
        <v>1082</v>
      </c>
      <c r="D288" s="10">
        <v>2</v>
      </c>
      <c r="E288" s="10">
        <v>2</v>
      </c>
      <c r="F288" s="63" t="s">
        <v>390</v>
      </c>
      <c r="G288" s="63" t="s">
        <v>391</v>
      </c>
      <c r="H288" s="11">
        <v>2130</v>
      </c>
      <c r="I288" s="11">
        <v>2024</v>
      </c>
      <c r="J288" s="11">
        <v>2024</v>
      </c>
      <c r="K288" s="64"/>
      <c r="L288" s="64">
        <v>46615</v>
      </c>
      <c r="M288" s="64">
        <v>45520</v>
      </c>
      <c r="O288" s="11">
        <v>2024</v>
      </c>
      <c r="P288" s="11"/>
      <c r="Q288" s="11">
        <v>260</v>
      </c>
      <c r="R288" s="11">
        <v>25</v>
      </c>
      <c r="S288" s="11">
        <v>10</v>
      </c>
      <c r="T288" s="11">
        <v>65</v>
      </c>
      <c r="U288" s="11"/>
      <c r="V288" s="11"/>
      <c r="W288" s="11"/>
      <c r="X288" s="11"/>
      <c r="Y288" s="11"/>
      <c r="Z288" s="11"/>
      <c r="AA288" s="11"/>
      <c r="AB288" s="11"/>
    </row>
    <row r="289" spans="1:28" x14ac:dyDescent="0.3">
      <c r="A289" s="59" t="s">
        <v>678</v>
      </c>
      <c r="B289" s="59" t="s">
        <v>73</v>
      </c>
      <c r="C289" s="20">
        <v>1461</v>
      </c>
      <c r="D289" s="19"/>
      <c r="E289" s="19"/>
      <c r="F289" s="60" t="s">
        <v>390</v>
      </c>
      <c r="G289" s="60" t="s">
        <v>397</v>
      </c>
      <c r="H289" s="20">
        <v>3785</v>
      </c>
      <c r="I289" s="20">
        <v>0</v>
      </c>
      <c r="J289" s="20">
        <v>0</v>
      </c>
      <c r="K289" s="61"/>
      <c r="L289" s="61"/>
      <c r="M289" s="61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x14ac:dyDescent="0.3">
      <c r="A290" s="62" t="s">
        <v>679</v>
      </c>
      <c r="B290" s="62" t="s">
        <v>70</v>
      </c>
      <c r="C290" s="11">
        <v>1381</v>
      </c>
      <c r="D290" s="10"/>
      <c r="E290" s="10"/>
      <c r="F290" s="63" t="s">
        <v>390</v>
      </c>
      <c r="G290" s="63" t="s">
        <v>391</v>
      </c>
      <c r="H290" s="11">
        <v>3410</v>
      </c>
      <c r="I290" s="11">
        <v>2633</v>
      </c>
      <c r="J290" s="11">
        <v>2633</v>
      </c>
      <c r="K290" s="64"/>
      <c r="L290" s="64">
        <v>46610</v>
      </c>
      <c r="M290" s="64">
        <v>45700</v>
      </c>
      <c r="O290" s="11">
        <v>2633</v>
      </c>
      <c r="P290" s="11"/>
      <c r="Q290" s="11"/>
      <c r="R290" s="11">
        <v>25</v>
      </c>
      <c r="S290" s="11">
        <v>10</v>
      </c>
      <c r="T290" s="11"/>
      <c r="U290" s="11">
        <v>50</v>
      </c>
      <c r="V290" s="11"/>
      <c r="W290" s="11"/>
      <c r="X290" s="11"/>
      <c r="Y290" s="11"/>
      <c r="Z290" s="11"/>
      <c r="AA290" s="11"/>
      <c r="AB290" s="11"/>
    </row>
    <row r="291" spans="1:28" x14ac:dyDescent="0.3">
      <c r="A291" s="59" t="s">
        <v>680</v>
      </c>
      <c r="B291" s="59" t="s">
        <v>70</v>
      </c>
      <c r="C291" s="20">
        <v>1381</v>
      </c>
      <c r="D291" s="19"/>
      <c r="E291" s="19"/>
      <c r="F291" s="60" t="s">
        <v>390</v>
      </c>
      <c r="G291" s="60" t="s">
        <v>391</v>
      </c>
      <c r="H291" s="20">
        <v>3410</v>
      </c>
      <c r="I291" s="20">
        <v>3410</v>
      </c>
      <c r="J291" s="20">
        <v>3410</v>
      </c>
      <c r="K291" s="61"/>
      <c r="L291" s="61">
        <v>46329</v>
      </c>
      <c r="M291" s="61">
        <v>45965</v>
      </c>
      <c r="O291" s="20">
        <v>3410</v>
      </c>
      <c r="P291" s="20"/>
      <c r="Q291" s="20"/>
      <c r="R291" s="20">
        <v>25</v>
      </c>
      <c r="S291" s="20">
        <v>10</v>
      </c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x14ac:dyDescent="0.3">
      <c r="A292" s="62" t="s">
        <v>681</v>
      </c>
      <c r="B292" s="62" t="s">
        <v>77</v>
      </c>
      <c r="C292" s="11">
        <v>1427</v>
      </c>
      <c r="D292" s="10"/>
      <c r="E292" s="10"/>
      <c r="F292" s="63" t="s">
        <v>390</v>
      </c>
      <c r="G292" s="63" t="s">
        <v>391</v>
      </c>
      <c r="H292" s="11">
        <v>3955</v>
      </c>
      <c r="I292" s="11">
        <v>3955</v>
      </c>
      <c r="J292" s="11">
        <v>3955</v>
      </c>
      <c r="K292" s="64"/>
      <c r="L292" s="64">
        <v>46227</v>
      </c>
      <c r="M292" s="64">
        <v>45010</v>
      </c>
      <c r="O292" s="11">
        <v>3955</v>
      </c>
      <c r="P292" s="11"/>
      <c r="Q292" s="11"/>
      <c r="R292" s="11">
        <v>25</v>
      </c>
      <c r="S292" s="11">
        <v>10</v>
      </c>
      <c r="T292" s="11"/>
      <c r="U292" s="11">
        <v>50</v>
      </c>
      <c r="V292" s="11"/>
      <c r="W292" s="11"/>
      <c r="X292" s="11"/>
      <c r="Y292" s="11"/>
      <c r="Z292" s="11"/>
      <c r="AA292" s="11">
        <v>29</v>
      </c>
      <c r="AB292" s="11"/>
    </row>
    <row r="293" spans="1:28" x14ac:dyDescent="0.3">
      <c r="A293" s="28" t="s">
        <v>79</v>
      </c>
      <c r="B293" s="29"/>
      <c r="C293" s="31">
        <f>SUM(C3:C292)</f>
        <v>266411</v>
      </c>
      <c r="D293" s="29"/>
      <c r="E293" s="29"/>
      <c r="F293" s="29"/>
      <c r="G293" s="29"/>
      <c r="H293" s="31">
        <f>SUM(H3:H292)</f>
        <v>559150</v>
      </c>
      <c r="I293" s="31">
        <f>SUM(I3:I292)</f>
        <v>497096.77</v>
      </c>
      <c r="J293" s="31">
        <f>SUM(J3:J292)</f>
        <v>497096.77</v>
      </c>
      <c r="K293" s="29"/>
      <c r="L293" s="29"/>
      <c r="M293" s="29"/>
      <c r="N293" s="29"/>
      <c r="O293" s="31">
        <f t="shared" ref="O293:AB293" si="0">SUM(O3:O292)</f>
        <v>497096.77</v>
      </c>
      <c r="P293" s="31">
        <f t="shared" si="0"/>
        <v>-42182.5</v>
      </c>
      <c r="Q293" s="31">
        <f t="shared" si="0"/>
        <v>17965</v>
      </c>
      <c r="R293" s="31">
        <f t="shared" si="0"/>
        <v>6760</v>
      </c>
      <c r="S293" s="31">
        <f t="shared" si="0"/>
        <v>2780</v>
      </c>
      <c r="T293" s="31">
        <f t="shared" si="0"/>
        <v>2050</v>
      </c>
      <c r="U293" s="31">
        <f t="shared" si="0"/>
        <v>1500</v>
      </c>
      <c r="V293" s="31">
        <f t="shared" si="0"/>
        <v>700</v>
      </c>
      <c r="W293" s="31">
        <f t="shared" si="0"/>
        <v>650</v>
      </c>
      <c r="X293" s="31">
        <f t="shared" si="0"/>
        <v>600</v>
      </c>
      <c r="Y293" s="31">
        <f t="shared" si="0"/>
        <v>240</v>
      </c>
      <c r="Z293" s="31">
        <f t="shared" si="0"/>
        <v>75</v>
      </c>
      <c r="AA293" s="31">
        <f t="shared" si="0"/>
        <v>29</v>
      </c>
      <c r="AB293" s="31">
        <f t="shared" si="0"/>
        <v>25</v>
      </c>
    </row>
  </sheetData>
  <mergeCells count="14">
    <mergeCell ref="O1:AB1"/>
    <mergeCell ref="L1:L2"/>
    <mergeCell ref="J1:J2"/>
    <mergeCell ref="H1:H2"/>
    <mergeCell ref="A1:A2"/>
    <mergeCell ref="I1:I2"/>
    <mergeCell ref="M1:M2"/>
    <mergeCell ref="K1:K2"/>
    <mergeCell ref="C1:C2"/>
    <mergeCell ref="B1:B2"/>
    <mergeCell ref="D1:D2"/>
    <mergeCell ref="E1:E2"/>
    <mergeCell ref="F1:F2"/>
    <mergeCell ref="G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2" width="11" customWidth="1"/>
    <col min="3" max="3" width="9" customWidth="1"/>
    <col min="4" max="5" width="6" customWidth="1"/>
    <col min="6" max="6" width="12" customWidth="1"/>
    <col min="7" max="7" width="16" customWidth="1"/>
    <col min="8" max="8" width="13" customWidth="1"/>
    <col min="9" max="13" width="14" customWidth="1"/>
    <col min="14" max="14" width="2" customWidth="1"/>
    <col min="15" max="26" width="13" customWidth="1"/>
  </cols>
  <sheetData>
    <row r="1" spans="1:26" x14ac:dyDescent="0.3">
      <c r="A1" s="80" t="s">
        <v>364</v>
      </c>
      <c r="B1" s="80" t="s">
        <v>6</v>
      </c>
      <c r="C1" s="80" t="s">
        <v>365</v>
      </c>
      <c r="D1" s="80" t="s">
        <v>7</v>
      </c>
      <c r="E1" s="80" t="s">
        <v>8</v>
      </c>
      <c r="F1" s="80" t="s">
        <v>366</v>
      </c>
      <c r="G1" s="80" t="s">
        <v>367</v>
      </c>
      <c r="H1" s="80" t="s">
        <v>368</v>
      </c>
      <c r="I1" s="80" t="s">
        <v>369</v>
      </c>
      <c r="J1" s="80" t="s">
        <v>370</v>
      </c>
      <c r="K1" s="80" t="s">
        <v>371</v>
      </c>
      <c r="L1" s="80" t="s">
        <v>372</v>
      </c>
      <c r="M1" s="80" t="s">
        <v>373</v>
      </c>
      <c r="O1" s="81" t="s">
        <v>374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O2" s="7" t="s">
        <v>375</v>
      </c>
      <c r="P2" s="7" t="s">
        <v>376</v>
      </c>
      <c r="Q2" s="7" t="s">
        <v>377</v>
      </c>
      <c r="R2" s="7" t="s">
        <v>388</v>
      </c>
      <c r="S2" s="7" t="s">
        <v>379</v>
      </c>
      <c r="T2" s="7" t="s">
        <v>380</v>
      </c>
      <c r="U2" s="7" t="s">
        <v>381</v>
      </c>
      <c r="V2" s="7" t="s">
        <v>682</v>
      </c>
      <c r="W2" s="7" t="s">
        <v>683</v>
      </c>
      <c r="X2" s="7" t="s">
        <v>387</v>
      </c>
      <c r="Y2" s="7" t="s">
        <v>383</v>
      </c>
      <c r="Z2" s="7" t="s">
        <v>385</v>
      </c>
    </row>
    <row r="3" spans="1:26" x14ac:dyDescent="0.3">
      <c r="A3" s="59" t="s">
        <v>389</v>
      </c>
      <c r="B3" s="59" t="s">
        <v>74</v>
      </c>
      <c r="C3" s="20">
        <v>1564</v>
      </c>
      <c r="D3" s="19">
        <v>3</v>
      </c>
      <c r="E3" s="19">
        <v>2</v>
      </c>
      <c r="F3" s="60" t="s">
        <v>390</v>
      </c>
      <c r="G3" s="60" t="s">
        <v>391</v>
      </c>
      <c r="H3" s="20">
        <v>2940</v>
      </c>
      <c r="I3" s="20">
        <v>2840</v>
      </c>
      <c r="J3" s="20">
        <v>2840</v>
      </c>
      <c r="K3" s="61"/>
      <c r="L3" s="61">
        <v>45513</v>
      </c>
      <c r="M3" s="61">
        <v>45087</v>
      </c>
      <c r="O3" s="20">
        <v>2840</v>
      </c>
      <c r="P3" s="20"/>
      <c r="Q3" s="20">
        <v>270</v>
      </c>
      <c r="R3" s="20">
        <v>25</v>
      </c>
      <c r="S3" s="20">
        <v>10</v>
      </c>
      <c r="T3" s="20"/>
      <c r="U3" s="20"/>
      <c r="V3" s="20"/>
      <c r="W3" s="20"/>
      <c r="X3" s="20"/>
      <c r="Y3" s="20"/>
      <c r="Z3" s="20"/>
    </row>
    <row r="4" spans="1:26" x14ac:dyDescent="0.3">
      <c r="A4" s="62" t="s">
        <v>392</v>
      </c>
      <c r="B4" s="62" t="s">
        <v>39</v>
      </c>
      <c r="C4" s="11">
        <v>719</v>
      </c>
      <c r="D4" s="10">
        <v>1</v>
      </c>
      <c r="E4" s="10">
        <v>1</v>
      </c>
      <c r="F4" s="63" t="s">
        <v>390</v>
      </c>
      <c r="G4" s="63" t="s">
        <v>391</v>
      </c>
      <c r="H4" s="11">
        <v>1630</v>
      </c>
      <c r="I4" s="11">
        <v>1410</v>
      </c>
      <c r="J4" s="11">
        <v>1410</v>
      </c>
      <c r="K4" s="64"/>
      <c r="L4" s="64">
        <v>45728</v>
      </c>
      <c r="M4" s="64">
        <v>45304</v>
      </c>
      <c r="O4" s="11">
        <v>1410</v>
      </c>
      <c r="P4" s="11">
        <v>-705</v>
      </c>
      <c r="Q4" s="11"/>
      <c r="R4" s="11">
        <v>25</v>
      </c>
      <c r="S4" s="11">
        <v>10</v>
      </c>
      <c r="T4" s="11"/>
      <c r="U4" s="11">
        <v>25</v>
      </c>
      <c r="V4" s="11"/>
      <c r="W4" s="11"/>
      <c r="X4" s="11"/>
      <c r="Y4" s="11"/>
      <c r="Z4" s="11"/>
    </row>
    <row r="5" spans="1:26" x14ac:dyDescent="0.3">
      <c r="A5" s="59" t="s">
        <v>393</v>
      </c>
      <c r="B5" s="59" t="s">
        <v>39</v>
      </c>
      <c r="C5" s="20">
        <v>719</v>
      </c>
      <c r="D5" s="19">
        <v>1</v>
      </c>
      <c r="E5" s="19">
        <v>1</v>
      </c>
      <c r="F5" s="60" t="s">
        <v>390</v>
      </c>
      <c r="G5" s="60" t="s">
        <v>391</v>
      </c>
      <c r="H5" s="20">
        <v>1630</v>
      </c>
      <c r="I5" s="20">
        <v>1450</v>
      </c>
      <c r="J5" s="20">
        <v>1450</v>
      </c>
      <c r="K5" s="61"/>
      <c r="L5" s="61">
        <v>45611</v>
      </c>
      <c r="M5" s="61">
        <v>45185</v>
      </c>
      <c r="O5" s="20">
        <v>1450</v>
      </c>
      <c r="P5" s="20"/>
      <c r="Q5" s="20"/>
      <c r="R5" s="20">
        <v>25</v>
      </c>
      <c r="S5" s="20">
        <v>10</v>
      </c>
      <c r="T5" s="20"/>
      <c r="U5" s="20"/>
      <c r="V5" s="20"/>
      <c r="W5" s="20"/>
      <c r="X5" s="20"/>
      <c r="Y5" s="20"/>
      <c r="Z5" s="20"/>
    </row>
    <row r="6" spans="1:26" x14ac:dyDescent="0.3">
      <c r="A6" s="62" t="s">
        <v>394</v>
      </c>
      <c r="B6" s="62" t="s">
        <v>64</v>
      </c>
      <c r="C6" s="11">
        <v>1109</v>
      </c>
      <c r="D6" s="10">
        <v>2</v>
      </c>
      <c r="E6" s="10">
        <v>2</v>
      </c>
      <c r="F6" s="63" t="s">
        <v>390</v>
      </c>
      <c r="G6" s="63" t="s">
        <v>397</v>
      </c>
      <c r="H6" s="11">
        <v>2115</v>
      </c>
      <c r="I6" s="11">
        <v>0</v>
      </c>
      <c r="J6" s="11">
        <v>0</v>
      </c>
      <c r="K6" s="64"/>
      <c r="L6" s="64"/>
      <c r="M6" s="64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59" t="s">
        <v>395</v>
      </c>
      <c r="B7" s="59" t="s">
        <v>45</v>
      </c>
      <c r="C7" s="20">
        <v>736</v>
      </c>
      <c r="D7" s="19">
        <v>1</v>
      </c>
      <c r="E7" s="19">
        <v>1</v>
      </c>
      <c r="F7" s="60" t="s">
        <v>390</v>
      </c>
      <c r="G7" s="60" t="s">
        <v>391</v>
      </c>
      <c r="H7" s="20">
        <v>1725</v>
      </c>
      <c r="I7" s="20">
        <v>1545</v>
      </c>
      <c r="J7" s="20">
        <v>1545</v>
      </c>
      <c r="K7" s="61"/>
      <c r="L7" s="61">
        <v>45825</v>
      </c>
      <c r="M7" s="61">
        <v>45340</v>
      </c>
      <c r="O7" s="20">
        <v>1545</v>
      </c>
      <c r="P7" s="20"/>
      <c r="Q7" s="20"/>
      <c r="R7" s="20">
        <v>25</v>
      </c>
      <c r="S7" s="20">
        <v>10</v>
      </c>
      <c r="T7" s="20"/>
      <c r="U7" s="20"/>
      <c r="V7" s="20"/>
      <c r="W7" s="20"/>
      <c r="X7" s="20"/>
      <c r="Y7" s="20"/>
      <c r="Z7" s="20"/>
    </row>
    <row r="8" spans="1:26" x14ac:dyDescent="0.3">
      <c r="A8" s="62" t="s">
        <v>396</v>
      </c>
      <c r="B8" s="62" t="s">
        <v>64</v>
      </c>
      <c r="C8" s="11">
        <v>1109</v>
      </c>
      <c r="D8" s="10">
        <v>2</v>
      </c>
      <c r="E8" s="10">
        <v>2</v>
      </c>
      <c r="F8" s="63" t="s">
        <v>390</v>
      </c>
      <c r="G8" s="63" t="s">
        <v>391</v>
      </c>
      <c r="H8" s="11">
        <v>2115</v>
      </c>
      <c r="I8" s="11">
        <v>2110</v>
      </c>
      <c r="J8" s="11">
        <v>2110</v>
      </c>
      <c r="K8" s="64"/>
      <c r="L8" s="64">
        <v>45579</v>
      </c>
      <c r="M8" s="64">
        <v>45153</v>
      </c>
      <c r="O8" s="11">
        <v>2110</v>
      </c>
      <c r="P8" s="11"/>
      <c r="Q8" s="11"/>
      <c r="R8" s="11">
        <v>25</v>
      </c>
      <c r="S8" s="11">
        <v>10</v>
      </c>
      <c r="T8" s="11"/>
      <c r="U8" s="11"/>
      <c r="V8" s="11"/>
      <c r="W8" s="11"/>
      <c r="X8" s="11"/>
      <c r="Y8" s="11"/>
      <c r="Z8" s="11"/>
    </row>
    <row r="9" spans="1:26" x14ac:dyDescent="0.3">
      <c r="A9" s="59" t="s">
        <v>398</v>
      </c>
      <c r="B9" s="59" t="s">
        <v>74</v>
      </c>
      <c r="C9" s="20">
        <v>1564</v>
      </c>
      <c r="D9" s="19">
        <v>3</v>
      </c>
      <c r="E9" s="19">
        <v>2</v>
      </c>
      <c r="F9" s="60" t="s">
        <v>390</v>
      </c>
      <c r="G9" s="60" t="s">
        <v>391</v>
      </c>
      <c r="H9" s="20">
        <v>2940</v>
      </c>
      <c r="I9" s="20">
        <v>2760</v>
      </c>
      <c r="J9" s="20">
        <v>2760</v>
      </c>
      <c r="K9" s="61"/>
      <c r="L9" s="61">
        <v>45505</v>
      </c>
      <c r="M9" s="61">
        <v>45140</v>
      </c>
      <c r="O9" s="20">
        <v>2760</v>
      </c>
      <c r="P9" s="20"/>
      <c r="Q9" s="20"/>
      <c r="R9" s="20">
        <v>25</v>
      </c>
      <c r="S9" s="20">
        <v>10</v>
      </c>
      <c r="T9" s="20"/>
      <c r="U9" s="20"/>
      <c r="V9" s="20"/>
      <c r="W9" s="20"/>
      <c r="X9" s="20">
        <v>29</v>
      </c>
      <c r="Y9" s="20"/>
      <c r="Z9" s="20"/>
    </row>
    <row r="10" spans="1:26" x14ac:dyDescent="0.3">
      <c r="A10" s="62" t="s">
        <v>399</v>
      </c>
      <c r="B10" s="62" t="s">
        <v>45</v>
      </c>
      <c r="C10" s="11">
        <v>736</v>
      </c>
      <c r="D10" s="10">
        <v>1</v>
      </c>
      <c r="E10" s="10">
        <v>1</v>
      </c>
      <c r="F10" s="63" t="s">
        <v>390</v>
      </c>
      <c r="G10" s="63" t="s">
        <v>391</v>
      </c>
      <c r="H10" s="11">
        <v>1725</v>
      </c>
      <c r="I10" s="11">
        <v>1545</v>
      </c>
      <c r="J10" s="11">
        <v>1545</v>
      </c>
      <c r="K10" s="64"/>
      <c r="L10" s="64">
        <v>45728</v>
      </c>
      <c r="M10" s="64">
        <v>45304</v>
      </c>
      <c r="O10" s="11">
        <v>1545</v>
      </c>
      <c r="P10" s="11">
        <v>-772.5</v>
      </c>
      <c r="Q10" s="11"/>
      <c r="R10" s="11">
        <v>25</v>
      </c>
      <c r="S10" s="11">
        <v>10</v>
      </c>
      <c r="T10" s="11"/>
      <c r="U10" s="11">
        <v>25</v>
      </c>
      <c r="V10" s="11"/>
      <c r="W10" s="11"/>
      <c r="X10" s="11"/>
      <c r="Y10" s="11"/>
      <c r="Z10" s="11"/>
    </row>
    <row r="11" spans="1:26" x14ac:dyDescent="0.3">
      <c r="A11" s="59" t="s">
        <v>400</v>
      </c>
      <c r="B11" s="59" t="s">
        <v>39</v>
      </c>
      <c r="C11" s="20">
        <v>719</v>
      </c>
      <c r="D11" s="19">
        <v>1</v>
      </c>
      <c r="E11" s="19">
        <v>1</v>
      </c>
      <c r="F11" s="60" t="s">
        <v>390</v>
      </c>
      <c r="G11" s="60" t="s">
        <v>391</v>
      </c>
      <c r="H11" s="20">
        <v>1630</v>
      </c>
      <c r="I11" s="20">
        <v>1470</v>
      </c>
      <c r="J11" s="20">
        <v>1470</v>
      </c>
      <c r="K11" s="61"/>
      <c r="L11" s="61">
        <v>45710</v>
      </c>
      <c r="M11" s="61">
        <v>45283</v>
      </c>
      <c r="O11" s="20">
        <v>1470</v>
      </c>
      <c r="P11" s="20">
        <v>-735</v>
      </c>
      <c r="Q11" s="20"/>
      <c r="R11" s="20">
        <v>25</v>
      </c>
      <c r="S11" s="20">
        <v>10</v>
      </c>
      <c r="T11" s="20"/>
      <c r="U11" s="20"/>
      <c r="V11" s="20"/>
      <c r="W11" s="20"/>
      <c r="X11" s="20"/>
      <c r="Y11" s="20"/>
      <c r="Z11" s="20"/>
    </row>
    <row r="12" spans="1:26" x14ac:dyDescent="0.3">
      <c r="A12" s="62" t="s">
        <v>401</v>
      </c>
      <c r="B12" s="62" t="s">
        <v>64</v>
      </c>
      <c r="C12" s="11">
        <v>1109</v>
      </c>
      <c r="D12" s="10">
        <v>2</v>
      </c>
      <c r="E12" s="10">
        <v>2</v>
      </c>
      <c r="F12" s="63" t="s">
        <v>390</v>
      </c>
      <c r="G12" s="63" t="s">
        <v>391</v>
      </c>
      <c r="H12" s="11">
        <v>2115</v>
      </c>
      <c r="I12" s="11">
        <v>2085</v>
      </c>
      <c r="J12" s="11">
        <v>2085</v>
      </c>
      <c r="K12" s="64"/>
      <c r="L12" s="64">
        <v>45487</v>
      </c>
      <c r="M12" s="64">
        <v>45061</v>
      </c>
      <c r="O12" s="11">
        <v>2085</v>
      </c>
      <c r="P12" s="11"/>
      <c r="Q12" s="11">
        <v>300</v>
      </c>
      <c r="R12" s="11">
        <v>25</v>
      </c>
      <c r="S12" s="11">
        <v>10</v>
      </c>
      <c r="T12" s="11"/>
      <c r="U12" s="11"/>
      <c r="V12" s="11"/>
      <c r="W12" s="11"/>
      <c r="X12" s="11"/>
      <c r="Y12" s="11"/>
      <c r="Z12" s="11"/>
    </row>
    <row r="13" spans="1:26" x14ac:dyDescent="0.3">
      <c r="A13" s="59" t="s">
        <v>402</v>
      </c>
      <c r="B13" s="59" t="s">
        <v>64</v>
      </c>
      <c r="C13" s="20">
        <v>1109</v>
      </c>
      <c r="D13" s="19">
        <v>2</v>
      </c>
      <c r="E13" s="19">
        <v>2</v>
      </c>
      <c r="F13" s="60" t="s">
        <v>390</v>
      </c>
      <c r="G13" s="60" t="s">
        <v>391</v>
      </c>
      <c r="H13" s="20">
        <v>2115</v>
      </c>
      <c r="I13" s="20">
        <v>2085</v>
      </c>
      <c r="J13" s="20">
        <v>2085</v>
      </c>
      <c r="K13" s="61"/>
      <c r="L13" s="61">
        <v>45524</v>
      </c>
      <c r="M13" s="61">
        <v>45159</v>
      </c>
      <c r="O13" s="20">
        <v>2085</v>
      </c>
      <c r="P13" s="20"/>
      <c r="Q13" s="20"/>
      <c r="R13" s="20">
        <v>25</v>
      </c>
      <c r="S13" s="20">
        <v>10</v>
      </c>
      <c r="T13" s="20"/>
      <c r="U13" s="20"/>
      <c r="V13" s="20"/>
      <c r="W13" s="20"/>
      <c r="X13" s="20"/>
      <c r="Y13" s="20"/>
      <c r="Z13" s="20"/>
    </row>
    <row r="14" spans="1:26" x14ac:dyDescent="0.3">
      <c r="A14" s="62" t="s">
        <v>403</v>
      </c>
      <c r="B14" s="62" t="s">
        <v>59</v>
      </c>
      <c r="C14" s="11">
        <v>1082</v>
      </c>
      <c r="D14" s="10">
        <v>2</v>
      </c>
      <c r="E14" s="10">
        <v>2</v>
      </c>
      <c r="F14" s="63" t="s">
        <v>390</v>
      </c>
      <c r="G14" s="63" t="s">
        <v>391</v>
      </c>
      <c r="H14" s="11">
        <v>2165</v>
      </c>
      <c r="I14" s="11">
        <v>2030</v>
      </c>
      <c r="J14" s="11">
        <v>2030</v>
      </c>
      <c r="K14" s="64"/>
      <c r="L14" s="64">
        <v>45607</v>
      </c>
      <c r="M14" s="64">
        <v>45058</v>
      </c>
      <c r="O14" s="11">
        <v>2030</v>
      </c>
      <c r="P14" s="11"/>
      <c r="Q14" s="11">
        <v>200</v>
      </c>
      <c r="R14" s="11">
        <v>25</v>
      </c>
      <c r="S14" s="11">
        <v>10</v>
      </c>
      <c r="T14" s="11"/>
      <c r="U14" s="11"/>
      <c r="V14" s="11"/>
      <c r="W14" s="11"/>
      <c r="X14" s="11"/>
      <c r="Y14" s="11"/>
      <c r="Z14" s="11"/>
    </row>
    <row r="15" spans="1:26" x14ac:dyDescent="0.3">
      <c r="A15" s="59" t="s">
        <v>404</v>
      </c>
      <c r="B15" s="59" t="s">
        <v>59</v>
      </c>
      <c r="C15" s="20">
        <v>1082</v>
      </c>
      <c r="D15" s="19">
        <v>2</v>
      </c>
      <c r="E15" s="19">
        <v>2</v>
      </c>
      <c r="F15" s="60" t="s">
        <v>390</v>
      </c>
      <c r="G15" s="60" t="s">
        <v>391</v>
      </c>
      <c r="H15" s="20">
        <v>2260</v>
      </c>
      <c r="I15" s="20">
        <v>2260</v>
      </c>
      <c r="J15" s="20">
        <v>2260</v>
      </c>
      <c r="K15" s="61"/>
      <c r="L15" s="61">
        <v>45489</v>
      </c>
      <c r="M15" s="61">
        <v>45094</v>
      </c>
      <c r="O15" s="20">
        <v>2260</v>
      </c>
      <c r="P15" s="20"/>
      <c r="Q15" s="20"/>
      <c r="R15" s="20">
        <v>25</v>
      </c>
      <c r="S15" s="20">
        <v>10</v>
      </c>
      <c r="T15" s="20"/>
      <c r="U15" s="20"/>
      <c r="V15" s="20"/>
      <c r="W15" s="20"/>
      <c r="X15" s="20"/>
      <c r="Y15" s="20"/>
      <c r="Z15" s="20"/>
    </row>
    <row r="16" spans="1:26" x14ac:dyDescent="0.3">
      <c r="A16" s="62" t="s">
        <v>405</v>
      </c>
      <c r="B16" s="62" t="s">
        <v>74</v>
      </c>
      <c r="C16" s="11">
        <v>1564</v>
      </c>
      <c r="D16" s="10">
        <v>3</v>
      </c>
      <c r="E16" s="10">
        <v>2</v>
      </c>
      <c r="F16" s="63" t="s">
        <v>390</v>
      </c>
      <c r="G16" s="63" t="s">
        <v>391</v>
      </c>
      <c r="H16" s="11">
        <v>2860</v>
      </c>
      <c r="I16" s="11">
        <v>2860</v>
      </c>
      <c r="J16" s="11">
        <v>2860</v>
      </c>
      <c r="K16" s="64"/>
      <c r="L16" s="64">
        <v>45633</v>
      </c>
      <c r="M16" s="64">
        <v>45177</v>
      </c>
      <c r="O16" s="11">
        <v>2860</v>
      </c>
      <c r="P16" s="11"/>
      <c r="Q16" s="11">
        <v>295</v>
      </c>
      <c r="R16" s="11">
        <v>25</v>
      </c>
      <c r="S16" s="11">
        <v>10</v>
      </c>
      <c r="T16" s="11"/>
      <c r="U16" s="11">
        <v>50</v>
      </c>
      <c r="V16" s="11"/>
      <c r="W16" s="11"/>
      <c r="X16" s="11"/>
      <c r="Y16" s="11"/>
      <c r="Z16" s="11"/>
    </row>
    <row r="17" spans="1:26" x14ac:dyDescent="0.3">
      <c r="A17" s="59" t="s">
        <v>406</v>
      </c>
      <c r="B17" s="59" t="s">
        <v>53</v>
      </c>
      <c r="C17" s="20">
        <v>803</v>
      </c>
      <c r="D17" s="19">
        <v>1</v>
      </c>
      <c r="E17" s="19">
        <v>1</v>
      </c>
      <c r="F17" s="60" t="s">
        <v>390</v>
      </c>
      <c r="G17" s="60" t="s">
        <v>391</v>
      </c>
      <c r="H17" s="20">
        <v>1775</v>
      </c>
      <c r="I17" s="20">
        <v>1730</v>
      </c>
      <c r="J17" s="20">
        <v>1730</v>
      </c>
      <c r="K17" s="61"/>
      <c r="L17" s="61">
        <v>45505</v>
      </c>
      <c r="M17" s="61">
        <v>45079</v>
      </c>
      <c r="O17" s="20">
        <v>1730</v>
      </c>
      <c r="P17" s="20"/>
      <c r="Q17" s="20"/>
      <c r="R17" s="20">
        <v>25</v>
      </c>
      <c r="S17" s="20">
        <v>10</v>
      </c>
      <c r="T17" s="20"/>
      <c r="U17" s="20"/>
      <c r="V17" s="20"/>
      <c r="W17" s="20"/>
      <c r="X17" s="20"/>
      <c r="Y17" s="20"/>
      <c r="Z17" s="20"/>
    </row>
    <row r="18" spans="1:26" x14ac:dyDescent="0.3">
      <c r="A18" s="62" t="s">
        <v>407</v>
      </c>
      <c r="B18" s="62" t="s">
        <v>39</v>
      </c>
      <c r="C18" s="11">
        <v>719</v>
      </c>
      <c r="D18" s="10">
        <v>1</v>
      </c>
      <c r="E18" s="10">
        <v>1</v>
      </c>
      <c r="F18" s="63" t="s">
        <v>390</v>
      </c>
      <c r="G18" s="63" t="s">
        <v>391</v>
      </c>
      <c r="H18" s="11">
        <v>1550</v>
      </c>
      <c r="I18" s="11">
        <v>1490</v>
      </c>
      <c r="J18" s="11">
        <v>1490</v>
      </c>
      <c r="K18" s="64"/>
      <c r="L18" s="64">
        <v>45465</v>
      </c>
      <c r="M18" s="64">
        <v>45100</v>
      </c>
      <c r="O18" s="11">
        <v>1490</v>
      </c>
      <c r="P18" s="11"/>
      <c r="Q18" s="11"/>
      <c r="R18" s="11">
        <v>25</v>
      </c>
      <c r="S18" s="11">
        <v>10</v>
      </c>
      <c r="T18" s="11"/>
      <c r="U18" s="11"/>
      <c r="V18" s="11"/>
      <c r="W18" s="11"/>
      <c r="X18" s="11"/>
      <c r="Y18" s="11"/>
      <c r="Z18" s="11"/>
    </row>
    <row r="19" spans="1:26" x14ac:dyDescent="0.3">
      <c r="A19" s="59" t="s">
        <v>408</v>
      </c>
      <c r="B19" s="59" t="s">
        <v>53</v>
      </c>
      <c r="C19" s="20">
        <v>803</v>
      </c>
      <c r="D19" s="19">
        <v>1</v>
      </c>
      <c r="E19" s="19">
        <v>1</v>
      </c>
      <c r="F19" s="60" t="s">
        <v>390</v>
      </c>
      <c r="G19" s="60" t="s">
        <v>391</v>
      </c>
      <c r="H19" s="20">
        <v>1775</v>
      </c>
      <c r="I19" s="20">
        <v>1750</v>
      </c>
      <c r="J19" s="20">
        <v>1750</v>
      </c>
      <c r="K19" s="61"/>
      <c r="L19" s="61">
        <v>45508</v>
      </c>
      <c r="M19" s="61">
        <v>45082</v>
      </c>
      <c r="O19" s="20">
        <v>1750</v>
      </c>
      <c r="P19" s="20"/>
      <c r="Q19" s="20">
        <v>300</v>
      </c>
      <c r="R19" s="20">
        <v>25</v>
      </c>
      <c r="S19" s="20">
        <v>10</v>
      </c>
      <c r="T19" s="20"/>
      <c r="U19" s="20"/>
      <c r="V19" s="20"/>
      <c r="W19" s="20"/>
      <c r="X19" s="20"/>
      <c r="Y19" s="20"/>
      <c r="Z19" s="20"/>
    </row>
    <row r="20" spans="1:26" x14ac:dyDescent="0.3">
      <c r="A20" s="62" t="s">
        <v>409</v>
      </c>
      <c r="B20" s="62" t="s">
        <v>39</v>
      </c>
      <c r="C20" s="11">
        <v>719</v>
      </c>
      <c r="D20" s="10">
        <v>1</v>
      </c>
      <c r="E20" s="10">
        <v>1</v>
      </c>
      <c r="F20" s="63" t="s">
        <v>390</v>
      </c>
      <c r="G20" s="63" t="s">
        <v>391</v>
      </c>
      <c r="H20" s="11">
        <v>1550</v>
      </c>
      <c r="I20" s="11">
        <v>1385</v>
      </c>
      <c r="J20" s="11">
        <v>1385</v>
      </c>
      <c r="K20" s="64"/>
      <c r="L20" s="64">
        <v>45702</v>
      </c>
      <c r="M20" s="64">
        <v>45275</v>
      </c>
      <c r="O20" s="11">
        <v>1385</v>
      </c>
      <c r="P20" s="11">
        <v>-692.5</v>
      </c>
      <c r="Q20" s="11"/>
      <c r="R20" s="11">
        <v>25</v>
      </c>
      <c r="S20" s="11">
        <v>10</v>
      </c>
      <c r="T20" s="11"/>
      <c r="U20" s="11"/>
      <c r="V20" s="11"/>
      <c r="W20" s="11"/>
      <c r="X20" s="11"/>
      <c r="Y20" s="11"/>
      <c r="Z20" s="11"/>
    </row>
    <row r="21" spans="1:26" x14ac:dyDescent="0.3">
      <c r="A21" s="59" t="s">
        <v>410</v>
      </c>
      <c r="B21" s="59" t="s">
        <v>64</v>
      </c>
      <c r="C21" s="20">
        <v>1109</v>
      </c>
      <c r="D21" s="19">
        <v>2</v>
      </c>
      <c r="E21" s="19">
        <v>2</v>
      </c>
      <c r="F21" s="60" t="s">
        <v>390</v>
      </c>
      <c r="G21" s="60" t="s">
        <v>391</v>
      </c>
      <c r="H21" s="20">
        <v>2210</v>
      </c>
      <c r="I21" s="20">
        <v>2195</v>
      </c>
      <c r="J21" s="20">
        <v>2195</v>
      </c>
      <c r="K21" s="61"/>
      <c r="L21" s="61">
        <v>45483</v>
      </c>
      <c r="M21" s="61">
        <v>45118</v>
      </c>
      <c r="O21" s="20">
        <v>2195</v>
      </c>
      <c r="P21" s="20"/>
      <c r="Q21" s="20"/>
      <c r="R21" s="20">
        <v>25</v>
      </c>
      <c r="S21" s="20">
        <v>10</v>
      </c>
      <c r="T21" s="20"/>
      <c r="U21" s="20">
        <v>25</v>
      </c>
      <c r="V21" s="20"/>
      <c r="W21" s="20"/>
      <c r="X21" s="20"/>
      <c r="Y21" s="20"/>
      <c r="Z21" s="20"/>
    </row>
    <row r="22" spans="1:26" x14ac:dyDescent="0.3">
      <c r="A22" s="62" t="s">
        <v>411</v>
      </c>
      <c r="B22" s="62" t="s">
        <v>64</v>
      </c>
      <c r="C22" s="11">
        <v>1109</v>
      </c>
      <c r="D22" s="10">
        <v>2</v>
      </c>
      <c r="E22" s="10">
        <v>2</v>
      </c>
      <c r="F22" s="63" t="s">
        <v>390</v>
      </c>
      <c r="G22" s="63" t="s">
        <v>391</v>
      </c>
      <c r="H22" s="11">
        <v>2035</v>
      </c>
      <c r="I22" s="11">
        <v>1955</v>
      </c>
      <c r="J22" s="11">
        <v>1955</v>
      </c>
      <c r="K22" s="64"/>
      <c r="L22" s="64">
        <v>45610</v>
      </c>
      <c r="M22" s="64">
        <v>45122</v>
      </c>
      <c r="O22" s="11">
        <v>1955</v>
      </c>
      <c r="P22" s="11"/>
      <c r="Q22" s="11"/>
      <c r="R22" s="11">
        <v>25</v>
      </c>
      <c r="S22" s="11">
        <v>10</v>
      </c>
      <c r="T22" s="11"/>
      <c r="U22" s="11"/>
      <c r="V22" s="11"/>
      <c r="W22" s="11"/>
      <c r="X22" s="11"/>
      <c r="Y22" s="11"/>
      <c r="Z22" s="11"/>
    </row>
    <row r="23" spans="1:26" x14ac:dyDescent="0.3">
      <c r="A23" s="59" t="s">
        <v>412</v>
      </c>
      <c r="B23" s="59" t="s">
        <v>45</v>
      </c>
      <c r="C23" s="20">
        <v>736</v>
      </c>
      <c r="D23" s="19">
        <v>1</v>
      </c>
      <c r="E23" s="19">
        <v>1</v>
      </c>
      <c r="F23" s="60" t="s">
        <v>390</v>
      </c>
      <c r="G23" s="60" t="s">
        <v>391</v>
      </c>
      <c r="H23" s="20">
        <v>1645</v>
      </c>
      <c r="I23" s="20">
        <v>1635</v>
      </c>
      <c r="J23" s="20">
        <v>1635</v>
      </c>
      <c r="K23" s="61"/>
      <c r="L23" s="61">
        <v>45511</v>
      </c>
      <c r="M23" s="61">
        <v>45146</v>
      </c>
      <c r="O23" s="20">
        <v>1635</v>
      </c>
      <c r="P23" s="20"/>
      <c r="Q23" s="20">
        <v>360</v>
      </c>
      <c r="R23" s="20">
        <v>25</v>
      </c>
      <c r="S23" s="20">
        <v>10</v>
      </c>
      <c r="T23" s="20"/>
      <c r="U23" s="20"/>
      <c r="V23" s="20"/>
      <c r="W23" s="20"/>
      <c r="X23" s="20"/>
      <c r="Y23" s="20"/>
      <c r="Z23" s="20"/>
    </row>
    <row r="24" spans="1:26" x14ac:dyDescent="0.3">
      <c r="A24" s="62" t="s">
        <v>413</v>
      </c>
      <c r="B24" s="62" t="s">
        <v>64</v>
      </c>
      <c r="C24" s="11">
        <v>1109</v>
      </c>
      <c r="D24" s="10">
        <v>2</v>
      </c>
      <c r="E24" s="10">
        <v>2</v>
      </c>
      <c r="F24" s="63" t="s">
        <v>390</v>
      </c>
      <c r="G24" s="63" t="s">
        <v>391</v>
      </c>
      <c r="H24" s="11">
        <v>2035</v>
      </c>
      <c r="I24" s="11">
        <v>1990</v>
      </c>
      <c r="J24" s="11">
        <v>1990</v>
      </c>
      <c r="K24" s="64"/>
      <c r="L24" s="64">
        <v>45616</v>
      </c>
      <c r="M24" s="64">
        <v>45128</v>
      </c>
      <c r="O24" s="11">
        <v>1990</v>
      </c>
      <c r="P24" s="11"/>
      <c r="Q24" s="11"/>
      <c r="R24" s="11">
        <v>25</v>
      </c>
      <c r="S24" s="11">
        <v>10</v>
      </c>
      <c r="T24" s="11"/>
      <c r="U24" s="11"/>
      <c r="V24" s="11"/>
      <c r="W24" s="11"/>
      <c r="X24" s="11"/>
      <c r="Y24" s="11"/>
      <c r="Z24" s="11"/>
    </row>
    <row r="25" spans="1:26" x14ac:dyDescent="0.3">
      <c r="A25" s="59" t="s">
        <v>414</v>
      </c>
      <c r="B25" s="59" t="s">
        <v>74</v>
      </c>
      <c r="C25" s="20">
        <v>1564</v>
      </c>
      <c r="D25" s="19">
        <v>3</v>
      </c>
      <c r="E25" s="19">
        <v>2</v>
      </c>
      <c r="F25" s="60" t="s">
        <v>390</v>
      </c>
      <c r="G25" s="60" t="s">
        <v>391</v>
      </c>
      <c r="H25" s="20">
        <v>2860</v>
      </c>
      <c r="I25" s="20">
        <v>2860</v>
      </c>
      <c r="J25" s="20">
        <v>2860</v>
      </c>
      <c r="K25" s="61"/>
      <c r="L25" s="61">
        <v>45444</v>
      </c>
      <c r="M25" s="61">
        <v>45079</v>
      </c>
      <c r="O25" s="20">
        <v>2860</v>
      </c>
      <c r="P25" s="20"/>
      <c r="Q25" s="20">
        <v>350</v>
      </c>
      <c r="R25" s="20">
        <v>25</v>
      </c>
      <c r="S25" s="20">
        <v>10</v>
      </c>
      <c r="T25" s="20"/>
      <c r="U25" s="20"/>
      <c r="V25" s="20"/>
      <c r="W25" s="20"/>
      <c r="X25" s="20"/>
      <c r="Y25" s="20"/>
      <c r="Z25" s="20"/>
    </row>
    <row r="26" spans="1:26" x14ac:dyDescent="0.3">
      <c r="A26" s="62" t="s">
        <v>415</v>
      </c>
      <c r="B26" s="62" t="s">
        <v>45</v>
      </c>
      <c r="C26" s="11">
        <v>736</v>
      </c>
      <c r="D26" s="10">
        <v>1</v>
      </c>
      <c r="E26" s="10">
        <v>1</v>
      </c>
      <c r="F26" s="63" t="s">
        <v>390</v>
      </c>
      <c r="G26" s="63" t="s">
        <v>391</v>
      </c>
      <c r="H26" s="11">
        <v>1645</v>
      </c>
      <c r="I26" s="11">
        <v>1499</v>
      </c>
      <c r="J26" s="11">
        <v>1499</v>
      </c>
      <c r="K26" s="64"/>
      <c r="L26" s="64">
        <v>45718</v>
      </c>
      <c r="M26" s="64">
        <v>45294</v>
      </c>
      <c r="O26" s="11">
        <v>1499</v>
      </c>
      <c r="P26" s="11">
        <v>-1082</v>
      </c>
      <c r="Q26" s="11"/>
      <c r="R26" s="11">
        <v>25</v>
      </c>
      <c r="S26" s="11">
        <v>10</v>
      </c>
      <c r="T26" s="11"/>
      <c r="U26" s="11"/>
      <c r="V26" s="11"/>
      <c r="W26" s="11"/>
      <c r="X26" s="11"/>
      <c r="Y26" s="11"/>
      <c r="Z26" s="11"/>
    </row>
    <row r="27" spans="1:26" x14ac:dyDescent="0.3">
      <c r="A27" s="59" t="s">
        <v>416</v>
      </c>
      <c r="B27" s="59" t="s">
        <v>39</v>
      </c>
      <c r="C27" s="20">
        <v>719</v>
      </c>
      <c r="D27" s="19">
        <v>1</v>
      </c>
      <c r="E27" s="19">
        <v>1</v>
      </c>
      <c r="F27" s="60" t="s">
        <v>390</v>
      </c>
      <c r="G27" s="60" t="s">
        <v>391</v>
      </c>
      <c r="H27" s="20">
        <v>1550</v>
      </c>
      <c r="I27" s="20">
        <v>1485</v>
      </c>
      <c r="J27" s="20">
        <v>1485</v>
      </c>
      <c r="K27" s="61"/>
      <c r="L27" s="61">
        <v>45512</v>
      </c>
      <c r="M27" s="61">
        <v>45086</v>
      </c>
      <c r="O27" s="20">
        <v>1485</v>
      </c>
      <c r="P27" s="20"/>
      <c r="Q27" s="20"/>
      <c r="R27" s="20">
        <v>25</v>
      </c>
      <c r="S27" s="20">
        <v>10</v>
      </c>
      <c r="T27" s="20"/>
      <c r="U27" s="20"/>
      <c r="V27" s="20"/>
      <c r="W27" s="20"/>
      <c r="X27" s="20"/>
      <c r="Y27" s="20"/>
      <c r="Z27" s="20"/>
    </row>
    <row r="28" spans="1:26" x14ac:dyDescent="0.3">
      <c r="A28" s="62" t="s">
        <v>417</v>
      </c>
      <c r="B28" s="62" t="s">
        <v>36</v>
      </c>
      <c r="C28" s="11">
        <v>698</v>
      </c>
      <c r="D28" s="10">
        <v>1</v>
      </c>
      <c r="E28" s="10">
        <v>1</v>
      </c>
      <c r="F28" s="63" t="s">
        <v>390</v>
      </c>
      <c r="G28" s="63" t="s">
        <v>397</v>
      </c>
      <c r="H28" s="11">
        <v>1660</v>
      </c>
      <c r="I28" s="11">
        <v>0</v>
      </c>
      <c r="J28" s="11">
        <v>0</v>
      </c>
      <c r="K28" s="64"/>
      <c r="L28" s="64"/>
      <c r="M28" s="64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59" t="s">
        <v>418</v>
      </c>
      <c r="B29" s="59" t="s">
        <v>64</v>
      </c>
      <c r="C29" s="20">
        <v>1109</v>
      </c>
      <c r="D29" s="19">
        <v>2</v>
      </c>
      <c r="E29" s="19">
        <v>2</v>
      </c>
      <c r="F29" s="60" t="s">
        <v>390</v>
      </c>
      <c r="G29" s="60" t="s">
        <v>391</v>
      </c>
      <c r="H29" s="20">
        <v>2035</v>
      </c>
      <c r="I29" s="20">
        <v>1980</v>
      </c>
      <c r="J29" s="20">
        <v>1980</v>
      </c>
      <c r="K29" s="61"/>
      <c r="L29" s="61">
        <v>45494</v>
      </c>
      <c r="M29" s="61">
        <v>45129</v>
      </c>
      <c r="O29" s="20">
        <v>1980</v>
      </c>
      <c r="P29" s="20"/>
      <c r="Q29" s="20"/>
      <c r="R29" s="20">
        <v>25</v>
      </c>
      <c r="S29" s="20">
        <v>10</v>
      </c>
      <c r="T29" s="20">
        <v>65</v>
      </c>
      <c r="U29" s="20"/>
      <c r="V29" s="20"/>
      <c r="W29" s="20"/>
      <c r="X29" s="20"/>
      <c r="Y29" s="20"/>
      <c r="Z29" s="20"/>
    </row>
    <row r="30" spans="1:26" x14ac:dyDescent="0.3">
      <c r="A30" s="62" t="s">
        <v>419</v>
      </c>
      <c r="B30" s="62" t="s">
        <v>36</v>
      </c>
      <c r="C30" s="11">
        <v>698</v>
      </c>
      <c r="D30" s="10">
        <v>1</v>
      </c>
      <c r="E30" s="10">
        <v>1</v>
      </c>
      <c r="F30" s="63" t="s">
        <v>390</v>
      </c>
      <c r="G30" s="63" t="s">
        <v>391</v>
      </c>
      <c r="H30" s="11">
        <v>1660</v>
      </c>
      <c r="I30" s="11">
        <v>1480</v>
      </c>
      <c r="J30" s="11">
        <v>1480</v>
      </c>
      <c r="K30" s="64"/>
      <c r="L30" s="64">
        <v>45683</v>
      </c>
      <c r="M30" s="64">
        <v>45257</v>
      </c>
      <c r="O30" s="11">
        <v>1480</v>
      </c>
      <c r="P30" s="11">
        <v>-740</v>
      </c>
      <c r="Q30" s="11"/>
      <c r="R30" s="11">
        <v>25</v>
      </c>
      <c r="S30" s="11">
        <v>10</v>
      </c>
      <c r="T30" s="11"/>
      <c r="U30" s="11"/>
      <c r="V30" s="11"/>
      <c r="W30" s="11"/>
      <c r="X30" s="11"/>
      <c r="Y30" s="11"/>
      <c r="Z30" s="11"/>
    </row>
    <row r="31" spans="1:26" x14ac:dyDescent="0.3">
      <c r="A31" s="59" t="s">
        <v>420</v>
      </c>
      <c r="B31" s="59" t="s">
        <v>64</v>
      </c>
      <c r="C31" s="20">
        <v>1109</v>
      </c>
      <c r="D31" s="19">
        <v>2</v>
      </c>
      <c r="E31" s="19">
        <v>2</v>
      </c>
      <c r="F31" s="60" t="s">
        <v>390</v>
      </c>
      <c r="G31" s="60" t="s">
        <v>391</v>
      </c>
      <c r="H31" s="20">
        <v>2035</v>
      </c>
      <c r="I31" s="20">
        <v>2030</v>
      </c>
      <c r="J31" s="20">
        <v>2030</v>
      </c>
      <c r="K31" s="61"/>
      <c r="L31" s="61">
        <v>45596</v>
      </c>
      <c r="M31" s="61">
        <v>45170</v>
      </c>
      <c r="O31" s="20">
        <v>2030</v>
      </c>
      <c r="P31" s="20"/>
      <c r="Q31" s="20"/>
      <c r="R31" s="20">
        <v>25</v>
      </c>
      <c r="S31" s="20">
        <v>10</v>
      </c>
      <c r="T31" s="20"/>
      <c r="U31" s="20">
        <v>25</v>
      </c>
      <c r="V31" s="20"/>
      <c r="W31" s="20"/>
      <c r="X31" s="20"/>
      <c r="Y31" s="20"/>
      <c r="Z31" s="20"/>
    </row>
    <row r="32" spans="1:26" x14ac:dyDescent="0.3">
      <c r="A32" s="62" t="s">
        <v>421</v>
      </c>
      <c r="B32" s="62" t="s">
        <v>36</v>
      </c>
      <c r="C32" s="11">
        <v>698</v>
      </c>
      <c r="D32" s="10">
        <v>1</v>
      </c>
      <c r="E32" s="10">
        <v>1</v>
      </c>
      <c r="F32" s="63" t="s">
        <v>390</v>
      </c>
      <c r="G32" s="63" t="s">
        <v>391</v>
      </c>
      <c r="H32" s="11">
        <v>1660</v>
      </c>
      <c r="I32" s="11">
        <v>1580</v>
      </c>
      <c r="J32" s="11">
        <v>1580</v>
      </c>
      <c r="K32" s="64"/>
      <c r="L32" s="64">
        <v>45551</v>
      </c>
      <c r="M32" s="64">
        <v>45155</v>
      </c>
      <c r="O32" s="11">
        <v>1580</v>
      </c>
      <c r="P32" s="11"/>
      <c r="Q32" s="11"/>
      <c r="R32" s="11">
        <v>25</v>
      </c>
      <c r="S32" s="11">
        <v>10</v>
      </c>
      <c r="T32" s="11"/>
      <c r="U32" s="11"/>
      <c r="V32" s="11"/>
      <c r="W32" s="11"/>
      <c r="X32" s="11"/>
      <c r="Y32" s="11"/>
      <c r="Z32" s="11"/>
    </row>
    <row r="33" spans="1:26" x14ac:dyDescent="0.3">
      <c r="A33" s="59" t="s">
        <v>422</v>
      </c>
      <c r="B33" s="59" t="s">
        <v>59</v>
      </c>
      <c r="C33" s="20">
        <v>1082</v>
      </c>
      <c r="D33" s="19">
        <v>2</v>
      </c>
      <c r="E33" s="19">
        <v>2</v>
      </c>
      <c r="F33" s="60" t="s">
        <v>390</v>
      </c>
      <c r="G33" s="60" t="s">
        <v>391</v>
      </c>
      <c r="H33" s="20">
        <v>2085</v>
      </c>
      <c r="I33" s="20">
        <v>2085</v>
      </c>
      <c r="J33" s="20">
        <v>2085</v>
      </c>
      <c r="K33" s="61"/>
      <c r="L33" s="61">
        <v>45520</v>
      </c>
      <c r="M33" s="61">
        <v>45155</v>
      </c>
      <c r="O33" s="20">
        <v>2085</v>
      </c>
      <c r="P33" s="20"/>
      <c r="Q33" s="20"/>
      <c r="R33" s="20">
        <v>25</v>
      </c>
      <c r="S33" s="20">
        <v>10</v>
      </c>
      <c r="T33" s="20"/>
      <c r="U33" s="20"/>
      <c r="V33" s="20"/>
      <c r="W33" s="20"/>
      <c r="X33" s="20"/>
      <c r="Y33" s="20"/>
      <c r="Z33" s="20"/>
    </row>
    <row r="34" spans="1:26" x14ac:dyDescent="0.3">
      <c r="A34" s="62" t="s">
        <v>423</v>
      </c>
      <c r="B34" s="62" t="s">
        <v>59</v>
      </c>
      <c r="C34" s="11">
        <v>1082</v>
      </c>
      <c r="D34" s="10">
        <v>2</v>
      </c>
      <c r="E34" s="10">
        <v>2</v>
      </c>
      <c r="F34" s="63" t="s">
        <v>390</v>
      </c>
      <c r="G34" s="63" t="s">
        <v>391</v>
      </c>
      <c r="H34" s="11">
        <v>2260</v>
      </c>
      <c r="I34" s="11">
        <v>1995</v>
      </c>
      <c r="J34" s="11">
        <v>1995</v>
      </c>
      <c r="K34" s="64"/>
      <c r="L34" s="64">
        <v>45656</v>
      </c>
      <c r="M34" s="64">
        <v>45230</v>
      </c>
      <c r="O34" s="11">
        <v>1995</v>
      </c>
      <c r="P34" s="11"/>
      <c r="Q34" s="11"/>
      <c r="R34" s="11">
        <v>25</v>
      </c>
      <c r="S34" s="11">
        <v>10</v>
      </c>
      <c r="T34" s="11"/>
      <c r="U34" s="11"/>
      <c r="V34" s="11"/>
      <c r="W34" s="11"/>
      <c r="X34" s="11"/>
      <c r="Y34" s="11"/>
      <c r="Z34" s="11"/>
    </row>
    <row r="35" spans="1:26" x14ac:dyDescent="0.3">
      <c r="A35" s="59" t="s">
        <v>424</v>
      </c>
      <c r="B35" s="59" t="s">
        <v>59</v>
      </c>
      <c r="C35" s="20">
        <v>1082</v>
      </c>
      <c r="D35" s="19">
        <v>2</v>
      </c>
      <c r="E35" s="19">
        <v>2</v>
      </c>
      <c r="F35" s="60" t="s">
        <v>390</v>
      </c>
      <c r="G35" s="60" t="s">
        <v>391</v>
      </c>
      <c r="H35" s="20">
        <v>2305</v>
      </c>
      <c r="I35" s="20">
        <v>2280</v>
      </c>
      <c r="J35" s="20">
        <v>2280</v>
      </c>
      <c r="K35" s="61"/>
      <c r="L35" s="61">
        <v>45546</v>
      </c>
      <c r="M35" s="61">
        <v>45061</v>
      </c>
      <c r="O35" s="20">
        <v>2280</v>
      </c>
      <c r="P35" s="20"/>
      <c r="Q35" s="20">
        <v>300</v>
      </c>
      <c r="R35" s="20">
        <v>25</v>
      </c>
      <c r="S35" s="20">
        <v>10</v>
      </c>
      <c r="T35" s="20"/>
      <c r="U35" s="20"/>
      <c r="V35" s="20"/>
      <c r="W35" s="20"/>
      <c r="X35" s="20">
        <v>42</v>
      </c>
      <c r="Y35" s="20"/>
      <c r="Z35" s="20"/>
    </row>
    <row r="36" spans="1:26" x14ac:dyDescent="0.3">
      <c r="A36" s="62" t="s">
        <v>425</v>
      </c>
      <c r="B36" s="62" t="s">
        <v>74</v>
      </c>
      <c r="C36" s="11">
        <v>1564</v>
      </c>
      <c r="D36" s="10">
        <v>3</v>
      </c>
      <c r="E36" s="10">
        <v>2</v>
      </c>
      <c r="F36" s="63" t="s">
        <v>390</v>
      </c>
      <c r="G36" s="63" t="s">
        <v>391</v>
      </c>
      <c r="H36" s="11">
        <v>2905</v>
      </c>
      <c r="I36" s="11">
        <v>2780</v>
      </c>
      <c r="J36" s="11">
        <v>2780</v>
      </c>
      <c r="K36" s="64"/>
      <c r="L36" s="64">
        <v>45614</v>
      </c>
      <c r="M36" s="64">
        <v>45065</v>
      </c>
      <c r="O36" s="11">
        <v>2780</v>
      </c>
      <c r="P36" s="11"/>
      <c r="Q36" s="11">
        <v>270</v>
      </c>
      <c r="R36" s="11">
        <v>25</v>
      </c>
      <c r="S36" s="11">
        <v>10</v>
      </c>
      <c r="T36" s="11"/>
      <c r="U36" s="11"/>
      <c r="V36" s="11"/>
      <c r="W36" s="11"/>
      <c r="X36" s="11"/>
      <c r="Y36" s="11"/>
      <c r="Z36" s="11"/>
    </row>
    <row r="37" spans="1:26" x14ac:dyDescent="0.3">
      <c r="A37" s="59" t="s">
        <v>426</v>
      </c>
      <c r="B37" s="59" t="s">
        <v>53</v>
      </c>
      <c r="C37" s="20">
        <v>803</v>
      </c>
      <c r="D37" s="19">
        <v>1</v>
      </c>
      <c r="E37" s="19">
        <v>1</v>
      </c>
      <c r="F37" s="60" t="s">
        <v>390</v>
      </c>
      <c r="G37" s="60" t="s">
        <v>391</v>
      </c>
      <c r="H37" s="20">
        <v>1645</v>
      </c>
      <c r="I37" s="20">
        <v>1565</v>
      </c>
      <c r="J37" s="20">
        <v>1565</v>
      </c>
      <c r="K37" s="61"/>
      <c r="L37" s="61">
        <v>45528</v>
      </c>
      <c r="M37" s="61">
        <v>45041</v>
      </c>
      <c r="O37" s="20">
        <v>1565</v>
      </c>
      <c r="P37" s="20"/>
      <c r="Q37" s="20">
        <v>250</v>
      </c>
      <c r="R37" s="20">
        <v>25</v>
      </c>
      <c r="S37" s="20">
        <v>10</v>
      </c>
      <c r="T37" s="20"/>
      <c r="U37" s="20"/>
      <c r="V37" s="20"/>
      <c r="W37" s="20"/>
      <c r="X37" s="20"/>
      <c r="Y37" s="20"/>
      <c r="Z37" s="20"/>
    </row>
    <row r="38" spans="1:26" x14ac:dyDescent="0.3">
      <c r="A38" s="62" t="s">
        <v>427</v>
      </c>
      <c r="B38" s="62" t="s">
        <v>39</v>
      </c>
      <c r="C38" s="11">
        <v>719</v>
      </c>
      <c r="D38" s="10">
        <v>1</v>
      </c>
      <c r="E38" s="10">
        <v>1</v>
      </c>
      <c r="F38" s="63" t="s">
        <v>390</v>
      </c>
      <c r="G38" s="63" t="s">
        <v>391</v>
      </c>
      <c r="H38" s="11">
        <v>1595</v>
      </c>
      <c r="I38" s="11">
        <v>1435</v>
      </c>
      <c r="J38" s="11">
        <v>1435</v>
      </c>
      <c r="K38" s="64"/>
      <c r="L38" s="64">
        <v>45664</v>
      </c>
      <c r="M38" s="64">
        <v>45238</v>
      </c>
      <c r="O38" s="11">
        <v>1435</v>
      </c>
      <c r="P38" s="11">
        <v>-717.5</v>
      </c>
      <c r="Q38" s="11"/>
      <c r="R38" s="11">
        <v>25</v>
      </c>
      <c r="S38" s="11">
        <v>10</v>
      </c>
      <c r="T38" s="11"/>
      <c r="U38" s="11"/>
      <c r="V38" s="11"/>
      <c r="W38" s="11"/>
      <c r="X38" s="11"/>
      <c r="Y38" s="11"/>
      <c r="Z38" s="11"/>
    </row>
    <row r="39" spans="1:26" x14ac:dyDescent="0.3">
      <c r="A39" s="59" t="s">
        <v>428</v>
      </c>
      <c r="B39" s="59" t="s">
        <v>53</v>
      </c>
      <c r="C39" s="20">
        <v>803</v>
      </c>
      <c r="D39" s="19">
        <v>1</v>
      </c>
      <c r="E39" s="19">
        <v>1</v>
      </c>
      <c r="F39" s="60" t="s">
        <v>390</v>
      </c>
      <c r="G39" s="60" t="s">
        <v>391</v>
      </c>
      <c r="H39" s="20">
        <v>1820</v>
      </c>
      <c r="I39" s="20">
        <v>1770</v>
      </c>
      <c r="J39" s="20">
        <v>1770</v>
      </c>
      <c r="K39" s="61"/>
      <c r="L39" s="61">
        <v>45540</v>
      </c>
      <c r="M39" s="61">
        <v>45113</v>
      </c>
      <c r="O39" s="20">
        <v>1770</v>
      </c>
      <c r="P39" s="20"/>
      <c r="Q39" s="20"/>
      <c r="R39" s="20">
        <v>25</v>
      </c>
      <c r="S39" s="20">
        <v>10</v>
      </c>
      <c r="T39" s="20"/>
      <c r="U39" s="20"/>
      <c r="V39" s="20"/>
      <c r="W39" s="20"/>
      <c r="X39" s="20"/>
      <c r="Y39" s="20"/>
      <c r="Z39" s="20"/>
    </row>
    <row r="40" spans="1:26" x14ac:dyDescent="0.3">
      <c r="A40" s="62" t="s">
        <v>429</v>
      </c>
      <c r="B40" s="62" t="s">
        <v>39</v>
      </c>
      <c r="C40" s="11">
        <v>719</v>
      </c>
      <c r="D40" s="10">
        <v>1</v>
      </c>
      <c r="E40" s="10">
        <v>1</v>
      </c>
      <c r="F40" s="63" t="s">
        <v>390</v>
      </c>
      <c r="G40" s="63" t="s">
        <v>391</v>
      </c>
      <c r="H40" s="11">
        <v>1595</v>
      </c>
      <c r="I40" s="11">
        <v>1415</v>
      </c>
      <c r="J40" s="11">
        <v>1415</v>
      </c>
      <c r="K40" s="64"/>
      <c r="L40" s="64">
        <v>45646</v>
      </c>
      <c r="M40" s="64">
        <v>45220</v>
      </c>
      <c r="O40" s="11">
        <v>1415</v>
      </c>
      <c r="P40" s="11"/>
      <c r="Q40" s="11"/>
      <c r="R40" s="11">
        <v>25</v>
      </c>
      <c r="S40" s="11">
        <v>10</v>
      </c>
      <c r="T40" s="11">
        <v>65</v>
      </c>
      <c r="U40" s="11"/>
      <c r="V40" s="11"/>
      <c r="W40" s="11"/>
      <c r="X40" s="11"/>
      <c r="Y40" s="11"/>
      <c r="Z40" s="11"/>
    </row>
    <row r="41" spans="1:26" x14ac:dyDescent="0.3">
      <c r="A41" s="59" t="s">
        <v>430</v>
      </c>
      <c r="B41" s="59" t="s">
        <v>64</v>
      </c>
      <c r="C41" s="20">
        <v>1109</v>
      </c>
      <c r="D41" s="19">
        <v>2</v>
      </c>
      <c r="E41" s="19">
        <v>2</v>
      </c>
      <c r="F41" s="60" t="s">
        <v>390</v>
      </c>
      <c r="G41" s="60" t="s">
        <v>391</v>
      </c>
      <c r="H41" s="20">
        <v>2255</v>
      </c>
      <c r="I41" s="20">
        <v>2215</v>
      </c>
      <c r="J41" s="20">
        <v>2215</v>
      </c>
      <c r="K41" s="61"/>
      <c r="L41" s="61">
        <v>45450</v>
      </c>
      <c r="M41" s="61">
        <v>45085</v>
      </c>
      <c r="O41" s="20">
        <v>2215</v>
      </c>
      <c r="P41" s="20"/>
      <c r="Q41" s="20"/>
      <c r="R41" s="20">
        <v>25</v>
      </c>
      <c r="S41" s="20">
        <v>10</v>
      </c>
      <c r="T41" s="20">
        <v>65</v>
      </c>
      <c r="U41" s="20">
        <v>25</v>
      </c>
      <c r="V41" s="20"/>
      <c r="W41" s="20"/>
      <c r="X41" s="20"/>
      <c r="Y41" s="20"/>
      <c r="Z41" s="20"/>
    </row>
    <row r="42" spans="1:26" x14ac:dyDescent="0.3">
      <c r="A42" s="62" t="s">
        <v>431</v>
      </c>
      <c r="B42" s="62" t="s">
        <v>64</v>
      </c>
      <c r="C42" s="11">
        <v>1109</v>
      </c>
      <c r="D42" s="10">
        <v>2</v>
      </c>
      <c r="E42" s="10">
        <v>2</v>
      </c>
      <c r="F42" s="63" t="s">
        <v>390</v>
      </c>
      <c r="G42" s="63" t="s">
        <v>391</v>
      </c>
      <c r="H42" s="11">
        <v>2080</v>
      </c>
      <c r="I42" s="11">
        <v>1980</v>
      </c>
      <c r="J42" s="11">
        <v>1980</v>
      </c>
      <c r="K42" s="64"/>
      <c r="L42" s="64">
        <v>45677</v>
      </c>
      <c r="M42" s="64">
        <v>45220</v>
      </c>
      <c r="O42" s="11">
        <v>1980</v>
      </c>
      <c r="P42" s="11"/>
      <c r="Q42" s="11">
        <v>350</v>
      </c>
      <c r="R42" s="11">
        <v>25</v>
      </c>
      <c r="S42" s="11">
        <v>10</v>
      </c>
      <c r="T42" s="11"/>
      <c r="U42" s="11"/>
      <c r="V42" s="11"/>
      <c r="W42" s="11"/>
      <c r="X42" s="11"/>
      <c r="Y42" s="11"/>
      <c r="Z42" s="11"/>
    </row>
    <row r="43" spans="1:26" x14ac:dyDescent="0.3">
      <c r="A43" s="59" t="s">
        <v>432</v>
      </c>
      <c r="B43" s="59" t="s">
        <v>45</v>
      </c>
      <c r="C43" s="20">
        <v>736</v>
      </c>
      <c r="D43" s="19">
        <v>1</v>
      </c>
      <c r="E43" s="19">
        <v>1</v>
      </c>
      <c r="F43" s="60" t="s">
        <v>390</v>
      </c>
      <c r="G43" s="60" t="s">
        <v>391</v>
      </c>
      <c r="H43" s="20">
        <v>1690</v>
      </c>
      <c r="I43" s="20">
        <v>1660</v>
      </c>
      <c r="J43" s="20">
        <v>1660</v>
      </c>
      <c r="K43" s="61"/>
      <c r="L43" s="61">
        <v>45645</v>
      </c>
      <c r="M43" s="61">
        <v>45219</v>
      </c>
      <c r="O43" s="20">
        <v>1660</v>
      </c>
      <c r="P43" s="20"/>
      <c r="Q43" s="20"/>
      <c r="R43" s="20">
        <v>25</v>
      </c>
      <c r="S43" s="20">
        <v>10</v>
      </c>
      <c r="T43" s="20"/>
      <c r="U43" s="20">
        <v>25</v>
      </c>
      <c r="V43" s="20"/>
      <c r="W43" s="20"/>
      <c r="X43" s="20"/>
      <c r="Y43" s="20"/>
      <c r="Z43" s="20"/>
    </row>
    <row r="44" spans="1:26" x14ac:dyDescent="0.3">
      <c r="A44" s="62" t="s">
        <v>433</v>
      </c>
      <c r="B44" s="62" t="s">
        <v>64</v>
      </c>
      <c r="C44" s="11">
        <v>1109</v>
      </c>
      <c r="D44" s="10">
        <v>2</v>
      </c>
      <c r="E44" s="10">
        <v>2</v>
      </c>
      <c r="F44" s="63" t="s">
        <v>390</v>
      </c>
      <c r="G44" s="63" t="s">
        <v>391</v>
      </c>
      <c r="H44" s="11">
        <v>2080</v>
      </c>
      <c r="I44" s="11">
        <v>1995</v>
      </c>
      <c r="J44" s="11">
        <v>1995</v>
      </c>
      <c r="K44" s="64"/>
      <c r="L44" s="64">
        <v>45575</v>
      </c>
      <c r="M44" s="64">
        <v>45180</v>
      </c>
      <c r="O44" s="11">
        <v>1995</v>
      </c>
      <c r="P44" s="11"/>
      <c r="Q44" s="11"/>
      <c r="R44" s="11">
        <v>25</v>
      </c>
      <c r="S44" s="11">
        <v>10</v>
      </c>
      <c r="T44" s="11"/>
      <c r="U44" s="11"/>
      <c r="V44" s="11"/>
      <c r="W44" s="11"/>
      <c r="X44" s="11"/>
      <c r="Y44" s="11"/>
      <c r="Z44" s="11"/>
    </row>
    <row r="45" spans="1:26" x14ac:dyDescent="0.3">
      <c r="A45" s="59" t="s">
        <v>434</v>
      </c>
      <c r="B45" s="59" t="s">
        <v>74</v>
      </c>
      <c r="C45" s="20">
        <v>1564</v>
      </c>
      <c r="D45" s="19">
        <v>3</v>
      </c>
      <c r="E45" s="19">
        <v>2</v>
      </c>
      <c r="F45" s="60" t="s">
        <v>390</v>
      </c>
      <c r="G45" s="60" t="s">
        <v>391</v>
      </c>
      <c r="H45" s="20">
        <v>2905</v>
      </c>
      <c r="I45" s="20">
        <v>2585</v>
      </c>
      <c r="J45" s="20">
        <v>2585</v>
      </c>
      <c r="K45" s="61"/>
      <c r="L45" s="61">
        <v>45627</v>
      </c>
      <c r="M45" s="61">
        <v>45201</v>
      </c>
      <c r="O45" s="20">
        <v>2585</v>
      </c>
      <c r="P45" s="20"/>
      <c r="Q45" s="20">
        <v>350</v>
      </c>
      <c r="R45" s="20">
        <v>25</v>
      </c>
      <c r="S45" s="20">
        <v>10</v>
      </c>
      <c r="T45" s="20"/>
      <c r="U45" s="20"/>
      <c r="V45" s="20"/>
      <c r="W45" s="20"/>
      <c r="X45" s="20"/>
      <c r="Y45" s="20"/>
      <c r="Z45" s="20"/>
    </row>
    <row r="46" spans="1:26" x14ac:dyDescent="0.3">
      <c r="A46" s="62" t="s">
        <v>435</v>
      </c>
      <c r="B46" s="62" t="s">
        <v>45</v>
      </c>
      <c r="C46" s="11">
        <v>736</v>
      </c>
      <c r="D46" s="10">
        <v>1</v>
      </c>
      <c r="E46" s="10">
        <v>1</v>
      </c>
      <c r="F46" s="63" t="s">
        <v>390</v>
      </c>
      <c r="G46" s="63" t="s">
        <v>391</v>
      </c>
      <c r="H46" s="11">
        <v>1690</v>
      </c>
      <c r="I46" s="11">
        <v>1680</v>
      </c>
      <c r="J46" s="11">
        <v>1680</v>
      </c>
      <c r="K46" s="64"/>
      <c r="L46" s="64">
        <v>45606</v>
      </c>
      <c r="M46" s="64">
        <v>45180</v>
      </c>
      <c r="O46" s="11">
        <v>1680</v>
      </c>
      <c r="P46" s="11"/>
      <c r="Q46" s="11">
        <v>350</v>
      </c>
      <c r="R46" s="11">
        <v>25</v>
      </c>
      <c r="S46" s="11">
        <v>10</v>
      </c>
      <c r="T46" s="11"/>
      <c r="U46" s="11"/>
      <c r="V46" s="11"/>
      <c r="W46" s="11"/>
      <c r="X46" s="11"/>
      <c r="Y46" s="11"/>
      <c r="Z46" s="11"/>
    </row>
    <row r="47" spans="1:26" x14ac:dyDescent="0.3">
      <c r="A47" s="59" t="s">
        <v>436</v>
      </c>
      <c r="B47" s="59" t="s">
        <v>39</v>
      </c>
      <c r="C47" s="20">
        <v>719</v>
      </c>
      <c r="D47" s="19">
        <v>1</v>
      </c>
      <c r="E47" s="19">
        <v>1</v>
      </c>
      <c r="F47" s="60" t="s">
        <v>390</v>
      </c>
      <c r="G47" s="60" t="s">
        <v>391</v>
      </c>
      <c r="H47" s="20">
        <v>1595</v>
      </c>
      <c r="I47" s="20">
        <v>1410</v>
      </c>
      <c r="J47" s="20">
        <v>1410</v>
      </c>
      <c r="K47" s="61"/>
      <c r="L47" s="61">
        <v>45689</v>
      </c>
      <c r="M47" s="61">
        <v>45262</v>
      </c>
      <c r="O47" s="20">
        <v>1410</v>
      </c>
      <c r="P47" s="20">
        <v>-705</v>
      </c>
      <c r="Q47" s="20"/>
      <c r="R47" s="20">
        <v>25</v>
      </c>
      <c r="S47" s="20">
        <v>10</v>
      </c>
      <c r="T47" s="20"/>
      <c r="U47" s="20"/>
      <c r="V47" s="20"/>
      <c r="W47" s="20"/>
      <c r="X47" s="20"/>
      <c r="Y47" s="20"/>
      <c r="Z47" s="20"/>
    </row>
    <row r="48" spans="1:26" x14ac:dyDescent="0.3">
      <c r="A48" s="62" t="s">
        <v>437</v>
      </c>
      <c r="B48" s="62" t="s">
        <v>36</v>
      </c>
      <c r="C48" s="11">
        <v>698</v>
      </c>
      <c r="D48" s="10">
        <v>1</v>
      </c>
      <c r="E48" s="10">
        <v>1</v>
      </c>
      <c r="F48" s="63" t="s">
        <v>390</v>
      </c>
      <c r="G48" s="63" t="s">
        <v>391</v>
      </c>
      <c r="H48" s="11">
        <v>1705</v>
      </c>
      <c r="I48" s="11">
        <v>1525</v>
      </c>
      <c r="J48" s="11">
        <v>1525</v>
      </c>
      <c r="K48" s="64"/>
      <c r="L48" s="64">
        <v>45665</v>
      </c>
      <c r="M48" s="64">
        <v>45239</v>
      </c>
      <c r="O48" s="11">
        <v>1525</v>
      </c>
      <c r="P48" s="11">
        <v>-762.5</v>
      </c>
      <c r="Q48" s="11"/>
      <c r="R48" s="11">
        <v>25</v>
      </c>
      <c r="S48" s="11">
        <v>10</v>
      </c>
      <c r="T48" s="11"/>
      <c r="U48" s="11"/>
      <c r="V48" s="11"/>
      <c r="W48" s="11"/>
      <c r="X48" s="11"/>
      <c r="Y48" s="11"/>
      <c r="Z48" s="11"/>
    </row>
    <row r="49" spans="1:26" x14ac:dyDescent="0.3">
      <c r="A49" s="59" t="s">
        <v>438</v>
      </c>
      <c r="B49" s="59" t="s">
        <v>64</v>
      </c>
      <c r="C49" s="20">
        <v>1109</v>
      </c>
      <c r="D49" s="19">
        <v>2</v>
      </c>
      <c r="E49" s="19">
        <v>2</v>
      </c>
      <c r="F49" s="60" t="s">
        <v>390</v>
      </c>
      <c r="G49" s="60" t="s">
        <v>391</v>
      </c>
      <c r="H49" s="20">
        <v>2080</v>
      </c>
      <c r="I49" s="20">
        <v>1990</v>
      </c>
      <c r="J49" s="20">
        <v>1990</v>
      </c>
      <c r="K49" s="61"/>
      <c r="L49" s="61">
        <v>45443</v>
      </c>
      <c r="M49" s="61">
        <v>45078</v>
      </c>
      <c r="O49" s="20">
        <v>1990</v>
      </c>
      <c r="P49" s="20"/>
      <c r="Q49" s="20"/>
      <c r="R49" s="20">
        <v>25</v>
      </c>
      <c r="S49" s="20">
        <v>10</v>
      </c>
      <c r="T49" s="20"/>
      <c r="U49" s="20">
        <v>25</v>
      </c>
      <c r="V49" s="20"/>
      <c r="W49" s="20"/>
      <c r="X49" s="20"/>
      <c r="Y49" s="20"/>
      <c r="Z49" s="20"/>
    </row>
    <row r="50" spans="1:26" x14ac:dyDescent="0.3">
      <c r="A50" s="62" t="s">
        <v>439</v>
      </c>
      <c r="B50" s="62" t="s">
        <v>36</v>
      </c>
      <c r="C50" s="11">
        <v>698</v>
      </c>
      <c r="D50" s="10">
        <v>1</v>
      </c>
      <c r="E50" s="10">
        <v>1</v>
      </c>
      <c r="F50" s="63" t="s">
        <v>390</v>
      </c>
      <c r="G50" s="63" t="s">
        <v>391</v>
      </c>
      <c r="H50" s="11">
        <v>1705</v>
      </c>
      <c r="I50" s="11">
        <v>1675</v>
      </c>
      <c r="J50" s="11">
        <v>1675</v>
      </c>
      <c r="K50" s="64"/>
      <c r="L50" s="64">
        <v>45511</v>
      </c>
      <c r="M50" s="64">
        <v>45146</v>
      </c>
      <c r="O50" s="11">
        <v>1675</v>
      </c>
      <c r="P50" s="11"/>
      <c r="Q50" s="11"/>
      <c r="R50" s="11">
        <v>25</v>
      </c>
      <c r="S50" s="11">
        <v>10</v>
      </c>
      <c r="T50" s="11"/>
      <c r="U50" s="11"/>
      <c r="V50" s="11"/>
      <c r="W50" s="11"/>
      <c r="X50" s="11"/>
      <c r="Y50" s="11"/>
      <c r="Z50" s="11"/>
    </row>
    <row r="51" spans="1:26" x14ac:dyDescent="0.3">
      <c r="A51" s="59" t="s">
        <v>440</v>
      </c>
      <c r="B51" s="59" t="s">
        <v>64</v>
      </c>
      <c r="C51" s="20">
        <v>1109</v>
      </c>
      <c r="D51" s="19">
        <v>2</v>
      </c>
      <c r="E51" s="19">
        <v>2</v>
      </c>
      <c r="F51" s="60" t="s">
        <v>390</v>
      </c>
      <c r="G51" s="60" t="s">
        <v>397</v>
      </c>
      <c r="H51" s="20">
        <v>2080</v>
      </c>
      <c r="I51" s="20">
        <v>0</v>
      </c>
      <c r="J51" s="20">
        <v>0</v>
      </c>
      <c r="K51" s="61"/>
      <c r="L51" s="61"/>
      <c r="M51" s="61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3">
      <c r="A52" s="62" t="s">
        <v>441</v>
      </c>
      <c r="B52" s="62" t="s">
        <v>36</v>
      </c>
      <c r="C52" s="11">
        <v>698</v>
      </c>
      <c r="D52" s="10">
        <v>1</v>
      </c>
      <c r="E52" s="10">
        <v>1</v>
      </c>
      <c r="F52" s="63" t="s">
        <v>390</v>
      </c>
      <c r="G52" s="63" t="s">
        <v>391</v>
      </c>
      <c r="H52" s="11">
        <v>1705</v>
      </c>
      <c r="I52" s="11">
        <v>1465</v>
      </c>
      <c r="J52" s="11">
        <v>1465</v>
      </c>
      <c r="K52" s="64"/>
      <c r="L52" s="64">
        <v>45777</v>
      </c>
      <c r="M52" s="64">
        <v>45230</v>
      </c>
      <c r="O52" s="11">
        <v>1465</v>
      </c>
      <c r="P52" s="11"/>
      <c r="Q52" s="11"/>
      <c r="R52" s="11">
        <v>25</v>
      </c>
      <c r="S52" s="11">
        <v>10</v>
      </c>
      <c r="T52" s="11"/>
      <c r="U52" s="11"/>
      <c r="V52" s="11"/>
      <c r="W52" s="11"/>
      <c r="X52" s="11"/>
      <c r="Y52" s="11"/>
      <c r="Z52" s="11"/>
    </row>
    <row r="53" spans="1:26" x14ac:dyDescent="0.3">
      <c r="A53" s="59" t="s">
        <v>442</v>
      </c>
      <c r="B53" s="59" t="s">
        <v>59</v>
      </c>
      <c r="C53" s="20">
        <v>1082</v>
      </c>
      <c r="D53" s="19">
        <v>2</v>
      </c>
      <c r="E53" s="19">
        <v>2</v>
      </c>
      <c r="F53" s="60" t="s">
        <v>390</v>
      </c>
      <c r="G53" s="60" t="s">
        <v>391</v>
      </c>
      <c r="H53" s="20">
        <v>2130</v>
      </c>
      <c r="I53" s="20">
        <v>2005</v>
      </c>
      <c r="J53" s="20">
        <v>2005</v>
      </c>
      <c r="K53" s="61"/>
      <c r="L53" s="61">
        <v>45624</v>
      </c>
      <c r="M53" s="61">
        <v>45198</v>
      </c>
      <c r="O53" s="20">
        <v>2005</v>
      </c>
      <c r="P53" s="20"/>
      <c r="Q53" s="20"/>
      <c r="R53" s="20">
        <v>25</v>
      </c>
      <c r="S53" s="20">
        <v>10</v>
      </c>
      <c r="T53" s="20"/>
      <c r="U53" s="20">
        <v>50</v>
      </c>
      <c r="V53" s="20"/>
      <c r="W53" s="20"/>
      <c r="X53" s="20"/>
      <c r="Y53" s="20"/>
      <c r="Z53" s="20"/>
    </row>
    <row r="54" spans="1:26" x14ac:dyDescent="0.3">
      <c r="A54" s="62" t="s">
        <v>443</v>
      </c>
      <c r="B54" s="62" t="s">
        <v>59</v>
      </c>
      <c r="C54" s="11">
        <v>1082</v>
      </c>
      <c r="D54" s="10">
        <v>2</v>
      </c>
      <c r="E54" s="10">
        <v>2</v>
      </c>
      <c r="F54" s="63" t="s">
        <v>390</v>
      </c>
      <c r="G54" s="63" t="s">
        <v>391</v>
      </c>
      <c r="H54" s="11">
        <v>2305</v>
      </c>
      <c r="I54" s="11">
        <v>2090</v>
      </c>
      <c r="J54" s="11">
        <v>2090</v>
      </c>
      <c r="K54" s="64"/>
      <c r="L54" s="64">
        <v>45730</v>
      </c>
      <c r="M54" s="64">
        <v>45306</v>
      </c>
      <c r="O54" s="11">
        <v>2090</v>
      </c>
      <c r="P54" s="11">
        <v>-1045</v>
      </c>
      <c r="Q54" s="11"/>
      <c r="R54" s="11">
        <v>25</v>
      </c>
      <c r="S54" s="11">
        <v>10</v>
      </c>
      <c r="T54" s="11"/>
      <c r="U54" s="11">
        <v>25</v>
      </c>
      <c r="V54" s="11"/>
      <c r="W54" s="11"/>
      <c r="X54" s="11"/>
      <c r="Y54" s="11"/>
      <c r="Z54" s="11"/>
    </row>
    <row r="55" spans="1:26" x14ac:dyDescent="0.3">
      <c r="A55" s="59" t="s">
        <v>444</v>
      </c>
      <c r="B55" s="59" t="s">
        <v>68</v>
      </c>
      <c r="C55" s="20">
        <v>1213</v>
      </c>
      <c r="D55" s="19">
        <v>2</v>
      </c>
      <c r="E55" s="19">
        <v>2</v>
      </c>
      <c r="F55" s="60" t="s">
        <v>390</v>
      </c>
      <c r="G55" s="60" t="s">
        <v>391</v>
      </c>
      <c r="H55" s="20">
        <v>2210</v>
      </c>
      <c r="I55" s="20">
        <v>2205</v>
      </c>
      <c r="J55" s="20">
        <v>2205</v>
      </c>
      <c r="K55" s="61"/>
      <c r="L55" s="61">
        <v>45501</v>
      </c>
      <c r="M55" s="61">
        <v>45136</v>
      </c>
      <c r="O55" s="20">
        <v>2205</v>
      </c>
      <c r="P55" s="20"/>
      <c r="Q55" s="20"/>
      <c r="R55" s="20">
        <v>25</v>
      </c>
      <c r="S55" s="20">
        <v>10</v>
      </c>
      <c r="T55" s="20"/>
      <c r="U55" s="20"/>
      <c r="V55" s="20"/>
      <c r="W55" s="20"/>
      <c r="X55" s="20">
        <v>42</v>
      </c>
      <c r="Y55" s="20"/>
      <c r="Z55" s="20"/>
    </row>
    <row r="56" spans="1:26" x14ac:dyDescent="0.3">
      <c r="A56" s="62" t="s">
        <v>445</v>
      </c>
      <c r="B56" s="62" t="s">
        <v>39</v>
      </c>
      <c r="C56" s="11">
        <v>719</v>
      </c>
      <c r="D56" s="10">
        <v>1</v>
      </c>
      <c r="E56" s="10">
        <v>1</v>
      </c>
      <c r="F56" s="63" t="s">
        <v>390</v>
      </c>
      <c r="G56" s="63" t="s">
        <v>391</v>
      </c>
      <c r="H56" s="11">
        <v>1630</v>
      </c>
      <c r="I56" s="11">
        <v>1450</v>
      </c>
      <c r="J56" s="11">
        <v>1450</v>
      </c>
      <c r="K56" s="64"/>
      <c r="L56" s="64">
        <v>45611</v>
      </c>
      <c r="M56" s="64">
        <v>45185</v>
      </c>
      <c r="O56" s="11">
        <v>1450</v>
      </c>
      <c r="P56" s="11"/>
      <c r="Q56" s="11"/>
      <c r="R56" s="11">
        <v>25</v>
      </c>
      <c r="S56" s="11">
        <v>10</v>
      </c>
      <c r="T56" s="11"/>
      <c r="U56" s="11"/>
      <c r="V56" s="11"/>
      <c r="W56" s="11"/>
      <c r="X56" s="11"/>
      <c r="Y56" s="11"/>
      <c r="Z56" s="11"/>
    </row>
    <row r="57" spans="1:26" x14ac:dyDescent="0.3">
      <c r="A57" s="59" t="s">
        <v>446</v>
      </c>
      <c r="B57" s="59" t="s">
        <v>39</v>
      </c>
      <c r="C57" s="20">
        <v>719</v>
      </c>
      <c r="D57" s="19">
        <v>1</v>
      </c>
      <c r="E57" s="19">
        <v>1</v>
      </c>
      <c r="F57" s="60" t="s">
        <v>390</v>
      </c>
      <c r="G57" s="60" t="s">
        <v>391</v>
      </c>
      <c r="H57" s="20">
        <v>1630</v>
      </c>
      <c r="I57" s="20">
        <v>1410</v>
      </c>
      <c r="J57" s="20">
        <v>1410</v>
      </c>
      <c r="K57" s="61"/>
      <c r="L57" s="61">
        <v>45691</v>
      </c>
      <c r="M57" s="61">
        <v>45264</v>
      </c>
      <c r="O57" s="20">
        <v>1410</v>
      </c>
      <c r="P57" s="20">
        <v>-705</v>
      </c>
      <c r="Q57" s="20"/>
      <c r="R57" s="20">
        <v>25</v>
      </c>
      <c r="S57" s="20">
        <v>10</v>
      </c>
      <c r="T57" s="20">
        <v>65</v>
      </c>
      <c r="U57" s="20"/>
      <c r="V57" s="20"/>
      <c r="W57" s="20"/>
      <c r="X57" s="20"/>
      <c r="Y57" s="20"/>
      <c r="Z57" s="20"/>
    </row>
    <row r="58" spans="1:26" x14ac:dyDescent="0.3">
      <c r="A58" s="62" t="s">
        <v>447</v>
      </c>
      <c r="B58" s="62" t="s">
        <v>39</v>
      </c>
      <c r="C58" s="11">
        <v>719</v>
      </c>
      <c r="D58" s="10">
        <v>1</v>
      </c>
      <c r="E58" s="10">
        <v>1</v>
      </c>
      <c r="F58" s="63" t="s">
        <v>390</v>
      </c>
      <c r="G58" s="63" t="s">
        <v>391</v>
      </c>
      <c r="H58" s="11">
        <v>1630</v>
      </c>
      <c r="I58" s="11">
        <v>1410</v>
      </c>
      <c r="J58" s="11">
        <v>1410</v>
      </c>
      <c r="K58" s="64"/>
      <c r="L58" s="64">
        <v>45474</v>
      </c>
      <c r="M58" s="64">
        <v>45293</v>
      </c>
      <c r="O58" s="11">
        <v>1410</v>
      </c>
      <c r="P58" s="11"/>
      <c r="Q58" s="11"/>
      <c r="R58" s="11">
        <v>25</v>
      </c>
      <c r="S58" s="11">
        <v>10</v>
      </c>
      <c r="T58" s="11"/>
      <c r="U58" s="11"/>
      <c r="V58" s="11"/>
      <c r="W58" s="11"/>
      <c r="X58" s="11"/>
      <c r="Y58" s="11"/>
      <c r="Z58" s="11"/>
    </row>
    <row r="59" spans="1:26" x14ac:dyDescent="0.3">
      <c r="A59" s="59" t="s">
        <v>448</v>
      </c>
      <c r="B59" s="59" t="s">
        <v>68</v>
      </c>
      <c r="C59" s="20">
        <v>1213</v>
      </c>
      <c r="D59" s="19">
        <v>2</v>
      </c>
      <c r="E59" s="19">
        <v>2</v>
      </c>
      <c r="F59" s="60" t="s">
        <v>390</v>
      </c>
      <c r="G59" s="60" t="s">
        <v>391</v>
      </c>
      <c r="H59" s="20">
        <v>2210</v>
      </c>
      <c r="I59" s="20">
        <v>2205</v>
      </c>
      <c r="J59" s="20">
        <v>2205</v>
      </c>
      <c r="K59" s="61"/>
      <c r="L59" s="61">
        <v>45502</v>
      </c>
      <c r="M59" s="61">
        <v>45076</v>
      </c>
      <c r="O59" s="20">
        <v>2205</v>
      </c>
      <c r="P59" s="20"/>
      <c r="Q59" s="20"/>
      <c r="R59" s="20">
        <v>25</v>
      </c>
      <c r="S59" s="20">
        <v>10</v>
      </c>
      <c r="T59" s="20">
        <v>130</v>
      </c>
      <c r="U59" s="20"/>
      <c r="V59" s="20"/>
      <c r="W59" s="20"/>
      <c r="X59" s="20"/>
      <c r="Y59" s="20"/>
      <c r="Z59" s="20"/>
    </row>
    <row r="60" spans="1:26" x14ac:dyDescent="0.3">
      <c r="A60" s="62" t="s">
        <v>449</v>
      </c>
      <c r="B60" s="62" t="s">
        <v>59</v>
      </c>
      <c r="C60" s="11">
        <v>1082</v>
      </c>
      <c r="D60" s="10">
        <v>2</v>
      </c>
      <c r="E60" s="10">
        <v>2</v>
      </c>
      <c r="F60" s="63" t="s">
        <v>390</v>
      </c>
      <c r="G60" s="63" t="s">
        <v>391</v>
      </c>
      <c r="H60" s="11">
        <v>2260</v>
      </c>
      <c r="I60" s="11">
        <v>2245</v>
      </c>
      <c r="J60" s="11">
        <v>2245</v>
      </c>
      <c r="K60" s="64"/>
      <c r="L60" s="64">
        <v>45444</v>
      </c>
      <c r="M60" s="64">
        <v>45079</v>
      </c>
      <c r="O60" s="11">
        <v>2245</v>
      </c>
      <c r="P60" s="11"/>
      <c r="Q60" s="11"/>
      <c r="R60" s="11">
        <v>25</v>
      </c>
      <c r="S60" s="11">
        <v>10</v>
      </c>
      <c r="T60" s="11"/>
      <c r="U60" s="11"/>
      <c r="V60" s="11"/>
      <c r="W60" s="11"/>
      <c r="X60" s="11"/>
      <c r="Y60" s="11"/>
      <c r="Z60" s="11"/>
    </row>
    <row r="61" spans="1:26" x14ac:dyDescent="0.3">
      <c r="A61" s="59" t="s">
        <v>450</v>
      </c>
      <c r="B61" s="59" t="s">
        <v>68</v>
      </c>
      <c r="C61" s="20">
        <v>1213</v>
      </c>
      <c r="D61" s="19">
        <v>2</v>
      </c>
      <c r="E61" s="19">
        <v>2</v>
      </c>
      <c r="F61" s="60" t="s">
        <v>390</v>
      </c>
      <c r="G61" s="60" t="s">
        <v>391</v>
      </c>
      <c r="H61" s="20">
        <v>2130</v>
      </c>
      <c r="I61" s="20">
        <v>2125</v>
      </c>
      <c r="J61" s="20">
        <v>2125</v>
      </c>
      <c r="K61" s="61"/>
      <c r="L61" s="61">
        <v>45574</v>
      </c>
      <c r="M61" s="61">
        <v>45148</v>
      </c>
      <c r="O61" s="20">
        <v>2125</v>
      </c>
      <c r="P61" s="20"/>
      <c r="Q61" s="20">
        <v>360</v>
      </c>
      <c r="R61" s="20">
        <v>25</v>
      </c>
      <c r="S61" s="20">
        <v>10</v>
      </c>
      <c r="T61" s="20"/>
      <c r="U61" s="20"/>
      <c r="V61" s="20"/>
      <c r="W61" s="20"/>
      <c r="X61" s="20"/>
      <c r="Y61" s="20"/>
      <c r="Z61" s="20"/>
    </row>
    <row r="62" spans="1:26" x14ac:dyDescent="0.3">
      <c r="A62" s="62" t="s">
        <v>451</v>
      </c>
      <c r="B62" s="62" t="s">
        <v>36</v>
      </c>
      <c r="C62" s="11">
        <v>698</v>
      </c>
      <c r="D62" s="10">
        <v>1</v>
      </c>
      <c r="E62" s="10">
        <v>1</v>
      </c>
      <c r="F62" s="63" t="s">
        <v>390</v>
      </c>
      <c r="G62" s="63" t="s">
        <v>391</v>
      </c>
      <c r="H62" s="11">
        <v>1660</v>
      </c>
      <c r="I62" s="11">
        <v>1630</v>
      </c>
      <c r="J62" s="11">
        <v>1630</v>
      </c>
      <c r="K62" s="64"/>
      <c r="L62" s="64">
        <v>45533</v>
      </c>
      <c r="M62" s="64">
        <v>45107</v>
      </c>
      <c r="O62" s="11">
        <v>1630</v>
      </c>
      <c r="P62" s="11"/>
      <c r="Q62" s="11">
        <v>210</v>
      </c>
      <c r="R62" s="11">
        <v>25</v>
      </c>
      <c r="S62" s="11">
        <v>10</v>
      </c>
      <c r="T62" s="11"/>
      <c r="U62" s="11"/>
      <c r="V62" s="11"/>
      <c r="W62" s="11"/>
      <c r="X62" s="11"/>
      <c r="Y62" s="11"/>
      <c r="Z62" s="11"/>
    </row>
    <row r="63" spans="1:26" x14ac:dyDescent="0.3">
      <c r="A63" s="59" t="s">
        <v>452</v>
      </c>
      <c r="B63" s="59" t="s">
        <v>39</v>
      </c>
      <c r="C63" s="20">
        <v>719</v>
      </c>
      <c r="D63" s="19">
        <v>1</v>
      </c>
      <c r="E63" s="19">
        <v>1</v>
      </c>
      <c r="F63" s="60" t="s">
        <v>390</v>
      </c>
      <c r="G63" s="60" t="s">
        <v>391</v>
      </c>
      <c r="H63" s="20">
        <v>1550</v>
      </c>
      <c r="I63" s="20">
        <v>1485</v>
      </c>
      <c r="J63" s="20">
        <v>1485</v>
      </c>
      <c r="K63" s="61"/>
      <c r="L63" s="61">
        <v>45532</v>
      </c>
      <c r="M63" s="61">
        <v>45106</v>
      </c>
      <c r="O63" s="20">
        <v>1485</v>
      </c>
      <c r="P63" s="20"/>
      <c r="Q63" s="20"/>
      <c r="R63" s="20">
        <v>25</v>
      </c>
      <c r="S63" s="20">
        <v>10</v>
      </c>
      <c r="T63" s="20"/>
      <c r="U63" s="20"/>
      <c r="V63" s="20"/>
      <c r="W63" s="20"/>
      <c r="X63" s="20"/>
      <c r="Y63" s="20"/>
      <c r="Z63" s="20"/>
    </row>
    <row r="64" spans="1:26" x14ac:dyDescent="0.3">
      <c r="A64" s="62" t="s">
        <v>453</v>
      </c>
      <c r="B64" s="62" t="s">
        <v>36</v>
      </c>
      <c r="C64" s="11">
        <v>698</v>
      </c>
      <c r="D64" s="10">
        <v>1</v>
      </c>
      <c r="E64" s="10">
        <v>1</v>
      </c>
      <c r="F64" s="63" t="s">
        <v>390</v>
      </c>
      <c r="G64" s="63" t="s">
        <v>391</v>
      </c>
      <c r="H64" s="11">
        <v>1660</v>
      </c>
      <c r="I64" s="11">
        <v>1630</v>
      </c>
      <c r="J64" s="11">
        <v>1630</v>
      </c>
      <c r="K64" s="64"/>
      <c r="L64" s="64">
        <v>45596</v>
      </c>
      <c r="M64" s="64">
        <v>45170</v>
      </c>
      <c r="O64" s="11">
        <v>1630</v>
      </c>
      <c r="P64" s="11"/>
      <c r="Q64" s="11"/>
      <c r="R64" s="11">
        <v>25</v>
      </c>
      <c r="S64" s="11">
        <v>10</v>
      </c>
      <c r="T64" s="11">
        <v>65</v>
      </c>
      <c r="U64" s="11"/>
      <c r="V64" s="11"/>
      <c r="W64" s="11"/>
      <c r="X64" s="11"/>
      <c r="Y64" s="11"/>
      <c r="Z64" s="11">
        <v>40</v>
      </c>
    </row>
    <row r="65" spans="1:26" x14ac:dyDescent="0.3">
      <c r="A65" s="59" t="s">
        <v>454</v>
      </c>
      <c r="B65" s="59" t="s">
        <v>39</v>
      </c>
      <c r="C65" s="20">
        <v>719</v>
      </c>
      <c r="D65" s="19">
        <v>1</v>
      </c>
      <c r="E65" s="19">
        <v>1</v>
      </c>
      <c r="F65" s="60" t="s">
        <v>390</v>
      </c>
      <c r="G65" s="60" t="s">
        <v>391</v>
      </c>
      <c r="H65" s="20">
        <v>1550</v>
      </c>
      <c r="I65" s="20">
        <v>1485</v>
      </c>
      <c r="J65" s="20">
        <v>1485</v>
      </c>
      <c r="K65" s="61"/>
      <c r="L65" s="61">
        <v>45471</v>
      </c>
      <c r="M65" s="61">
        <v>45045</v>
      </c>
      <c r="O65" s="20">
        <v>1485</v>
      </c>
      <c r="P65" s="20"/>
      <c r="Q65" s="20"/>
      <c r="R65" s="20">
        <v>25</v>
      </c>
      <c r="S65" s="20">
        <v>10</v>
      </c>
      <c r="T65" s="20"/>
      <c r="U65" s="20"/>
      <c r="V65" s="20"/>
      <c r="W65" s="20"/>
      <c r="X65" s="20"/>
      <c r="Y65" s="20"/>
      <c r="Z65" s="20"/>
    </row>
    <row r="66" spans="1:26" x14ac:dyDescent="0.3">
      <c r="A66" s="62" t="s">
        <v>455</v>
      </c>
      <c r="B66" s="62" t="s">
        <v>36</v>
      </c>
      <c r="C66" s="11">
        <v>698</v>
      </c>
      <c r="D66" s="10">
        <v>1</v>
      </c>
      <c r="E66" s="10">
        <v>1</v>
      </c>
      <c r="F66" s="63" t="s">
        <v>390</v>
      </c>
      <c r="G66" s="63" t="s">
        <v>391</v>
      </c>
      <c r="H66" s="11">
        <v>1660</v>
      </c>
      <c r="I66" s="11">
        <v>1580</v>
      </c>
      <c r="J66" s="11">
        <v>1580</v>
      </c>
      <c r="K66" s="64"/>
      <c r="L66" s="64">
        <v>45575</v>
      </c>
      <c r="M66" s="64">
        <v>45149</v>
      </c>
      <c r="O66" s="11">
        <v>1580</v>
      </c>
      <c r="P66" s="11"/>
      <c r="Q66" s="11"/>
      <c r="R66" s="11">
        <v>25</v>
      </c>
      <c r="S66" s="11">
        <v>10</v>
      </c>
      <c r="T66" s="11"/>
      <c r="U66" s="11"/>
      <c r="V66" s="11"/>
      <c r="W66" s="11"/>
      <c r="X66" s="11"/>
      <c r="Y66" s="11"/>
      <c r="Z66" s="11"/>
    </row>
    <row r="67" spans="1:26" x14ac:dyDescent="0.3">
      <c r="A67" s="59" t="s">
        <v>456</v>
      </c>
      <c r="B67" s="59" t="s">
        <v>39</v>
      </c>
      <c r="C67" s="20">
        <v>719</v>
      </c>
      <c r="D67" s="19">
        <v>1</v>
      </c>
      <c r="E67" s="19">
        <v>1</v>
      </c>
      <c r="F67" s="60" t="s">
        <v>390</v>
      </c>
      <c r="G67" s="60" t="s">
        <v>391</v>
      </c>
      <c r="H67" s="20">
        <v>1550</v>
      </c>
      <c r="I67" s="20">
        <v>1485</v>
      </c>
      <c r="J67" s="20">
        <v>1485</v>
      </c>
      <c r="K67" s="61"/>
      <c r="L67" s="61">
        <v>45493</v>
      </c>
      <c r="M67" s="61">
        <v>45067</v>
      </c>
      <c r="O67" s="20">
        <v>1485</v>
      </c>
      <c r="P67" s="20"/>
      <c r="Q67" s="20"/>
      <c r="R67" s="20">
        <v>25</v>
      </c>
      <c r="S67" s="20">
        <v>10</v>
      </c>
      <c r="T67" s="20"/>
      <c r="U67" s="20"/>
      <c r="V67" s="20"/>
      <c r="W67" s="20"/>
      <c r="X67" s="20"/>
      <c r="Y67" s="20"/>
      <c r="Z67" s="20"/>
    </row>
    <row r="68" spans="1:26" x14ac:dyDescent="0.3">
      <c r="A68" s="62" t="s">
        <v>457</v>
      </c>
      <c r="B68" s="62" t="s">
        <v>59</v>
      </c>
      <c r="C68" s="11">
        <v>1082</v>
      </c>
      <c r="D68" s="10">
        <v>2</v>
      </c>
      <c r="E68" s="10">
        <v>2</v>
      </c>
      <c r="F68" s="63" t="s">
        <v>390</v>
      </c>
      <c r="G68" s="63" t="s">
        <v>391</v>
      </c>
      <c r="H68" s="11">
        <v>2260</v>
      </c>
      <c r="I68" s="11">
        <v>2190</v>
      </c>
      <c r="J68" s="11">
        <v>2190</v>
      </c>
      <c r="K68" s="64"/>
      <c r="L68" s="64">
        <v>45594</v>
      </c>
      <c r="M68" s="64">
        <v>45229</v>
      </c>
      <c r="O68" s="11">
        <v>2190</v>
      </c>
      <c r="P68" s="11"/>
      <c r="Q68" s="11"/>
      <c r="R68" s="11">
        <v>25</v>
      </c>
      <c r="S68" s="11">
        <v>10</v>
      </c>
      <c r="T68" s="11"/>
      <c r="U68" s="11"/>
      <c r="V68" s="11"/>
      <c r="W68" s="11"/>
      <c r="X68" s="11"/>
      <c r="Y68" s="11"/>
      <c r="Z68" s="11"/>
    </row>
    <row r="69" spans="1:26" x14ac:dyDescent="0.3">
      <c r="A69" s="59" t="s">
        <v>458</v>
      </c>
      <c r="B69" s="59" t="s">
        <v>68</v>
      </c>
      <c r="C69" s="20">
        <v>1213</v>
      </c>
      <c r="D69" s="19">
        <v>2</v>
      </c>
      <c r="E69" s="19">
        <v>2</v>
      </c>
      <c r="F69" s="60" t="s">
        <v>390</v>
      </c>
      <c r="G69" s="60" t="s">
        <v>391</v>
      </c>
      <c r="H69" s="20">
        <v>2130</v>
      </c>
      <c r="I69" s="20">
        <v>2115</v>
      </c>
      <c r="J69" s="20">
        <v>2115</v>
      </c>
      <c r="K69" s="61"/>
      <c r="L69" s="61">
        <v>45518</v>
      </c>
      <c r="M69" s="61">
        <v>45061</v>
      </c>
      <c r="O69" s="20">
        <v>2115</v>
      </c>
      <c r="P69" s="20"/>
      <c r="Q69" s="20"/>
      <c r="R69" s="20">
        <v>25</v>
      </c>
      <c r="S69" s="20">
        <v>10</v>
      </c>
      <c r="T69" s="20"/>
      <c r="U69" s="20"/>
      <c r="V69" s="20"/>
      <c r="W69" s="20"/>
      <c r="X69" s="20"/>
      <c r="Y69" s="20"/>
      <c r="Z69" s="20"/>
    </row>
    <row r="70" spans="1:26" x14ac:dyDescent="0.3">
      <c r="A70" s="62" t="s">
        <v>459</v>
      </c>
      <c r="B70" s="62" t="s">
        <v>59</v>
      </c>
      <c r="C70" s="11">
        <v>1082</v>
      </c>
      <c r="D70" s="10">
        <v>2</v>
      </c>
      <c r="E70" s="10">
        <v>2</v>
      </c>
      <c r="F70" s="63" t="s">
        <v>390</v>
      </c>
      <c r="G70" s="63" t="s">
        <v>391</v>
      </c>
      <c r="H70" s="11">
        <v>2305</v>
      </c>
      <c r="I70" s="11">
        <v>2090</v>
      </c>
      <c r="J70" s="11">
        <v>2090</v>
      </c>
      <c r="K70" s="64"/>
      <c r="L70" s="64">
        <v>45660</v>
      </c>
      <c r="M70" s="64">
        <v>45295</v>
      </c>
      <c r="O70" s="11">
        <v>2090</v>
      </c>
      <c r="P70" s="11"/>
      <c r="Q70" s="11"/>
      <c r="R70" s="11">
        <v>25</v>
      </c>
      <c r="S70" s="11">
        <v>10</v>
      </c>
      <c r="T70" s="11"/>
      <c r="U70" s="11"/>
      <c r="V70" s="11"/>
      <c r="W70" s="11"/>
      <c r="X70" s="11"/>
      <c r="Y70" s="11"/>
      <c r="Z70" s="11"/>
    </row>
    <row r="71" spans="1:26" x14ac:dyDescent="0.3">
      <c r="A71" s="59" t="s">
        <v>460</v>
      </c>
      <c r="B71" s="59" t="s">
        <v>68</v>
      </c>
      <c r="C71" s="20">
        <v>1213</v>
      </c>
      <c r="D71" s="19">
        <v>2</v>
      </c>
      <c r="E71" s="19">
        <v>2</v>
      </c>
      <c r="F71" s="60" t="s">
        <v>390</v>
      </c>
      <c r="G71" s="60" t="s">
        <v>391</v>
      </c>
      <c r="H71" s="20">
        <v>2175</v>
      </c>
      <c r="I71" s="20">
        <v>2170</v>
      </c>
      <c r="J71" s="20">
        <v>2170</v>
      </c>
      <c r="K71" s="61"/>
      <c r="L71" s="61">
        <v>45736</v>
      </c>
      <c r="M71" s="61">
        <v>45312</v>
      </c>
      <c r="O71" s="20">
        <v>2170</v>
      </c>
      <c r="P71" s="20"/>
      <c r="Q71" s="20"/>
      <c r="R71" s="20">
        <v>25</v>
      </c>
      <c r="S71" s="20">
        <v>10</v>
      </c>
      <c r="T71" s="20"/>
      <c r="U71" s="20"/>
      <c r="V71" s="20"/>
      <c r="W71" s="20"/>
      <c r="X71" s="20"/>
      <c r="Y71" s="20"/>
      <c r="Z71" s="20"/>
    </row>
    <row r="72" spans="1:26" x14ac:dyDescent="0.3">
      <c r="A72" s="62" t="s">
        <v>461</v>
      </c>
      <c r="B72" s="62" t="s">
        <v>36</v>
      </c>
      <c r="C72" s="11">
        <v>698</v>
      </c>
      <c r="D72" s="10">
        <v>1</v>
      </c>
      <c r="E72" s="10">
        <v>1</v>
      </c>
      <c r="F72" s="63" t="s">
        <v>390</v>
      </c>
      <c r="G72" s="63" t="s">
        <v>391</v>
      </c>
      <c r="H72" s="11">
        <v>1705</v>
      </c>
      <c r="I72" s="11">
        <v>1525</v>
      </c>
      <c r="J72" s="11">
        <v>1525</v>
      </c>
      <c r="K72" s="64"/>
      <c r="L72" s="64">
        <v>45625</v>
      </c>
      <c r="M72" s="64">
        <v>45229</v>
      </c>
      <c r="O72" s="11">
        <v>1525</v>
      </c>
      <c r="P72" s="11"/>
      <c r="Q72" s="11">
        <v>295</v>
      </c>
      <c r="R72" s="11">
        <v>25</v>
      </c>
      <c r="S72" s="11">
        <v>10</v>
      </c>
      <c r="T72" s="11"/>
      <c r="U72" s="11"/>
      <c r="V72" s="11"/>
      <c r="W72" s="11"/>
      <c r="X72" s="11"/>
      <c r="Y72" s="11"/>
      <c r="Z72" s="11"/>
    </row>
    <row r="73" spans="1:26" x14ac:dyDescent="0.3">
      <c r="A73" s="59" t="s">
        <v>462</v>
      </c>
      <c r="B73" s="59" t="s">
        <v>39</v>
      </c>
      <c r="C73" s="20">
        <v>719</v>
      </c>
      <c r="D73" s="19">
        <v>1</v>
      </c>
      <c r="E73" s="19">
        <v>1</v>
      </c>
      <c r="F73" s="60" t="s">
        <v>390</v>
      </c>
      <c r="G73" s="60" t="s">
        <v>391</v>
      </c>
      <c r="H73" s="20">
        <v>1595</v>
      </c>
      <c r="I73" s="20">
        <v>1485</v>
      </c>
      <c r="J73" s="20">
        <v>1485</v>
      </c>
      <c r="K73" s="61"/>
      <c r="L73" s="61">
        <v>45617</v>
      </c>
      <c r="M73" s="61">
        <v>45129</v>
      </c>
      <c r="O73" s="20">
        <v>1485</v>
      </c>
      <c r="P73" s="20"/>
      <c r="Q73" s="20"/>
      <c r="R73" s="20">
        <v>25</v>
      </c>
      <c r="S73" s="20">
        <v>10</v>
      </c>
      <c r="T73" s="20"/>
      <c r="U73" s="20"/>
      <c r="V73" s="20"/>
      <c r="W73" s="20"/>
      <c r="X73" s="20"/>
      <c r="Y73" s="20"/>
      <c r="Z73" s="20"/>
    </row>
    <row r="74" spans="1:26" x14ac:dyDescent="0.3">
      <c r="A74" s="62" t="s">
        <v>463</v>
      </c>
      <c r="B74" s="62" t="s">
        <v>36</v>
      </c>
      <c r="C74" s="11">
        <v>698</v>
      </c>
      <c r="D74" s="10">
        <v>1</v>
      </c>
      <c r="E74" s="10">
        <v>1</v>
      </c>
      <c r="F74" s="63" t="s">
        <v>390</v>
      </c>
      <c r="G74" s="63" t="s">
        <v>391</v>
      </c>
      <c r="H74" s="11">
        <v>1705</v>
      </c>
      <c r="I74" s="11">
        <v>1675</v>
      </c>
      <c r="J74" s="11">
        <v>1675</v>
      </c>
      <c r="K74" s="64"/>
      <c r="L74" s="64">
        <v>45460</v>
      </c>
      <c r="M74" s="64">
        <v>45278</v>
      </c>
      <c r="O74" s="11">
        <v>1675</v>
      </c>
      <c r="P74" s="11"/>
      <c r="Q74" s="11"/>
      <c r="R74" s="11">
        <v>25</v>
      </c>
      <c r="S74" s="11">
        <v>10</v>
      </c>
      <c r="T74" s="11"/>
      <c r="U74" s="11"/>
      <c r="V74" s="11"/>
      <c r="W74" s="11"/>
      <c r="X74" s="11"/>
      <c r="Y74" s="11"/>
      <c r="Z74" s="11"/>
    </row>
    <row r="75" spans="1:26" x14ac:dyDescent="0.3">
      <c r="A75" s="59" t="s">
        <v>464</v>
      </c>
      <c r="B75" s="59" t="s">
        <v>39</v>
      </c>
      <c r="C75" s="20">
        <v>719</v>
      </c>
      <c r="D75" s="19">
        <v>1</v>
      </c>
      <c r="E75" s="19">
        <v>1</v>
      </c>
      <c r="F75" s="60" t="s">
        <v>390</v>
      </c>
      <c r="G75" s="60" t="s">
        <v>391</v>
      </c>
      <c r="H75" s="20">
        <v>1595</v>
      </c>
      <c r="I75" s="20">
        <v>1475</v>
      </c>
      <c r="J75" s="20">
        <v>1475</v>
      </c>
      <c r="K75" s="61"/>
      <c r="L75" s="61">
        <v>45465</v>
      </c>
      <c r="M75" s="61">
        <v>45100</v>
      </c>
      <c r="O75" s="20">
        <v>1475</v>
      </c>
      <c r="P75" s="20"/>
      <c r="Q75" s="20"/>
      <c r="R75" s="20">
        <v>25</v>
      </c>
      <c r="S75" s="20">
        <v>10</v>
      </c>
      <c r="T75" s="20">
        <v>65</v>
      </c>
      <c r="U75" s="20"/>
      <c r="V75" s="20"/>
      <c r="W75" s="20"/>
      <c r="X75" s="20"/>
      <c r="Y75" s="20"/>
      <c r="Z75" s="20"/>
    </row>
    <row r="76" spans="1:26" x14ac:dyDescent="0.3">
      <c r="A76" s="62" t="s">
        <v>465</v>
      </c>
      <c r="B76" s="62" t="s">
        <v>36</v>
      </c>
      <c r="C76" s="11">
        <v>698</v>
      </c>
      <c r="D76" s="10">
        <v>1</v>
      </c>
      <c r="E76" s="10">
        <v>1</v>
      </c>
      <c r="F76" s="63" t="s">
        <v>390</v>
      </c>
      <c r="G76" s="63" t="s">
        <v>391</v>
      </c>
      <c r="H76" s="11">
        <v>1705</v>
      </c>
      <c r="I76" s="11">
        <v>1665</v>
      </c>
      <c r="J76" s="11">
        <v>1665</v>
      </c>
      <c r="K76" s="64"/>
      <c r="L76" s="64">
        <v>45468</v>
      </c>
      <c r="M76" s="64">
        <v>45103</v>
      </c>
      <c r="O76" s="11">
        <v>1665</v>
      </c>
      <c r="P76" s="11"/>
      <c r="Q76" s="11"/>
      <c r="R76" s="11">
        <v>25</v>
      </c>
      <c r="S76" s="11">
        <v>10</v>
      </c>
      <c r="T76" s="11">
        <v>65</v>
      </c>
      <c r="U76" s="11"/>
      <c r="V76" s="11"/>
      <c r="W76" s="11"/>
      <c r="X76" s="11"/>
      <c r="Y76" s="11"/>
      <c r="Z76" s="11"/>
    </row>
    <row r="77" spans="1:26" x14ac:dyDescent="0.3">
      <c r="A77" s="59" t="s">
        <v>466</v>
      </c>
      <c r="B77" s="59" t="s">
        <v>39</v>
      </c>
      <c r="C77" s="20">
        <v>719</v>
      </c>
      <c r="D77" s="19">
        <v>1</v>
      </c>
      <c r="E77" s="19">
        <v>1</v>
      </c>
      <c r="F77" s="60" t="s">
        <v>390</v>
      </c>
      <c r="G77" s="60" t="s">
        <v>391</v>
      </c>
      <c r="H77" s="20">
        <v>1595</v>
      </c>
      <c r="I77" s="20">
        <v>1520</v>
      </c>
      <c r="J77" s="20">
        <v>1520</v>
      </c>
      <c r="K77" s="61"/>
      <c r="L77" s="61">
        <v>45484</v>
      </c>
      <c r="M77" s="61">
        <v>45058</v>
      </c>
      <c r="O77" s="20">
        <v>1520</v>
      </c>
      <c r="P77" s="20"/>
      <c r="Q77" s="20">
        <v>325</v>
      </c>
      <c r="R77" s="20">
        <v>25</v>
      </c>
      <c r="S77" s="20">
        <v>10</v>
      </c>
      <c r="T77" s="20"/>
      <c r="U77" s="20"/>
      <c r="V77" s="20"/>
      <c r="W77" s="20"/>
      <c r="X77" s="20">
        <v>42</v>
      </c>
      <c r="Y77" s="20"/>
      <c r="Z77" s="20"/>
    </row>
    <row r="78" spans="1:26" x14ac:dyDescent="0.3">
      <c r="A78" s="62" t="s">
        <v>467</v>
      </c>
      <c r="B78" s="62" t="s">
        <v>59</v>
      </c>
      <c r="C78" s="11">
        <v>1082</v>
      </c>
      <c r="D78" s="10">
        <v>2</v>
      </c>
      <c r="E78" s="10">
        <v>2</v>
      </c>
      <c r="F78" s="63" t="s">
        <v>390</v>
      </c>
      <c r="G78" s="63" t="s">
        <v>391</v>
      </c>
      <c r="H78" s="11">
        <v>2305</v>
      </c>
      <c r="I78" s="11">
        <v>2305</v>
      </c>
      <c r="J78" s="11">
        <v>2305</v>
      </c>
      <c r="K78" s="64"/>
      <c r="L78" s="64">
        <v>45492</v>
      </c>
      <c r="M78" s="64">
        <v>45127</v>
      </c>
      <c r="O78" s="11">
        <v>2305</v>
      </c>
      <c r="P78" s="11"/>
      <c r="Q78" s="11"/>
      <c r="R78" s="11">
        <v>25</v>
      </c>
      <c r="S78" s="11">
        <v>10</v>
      </c>
      <c r="T78" s="11">
        <v>65</v>
      </c>
      <c r="U78" s="11"/>
      <c r="V78" s="11"/>
      <c r="W78" s="11"/>
      <c r="X78" s="11"/>
      <c r="Y78" s="11"/>
      <c r="Z78" s="11"/>
    </row>
    <row r="79" spans="1:26" x14ac:dyDescent="0.3">
      <c r="A79" s="59" t="s">
        <v>468</v>
      </c>
      <c r="B79" s="59" t="s">
        <v>68</v>
      </c>
      <c r="C79" s="20">
        <v>1213</v>
      </c>
      <c r="D79" s="19">
        <v>2</v>
      </c>
      <c r="E79" s="19">
        <v>2</v>
      </c>
      <c r="F79" s="60" t="s">
        <v>390</v>
      </c>
      <c r="G79" s="60" t="s">
        <v>391</v>
      </c>
      <c r="H79" s="20">
        <v>2175</v>
      </c>
      <c r="I79" s="20">
        <v>2160</v>
      </c>
      <c r="J79" s="20">
        <v>2160</v>
      </c>
      <c r="K79" s="61"/>
      <c r="L79" s="61">
        <v>45565</v>
      </c>
      <c r="M79" s="61">
        <v>45139</v>
      </c>
      <c r="O79" s="20">
        <v>2160</v>
      </c>
      <c r="P79" s="20"/>
      <c r="Q79" s="20"/>
      <c r="R79" s="20">
        <v>25</v>
      </c>
      <c r="S79" s="20">
        <v>10</v>
      </c>
      <c r="T79" s="20">
        <v>65</v>
      </c>
      <c r="U79" s="20"/>
      <c r="V79" s="20"/>
      <c r="W79" s="20"/>
      <c r="X79" s="20"/>
      <c r="Y79" s="20"/>
      <c r="Z79" s="20"/>
    </row>
    <row r="80" spans="1:26" x14ac:dyDescent="0.3">
      <c r="A80" s="62" t="s">
        <v>469</v>
      </c>
      <c r="B80" s="62" t="s">
        <v>39</v>
      </c>
      <c r="C80" s="11">
        <v>719</v>
      </c>
      <c r="D80" s="10">
        <v>1</v>
      </c>
      <c r="E80" s="10">
        <v>1</v>
      </c>
      <c r="F80" s="63" t="s">
        <v>390</v>
      </c>
      <c r="G80" s="63" t="s">
        <v>391</v>
      </c>
      <c r="H80" s="11">
        <v>1630</v>
      </c>
      <c r="I80" s="11">
        <v>1415</v>
      </c>
      <c r="J80" s="11">
        <v>1415</v>
      </c>
      <c r="K80" s="64"/>
      <c r="L80" s="64">
        <v>45791</v>
      </c>
      <c r="M80" s="64">
        <v>45306</v>
      </c>
      <c r="O80" s="11">
        <v>1415</v>
      </c>
      <c r="P80" s="11">
        <v>-707.5</v>
      </c>
      <c r="Q80" s="11"/>
      <c r="R80" s="11">
        <v>25</v>
      </c>
      <c r="S80" s="11">
        <v>10</v>
      </c>
      <c r="T80" s="11">
        <v>65</v>
      </c>
      <c r="U80" s="11"/>
      <c r="V80" s="11"/>
      <c r="W80" s="11"/>
      <c r="X80" s="11"/>
      <c r="Y80" s="11"/>
      <c r="Z80" s="11">
        <v>40</v>
      </c>
    </row>
    <row r="81" spans="1:26" x14ac:dyDescent="0.3">
      <c r="A81" s="59" t="s">
        <v>470</v>
      </c>
      <c r="B81" s="59" t="s">
        <v>39</v>
      </c>
      <c r="C81" s="20">
        <v>719</v>
      </c>
      <c r="D81" s="19">
        <v>1</v>
      </c>
      <c r="E81" s="19">
        <v>1</v>
      </c>
      <c r="F81" s="60" t="s">
        <v>390</v>
      </c>
      <c r="G81" s="60" t="s">
        <v>391</v>
      </c>
      <c r="H81" s="20">
        <v>1630</v>
      </c>
      <c r="I81" s="20">
        <v>1415</v>
      </c>
      <c r="J81" s="20">
        <v>1415</v>
      </c>
      <c r="K81" s="61"/>
      <c r="L81" s="61">
        <v>45721</v>
      </c>
      <c r="M81" s="61">
        <v>45297</v>
      </c>
      <c r="O81" s="20">
        <v>1415</v>
      </c>
      <c r="P81" s="20">
        <v>-707.5</v>
      </c>
      <c r="Q81" s="20"/>
      <c r="R81" s="20">
        <v>25</v>
      </c>
      <c r="S81" s="20">
        <v>10</v>
      </c>
      <c r="T81" s="20"/>
      <c r="U81" s="20"/>
      <c r="V81" s="20"/>
      <c r="W81" s="20"/>
      <c r="X81" s="20"/>
      <c r="Y81" s="20"/>
      <c r="Z81" s="20"/>
    </row>
    <row r="82" spans="1:26" x14ac:dyDescent="0.3">
      <c r="A82" s="62" t="s">
        <v>471</v>
      </c>
      <c r="B82" s="62" t="s">
        <v>56</v>
      </c>
      <c r="C82" s="11">
        <v>941</v>
      </c>
      <c r="D82" s="10">
        <v>1</v>
      </c>
      <c r="E82" s="10">
        <v>1</v>
      </c>
      <c r="F82" s="63" t="s">
        <v>390</v>
      </c>
      <c r="G82" s="63" t="s">
        <v>391</v>
      </c>
      <c r="H82" s="11">
        <v>1895</v>
      </c>
      <c r="I82" s="11">
        <v>1895</v>
      </c>
      <c r="J82" s="11">
        <v>1895</v>
      </c>
      <c r="K82" s="64"/>
      <c r="L82" s="64">
        <v>45716</v>
      </c>
      <c r="M82" s="64">
        <v>45229</v>
      </c>
      <c r="O82" s="11">
        <v>1895</v>
      </c>
      <c r="P82" s="11"/>
      <c r="Q82" s="11"/>
      <c r="R82" s="11">
        <v>25</v>
      </c>
      <c r="S82" s="11">
        <v>10</v>
      </c>
      <c r="T82" s="11"/>
      <c r="U82" s="11"/>
      <c r="V82" s="11"/>
      <c r="W82" s="11"/>
      <c r="X82" s="11"/>
      <c r="Y82" s="11"/>
      <c r="Z82" s="11"/>
    </row>
    <row r="83" spans="1:26" x14ac:dyDescent="0.3">
      <c r="A83" s="59" t="s">
        <v>472</v>
      </c>
      <c r="B83" s="59" t="s">
        <v>45</v>
      </c>
      <c r="C83" s="20">
        <v>736</v>
      </c>
      <c r="D83" s="19">
        <v>1</v>
      </c>
      <c r="E83" s="19">
        <v>1</v>
      </c>
      <c r="F83" s="60" t="s">
        <v>390</v>
      </c>
      <c r="G83" s="60" t="s">
        <v>397</v>
      </c>
      <c r="H83" s="20">
        <v>1725</v>
      </c>
      <c r="I83" s="20">
        <v>0</v>
      </c>
      <c r="J83" s="20">
        <v>0</v>
      </c>
      <c r="K83" s="61"/>
      <c r="L83" s="61"/>
      <c r="M83" s="61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3">
      <c r="A84" s="62" t="s">
        <v>473</v>
      </c>
      <c r="B84" s="62" t="s">
        <v>56</v>
      </c>
      <c r="C84" s="11">
        <v>941</v>
      </c>
      <c r="D84" s="10">
        <v>1</v>
      </c>
      <c r="E84" s="10">
        <v>1</v>
      </c>
      <c r="F84" s="63" t="s">
        <v>390</v>
      </c>
      <c r="G84" s="63" t="s">
        <v>391</v>
      </c>
      <c r="H84" s="11">
        <v>1895</v>
      </c>
      <c r="I84" s="11">
        <v>1895</v>
      </c>
      <c r="J84" s="11">
        <v>1895</v>
      </c>
      <c r="K84" s="64"/>
      <c r="L84" s="64">
        <v>45642</v>
      </c>
      <c r="M84" s="64">
        <v>45216</v>
      </c>
      <c r="O84" s="11">
        <v>1895</v>
      </c>
      <c r="P84" s="11"/>
      <c r="Q84" s="11"/>
      <c r="R84" s="11">
        <v>25</v>
      </c>
      <c r="S84" s="11">
        <v>10</v>
      </c>
      <c r="T84" s="11"/>
      <c r="U84" s="11"/>
      <c r="V84" s="11"/>
      <c r="W84" s="11"/>
      <c r="X84" s="11">
        <v>42</v>
      </c>
      <c r="Y84" s="11"/>
      <c r="Z84" s="11"/>
    </row>
    <row r="85" spans="1:26" x14ac:dyDescent="0.3">
      <c r="A85" s="59" t="s">
        <v>474</v>
      </c>
      <c r="B85" s="59" t="s">
        <v>76</v>
      </c>
      <c r="C85" s="20">
        <v>1564</v>
      </c>
      <c r="D85" s="19">
        <v>3</v>
      </c>
      <c r="E85" s="19">
        <v>2</v>
      </c>
      <c r="F85" s="60" t="s">
        <v>390</v>
      </c>
      <c r="G85" s="60" t="s">
        <v>391</v>
      </c>
      <c r="H85" s="20">
        <v>2925</v>
      </c>
      <c r="I85" s="20">
        <v>2920</v>
      </c>
      <c r="J85" s="20">
        <v>2920</v>
      </c>
      <c r="K85" s="61"/>
      <c r="L85" s="61">
        <v>45626</v>
      </c>
      <c r="M85" s="61">
        <v>45200</v>
      </c>
      <c r="O85" s="20">
        <v>2920</v>
      </c>
      <c r="P85" s="20"/>
      <c r="Q85" s="20"/>
      <c r="R85" s="20">
        <v>25</v>
      </c>
      <c r="S85" s="20">
        <v>10</v>
      </c>
      <c r="T85" s="20"/>
      <c r="U85" s="20"/>
      <c r="V85" s="20"/>
      <c r="W85" s="20"/>
      <c r="X85" s="20">
        <v>29</v>
      </c>
      <c r="Y85" s="20"/>
      <c r="Z85" s="20"/>
    </row>
    <row r="86" spans="1:26" x14ac:dyDescent="0.3">
      <c r="A86" s="62" t="s">
        <v>475</v>
      </c>
      <c r="B86" s="62" t="s">
        <v>43</v>
      </c>
      <c r="C86" s="11">
        <v>739</v>
      </c>
      <c r="D86" s="10">
        <v>1</v>
      </c>
      <c r="E86" s="10">
        <v>1</v>
      </c>
      <c r="F86" s="63" t="s">
        <v>390</v>
      </c>
      <c r="G86" s="63" t="s">
        <v>397</v>
      </c>
      <c r="H86" s="11">
        <v>1605</v>
      </c>
      <c r="I86" s="11">
        <v>0</v>
      </c>
      <c r="J86" s="11">
        <v>0</v>
      </c>
      <c r="K86" s="64"/>
      <c r="L86" s="64"/>
      <c r="M86" s="6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59" t="s">
        <v>476</v>
      </c>
      <c r="B87" s="59" t="s">
        <v>45</v>
      </c>
      <c r="C87" s="20">
        <v>736</v>
      </c>
      <c r="D87" s="19">
        <v>1</v>
      </c>
      <c r="E87" s="19">
        <v>1</v>
      </c>
      <c r="F87" s="60" t="s">
        <v>390</v>
      </c>
      <c r="G87" s="60" t="s">
        <v>391</v>
      </c>
      <c r="H87" s="20">
        <v>1725</v>
      </c>
      <c r="I87" s="20">
        <v>1595</v>
      </c>
      <c r="J87" s="20">
        <v>1595</v>
      </c>
      <c r="K87" s="61"/>
      <c r="L87" s="61">
        <v>45719</v>
      </c>
      <c r="M87" s="61">
        <v>45234</v>
      </c>
      <c r="O87" s="20">
        <v>1595</v>
      </c>
      <c r="P87" s="20">
        <v>-797.5</v>
      </c>
      <c r="Q87" s="20"/>
      <c r="R87" s="20">
        <v>25</v>
      </c>
      <c r="S87" s="20">
        <v>10</v>
      </c>
      <c r="T87" s="20"/>
      <c r="U87" s="20"/>
      <c r="V87" s="20"/>
      <c r="W87" s="20"/>
      <c r="X87" s="20"/>
      <c r="Y87" s="20"/>
      <c r="Z87" s="20"/>
    </row>
    <row r="88" spans="1:26" x14ac:dyDescent="0.3">
      <c r="A88" s="62" t="s">
        <v>477</v>
      </c>
      <c r="B88" s="62" t="s">
        <v>48</v>
      </c>
      <c r="C88" s="11">
        <v>762</v>
      </c>
      <c r="D88" s="10">
        <v>1</v>
      </c>
      <c r="E88" s="10">
        <v>1</v>
      </c>
      <c r="F88" s="63" t="s">
        <v>390</v>
      </c>
      <c r="G88" s="63" t="s">
        <v>391</v>
      </c>
      <c r="H88" s="11">
        <v>1645</v>
      </c>
      <c r="I88" s="11">
        <v>1605</v>
      </c>
      <c r="J88" s="11">
        <v>1605</v>
      </c>
      <c r="K88" s="64"/>
      <c r="L88" s="64">
        <v>45527</v>
      </c>
      <c r="M88" s="64">
        <v>45101</v>
      </c>
      <c r="O88" s="11">
        <v>1605</v>
      </c>
      <c r="P88" s="11"/>
      <c r="Q88" s="11"/>
      <c r="R88" s="11">
        <v>25</v>
      </c>
      <c r="S88" s="11">
        <v>10</v>
      </c>
      <c r="T88" s="11"/>
      <c r="U88" s="11"/>
      <c r="V88" s="11"/>
      <c r="W88" s="11"/>
      <c r="X88" s="11"/>
      <c r="Y88" s="11"/>
      <c r="Z88" s="11"/>
    </row>
    <row r="89" spans="1:26" x14ac:dyDescent="0.3">
      <c r="A89" s="59" t="s">
        <v>478</v>
      </c>
      <c r="B89" s="59" t="s">
        <v>48</v>
      </c>
      <c r="C89" s="20">
        <v>762</v>
      </c>
      <c r="D89" s="19">
        <v>1</v>
      </c>
      <c r="E89" s="19">
        <v>1</v>
      </c>
      <c r="F89" s="60" t="s">
        <v>390</v>
      </c>
      <c r="G89" s="60" t="s">
        <v>391</v>
      </c>
      <c r="H89" s="20">
        <v>1645</v>
      </c>
      <c r="I89" s="20">
        <v>1635</v>
      </c>
      <c r="J89" s="20">
        <v>1635</v>
      </c>
      <c r="K89" s="61"/>
      <c r="L89" s="61">
        <v>45647</v>
      </c>
      <c r="M89" s="61">
        <v>45160</v>
      </c>
      <c r="O89" s="20">
        <v>1635</v>
      </c>
      <c r="P89" s="20"/>
      <c r="Q89" s="20"/>
      <c r="R89" s="20">
        <v>25</v>
      </c>
      <c r="S89" s="20">
        <v>10</v>
      </c>
      <c r="T89" s="20"/>
      <c r="U89" s="20"/>
      <c r="V89" s="20"/>
      <c r="W89" s="20"/>
      <c r="X89" s="20"/>
      <c r="Y89" s="20"/>
      <c r="Z89" s="20"/>
    </row>
    <row r="90" spans="1:26" x14ac:dyDescent="0.3">
      <c r="A90" s="62" t="s">
        <v>479</v>
      </c>
      <c r="B90" s="62" t="s">
        <v>32</v>
      </c>
      <c r="C90" s="11">
        <v>690</v>
      </c>
      <c r="D90" s="10">
        <v>1</v>
      </c>
      <c r="E90" s="10">
        <v>1</v>
      </c>
      <c r="F90" s="63" t="s">
        <v>390</v>
      </c>
      <c r="G90" s="63" t="s">
        <v>391</v>
      </c>
      <c r="H90" s="11">
        <v>1615</v>
      </c>
      <c r="I90" s="11">
        <v>1470</v>
      </c>
      <c r="J90" s="11">
        <v>1470</v>
      </c>
      <c r="K90" s="64"/>
      <c r="L90" s="64">
        <v>45526</v>
      </c>
      <c r="M90" s="64">
        <v>44980</v>
      </c>
      <c r="O90" s="11">
        <v>1470</v>
      </c>
      <c r="P90" s="11"/>
      <c r="Q90" s="11">
        <v>250</v>
      </c>
      <c r="R90" s="11">
        <v>25</v>
      </c>
      <c r="S90" s="11">
        <v>10</v>
      </c>
      <c r="T90" s="11"/>
      <c r="U90" s="11"/>
      <c r="V90" s="11"/>
      <c r="W90" s="11"/>
      <c r="X90" s="11"/>
      <c r="Y90" s="11"/>
      <c r="Z90" s="11"/>
    </row>
    <row r="91" spans="1:26" x14ac:dyDescent="0.3">
      <c r="A91" s="59" t="s">
        <v>480</v>
      </c>
      <c r="B91" s="59" t="s">
        <v>59</v>
      </c>
      <c r="C91" s="20">
        <v>1082</v>
      </c>
      <c r="D91" s="19">
        <v>2</v>
      </c>
      <c r="E91" s="19">
        <v>2</v>
      </c>
      <c r="F91" s="60" t="s">
        <v>390</v>
      </c>
      <c r="G91" s="60" t="s">
        <v>391</v>
      </c>
      <c r="H91" s="20">
        <v>2340</v>
      </c>
      <c r="I91" s="20">
        <v>2205</v>
      </c>
      <c r="J91" s="20">
        <v>2205</v>
      </c>
      <c r="K91" s="61"/>
      <c r="L91" s="61">
        <v>45565</v>
      </c>
      <c r="M91" s="61">
        <v>45017</v>
      </c>
      <c r="O91" s="20">
        <v>2205</v>
      </c>
      <c r="P91" s="20"/>
      <c r="Q91" s="20">
        <v>210</v>
      </c>
      <c r="R91" s="20">
        <v>25</v>
      </c>
      <c r="S91" s="20">
        <v>10</v>
      </c>
      <c r="T91" s="20"/>
      <c r="U91" s="20"/>
      <c r="V91" s="20"/>
      <c r="W91" s="20"/>
      <c r="X91" s="20"/>
      <c r="Y91" s="20"/>
      <c r="Z91" s="20"/>
    </row>
    <row r="92" spans="1:26" x14ac:dyDescent="0.3">
      <c r="A92" s="62" t="s">
        <v>481</v>
      </c>
      <c r="B92" s="62" t="s">
        <v>59</v>
      </c>
      <c r="C92" s="11">
        <v>1082</v>
      </c>
      <c r="D92" s="10">
        <v>2</v>
      </c>
      <c r="E92" s="10">
        <v>2</v>
      </c>
      <c r="F92" s="63" t="s">
        <v>390</v>
      </c>
      <c r="G92" s="63" t="s">
        <v>397</v>
      </c>
      <c r="H92" s="11">
        <v>2260</v>
      </c>
      <c r="I92" s="11">
        <v>0</v>
      </c>
      <c r="J92" s="11">
        <v>0</v>
      </c>
      <c r="K92" s="64"/>
      <c r="L92" s="64"/>
      <c r="M92" s="6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59" t="s">
        <v>482</v>
      </c>
      <c r="B93" s="59" t="s">
        <v>59</v>
      </c>
      <c r="C93" s="20">
        <v>1082</v>
      </c>
      <c r="D93" s="19">
        <v>2</v>
      </c>
      <c r="E93" s="19">
        <v>2</v>
      </c>
      <c r="F93" s="60" t="s">
        <v>390</v>
      </c>
      <c r="G93" s="60" t="s">
        <v>391</v>
      </c>
      <c r="H93" s="20">
        <v>2085</v>
      </c>
      <c r="I93" s="20">
        <v>1990</v>
      </c>
      <c r="J93" s="20">
        <v>1990</v>
      </c>
      <c r="K93" s="61"/>
      <c r="L93" s="61">
        <v>45442</v>
      </c>
      <c r="M93" s="61">
        <v>45016</v>
      </c>
      <c r="O93" s="20">
        <v>1990</v>
      </c>
      <c r="P93" s="20"/>
      <c r="Q93" s="20"/>
      <c r="R93" s="20">
        <v>25</v>
      </c>
      <c r="S93" s="20">
        <v>10</v>
      </c>
      <c r="T93" s="20"/>
      <c r="U93" s="20"/>
      <c r="V93" s="20"/>
      <c r="W93" s="20"/>
      <c r="X93" s="20"/>
      <c r="Y93" s="20"/>
      <c r="Z93" s="20"/>
    </row>
    <row r="94" spans="1:26" x14ac:dyDescent="0.3">
      <c r="A94" s="62" t="s">
        <v>483</v>
      </c>
      <c r="B94" s="62" t="s">
        <v>53</v>
      </c>
      <c r="C94" s="11">
        <v>803</v>
      </c>
      <c r="D94" s="10">
        <v>1</v>
      </c>
      <c r="E94" s="10">
        <v>1</v>
      </c>
      <c r="F94" s="63" t="s">
        <v>390</v>
      </c>
      <c r="G94" s="63" t="s">
        <v>391</v>
      </c>
      <c r="H94" s="11">
        <v>1775</v>
      </c>
      <c r="I94" s="11">
        <v>1760</v>
      </c>
      <c r="J94" s="11">
        <v>1760</v>
      </c>
      <c r="K94" s="64"/>
      <c r="L94" s="64">
        <v>45691</v>
      </c>
      <c r="M94" s="64">
        <v>45295</v>
      </c>
      <c r="O94" s="11">
        <v>1760</v>
      </c>
      <c r="P94" s="11">
        <v>-880</v>
      </c>
      <c r="Q94" s="11"/>
      <c r="R94" s="11">
        <v>25</v>
      </c>
      <c r="S94" s="11">
        <v>10</v>
      </c>
      <c r="T94" s="11"/>
      <c r="U94" s="11">
        <v>25</v>
      </c>
      <c r="V94" s="11"/>
      <c r="W94" s="11"/>
      <c r="X94" s="11"/>
      <c r="Y94" s="11"/>
      <c r="Z94" s="11"/>
    </row>
    <row r="95" spans="1:26" x14ac:dyDescent="0.3">
      <c r="A95" s="59" t="s">
        <v>484</v>
      </c>
      <c r="B95" s="59" t="s">
        <v>39</v>
      </c>
      <c r="C95" s="20">
        <v>719</v>
      </c>
      <c r="D95" s="19">
        <v>1</v>
      </c>
      <c r="E95" s="19">
        <v>1</v>
      </c>
      <c r="F95" s="60" t="s">
        <v>390</v>
      </c>
      <c r="G95" s="60" t="s">
        <v>391</v>
      </c>
      <c r="H95" s="20">
        <v>1550</v>
      </c>
      <c r="I95" s="20">
        <v>1520</v>
      </c>
      <c r="J95" s="20">
        <v>1520</v>
      </c>
      <c r="K95" s="61"/>
      <c r="L95" s="61">
        <v>45786</v>
      </c>
      <c r="M95" s="61">
        <v>45301</v>
      </c>
      <c r="O95" s="20">
        <v>1520</v>
      </c>
      <c r="P95" s="20">
        <v>-760</v>
      </c>
      <c r="Q95" s="20"/>
      <c r="R95" s="20">
        <v>25</v>
      </c>
      <c r="S95" s="20">
        <v>10</v>
      </c>
      <c r="T95" s="20"/>
      <c r="U95" s="20"/>
      <c r="V95" s="20"/>
      <c r="W95" s="20"/>
      <c r="X95" s="20"/>
      <c r="Y95" s="20"/>
      <c r="Z95" s="20"/>
    </row>
    <row r="96" spans="1:26" x14ac:dyDescent="0.3">
      <c r="A96" s="62" t="s">
        <v>485</v>
      </c>
      <c r="B96" s="62" t="s">
        <v>53</v>
      </c>
      <c r="C96" s="11">
        <v>803</v>
      </c>
      <c r="D96" s="10">
        <v>1</v>
      </c>
      <c r="E96" s="10">
        <v>1</v>
      </c>
      <c r="F96" s="63" t="s">
        <v>390</v>
      </c>
      <c r="G96" s="63" t="s">
        <v>391</v>
      </c>
      <c r="H96" s="11">
        <v>1775</v>
      </c>
      <c r="I96" s="11">
        <v>1750</v>
      </c>
      <c r="J96" s="11">
        <v>1750</v>
      </c>
      <c r="K96" s="64"/>
      <c r="L96" s="64">
        <v>45491</v>
      </c>
      <c r="M96" s="64">
        <v>45126</v>
      </c>
      <c r="O96" s="11">
        <v>1750</v>
      </c>
      <c r="P96" s="11"/>
      <c r="Q96" s="11"/>
      <c r="R96" s="11">
        <v>25</v>
      </c>
      <c r="S96" s="11">
        <v>10</v>
      </c>
      <c r="T96" s="11"/>
      <c r="U96" s="11">
        <v>50</v>
      </c>
      <c r="V96" s="11"/>
      <c r="W96" s="11"/>
      <c r="X96" s="11"/>
      <c r="Y96" s="11"/>
      <c r="Z96" s="11"/>
    </row>
    <row r="97" spans="1:26" x14ac:dyDescent="0.3">
      <c r="A97" s="59" t="s">
        <v>486</v>
      </c>
      <c r="B97" s="59" t="s">
        <v>39</v>
      </c>
      <c r="C97" s="20">
        <v>719</v>
      </c>
      <c r="D97" s="19">
        <v>1</v>
      </c>
      <c r="E97" s="19">
        <v>1</v>
      </c>
      <c r="F97" s="60" t="s">
        <v>390</v>
      </c>
      <c r="G97" s="60" t="s">
        <v>391</v>
      </c>
      <c r="H97" s="20">
        <v>1550</v>
      </c>
      <c r="I97" s="20">
        <v>1520</v>
      </c>
      <c r="J97" s="20">
        <v>1520</v>
      </c>
      <c r="K97" s="61"/>
      <c r="L97" s="61">
        <v>45573</v>
      </c>
      <c r="M97" s="61">
        <v>45147</v>
      </c>
      <c r="O97" s="20">
        <v>1520</v>
      </c>
      <c r="P97" s="20"/>
      <c r="Q97" s="20"/>
      <c r="R97" s="20">
        <v>25</v>
      </c>
      <c r="S97" s="20">
        <v>10</v>
      </c>
      <c r="T97" s="20"/>
      <c r="U97" s="20"/>
      <c r="V97" s="20"/>
      <c r="W97" s="20"/>
      <c r="X97" s="20"/>
      <c r="Y97" s="20"/>
      <c r="Z97" s="20"/>
    </row>
    <row r="98" spans="1:26" x14ac:dyDescent="0.3">
      <c r="A98" s="62" t="s">
        <v>487</v>
      </c>
      <c r="B98" s="62" t="s">
        <v>56</v>
      </c>
      <c r="C98" s="11">
        <v>941</v>
      </c>
      <c r="D98" s="10">
        <v>1</v>
      </c>
      <c r="E98" s="10">
        <v>1</v>
      </c>
      <c r="F98" s="63" t="s">
        <v>390</v>
      </c>
      <c r="G98" s="63" t="s">
        <v>391</v>
      </c>
      <c r="H98" s="11">
        <v>1815</v>
      </c>
      <c r="I98" s="11">
        <v>1790</v>
      </c>
      <c r="J98" s="11">
        <v>1790</v>
      </c>
      <c r="K98" s="64"/>
      <c r="L98" s="64">
        <v>45571</v>
      </c>
      <c r="M98" s="64">
        <v>45023</v>
      </c>
      <c r="O98" s="11">
        <v>1790</v>
      </c>
      <c r="P98" s="11"/>
      <c r="Q98" s="11"/>
      <c r="R98" s="11">
        <v>25</v>
      </c>
      <c r="S98" s="11">
        <v>10</v>
      </c>
      <c r="T98" s="11"/>
      <c r="U98" s="11"/>
      <c r="V98" s="11"/>
      <c r="W98" s="11"/>
      <c r="X98" s="11"/>
      <c r="Y98" s="11"/>
      <c r="Z98" s="11"/>
    </row>
    <row r="99" spans="1:26" x14ac:dyDescent="0.3">
      <c r="A99" s="59" t="s">
        <v>488</v>
      </c>
      <c r="B99" s="59" t="s">
        <v>45</v>
      </c>
      <c r="C99" s="20">
        <v>736</v>
      </c>
      <c r="D99" s="19">
        <v>1</v>
      </c>
      <c r="E99" s="19">
        <v>1</v>
      </c>
      <c r="F99" s="60" t="s">
        <v>390</v>
      </c>
      <c r="G99" s="60" t="s">
        <v>391</v>
      </c>
      <c r="H99" s="20">
        <v>1645</v>
      </c>
      <c r="I99" s="20">
        <v>1575</v>
      </c>
      <c r="J99" s="20">
        <v>1575</v>
      </c>
      <c r="K99" s="61"/>
      <c r="L99" s="61">
        <v>45504</v>
      </c>
      <c r="M99" s="61">
        <v>45139</v>
      </c>
      <c r="O99" s="20">
        <v>1575</v>
      </c>
      <c r="P99" s="20"/>
      <c r="Q99" s="20"/>
      <c r="R99" s="20">
        <v>25</v>
      </c>
      <c r="S99" s="20">
        <v>10</v>
      </c>
      <c r="T99" s="20"/>
      <c r="U99" s="20"/>
      <c r="V99" s="20"/>
      <c r="W99" s="20"/>
      <c r="X99" s="20"/>
      <c r="Y99" s="20"/>
      <c r="Z99" s="20"/>
    </row>
    <row r="100" spans="1:26" x14ac:dyDescent="0.3">
      <c r="A100" s="62" t="s">
        <v>489</v>
      </c>
      <c r="B100" s="62" t="s">
        <v>56</v>
      </c>
      <c r="C100" s="11">
        <v>941</v>
      </c>
      <c r="D100" s="10">
        <v>1</v>
      </c>
      <c r="E100" s="10">
        <v>1</v>
      </c>
      <c r="F100" s="63" t="s">
        <v>390</v>
      </c>
      <c r="G100" s="63" t="s">
        <v>391</v>
      </c>
      <c r="H100" s="11">
        <v>1815</v>
      </c>
      <c r="I100" s="11">
        <v>1790</v>
      </c>
      <c r="J100" s="11">
        <v>1790</v>
      </c>
      <c r="K100" s="64"/>
      <c r="L100" s="64">
        <v>45477</v>
      </c>
      <c r="M100" s="64">
        <v>45051</v>
      </c>
      <c r="O100" s="11">
        <v>1790</v>
      </c>
      <c r="P100" s="11"/>
      <c r="Q100" s="11"/>
      <c r="R100" s="11">
        <v>25</v>
      </c>
      <c r="S100" s="11">
        <v>10</v>
      </c>
      <c r="T100" s="11"/>
      <c r="U100" s="11"/>
      <c r="V100" s="11"/>
      <c r="W100" s="11"/>
      <c r="X100" s="11"/>
      <c r="Y100" s="11"/>
      <c r="Z100" s="11"/>
    </row>
    <row r="101" spans="1:26" x14ac:dyDescent="0.3">
      <c r="A101" s="59" t="s">
        <v>490</v>
      </c>
      <c r="B101" s="59" t="s">
        <v>74</v>
      </c>
      <c r="C101" s="20">
        <v>1564</v>
      </c>
      <c r="D101" s="19">
        <v>3</v>
      </c>
      <c r="E101" s="19">
        <v>2</v>
      </c>
      <c r="F101" s="60" t="s">
        <v>390</v>
      </c>
      <c r="G101" s="60" t="s">
        <v>391</v>
      </c>
      <c r="H101" s="20">
        <v>2860</v>
      </c>
      <c r="I101" s="20">
        <v>2540</v>
      </c>
      <c r="J101" s="20">
        <v>2540</v>
      </c>
      <c r="K101" s="61"/>
      <c r="L101" s="61">
        <v>45668</v>
      </c>
      <c r="M101" s="61">
        <v>45242</v>
      </c>
      <c r="O101" s="20">
        <v>2540</v>
      </c>
      <c r="P101" s="20">
        <v>-1270</v>
      </c>
      <c r="Q101" s="20"/>
      <c r="R101" s="20">
        <v>25</v>
      </c>
      <c r="S101" s="20">
        <v>10</v>
      </c>
      <c r="T101" s="20"/>
      <c r="U101" s="20">
        <v>50</v>
      </c>
      <c r="V101" s="20"/>
      <c r="W101" s="20"/>
      <c r="X101" s="20"/>
      <c r="Y101" s="20"/>
      <c r="Z101" s="20"/>
    </row>
    <row r="102" spans="1:26" x14ac:dyDescent="0.3">
      <c r="A102" s="62" t="s">
        <v>491</v>
      </c>
      <c r="B102" s="62" t="s">
        <v>64</v>
      </c>
      <c r="C102" s="11">
        <v>1109</v>
      </c>
      <c r="D102" s="10">
        <v>2</v>
      </c>
      <c r="E102" s="10">
        <v>2</v>
      </c>
      <c r="F102" s="63" t="s">
        <v>390</v>
      </c>
      <c r="G102" s="63" t="s">
        <v>391</v>
      </c>
      <c r="H102" s="11">
        <v>2035</v>
      </c>
      <c r="I102" s="11">
        <v>1990</v>
      </c>
      <c r="J102" s="11">
        <v>1990</v>
      </c>
      <c r="K102" s="64"/>
      <c r="L102" s="64">
        <v>45461</v>
      </c>
      <c r="M102" s="64">
        <v>45035</v>
      </c>
      <c r="O102" s="11">
        <v>1990</v>
      </c>
      <c r="P102" s="11"/>
      <c r="Q102" s="11"/>
      <c r="R102" s="11">
        <v>25</v>
      </c>
      <c r="S102" s="11">
        <v>10</v>
      </c>
      <c r="T102" s="11"/>
      <c r="U102" s="11">
        <v>25</v>
      </c>
      <c r="V102" s="11"/>
      <c r="W102" s="11"/>
      <c r="X102" s="11">
        <v>29</v>
      </c>
      <c r="Y102" s="11"/>
      <c r="Z102" s="11"/>
    </row>
    <row r="103" spans="1:26" x14ac:dyDescent="0.3">
      <c r="A103" s="59" t="s">
        <v>492</v>
      </c>
      <c r="B103" s="59" t="s">
        <v>45</v>
      </c>
      <c r="C103" s="20">
        <v>736</v>
      </c>
      <c r="D103" s="19">
        <v>1</v>
      </c>
      <c r="E103" s="19">
        <v>1</v>
      </c>
      <c r="F103" s="60" t="s">
        <v>390</v>
      </c>
      <c r="G103" s="60" t="s">
        <v>391</v>
      </c>
      <c r="H103" s="20">
        <v>1645</v>
      </c>
      <c r="I103" s="20">
        <v>1625</v>
      </c>
      <c r="J103" s="20">
        <v>1625</v>
      </c>
      <c r="K103" s="61"/>
      <c r="L103" s="61">
        <v>45576</v>
      </c>
      <c r="M103" s="61">
        <v>45150</v>
      </c>
      <c r="O103" s="20">
        <v>1625</v>
      </c>
      <c r="P103" s="20"/>
      <c r="Q103" s="20"/>
      <c r="R103" s="20">
        <v>25</v>
      </c>
      <c r="S103" s="20">
        <v>10</v>
      </c>
      <c r="T103" s="20"/>
      <c r="U103" s="20">
        <v>25</v>
      </c>
      <c r="V103" s="20"/>
      <c r="W103" s="20"/>
      <c r="X103" s="20"/>
      <c r="Y103" s="20"/>
      <c r="Z103" s="20"/>
    </row>
    <row r="104" spans="1:26" x14ac:dyDescent="0.3">
      <c r="A104" s="62" t="s">
        <v>493</v>
      </c>
      <c r="B104" s="62" t="s">
        <v>48</v>
      </c>
      <c r="C104" s="11">
        <v>762</v>
      </c>
      <c r="D104" s="10">
        <v>1</v>
      </c>
      <c r="E104" s="10">
        <v>1</v>
      </c>
      <c r="F104" s="63" t="s">
        <v>390</v>
      </c>
      <c r="G104" s="63" t="s">
        <v>391</v>
      </c>
      <c r="H104" s="11">
        <v>1565</v>
      </c>
      <c r="I104" s="11">
        <v>1525</v>
      </c>
      <c r="J104" s="11">
        <v>1525</v>
      </c>
      <c r="K104" s="64"/>
      <c r="L104" s="64">
        <v>45596</v>
      </c>
      <c r="M104" s="64">
        <v>45108</v>
      </c>
      <c r="O104" s="11">
        <v>1525</v>
      </c>
      <c r="P104" s="11"/>
      <c r="Q104" s="11"/>
      <c r="R104" s="11">
        <v>25</v>
      </c>
      <c r="S104" s="11">
        <v>10</v>
      </c>
      <c r="T104" s="11"/>
      <c r="U104" s="11">
        <v>25</v>
      </c>
      <c r="V104" s="11"/>
      <c r="W104" s="11"/>
      <c r="X104" s="11"/>
      <c r="Y104" s="11"/>
      <c r="Z104" s="11"/>
    </row>
    <row r="105" spans="1:26" x14ac:dyDescent="0.3">
      <c r="A105" s="59" t="s">
        <v>494</v>
      </c>
      <c r="B105" s="59" t="s">
        <v>53</v>
      </c>
      <c r="C105" s="20">
        <v>803</v>
      </c>
      <c r="D105" s="19">
        <v>1</v>
      </c>
      <c r="E105" s="19">
        <v>1</v>
      </c>
      <c r="F105" s="60" t="s">
        <v>390</v>
      </c>
      <c r="G105" s="60" t="s">
        <v>391</v>
      </c>
      <c r="H105" s="20">
        <v>1775</v>
      </c>
      <c r="I105" s="20">
        <v>1750</v>
      </c>
      <c r="J105" s="20">
        <v>1750</v>
      </c>
      <c r="K105" s="61"/>
      <c r="L105" s="61">
        <v>45445</v>
      </c>
      <c r="M105" s="61">
        <v>45080</v>
      </c>
      <c r="O105" s="20">
        <v>1750</v>
      </c>
      <c r="P105" s="20"/>
      <c r="Q105" s="20"/>
      <c r="R105" s="20">
        <v>25</v>
      </c>
      <c r="S105" s="20">
        <v>10</v>
      </c>
      <c r="T105" s="20"/>
      <c r="U105" s="20">
        <v>25</v>
      </c>
      <c r="V105" s="20"/>
      <c r="W105" s="20"/>
      <c r="X105" s="20"/>
      <c r="Y105" s="20"/>
      <c r="Z105" s="20"/>
    </row>
    <row r="106" spans="1:26" x14ac:dyDescent="0.3">
      <c r="A106" s="62" t="s">
        <v>495</v>
      </c>
      <c r="B106" s="62" t="s">
        <v>48</v>
      </c>
      <c r="C106" s="11">
        <v>762</v>
      </c>
      <c r="D106" s="10">
        <v>1</v>
      </c>
      <c r="E106" s="10">
        <v>1</v>
      </c>
      <c r="F106" s="63" t="s">
        <v>390</v>
      </c>
      <c r="G106" s="63" t="s">
        <v>391</v>
      </c>
      <c r="H106" s="11">
        <v>1565</v>
      </c>
      <c r="I106" s="11">
        <v>1525</v>
      </c>
      <c r="J106" s="11">
        <v>1525</v>
      </c>
      <c r="K106" s="64"/>
      <c r="L106" s="64">
        <v>45491</v>
      </c>
      <c r="M106" s="64">
        <v>45065</v>
      </c>
      <c r="O106" s="11">
        <v>1525</v>
      </c>
      <c r="P106" s="11"/>
      <c r="Q106" s="11">
        <v>270</v>
      </c>
      <c r="R106" s="11">
        <v>25</v>
      </c>
      <c r="S106" s="11">
        <v>10</v>
      </c>
      <c r="T106" s="11"/>
      <c r="U106" s="11"/>
      <c r="V106" s="11"/>
      <c r="W106" s="11"/>
      <c r="X106" s="11"/>
      <c r="Y106" s="11"/>
      <c r="Z106" s="11"/>
    </row>
    <row r="107" spans="1:26" x14ac:dyDescent="0.3">
      <c r="A107" s="59" t="s">
        <v>496</v>
      </c>
      <c r="B107" s="59" t="s">
        <v>53</v>
      </c>
      <c r="C107" s="20">
        <v>803</v>
      </c>
      <c r="D107" s="19">
        <v>1</v>
      </c>
      <c r="E107" s="19">
        <v>1</v>
      </c>
      <c r="F107" s="60" t="s">
        <v>390</v>
      </c>
      <c r="G107" s="60" t="s">
        <v>391</v>
      </c>
      <c r="H107" s="20">
        <v>1775</v>
      </c>
      <c r="I107" s="20">
        <v>1750</v>
      </c>
      <c r="J107" s="20">
        <v>1750</v>
      </c>
      <c r="K107" s="61"/>
      <c r="L107" s="61">
        <v>45458</v>
      </c>
      <c r="M107" s="61">
        <v>45093</v>
      </c>
      <c r="O107" s="20">
        <v>1750</v>
      </c>
      <c r="P107" s="20"/>
      <c r="Q107" s="20"/>
      <c r="R107" s="20">
        <v>25</v>
      </c>
      <c r="S107" s="20">
        <v>10</v>
      </c>
      <c r="T107" s="20"/>
      <c r="U107" s="20">
        <v>25</v>
      </c>
      <c r="V107" s="20"/>
      <c r="W107" s="20"/>
      <c r="X107" s="20"/>
      <c r="Y107" s="20"/>
      <c r="Z107" s="20"/>
    </row>
    <row r="108" spans="1:26" x14ac:dyDescent="0.3">
      <c r="A108" s="62" t="s">
        <v>497</v>
      </c>
      <c r="B108" s="62" t="s">
        <v>32</v>
      </c>
      <c r="C108" s="11">
        <v>690</v>
      </c>
      <c r="D108" s="10">
        <v>1</v>
      </c>
      <c r="E108" s="10">
        <v>1</v>
      </c>
      <c r="F108" s="63" t="s">
        <v>390</v>
      </c>
      <c r="G108" s="63" t="s">
        <v>391</v>
      </c>
      <c r="H108" s="11">
        <v>1535</v>
      </c>
      <c r="I108" s="11">
        <v>1445</v>
      </c>
      <c r="J108" s="11">
        <v>1445</v>
      </c>
      <c r="K108" s="64"/>
      <c r="L108" s="64">
        <v>45404</v>
      </c>
      <c r="M108" s="64">
        <v>44980</v>
      </c>
      <c r="O108" s="11">
        <v>1445</v>
      </c>
      <c r="P108" s="11"/>
      <c r="Q108" s="11"/>
      <c r="R108" s="11">
        <v>25</v>
      </c>
      <c r="S108" s="11">
        <v>10</v>
      </c>
      <c r="T108" s="11"/>
      <c r="U108" s="11"/>
      <c r="V108" s="11"/>
      <c r="W108" s="11"/>
      <c r="X108" s="11"/>
      <c r="Y108" s="11"/>
      <c r="Z108" s="11"/>
    </row>
    <row r="109" spans="1:26" x14ac:dyDescent="0.3">
      <c r="A109" s="59" t="s">
        <v>498</v>
      </c>
      <c r="B109" s="59" t="s">
        <v>64</v>
      </c>
      <c r="C109" s="20">
        <v>1109</v>
      </c>
      <c r="D109" s="19">
        <v>2</v>
      </c>
      <c r="E109" s="19">
        <v>2</v>
      </c>
      <c r="F109" s="60" t="s">
        <v>390</v>
      </c>
      <c r="G109" s="60" t="s">
        <v>391</v>
      </c>
      <c r="H109" s="20">
        <v>2210</v>
      </c>
      <c r="I109" s="20">
        <v>2145</v>
      </c>
      <c r="J109" s="20">
        <v>2145</v>
      </c>
      <c r="K109" s="61"/>
      <c r="L109" s="61">
        <v>45457</v>
      </c>
      <c r="M109" s="61">
        <v>45031</v>
      </c>
      <c r="O109" s="20">
        <v>2145</v>
      </c>
      <c r="P109" s="20"/>
      <c r="Q109" s="20"/>
      <c r="R109" s="20">
        <v>25</v>
      </c>
      <c r="S109" s="20">
        <v>10</v>
      </c>
      <c r="T109" s="20">
        <v>65</v>
      </c>
      <c r="U109" s="20"/>
      <c r="V109" s="20"/>
      <c r="W109" s="20"/>
      <c r="X109" s="20"/>
      <c r="Y109" s="20"/>
      <c r="Z109" s="20"/>
    </row>
    <row r="110" spans="1:26" x14ac:dyDescent="0.3">
      <c r="A110" s="62" t="s">
        <v>499</v>
      </c>
      <c r="B110" s="62" t="s">
        <v>59</v>
      </c>
      <c r="C110" s="11">
        <v>1082</v>
      </c>
      <c r="D110" s="10">
        <v>2</v>
      </c>
      <c r="E110" s="10">
        <v>2</v>
      </c>
      <c r="F110" s="63" t="s">
        <v>390</v>
      </c>
      <c r="G110" s="63" t="s">
        <v>391</v>
      </c>
      <c r="H110" s="11">
        <v>2260</v>
      </c>
      <c r="I110" s="11">
        <v>2020</v>
      </c>
      <c r="J110" s="11">
        <v>2020</v>
      </c>
      <c r="K110" s="64"/>
      <c r="L110" s="64">
        <v>45504</v>
      </c>
      <c r="M110" s="64">
        <v>45139</v>
      </c>
      <c r="O110" s="11">
        <v>2020</v>
      </c>
      <c r="P110" s="11"/>
      <c r="Q110" s="11"/>
      <c r="R110" s="11">
        <v>25</v>
      </c>
      <c r="S110" s="11">
        <v>10</v>
      </c>
      <c r="T110" s="11"/>
      <c r="U110" s="11"/>
      <c r="V110" s="11"/>
      <c r="W110" s="11"/>
      <c r="X110" s="11"/>
      <c r="Y110" s="11"/>
      <c r="Z110" s="11"/>
    </row>
    <row r="111" spans="1:26" x14ac:dyDescent="0.3">
      <c r="A111" s="59" t="s">
        <v>500</v>
      </c>
      <c r="B111" s="59" t="s">
        <v>59</v>
      </c>
      <c r="C111" s="20">
        <v>1082</v>
      </c>
      <c r="D111" s="19">
        <v>2</v>
      </c>
      <c r="E111" s="19">
        <v>2</v>
      </c>
      <c r="F111" s="60" t="s">
        <v>390</v>
      </c>
      <c r="G111" s="60" t="s">
        <v>391</v>
      </c>
      <c r="H111" s="20">
        <v>2305</v>
      </c>
      <c r="I111" s="20">
        <v>2215</v>
      </c>
      <c r="J111" s="20">
        <v>2215</v>
      </c>
      <c r="K111" s="61"/>
      <c r="L111" s="61">
        <v>45456</v>
      </c>
      <c r="M111" s="61">
        <v>45030</v>
      </c>
      <c r="O111" s="20">
        <v>2215</v>
      </c>
      <c r="P111" s="20"/>
      <c r="Q111" s="20">
        <v>270</v>
      </c>
      <c r="R111" s="20">
        <v>25</v>
      </c>
      <c r="S111" s="20">
        <v>10</v>
      </c>
      <c r="T111" s="20"/>
      <c r="U111" s="20">
        <v>25</v>
      </c>
      <c r="V111" s="20"/>
      <c r="W111" s="20"/>
      <c r="X111" s="20"/>
      <c r="Y111" s="20"/>
      <c r="Z111" s="20"/>
    </row>
    <row r="112" spans="1:26" x14ac:dyDescent="0.3">
      <c r="A112" s="62" t="s">
        <v>501</v>
      </c>
      <c r="B112" s="62" t="s">
        <v>59</v>
      </c>
      <c r="C112" s="11">
        <v>1082</v>
      </c>
      <c r="D112" s="10">
        <v>2</v>
      </c>
      <c r="E112" s="10">
        <v>2</v>
      </c>
      <c r="F112" s="63" t="s">
        <v>390</v>
      </c>
      <c r="G112" s="63" t="s">
        <v>397</v>
      </c>
      <c r="H112" s="11">
        <v>2130</v>
      </c>
      <c r="I112" s="11">
        <v>0</v>
      </c>
      <c r="J112" s="11">
        <v>0</v>
      </c>
      <c r="K112" s="64"/>
      <c r="L112" s="64"/>
      <c r="M112" s="6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59" t="s">
        <v>502</v>
      </c>
      <c r="B113" s="59" t="s">
        <v>53</v>
      </c>
      <c r="C113" s="20">
        <v>803</v>
      </c>
      <c r="D113" s="19">
        <v>1</v>
      </c>
      <c r="E113" s="19">
        <v>1</v>
      </c>
      <c r="F113" s="60" t="s">
        <v>390</v>
      </c>
      <c r="G113" s="60" t="s">
        <v>391</v>
      </c>
      <c r="H113" s="20">
        <v>1820</v>
      </c>
      <c r="I113" s="20">
        <v>1785</v>
      </c>
      <c r="J113" s="20">
        <v>1785</v>
      </c>
      <c r="K113" s="61"/>
      <c r="L113" s="61">
        <v>45482</v>
      </c>
      <c r="M113" s="61">
        <v>45056</v>
      </c>
      <c r="O113" s="20">
        <v>1785</v>
      </c>
      <c r="P113" s="20"/>
      <c r="Q113" s="20"/>
      <c r="R113" s="20">
        <v>25</v>
      </c>
      <c r="S113" s="20">
        <v>10</v>
      </c>
      <c r="T113" s="20"/>
      <c r="U113" s="20"/>
      <c r="V113" s="20"/>
      <c r="W113" s="20"/>
      <c r="X113" s="20"/>
      <c r="Y113" s="20"/>
      <c r="Z113" s="20"/>
    </row>
    <row r="114" spans="1:26" x14ac:dyDescent="0.3">
      <c r="A114" s="62" t="s">
        <v>503</v>
      </c>
      <c r="B114" s="62" t="s">
        <v>39</v>
      </c>
      <c r="C114" s="11">
        <v>719</v>
      </c>
      <c r="D114" s="10">
        <v>1</v>
      </c>
      <c r="E114" s="10">
        <v>1</v>
      </c>
      <c r="F114" s="63" t="s">
        <v>390</v>
      </c>
      <c r="G114" s="63" t="s">
        <v>391</v>
      </c>
      <c r="H114" s="11">
        <v>1595</v>
      </c>
      <c r="I114" s="11">
        <v>1475</v>
      </c>
      <c r="J114" s="11">
        <v>1475</v>
      </c>
      <c r="K114" s="64"/>
      <c r="L114" s="64">
        <v>45496</v>
      </c>
      <c r="M114" s="64">
        <v>45131</v>
      </c>
      <c r="O114" s="11">
        <v>1475</v>
      </c>
      <c r="P114" s="11"/>
      <c r="Q114" s="11"/>
      <c r="R114" s="11">
        <v>25</v>
      </c>
      <c r="S114" s="11">
        <v>10</v>
      </c>
      <c r="T114" s="11"/>
      <c r="U114" s="11"/>
      <c r="V114" s="11"/>
      <c r="W114" s="11"/>
      <c r="X114" s="11"/>
      <c r="Y114" s="11"/>
      <c r="Z114" s="11"/>
    </row>
    <row r="115" spans="1:26" x14ac:dyDescent="0.3">
      <c r="A115" s="59" t="s">
        <v>504</v>
      </c>
      <c r="B115" s="59" t="s">
        <v>53</v>
      </c>
      <c r="C115" s="20">
        <v>803</v>
      </c>
      <c r="D115" s="19">
        <v>1</v>
      </c>
      <c r="E115" s="19">
        <v>1</v>
      </c>
      <c r="F115" s="60" t="s">
        <v>390</v>
      </c>
      <c r="G115" s="60" t="s">
        <v>391</v>
      </c>
      <c r="H115" s="20">
        <v>1820</v>
      </c>
      <c r="I115" s="20">
        <v>1805</v>
      </c>
      <c r="J115" s="20">
        <v>1805</v>
      </c>
      <c r="K115" s="61"/>
      <c r="L115" s="61">
        <v>45535</v>
      </c>
      <c r="M115" s="61">
        <v>45170</v>
      </c>
      <c r="O115" s="20">
        <v>1805</v>
      </c>
      <c r="P115" s="20"/>
      <c r="Q115" s="20"/>
      <c r="R115" s="20">
        <v>25</v>
      </c>
      <c r="S115" s="20">
        <v>10</v>
      </c>
      <c r="T115" s="20"/>
      <c r="U115" s="20"/>
      <c r="V115" s="20"/>
      <c r="W115" s="20"/>
      <c r="X115" s="20"/>
      <c r="Y115" s="20"/>
      <c r="Z115" s="20"/>
    </row>
    <row r="116" spans="1:26" x14ac:dyDescent="0.3">
      <c r="A116" s="62" t="s">
        <v>505</v>
      </c>
      <c r="B116" s="62" t="s">
        <v>39</v>
      </c>
      <c r="C116" s="11">
        <v>719</v>
      </c>
      <c r="D116" s="10">
        <v>1</v>
      </c>
      <c r="E116" s="10">
        <v>1</v>
      </c>
      <c r="F116" s="63" t="s">
        <v>390</v>
      </c>
      <c r="G116" s="63" t="s">
        <v>391</v>
      </c>
      <c r="H116" s="11">
        <v>1595</v>
      </c>
      <c r="I116" s="11">
        <v>1435</v>
      </c>
      <c r="J116" s="11">
        <v>1435</v>
      </c>
      <c r="K116" s="64"/>
      <c r="L116" s="64">
        <v>45645</v>
      </c>
      <c r="M116" s="64">
        <v>45219</v>
      </c>
      <c r="O116" s="11">
        <v>1435</v>
      </c>
      <c r="P116" s="11"/>
      <c r="Q116" s="11"/>
      <c r="R116" s="11">
        <v>25</v>
      </c>
      <c r="S116" s="11">
        <v>10</v>
      </c>
      <c r="T116" s="11">
        <v>65</v>
      </c>
      <c r="U116" s="11"/>
      <c r="V116" s="11"/>
      <c r="W116" s="11"/>
      <c r="X116" s="11"/>
      <c r="Y116" s="11"/>
      <c r="Z116" s="11"/>
    </row>
    <row r="117" spans="1:26" x14ac:dyDescent="0.3">
      <c r="A117" s="59" t="s">
        <v>506</v>
      </c>
      <c r="B117" s="59" t="s">
        <v>56</v>
      </c>
      <c r="C117" s="20">
        <v>941</v>
      </c>
      <c r="D117" s="19">
        <v>1</v>
      </c>
      <c r="E117" s="19">
        <v>1</v>
      </c>
      <c r="F117" s="60" t="s">
        <v>390</v>
      </c>
      <c r="G117" s="60" t="s">
        <v>391</v>
      </c>
      <c r="H117" s="20">
        <v>1860</v>
      </c>
      <c r="I117" s="20">
        <v>1835</v>
      </c>
      <c r="J117" s="20">
        <v>1835</v>
      </c>
      <c r="K117" s="61"/>
      <c r="L117" s="61">
        <v>45517</v>
      </c>
      <c r="M117" s="61">
        <v>45091</v>
      </c>
      <c r="O117" s="20">
        <v>1835</v>
      </c>
      <c r="P117" s="20"/>
      <c r="Q117" s="20"/>
      <c r="R117" s="20">
        <v>25</v>
      </c>
      <c r="S117" s="20">
        <v>10</v>
      </c>
      <c r="T117" s="20"/>
      <c r="U117" s="20"/>
      <c r="V117" s="20"/>
      <c r="W117" s="20"/>
      <c r="X117" s="20"/>
      <c r="Y117" s="20"/>
      <c r="Z117" s="20"/>
    </row>
    <row r="118" spans="1:26" x14ac:dyDescent="0.3">
      <c r="A118" s="62" t="s">
        <v>507</v>
      </c>
      <c r="B118" s="62" t="s">
        <v>45</v>
      </c>
      <c r="C118" s="11">
        <v>736</v>
      </c>
      <c r="D118" s="10">
        <v>1</v>
      </c>
      <c r="E118" s="10">
        <v>1</v>
      </c>
      <c r="F118" s="63" t="s">
        <v>390</v>
      </c>
      <c r="G118" s="63" t="s">
        <v>391</v>
      </c>
      <c r="H118" s="11">
        <v>1690</v>
      </c>
      <c r="I118" s="11">
        <v>1695</v>
      </c>
      <c r="J118" s="11">
        <v>1695</v>
      </c>
      <c r="K118" s="64"/>
      <c r="L118" s="64">
        <v>45468</v>
      </c>
      <c r="M118" s="64">
        <v>45042</v>
      </c>
      <c r="O118" s="11">
        <v>1695</v>
      </c>
      <c r="P118" s="11"/>
      <c r="Q118" s="11"/>
      <c r="R118" s="11">
        <v>25</v>
      </c>
      <c r="S118" s="11">
        <v>10</v>
      </c>
      <c r="T118" s="11"/>
      <c r="U118" s="11"/>
      <c r="V118" s="11"/>
      <c r="W118" s="11"/>
      <c r="X118" s="11"/>
      <c r="Y118" s="11"/>
      <c r="Z118" s="11"/>
    </row>
    <row r="119" spans="1:26" x14ac:dyDescent="0.3">
      <c r="A119" s="59" t="s">
        <v>508</v>
      </c>
      <c r="B119" s="59" t="s">
        <v>56</v>
      </c>
      <c r="C119" s="20">
        <v>941</v>
      </c>
      <c r="D119" s="19">
        <v>1</v>
      </c>
      <c r="E119" s="19">
        <v>1</v>
      </c>
      <c r="F119" s="60" t="s">
        <v>390</v>
      </c>
      <c r="G119" s="60" t="s">
        <v>391</v>
      </c>
      <c r="H119" s="20">
        <v>1860</v>
      </c>
      <c r="I119" s="20">
        <v>1835</v>
      </c>
      <c r="J119" s="20">
        <v>1835</v>
      </c>
      <c r="K119" s="61"/>
      <c r="L119" s="61">
        <v>45535</v>
      </c>
      <c r="M119" s="61">
        <v>45047</v>
      </c>
      <c r="O119" s="20">
        <v>1835</v>
      </c>
      <c r="P119" s="20"/>
      <c r="Q119" s="20"/>
      <c r="R119" s="20">
        <v>25</v>
      </c>
      <c r="S119" s="20">
        <v>10</v>
      </c>
      <c r="T119" s="20"/>
      <c r="U119" s="20">
        <v>25</v>
      </c>
      <c r="V119" s="20"/>
      <c r="W119" s="20"/>
      <c r="X119" s="20"/>
      <c r="Y119" s="20"/>
      <c r="Z119" s="20"/>
    </row>
    <row r="120" spans="1:26" x14ac:dyDescent="0.3">
      <c r="A120" s="62" t="s">
        <v>509</v>
      </c>
      <c r="B120" s="62" t="s">
        <v>74</v>
      </c>
      <c r="C120" s="11">
        <v>1564</v>
      </c>
      <c r="D120" s="10">
        <v>3</v>
      </c>
      <c r="E120" s="10">
        <v>2</v>
      </c>
      <c r="F120" s="63" t="s">
        <v>390</v>
      </c>
      <c r="G120" s="63" t="s">
        <v>397</v>
      </c>
      <c r="H120" s="11">
        <v>2905</v>
      </c>
      <c r="I120" s="11">
        <v>0</v>
      </c>
      <c r="J120" s="11">
        <v>0</v>
      </c>
      <c r="K120" s="64"/>
      <c r="L120" s="64"/>
      <c r="M120" s="6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59" t="s">
        <v>510</v>
      </c>
      <c r="B121" s="59" t="s">
        <v>64</v>
      </c>
      <c r="C121" s="20">
        <v>1109</v>
      </c>
      <c r="D121" s="19">
        <v>2</v>
      </c>
      <c r="E121" s="19">
        <v>2</v>
      </c>
      <c r="F121" s="60" t="s">
        <v>390</v>
      </c>
      <c r="G121" s="60" t="s">
        <v>391</v>
      </c>
      <c r="H121" s="20">
        <v>2080</v>
      </c>
      <c r="I121" s="20">
        <v>1990</v>
      </c>
      <c r="J121" s="20">
        <v>1990</v>
      </c>
      <c r="K121" s="61"/>
      <c r="L121" s="61">
        <v>45471</v>
      </c>
      <c r="M121" s="61">
        <v>45106</v>
      </c>
      <c r="O121" s="20">
        <v>1990</v>
      </c>
      <c r="P121" s="20"/>
      <c r="Q121" s="20"/>
      <c r="R121" s="20">
        <v>25</v>
      </c>
      <c r="S121" s="20">
        <v>10</v>
      </c>
      <c r="T121" s="20">
        <v>65</v>
      </c>
      <c r="U121" s="20"/>
      <c r="V121" s="20"/>
      <c r="W121" s="20"/>
      <c r="X121" s="20"/>
      <c r="Y121" s="20"/>
      <c r="Z121" s="20"/>
    </row>
    <row r="122" spans="1:26" x14ac:dyDescent="0.3">
      <c r="A122" s="62" t="s">
        <v>511</v>
      </c>
      <c r="B122" s="62" t="s">
        <v>45</v>
      </c>
      <c r="C122" s="11">
        <v>736</v>
      </c>
      <c r="D122" s="10">
        <v>1</v>
      </c>
      <c r="E122" s="10">
        <v>1</v>
      </c>
      <c r="F122" s="63" t="s">
        <v>390</v>
      </c>
      <c r="G122" s="63" t="s">
        <v>391</v>
      </c>
      <c r="H122" s="11">
        <v>1690</v>
      </c>
      <c r="I122" s="11">
        <v>1610</v>
      </c>
      <c r="J122" s="11">
        <v>1610</v>
      </c>
      <c r="K122" s="64"/>
      <c r="L122" s="64">
        <v>45486</v>
      </c>
      <c r="M122" s="64">
        <v>45121</v>
      </c>
      <c r="O122" s="11">
        <v>1610</v>
      </c>
      <c r="P122" s="11"/>
      <c r="Q122" s="11"/>
      <c r="R122" s="11">
        <v>25</v>
      </c>
      <c r="S122" s="11">
        <v>10</v>
      </c>
      <c r="T122" s="11">
        <v>130</v>
      </c>
      <c r="U122" s="11">
        <v>50</v>
      </c>
      <c r="V122" s="11"/>
      <c r="W122" s="11"/>
      <c r="X122" s="11"/>
      <c r="Y122" s="11"/>
      <c r="Z122" s="11"/>
    </row>
    <row r="123" spans="1:26" x14ac:dyDescent="0.3">
      <c r="A123" s="59" t="s">
        <v>512</v>
      </c>
      <c r="B123" s="59" t="s">
        <v>48</v>
      </c>
      <c r="C123" s="20">
        <v>762</v>
      </c>
      <c r="D123" s="19">
        <v>1</v>
      </c>
      <c r="E123" s="19">
        <v>1</v>
      </c>
      <c r="F123" s="60" t="s">
        <v>390</v>
      </c>
      <c r="G123" s="60" t="s">
        <v>391</v>
      </c>
      <c r="H123" s="20">
        <v>1610</v>
      </c>
      <c r="I123" s="20">
        <v>1570</v>
      </c>
      <c r="J123" s="20">
        <v>1570</v>
      </c>
      <c r="K123" s="61"/>
      <c r="L123" s="61">
        <v>45495</v>
      </c>
      <c r="M123" s="61">
        <v>45130</v>
      </c>
      <c r="O123" s="20">
        <v>1570</v>
      </c>
      <c r="P123" s="20"/>
      <c r="Q123" s="20"/>
      <c r="R123" s="20">
        <v>25</v>
      </c>
      <c r="S123" s="20">
        <v>10</v>
      </c>
      <c r="T123" s="20"/>
      <c r="U123" s="20">
        <v>25</v>
      </c>
      <c r="V123" s="20"/>
      <c r="W123" s="20"/>
      <c r="X123" s="20"/>
      <c r="Y123" s="20"/>
      <c r="Z123" s="20"/>
    </row>
    <row r="124" spans="1:26" x14ac:dyDescent="0.3">
      <c r="A124" s="62" t="s">
        <v>513</v>
      </c>
      <c r="B124" s="62" t="s">
        <v>53</v>
      </c>
      <c r="C124" s="11">
        <v>803</v>
      </c>
      <c r="D124" s="10">
        <v>1</v>
      </c>
      <c r="E124" s="10">
        <v>1</v>
      </c>
      <c r="F124" s="63" t="s">
        <v>390</v>
      </c>
      <c r="G124" s="63" t="s">
        <v>391</v>
      </c>
      <c r="H124" s="11">
        <v>1820</v>
      </c>
      <c r="I124" s="11">
        <v>1805</v>
      </c>
      <c r="J124" s="11">
        <v>1805</v>
      </c>
      <c r="K124" s="64"/>
      <c r="L124" s="64">
        <v>45542</v>
      </c>
      <c r="M124" s="64">
        <v>45177</v>
      </c>
      <c r="O124" s="11">
        <v>1805</v>
      </c>
      <c r="P124" s="11"/>
      <c r="Q124" s="11"/>
      <c r="R124" s="11">
        <v>25</v>
      </c>
      <c r="S124" s="11">
        <v>10</v>
      </c>
      <c r="T124" s="11">
        <v>65</v>
      </c>
      <c r="U124" s="11"/>
      <c r="V124" s="11"/>
      <c r="W124" s="11"/>
      <c r="X124" s="11">
        <v>42</v>
      </c>
      <c r="Y124" s="11"/>
      <c r="Z124" s="11"/>
    </row>
    <row r="125" spans="1:26" x14ac:dyDescent="0.3">
      <c r="A125" s="59" t="s">
        <v>514</v>
      </c>
      <c r="B125" s="59" t="s">
        <v>48</v>
      </c>
      <c r="C125" s="20">
        <v>762</v>
      </c>
      <c r="D125" s="19">
        <v>1</v>
      </c>
      <c r="E125" s="19">
        <v>1</v>
      </c>
      <c r="F125" s="60" t="s">
        <v>390</v>
      </c>
      <c r="G125" s="60" t="s">
        <v>391</v>
      </c>
      <c r="H125" s="20">
        <v>1610</v>
      </c>
      <c r="I125" s="20">
        <v>1560</v>
      </c>
      <c r="J125" s="20">
        <v>1560</v>
      </c>
      <c r="K125" s="61"/>
      <c r="L125" s="61">
        <v>45484</v>
      </c>
      <c r="M125" s="61">
        <v>45058</v>
      </c>
      <c r="O125" s="20">
        <v>1560</v>
      </c>
      <c r="P125" s="20"/>
      <c r="Q125" s="20"/>
      <c r="R125" s="20">
        <v>25</v>
      </c>
      <c r="S125" s="20">
        <v>10</v>
      </c>
      <c r="T125" s="20"/>
      <c r="U125" s="20"/>
      <c r="V125" s="20"/>
      <c r="W125" s="20"/>
      <c r="X125" s="20"/>
      <c r="Y125" s="20"/>
      <c r="Z125" s="20"/>
    </row>
    <row r="126" spans="1:26" x14ac:dyDescent="0.3">
      <c r="A126" s="62" t="s">
        <v>515</v>
      </c>
      <c r="B126" s="62" t="s">
        <v>53</v>
      </c>
      <c r="C126" s="11">
        <v>803</v>
      </c>
      <c r="D126" s="10">
        <v>1</v>
      </c>
      <c r="E126" s="10">
        <v>1</v>
      </c>
      <c r="F126" s="63" t="s">
        <v>390</v>
      </c>
      <c r="G126" s="63" t="s">
        <v>391</v>
      </c>
      <c r="H126" s="11">
        <v>1820</v>
      </c>
      <c r="I126" s="11">
        <v>1785</v>
      </c>
      <c r="J126" s="11">
        <v>1785</v>
      </c>
      <c r="K126" s="64"/>
      <c r="L126" s="64">
        <v>45477</v>
      </c>
      <c r="M126" s="64">
        <v>45112</v>
      </c>
      <c r="O126" s="11">
        <v>1785</v>
      </c>
      <c r="P126" s="11"/>
      <c r="Q126" s="11"/>
      <c r="R126" s="11">
        <v>25</v>
      </c>
      <c r="S126" s="11">
        <v>10</v>
      </c>
      <c r="T126" s="11"/>
      <c r="U126" s="11"/>
      <c r="V126" s="11"/>
      <c r="W126" s="11"/>
      <c r="X126" s="11"/>
      <c r="Y126" s="11"/>
      <c r="Z126" s="11"/>
    </row>
    <row r="127" spans="1:26" x14ac:dyDescent="0.3">
      <c r="A127" s="59" t="s">
        <v>516</v>
      </c>
      <c r="B127" s="59" t="s">
        <v>32</v>
      </c>
      <c r="C127" s="20">
        <v>690</v>
      </c>
      <c r="D127" s="19">
        <v>1</v>
      </c>
      <c r="E127" s="19">
        <v>1</v>
      </c>
      <c r="F127" s="60" t="s">
        <v>390</v>
      </c>
      <c r="G127" s="60" t="s">
        <v>391</v>
      </c>
      <c r="H127" s="20">
        <v>1580</v>
      </c>
      <c r="I127" s="20">
        <v>1420</v>
      </c>
      <c r="J127" s="20">
        <v>1420</v>
      </c>
      <c r="K127" s="61"/>
      <c r="L127" s="61">
        <v>45594</v>
      </c>
      <c r="M127" s="61">
        <v>45199</v>
      </c>
      <c r="O127" s="20">
        <v>1420</v>
      </c>
      <c r="P127" s="20"/>
      <c r="Q127" s="20"/>
      <c r="R127" s="20">
        <v>25</v>
      </c>
      <c r="S127" s="20">
        <v>10</v>
      </c>
      <c r="T127" s="20"/>
      <c r="U127" s="20"/>
      <c r="V127" s="20"/>
      <c r="W127" s="20"/>
      <c r="X127" s="20"/>
      <c r="Y127" s="20"/>
      <c r="Z127" s="20"/>
    </row>
    <row r="128" spans="1:26" x14ac:dyDescent="0.3">
      <c r="A128" s="62" t="s">
        <v>517</v>
      </c>
      <c r="B128" s="62" t="s">
        <v>64</v>
      </c>
      <c r="C128" s="11">
        <v>1109</v>
      </c>
      <c r="D128" s="10">
        <v>2</v>
      </c>
      <c r="E128" s="10">
        <v>2</v>
      </c>
      <c r="F128" s="63" t="s">
        <v>390</v>
      </c>
      <c r="G128" s="63" t="s">
        <v>391</v>
      </c>
      <c r="H128" s="11">
        <v>2255</v>
      </c>
      <c r="I128" s="11">
        <v>2170</v>
      </c>
      <c r="J128" s="11">
        <v>2170</v>
      </c>
      <c r="K128" s="64"/>
      <c r="L128" s="64">
        <v>45662</v>
      </c>
      <c r="M128" s="64">
        <v>45236</v>
      </c>
      <c r="O128" s="11">
        <v>2170</v>
      </c>
      <c r="P128" s="11">
        <v>-1085</v>
      </c>
      <c r="Q128" s="11"/>
      <c r="R128" s="11">
        <v>25</v>
      </c>
      <c r="S128" s="11">
        <v>10</v>
      </c>
      <c r="T128" s="11"/>
      <c r="U128" s="11"/>
      <c r="V128" s="11"/>
      <c r="W128" s="11"/>
      <c r="X128" s="11"/>
      <c r="Y128" s="11"/>
      <c r="Z128" s="11"/>
    </row>
    <row r="129" spans="1:26" x14ac:dyDescent="0.3">
      <c r="A129" s="59" t="s">
        <v>518</v>
      </c>
      <c r="B129" s="59" t="s">
        <v>59</v>
      </c>
      <c r="C129" s="20">
        <v>1082</v>
      </c>
      <c r="D129" s="19">
        <v>2</v>
      </c>
      <c r="E129" s="19">
        <v>2</v>
      </c>
      <c r="F129" s="60" t="s">
        <v>390</v>
      </c>
      <c r="G129" s="60" t="s">
        <v>391</v>
      </c>
      <c r="H129" s="20">
        <v>2305</v>
      </c>
      <c r="I129" s="20">
        <v>2215</v>
      </c>
      <c r="J129" s="20">
        <v>2215</v>
      </c>
      <c r="K129" s="61"/>
      <c r="L129" s="61">
        <v>45448</v>
      </c>
      <c r="M129" s="61">
        <v>45022</v>
      </c>
      <c r="O129" s="20">
        <v>2215</v>
      </c>
      <c r="P129" s="20"/>
      <c r="Q129" s="20"/>
      <c r="R129" s="20">
        <v>25</v>
      </c>
      <c r="S129" s="20">
        <v>10</v>
      </c>
      <c r="T129" s="20"/>
      <c r="U129" s="20"/>
      <c r="V129" s="20"/>
      <c r="W129" s="20"/>
      <c r="X129" s="20"/>
      <c r="Y129" s="20"/>
      <c r="Z129" s="20"/>
    </row>
    <row r="130" spans="1:26" x14ac:dyDescent="0.3">
      <c r="A130" s="62" t="s">
        <v>519</v>
      </c>
      <c r="B130" s="62" t="s">
        <v>59</v>
      </c>
      <c r="C130" s="11">
        <v>1082</v>
      </c>
      <c r="D130" s="10">
        <v>2</v>
      </c>
      <c r="E130" s="10">
        <v>2</v>
      </c>
      <c r="F130" s="63" t="s">
        <v>390</v>
      </c>
      <c r="G130" s="63" t="s">
        <v>391</v>
      </c>
      <c r="H130" s="11">
        <v>2165</v>
      </c>
      <c r="I130" s="11">
        <v>2020</v>
      </c>
      <c r="J130" s="11">
        <v>2020</v>
      </c>
      <c r="K130" s="64"/>
      <c r="L130" s="64">
        <v>45503</v>
      </c>
      <c r="M130" s="64">
        <v>44957</v>
      </c>
      <c r="O130" s="11">
        <v>2020</v>
      </c>
      <c r="P130" s="11"/>
      <c r="Q130" s="11"/>
      <c r="R130" s="11">
        <v>25</v>
      </c>
      <c r="S130" s="11">
        <v>10</v>
      </c>
      <c r="T130" s="11"/>
      <c r="U130" s="11"/>
      <c r="V130" s="11"/>
      <c r="W130" s="11"/>
      <c r="X130" s="11"/>
      <c r="Y130" s="11"/>
      <c r="Z130" s="11">
        <v>60</v>
      </c>
    </row>
    <row r="131" spans="1:26" x14ac:dyDescent="0.3">
      <c r="A131" s="59" t="s">
        <v>520</v>
      </c>
      <c r="B131" s="59" t="s">
        <v>39</v>
      </c>
      <c r="C131" s="20">
        <v>719</v>
      </c>
      <c r="D131" s="19">
        <v>1</v>
      </c>
      <c r="E131" s="19">
        <v>1</v>
      </c>
      <c r="F131" s="60" t="s">
        <v>390</v>
      </c>
      <c r="G131" s="60" t="s">
        <v>391</v>
      </c>
      <c r="H131" s="20">
        <v>1630</v>
      </c>
      <c r="I131" s="20">
        <v>1470</v>
      </c>
      <c r="J131" s="20">
        <v>1470</v>
      </c>
      <c r="K131" s="61"/>
      <c r="L131" s="61">
        <v>45669</v>
      </c>
      <c r="M131" s="61">
        <v>45243</v>
      </c>
      <c r="O131" s="20">
        <v>1470</v>
      </c>
      <c r="P131" s="20">
        <v>-735</v>
      </c>
      <c r="Q131" s="20"/>
      <c r="R131" s="20">
        <v>25</v>
      </c>
      <c r="S131" s="20">
        <v>10</v>
      </c>
      <c r="T131" s="20"/>
      <c r="U131" s="20"/>
      <c r="V131" s="20"/>
      <c r="W131" s="20"/>
      <c r="X131" s="20"/>
      <c r="Y131" s="20"/>
      <c r="Z131" s="20"/>
    </row>
    <row r="132" spans="1:26" x14ac:dyDescent="0.3">
      <c r="A132" s="62" t="s">
        <v>521</v>
      </c>
      <c r="B132" s="62" t="s">
        <v>39</v>
      </c>
      <c r="C132" s="11">
        <v>719</v>
      </c>
      <c r="D132" s="10">
        <v>1</v>
      </c>
      <c r="E132" s="10">
        <v>1</v>
      </c>
      <c r="F132" s="63" t="s">
        <v>390</v>
      </c>
      <c r="G132" s="63" t="s">
        <v>391</v>
      </c>
      <c r="H132" s="11">
        <v>1630</v>
      </c>
      <c r="I132" s="11">
        <v>1470</v>
      </c>
      <c r="J132" s="11">
        <v>1470</v>
      </c>
      <c r="K132" s="64"/>
      <c r="L132" s="64">
        <v>45645</v>
      </c>
      <c r="M132" s="64">
        <v>45219</v>
      </c>
      <c r="O132" s="11">
        <v>1470</v>
      </c>
      <c r="P132" s="11"/>
      <c r="Q132" s="11"/>
      <c r="R132" s="11">
        <v>25</v>
      </c>
      <c r="S132" s="11">
        <v>10</v>
      </c>
      <c r="T132" s="11"/>
      <c r="U132" s="11"/>
      <c r="V132" s="11"/>
      <c r="W132" s="11"/>
      <c r="X132" s="11"/>
      <c r="Y132" s="11"/>
      <c r="Z132" s="11"/>
    </row>
    <row r="133" spans="1:26" x14ac:dyDescent="0.3">
      <c r="A133" s="59" t="s">
        <v>522</v>
      </c>
      <c r="B133" s="59" t="s">
        <v>56</v>
      </c>
      <c r="C133" s="20">
        <v>941</v>
      </c>
      <c r="D133" s="19">
        <v>1</v>
      </c>
      <c r="E133" s="19">
        <v>1</v>
      </c>
      <c r="F133" s="60" t="s">
        <v>390</v>
      </c>
      <c r="G133" s="60" t="s">
        <v>391</v>
      </c>
      <c r="H133" s="20">
        <v>1895</v>
      </c>
      <c r="I133" s="20">
        <v>1805</v>
      </c>
      <c r="J133" s="20">
        <v>1805</v>
      </c>
      <c r="K133" s="61"/>
      <c r="L133" s="61">
        <v>45706</v>
      </c>
      <c r="M133" s="61">
        <v>44914</v>
      </c>
      <c r="O133" s="20">
        <v>1805</v>
      </c>
      <c r="P133" s="20"/>
      <c r="Q133" s="20">
        <v>150</v>
      </c>
      <c r="R133" s="20">
        <v>25</v>
      </c>
      <c r="S133" s="20">
        <v>10</v>
      </c>
      <c r="T133" s="20"/>
      <c r="U133" s="20">
        <v>25</v>
      </c>
      <c r="V133" s="20"/>
      <c r="W133" s="20"/>
      <c r="X133" s="20"/>
      <c r="Y133" s="20"/>
      <c r="Z133" s="20"/>
    </row>
    <row r="134" spans="1:26" x14ac:dyDescent="0.3">
      <c r="A134" s="62" t="s">
        <v>523</v>
      </c>
      <c r="B134" s="62" t="s">
        <v>45</v>
      </c>
      <c r="C134" s="11">
        <v>736</v>
      </c>
      <c r="D134" s="10">
        <v>1</v>
      </c>
      <c r="E134" s="10">
        <v>1</v>
      </c>
      <c r="F134" s="63" t="s">
        <v>390</v>
      </c>
      <c r="G134" s="63" t="s">
        <v>397</v>
      </c>
      <c r="H134" s="11">
        <v>1725</v>
      </c>
      <c r="I134" s="11">
        <v>0</v>
      </c>
      <c r="J134" s="11">
        <v>0</v>
      </c>
      <c r="K134" s="64"/>
      <c r="L134" s="64"/>
      <c r="M134" s="6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59" t="s">
        <v>524</v>
      </c>
      <c r="B135" s="59" t="s">
        <v>56</v>
      </c>
      <c r="C135" s="20">
        <v>941</v>
      </c>
      <c r="D135" s="19">
        <v>1</v>
      </c>
      <c r="E135" s="19">
        <v>1</v>
      </c>
      <c r="F135" s="60" t="s">
        <v>390</v>
      </c>
      <c r="G135" s="60" t="s">
        <v>391</v>
      </c>
      <c r="H135" s="20">
        <v>1895</v>
      </c>
      <c r="I135" s="20">
        <v>1735</v>
      </c>
      <c r="J135" s="20">
        <v>1735</v>
      </c>
      <c r="K135" s="61"/>
      <c r="L135" s="61">
        <v>45493</v>
      </c>
      <c r="M135" s="61">
        <v>44947</v>
      </c>
      <c r="O135" s="20">
        <v>1735</v>
      </c>
      <c r="P135" s="20"/>
      <c r="Q135" s="20">
        <v>185</v>
      </c>
      <c r="R135" s="20">
        <v>25</v>
      </c>
      <c r="S135" s="20">
        <v>10</v>
      </c>
      <c r="T135" s="20"/>
      <c r="U135" s="20"/>
      <c r="V135" s="20"/>
      <c r="W135" s="20"/>
      <c r="X135" s="20"/>
      <c r="Y135" s="20"/>
      <c r="Z135" s="20"/>
    </row>
    <row r="136" spans="1:26" x14ac:dyDescent="0.3">
      <c r="A136" s="62" t="s">
        <v>525</v>
      </c>
      <c r="B136" s="62" t="s">
        <v>74</v>
      </c>
      <c r="C136" s="11">
        <v>1564</v>
      </c>
      <c r="D136" s="10">
        <v>3</v>
      </c>
      <c r="E136" s="10">
        <v>2</v>
      </c>
      <c r="F136" s="63" t="s">
        <v>390</v>
      </c>
      <c r="G136" s="63" t="s">
        <v>397</v>
      </c>
      <c r="H136" s="11">
        <v>2940</v>
      </c>
      <c r="I136" s="11">
        <v>0</v>
      </c>
      <c r="J136" s="11">
        <v>0</v>
      </c>
      <c r="K136" s="64"/>
      <c r="L136" s="64"/>
      <c r="M136" s="6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59" t="s">
        <v>526</v>
      </c>
      <c r="B137" s="59" t="s">
        <v>43</v>
      </c>
      <c r="C137" s="20">
        <v>739</v>
      </c>
      <c r="D137" s="19">
        <v>1</v>
      </c>
      <c r="E137" s="19">
        <v>1</v>
      </c>
      <c r="F137" s="60" t="s">
        <v>390</v>
      </c>
      <c r="G137" s="60" t="s">
        <v>391</v>
      </c>
      <c r="H137" s="20">
        <v>1525</v>
      </c>
      <c r="I137" s="20">
        <v>1520</v>
      </c>
      <c r="J137" s="20">
        <v>1520</v>
      </c>
      <c r="K137" s="61"/>
      <c r="L137" s="61">
        <v>45618</v>
      </c>
      <c r="M137" s="61">
        <v>45192</v>
      </c>
      <c r="O137" s="20">
        <v>1520</v>
      </c>
      <c r="P137" s="20"/>
      <c r="Q137" s="20"/>
      <c r="R137" s="20">
        <v>25</v>
      </c>
      <c r="S137" s="20">
        <v>10</v>
      </c>
      <c r="T137" s="20"/>
      <c r="U137" s="20"/>
      <c r="V137" s="20"/>
      <c r="W137" s="20"/>
      <c r="X137" s="20"/>
      <c r="Y137" s="20"/>
      <c r="Z137" s="20"/>
    </row>
    <row r="138" spans="1:26" x14ac:dyDescent="0.3">
      <c r="A138" s="62" t="s">
        <v>527</v>
      </c>
      <c r="B138" s="62" t="s">
        <v>45</v>
      </c>
      <c r="C138" s="11">
        <v>736</v>
      </c>
      <c r="D138" s="10">
        <v>1</v>
      </c>
      <c r="E138" s="10">
        <v>1</v>
      </c>
      <c r="F138" s="63" t="s">
        <v>390</v>
      </c>
      <c r="G138" s="63" t="s">
        <v>391</v>
      </c>
      <c r="H138" s="11">
        <v>1725</v>
      </c>
      <c r="I138" s="11">
        <v>1715</v>
      </c>
      <c r="J138" s="11">
        <v>1715</v>
      </c>
      <c r="K138" s="64"/>
      <c r="L138" s="64">
        <v>45723</v>
      </c>
      <c r="M138" s="64">
        <v>45177</v>
      </c>
      <c r="O138" s="11">
        <v>1715</v>
      </c>
      <c r="P138" s="11"/>
      <c r="Q138" s="11"/>
      <c r="R138" s="11">
        <v>25</v>
      </c>
      <c r="S138" s="11">
        <v>10</v>
      </c>
      <c r="T138" s="11"/>
      <c r="U138" s="11">
        <v>25</v>
      </c>
      <c r="V138" s="11"/>
      <c r="W138" s="11"/>
      <c r="X138" s="11"/>
      <c r="Y138" s="11"/>
      <c r="Z138" s="11"/>
    </row>
    <row r="139" spans="1:26" x14ac:dyDescent="0.3">
      <c r="A139" s="59" t="s">
        <v>528</v>
      </c>
      <c r="B139" s="59" t="s">
        <v>48</v>
      </c>
      <c r="C139" s="20">
        <v>762</v>
      </c>
      <c r="D139" s="19">
        <v>1</v>
      </c>
      <c r="E139" s="19">
        <v>1</v>
      </c>
      <c r="F139" s="60" t="s">
        <v>390</v>
      </c>
      <c r="G139" s="60" t="s">
        <v>391</v>
      </c>
      <c r="H139" s="20">
        <v>1645</v>
      </c>
      <c r="I139" s="20">
        <v>1485</v>
      </c>
      <c r="J139" s="20">
        <v>1485</v>
      </c>
      <c r="K139" s="61"/>
      <c r="L139" s="61">
        <v>45532</v>
      </c>
      <c r="M139" s="61">
        <v>45167</v>
      </c>
      <c r="O139" s="20">
        <v>1485</v>
      </c>
      <c r="P139" s="20"/>
      <c r="Q139" s="20"/>
      <c r="R139" s="20">
        <v>25</v>
      </c>
      <c r="S139" s="20">
        <v>10</v>
      </c>
      <c r="T139" s="20"/>
      <c r="U139" s="20">
        <v>25</v>
      </c>
      <c r="V139" s="20"/>
      <c r="W139" s="20"/>
      <c r="X139" s="20"/>
      <c r="Y139" s="20"/>
      <c r="Z139" s="20"/>
    </row>
    <row r="140" spans="1:26" x14ac:dyDescent="0.3">
      <c r="A140" s="62" t="s">
        <v>529</v>
      </c>
      <c r="B140" s="62" t="s">
        <v>48</v>
      </c>
      <c r="C140" s="11">
        <v>762</v>
      </c>
      <c r="D140" s="10">
        <v>1</v>
      </c>
      <c r="E140" s="10">
        <v>1</v>
      </c>
      <c r="F140" s="63" t="s">
        <v>390</v>
      </c>
      <c r="G140" s="63" t="s">
        <v>397</v>
      </c>
      <c r="H140" s="11">
        <v>1645</v>
      </c>
      <c r="I140" s="11">
        <v>0</v>
      </c>
      <c r="J140" s="11">
        <v>0</v>
      </c>
      <c r="K140" s="64"/>
      <c r="L140" s="64"/>
      <c r="M140" s="6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59" t="s">
        <v>530</v>
      </c>
      <c r="B141" s="59" t="s">
        <v>32</v>
      </c>
      <c r="C141" s="20">
        <v>690</v>
      </c>
      <c r="D141" s="19">
        <v>1</v>
      </c>
      <c r="E141" s="19">
        <v>1</v>
      </c>
      <c r="F141" s="60" t="s">
        <v>390</v>
      </c>
      <c r="G141" s="60" t="s">
        <v>391</v>
      </c>
      <c r="H141" s="20">
        <v>1615</v>
      </c>
      <c r="I141" s="20">
        <v>1375</v>
      </c>
      <c r="J141" s="20">
        <v>1375</v>
      </c>
      <c r="K141" s="61"/>
      <c r="L141" s="61">
        <v>45720</v>
      </c>
      <c r="M141" s="61">
        <v>45296</v>
      </c>
      <c r="O141" s="20">
        <v>1375</v>
      </c>
      <c r="P141" s="20"/>
      <c r="Q141" s="20"/>
      <c r="R141" s="20">
        <v>25</v>
      </c>
      <c r="S141" s="20">
        <v>10</v>
      </c>
      <c r="T141" s="20"/>
      <c r="U141" s="20"/>
      <c r="V141" s="20"/>
      <c r="W141" s="20"/>
      <c r="X141" s="20"/>
      <c r="Y141" s="20"/>
      <c r="Z141" s="20"/>
    </row>
    <row r="142" spans="1:26" x14ac:dyDescent="0.3">
      <c r="A142" s="62" t="s">
        <v>531</v>
      </c>
      <c r="B142" s="62" t="s">
        <v>59</v>
      </c>
      <c r="C142" s="11">
        <v>1082</v>
      </c>
      <c r="D142" s="10">
        <v>2</v>
      </c>
      <c r="E142" s="10">
        <v>2</v>
      </c>
      <c r="F142" s="63" t="s">
        <v>390</v>
      </c>
      <c r="G142" s="63" t="s">
        <v>391</v>
      </c>
      <c r="H142" s="11">
        <v>2165</v>
      </c>
      <c r="I142" s="11">
        <v>2115</v>
      </c>
      <c r="J142" s="11">
        <v>2115</v>
      </c>
      <c r="K142" s="64"/>
      <c r="L142" s="64">
        <v>45527</v>
      </c>
      <c r="M142" s="64">
        <v>45162</v>
      </c>
      <c r="O142" s="11">
        <v>2115</v>
      </c>
      <c r="P142" s="11"/>
      <c r="Q142" s="11"/>
      <c r="R142" s="11">
        <v>25</v>
      </c>
      <c r="S142" s="11">
        <v>10</v>
      </c>
      <c r="T142" s="11"/>
      <c r="U142" s="11"/>
      <c r="V142" s="11"/>
      <c r="W142" s="11"/>
      <c r="X142" s="11"/>
      <c r="Y142" s="11"/>
      <c r="Z142" s="11"/>
    </row>
    <row r="143" spans="1:26" x14ac:dyDescent="0.3">
      <c r="A143" s="59" t="s">
        <v>532</v>
      </c>
      <c r="B143" s="59" t="s">
        <v>59</v>
      </c>
      <c r="C143" s="20">
        <v>1082</v>
      </c>
      <c r="D143" s="19">
        <v>2</v>
      </c>
      <c r="E143" s="19">
        <v>2</v>
      </c>
      <c r="F143" s="60" t="s">
        <v>390</v>
      </c>
      <c r="G143" s="60" t="s">
        <v>391</v>
      </c>
      <c r="H143" s="20">
        <v>2260</v>
      </c>
      <c r="I143" s="20">
        <v>2260</v>
      </c>
      <c r="J143" s="20">
        <v>2260</v>
      </c>
      <c r="K143" s="61"/>
      <c r="L143" s="61">
        <v>45493</v>
      </c>
      <c r="M143" s="61">
        <v>45128</v>
      </c>
      <c r="O143" s="20">
        <v>2260</v>
      </c>
      <c r="P143" s="20"/>
      <c r="Q143" s="20"/>
      <c r="R143" s="20">
        <v>25</v>
      </c>
      <c r="S143" s="20">
        <v>10</v>
      </c>
      <c r="T143" s="20"/>
      <c r="U143" s="20">
        <v>25</v>
      </c>
      <c r="V143" s="20"/>
      <c r="W143" s="20"/>
      <c r="X143" s="20"/>
      <c r="Y143" s="20"/>
      <c r="Z143" s="20"/>
    </row>
    <row r="144" spans="1:26" x14ac:dyDescent="0.3">
      <c r="A144" s="62" t="s">
        <v>533</v>
      </c>
      <c r="B144" s="62" t="s">
        <v>59</v>
      </c>
      <c r="C144" s="11">
        <v>1082</v>
      </c>
      <c r="D144" s="10">
        <v>2</v>
      </c>
      <c r="E144" s="10">
        <v>2</v>
      </c>
      <c r="F144" s="63" t="s">
        <v>390</v>
      </c>
      <c r="G144" s="63" t="s">
        <v>391</v>
      </c>
      <c r="H144" s="11">
        <v>2085</v>
      </c>
      <c r="I144" s="11">
        <v>2020</v>
      </c>
      <c r="J144" s="11">
        <v>2020</v>
      </c>
      <c r="K144" s="64"/>
      <c r="L144" s="64">
        <v>45504</v>
      </c>
      <c r="M144" s="64">
        <v>45108</v>
      </c>
      <c r="O144" s="11">
        <v>2020</v>
      </c>
      <c r="P144" s="11"/>
      <c r="Q144" s="11"/>
      <c r="R144" s="11">
        <v>25</v>
      </c>
      <c r="S144" s="11">
        <v>10</v>
      </c>
      <c r="T144" s="11">
        <v>130</v>
      </c>
      <c r="U144" s="11">
        <v>25</v>
      </c>
      <c r="V144" s="11"/>
      <c r="W144" s="11"/>
      <c r="X144" s="11"/>
      <c r="Y144" s="11"/>
      <c r="Z144" s="11"/>
    </row>
    <row r="145" spans="1:26" x14ac:dyDescent="0.3">
      <c r="A145" s="59" t="s">
        <v>534</v>
      </c>
      <c r="B145" s="59" t="s">
        <v>53</v>
      </c>
      <c r="C145" s="20">
        <v>803</v>
      </c>
      <c r="D145" s="19">
        <v>1</v>
      </c>
      <c r="E145" s="19">
        <v>1</v>
      </c>
      <c r="F145" s="60" t="s">
        <v>390</v>
      </c>
      <c r="G145" s="60" t="s">
        <v>391</v>
      </c>
      <c r="H145" s="20">
        <v>1775</v>
      </c>
      <c r="I145" s="20">
        <v>1705</v>
      </c>
      <c r="J145" s="20">
        <v>1705</v>
      </c>
      <c r="K145" s="61"/>
      <c r="L145" s="61">
        <v>45528</v>
      </c>
      <c r="M145" s="61">
        <v>44982</v>
      </c>
      <c r="O145" s="20">
        <v>1705</v>
      </c>
      <c r="P145" s="20"/>
      <c r="Q145" s="20">
        <v>210</v>
      </c>
      <c r="R145" s="20">
        <v>25</v>
      </c>
      <c r="S145" s="20">
        <v>10</v>
      </c>
      <c r="T145" s="20"/>
      <c r="U145" s="20"/>
      <c r="V145" s="20"/>
      <c r="W145" s="20"/>
      <c r="X145" s="20"/>
      <c r="Y145" s="20"/>
      <c r="Z145" s="20"/>
    </row>
    <row r="146" spans="1:26" x14ac:dyDescent="0.3">
      <c r="A146" s="62" t="s">
        <v>535</v>
      </c>
      <c r="B146" s="62" t="s">
        <v>39</v>
      </c>
      <c r="C146" s="11">
        <v>719</v>
      </c>
      <c r="D146" s="10">
        <v>1</v>
      </c>
      <c r="E146" s="10">
        <v>1</v>
      </c>
      <c r="F146" s="63" t="s">
        <v>390</v>
      </c>
      <c r="G146" s="63" t="s">
        <v>391</v>
      </c>
      <c r="H146" s="11">
        <v>1550</v>
      </c>
      <c r="I146" s="11">
        <v>1390</v>
      </c>
      <c r="J146" s="11">
        <v>1390</v>
      </c>
      <c r="K146" s="64"/>
      <c r="L146" s="64">
        <v>45624</v>
      </c>
      <c r="M146" s="64">
        <v>45198</v>
      </c>
      <c r="O146" s="11">
        <v>1390</v>
      </c>
      <c r="P146" s="11"/>
      <c r="Q146" s="11"/>
      <c r="R146" s="11">
        <v>25</v>
      </c>
      <c r="S146" s="11">
        <v>10</v>
      </c>
      <c r="T146" s="11"/>
      <c r="U146" s="11"/>
      <c r="V146" s="11"/>
      <c r="W146" s="11"/>
      <c r="X146" s="11"/>
      <c r="Y146" s="11"/>
      <c r="Z146" s="11"/>
    </row>
    <row r="147" spans="1:26" x14ac:dyDescent="0.3">
      <c r="A147" s="59" t="s">
        <v>536</v>
      </c>
      <c r="B147" s="59" t="s">
        <v>53</v>
      </c>
      <c r="C147" s="20">
        <v>803</v>
      </c>
      <c r="D147" s="19">
        <v>1</v>
      </c>
      <c r="E147" s="19">
        <v>1</v>
      </c>
      <c r="F147" s="60" t="s">
        <v>390</v>
      </c>
      <c r="G147" s="60" t="s">
        <v>391</v>
      </c>
      <c r="H147" s="20">
        <v>1775</v>
      </c>
      <c r="I147" s="20">
        <v>1710</v>
      </c>
      <c r="J147" s="20">
        <v>1710</v>
      </c>
      <c r="K147" s="61"/>
      <c r="L147" s="61">
        <v>45429</v>
      </c>
      <c r="M147" s="61">
        <v>45003</v>
      </c>
      <c r="O147" s="20">
        <v>1710</v>
      </c>
      <c r="P147" s="20"/>
      <c r="Q147" s="20"/>
      <c r="R147" s="20">
        <v>25</v>
      </c>
      <c r="S147" s="20">
        <v>10</v>
      </c>
      <c r="T147" s="20"/>
      <c r="U147" s="20"/>
      <c r="V147" s="20"/>
      <c r="W147" s="20"/>
      <c r="X147" s="20"/>
      <c r="Y147" s="20"/>
      <c r="Z147" s="20"/>
    </row>
    <row r="148" spans="1:26" x14ac:dyDescent="0.3">
      <c r="A148" s="62" t="s">
        <v>537</v>
      </c>
      <c r="B148" s="62" t="s">
        <v>39</v>
      </c>
      <c r="C148" s="11">
        <v>719</v>
      </c>
      <c r="D148" s="10">
        <v>1</v>
      </c>
      <c r="E148" s="10">
        <v>1</v>
      </c>
      <c r="F148" s="63" t="s">
        <v>390</v>
      </c>
      <c r="G148" s="63" t="s">
        <v>391</v>
      </c>
      <c r="H148" s="11">
        <v>1550</v>
      </c>
      <c r="I148" s="11">
        <v>1490</v>
      </c>
      <c r="J148" s="11">
        <v>1490</v>
      </c>
      <c r="K148" s="64"/>
      <c r="L148" s="64">
        <v>45428</v>
      </c>
      <c r="M148" s="64">
        <v>45063</v>
      </c>
      <c r="O148" s="11">
        <v>1490</v>
      </c>
      <c r="P148" s="11"/>
      <c r="Q148" s="11"/>
      <c r="R148" s="11">
        <v>25</v>
      </c>
      <c r="S148" s="11">
        <v>10</v>
      </c>
      <c r="T148" s="11"/>
      <c r="U148" s="11"/>
      <c r="V148" s="11"/>
      <c r="W148" s="11"/>
      <c r="X148" s="11"/>
      <c r="Y148" s="11"/>
      <c r="Z148" s="11"/>
    </row>
    <row r="149" spans="1:26" x14ac:dyDescent="0.3">
      <c r="A149" s="59" t="s">
        <v>538</v>
      </c>
      <c r="B149" s="59" t="s">
        <v>56</v>
      </c>
      <c r="C149" s="20">
        <v>941</v>
      </c>
      <c r="D149" s="19">
        <v>1</v>
      </c>
      <c r="E149" s="19">
        <v>1</v>
      </c>
      <c r="F149" s="60" t="s">
        <v>390</v>
      </c>
      <c r="G149" s="60" t="s">
        <v>391</v>
      </c>
      <c r="H149" s="20">
        <v>1815</v>
      </c>
      <c r="I149" s="20">
        <v>1815</v>
      </c>
      <c r="J149" s="20">
        <v>1815</v>
      </c>
      <c r="K149" s="61"/>
      <c r="L149" s="61">
        <v>45623</v>
      </c>
      <c r="M149" s="61">
        <v>45074</v>
      </c>
      <c r="O149" s="20">
        <v>1815</v>
      </c>
      <c r="P149" s="20"/>
      <c r="Q149" s="20">
        <v>350</v>
      </c>
      <c r="R149" s="20">
        <v>25</v>
      </c>
      <c r="S149" s="20">
        <v>10</v>
      </c>
      <c r="T149" s="20"/>
      <c r="U149" s="20"/>
      <c r="V149" s="20"/>
      <c r="W149" s="20"/>
      <c r="X149" s="20"/>
      <c r="Y149" s="20"/>
      <c r="Z149" s="20"/>
    </row>
    <row r="150" spans="1:26" x14ac:dyDescent="0.3">
      <c r="A150" s="62" t="s">
        <v>539</v>
      </c>
      <c r="B150" s="62" t="s">
        <v>45</v>
      </c>
      <c r="C150" s="11">
        <v>736</v>
      </c>
      <c r="D150" s="10">
        <v>1</v>
      </c>
      <c r="E150" s="10">
        <v>1</v>
      </c>
      <c r="F150" s="63" t="s">
        <v>390</v>
      </c>
      <c r="G150" s="63" t="s">
        <v>391</v>
      </c>
      <c r="H150" s="11">
        <v>1645</v>
      </c>
      <c r="I150" s="11">
        <v>1675</v>
      </c>
      <c r="J150" s="11">
        <v>1675</v>
      </c>
      <c r="K150" s="64"/>
      <c r="L150" s="64">
        <v>45461</v>
      </c>
      <c r="M150" s="64">
        <v>45096</v>
      </c>
      <c r="O150" s="11">
        <v>1675</v>
      </c>
      <c r="P150" s="11"/>
      <c r="Q150" s="11">
        <v>350</v>
      </c>
      <c r="R150" s="11">
        <v>25</v>
      </c>
      <c r="S150" s="11">
        <v>10</v>
      </c>
      <c r="T150" s="11"/>
      <c r="U150" s="11"/>
      <c r="V150" s="11"/>
      <c r="W150" s="11"/>
      <c r="X150" s="11"/>
      <c r="Y150" s="11"/>
      <c r="Z150" s="11"/>
    </row>
    <row r="151" spans="1:26" x14ac:dyDescent="0.3">
      <c r="A151" s="59" t="s">
        <v>540</v>
      </c>
      <c r="B151" s="59" t="s">
        <v>56</v>
      </c>
      <c r="C151" s="20">
        <v>941</v>
      </c>
      <c r="D151" s="19">
        <v>1</v>
      </c>
      <c r="E151" s="19">
        <v>1</v>
      </c>
      <c r="F151" s="60" t="s">
        <v>390</v>
      </c>
      <c r="G151" s="60" t="s">
        <v>391</v>
      </c>
      <c r="H151" s="20">
        <v>1815</v>
      </c>
      <c r="I151" s="20">
        <v>1755</v>
      </c>
      <c r="J151" s="20">
        <v>1755</v>
      </c>
      <c r="K151" s="61"/>
      <c r="L151" s="61">
        <v>45353</v>
      </c>
      <c r="M151" s="61">
        <v>44933</v>
      </c>
      <c r="O151" s="20">
        <v>1755</v>
      </c>
      <c r="P151" s="20"/>
      <c r="Q151" s="20"/>
      <c r="R151" s="20">
        <v>25</v>
      </c>
      <c r="S151" s="20">
        <v>10</v>
      </c>
      <c r="T151" s="20"/>
      <c r="U151" s="20"/>
      <c r="V151" s="20"/>
      <c r="W151" s="20"/>
      <c r="X151" s="20"/>
      <c r="Y151" s="20"/>
      <c r="Z151" s="20"/>
    </row>
    <row r="152" spans="1:26" x14ac:dyDescent="0.3">
      <c r="A152" s="62" t="s">
        <v>541</v>
      </c>
      <c r="B152" s="62" t="s">
        <v>74</v>
      </c>
      <c r="C152" s="11">
        <v>1564</v>
      </c>
      <c r="D152" s="10">
        <v>3</v>
      </c>
      <c r="E152" s="10">
        <v>2</v>
      </c>
      <c r="F152" s="63" t="s">
        <v>390</v>
      </c>
      <c r="G152" s="63" t="s">
        <v>391</v>
      </c>
      <c r="H152" s="11">
        <v>2860</v>
      </c>
      <c r="I152" s="11">
        <v>2540</v>
      </c>
      <c r="J152" s="11">
        <v>2540</v>
      </c>
      <c r="K152" s="64"/>
      <c r="L152" s="64">
        <v>45671</v>
      </c>
      <c r="M152" s="64">
        <v>45245</v>
      </c>
      <c r="O152" s="11">
        <v>2540</v>
      </c>
      <c r="P152" s="11">
        <v>-1270</v>
      </c>
      <c r="Q152" s="11"/>
      <c r="R152" s="11">
        <v>25</v>
      </c>
      <c r="S152" s="11">
        <v>10</v>
      </c>
      <c r="T152" s="11"/>
      <c r="U152" s="11">
        <v>25</v>
      </c>
      <c r="V152" s="11"/>
      <c r="W152" s="11"/>
      <c r="X152" s="11"/>
      <c r="Y152" s="11"/>
      <c r="Z152" s="11"/>
    </row>
    <row r="153" spans="1:26" x14ac:dyDescent="0.3">
      <c r="A153" s="59" t="s">
        <v>542</v>
      </c>
      <c r="B153" s="59" t="s">
        <v>64</v>
      </c>
      <c r="C153" s="20">
        <v>1109</v>
      </c>
      <c r="D153" s="19">
        <v>2</v>
      </c>
      <c r="E153" s="19">
        <v>2</v>
      </c>
      <c r="F153" s="60" t="s">
        <v>390</v>
      </c>
      <c r="G153" s="60" t="s">
        <v>391</v>
      </c>
      <c r="H153" s="20">
        <v>2035</v>
      </c>
      <c r="I153" s="20">
        <v>1955</v>
      </c>
      <c r="J153" s="20">
        <v>1955</v>
      </c>
      <c r="K153" s="61"/>
      <c r="L153" s="61">
        <v>45591</v>
      </c>
      <c r="M153" s="61">
        <v>45134</v>
      </c>
      <c r="O153" s="20">
        <v>1955</v>
      </c>
      <c r="P153" s="20"/>
      <c r="Q153" s="20"/>
      <c r="R153" s="20">
        <v>25</v>
      </c>
      <c r="S153" s="20">
        <v>10</v>
      </c>
      <c r="T153" s="20"/>
      <c r="U153" s="20">
        <v>25</v>
      </c>
      <c r="V153" s="20"/>
      <c r="W153" s="20"/>
      <c r="X153" s="20"/>
      <c r="Y153" s="20"/>
      <c r="Z153" s="20"/>
    </row>
    <row r="154" spans="1:26" x14ac:dyDescent="0.3">
      <c r="A154" s="62" t="s">
        <v>543</v>
      </c>
      <c r="B154" s="62" t="s">
        <v>45</v>
      </c>
      <c r="C154" s="11">
        <v>736</v>
      </c>
      <c r="D154" s="10">
        <v>1</v>
      </c>
      <c r="E154" s="10">
        <v>1</v>
      </c>
      <c r="F154" s="63" t="s">
        <v>390</v>
      </c>
      <c r="G154" s="63" t="s">
        <v>391</v>
      </c>
      <c r="H154" s="11">
        <v>1645</v>
      </c>
      <c r="I154" s="11">
        <v>1635</v>
      </c>
      <c r="J154" s="11">
        <v>1635</v>
      </c>
      <c r="K154" s="64"/>
      <c r="L154" s="64">
        <v>45791</v>
      </c>
      <c r="M154" s="64">
        <v>45306</v>
      </c>
      <c r="O154" s="11">
        <v>1635</v>
      </c>
      <c r="P154" s="11">
        <v>-817.5</v>
      </c>
      <c r="Q154" s="11"/>
      <c r="R154" s="11">
        <v>25</v>
      </c>
      <c r="S154" s="11">
        <v>10</v>
      </c>
      <c r="T154" s="11"/>
      <c r="U154" s="11"/>
      <c r="V154" s="11"/>
      <c r="W154" s="11"/>
      <c r="X154" s="11"/>
      <c r="Y154" s="11"/>
      <c r="Z154" s="11"/>
    </row>
    <row r="155" spans="1:26" x14ac:dyDescent="0.3">
      <c r="A155" s="59" t="s">
        <v>544</v>
      </c>
      <c r="B155" s="59" t="s">
        <v>48</v>
      </c>
      <c r="C155" s="20">
        <v>762</v>
      </c>
      <c r="D155" s="19">
        <v>1</v>
      </c>
      <c r="E155" s="19">
        <v>1</v>
      </c>
      <c r="F155" s="60" t="s">
        <v>390</v>
      </c>
      <c r="G155" s="60" t="s">
        <v>391</v>
      </c>
      <c r="H155" s="20">
        <v>1565</v>
      </c>
      <c r="I155" s="20">
        <v>1535</v>
      </c>
      <c r="J155" s="20">
        <v>1535</v>
      </c>
      <c r="K155" s="61"/>
      <c r="L155" s="61">
        <v>45466</v>
      </c>
      <c r="M155" s="61">
        <v>45101</v>
      </c>
      <c r="O155" s="20">
        <v>1535</v>
      </c>
      <c r="P155" s="20"/>
      <c r="Q155" s="20"/>
      <c r="R155" s="20">
        <v>25</v>
      </c>
      <c r="S155" s="20">
        <v>10</v>
      </c>
      <c r="T155" s="20"/>
      <c r="U155" s="20"/>
      <c r="V155" s="20"/>
      <c r="W155" s="20"/>
      <c r="X155" s="20"/>
      <c r="Y155" s="20"/>
      <c r="Z155" s="20"/>
    </row>
    <row r="156" spans="1:26" x14ac:dyDescent="0.3">
      <c r="A156" s="62" t="s">
        <v>545</v>
      </c>
      <c r="B156" s="62" t="s">
        <v>53</v>
      </c>
      <c r="C156" s="11">
        <v>803</v>
      </c>
      <c r="D156" s="10">
        <v>1</v>
      </c>
      <c r="E156" s="10">
        <v>1</v>
      </c>
      <c r="F156" s="63" t="s">
        <v>390</v>
      </c>
      <c r="G156" s="63" t="s">
        <v>391</v>
      </c>
      <c r="H156" s="11">
        <v>1775</v>
      </c>
      <c r="I156" s="11">
        <v>1710</v>
      </c>
      <c r="J156" s="11">
        <v>1710</v>
      </c>
      <c r="K156" s="64"/>
      <c r="L156" s="64">
        <v>45527</v>
      </c>
      <c r="M156" s="64">
        <v>44981</v>
      </c>
      <c r="O156" s="11">
        <v>1710</v>
      </c>
      <c r="P156" s="11"/>
      <c r="Q156" s="11"/>
      <c r="R156" s="11">
        <v>25</v>
      </c>
      <c r="S156" s="11">
        <v>10</v>
      </c>
      <c r="T156" s="11"/>
      <c r="U156" s="11"/>
      <c r="V156" s="11"/>
      <c r="W156" s="11"/>
      <c r="X156" s="11"/>
      <c r="Y156" s="11"/>
      <c r="Z156" s="11"/>
    </row>
    <row r="157" spans="1:26" x14ac:dyDescent="0.3">
      <c r="A157" s="59" t="s">
        <v>546</v>
      </c>
      <c r="B157" s="59" t="s">
        <v>48</v>
      </c>
      <c r="C157" s="20">
        <v>762</v>
      </c>
      <c r="D157" s="19">
        <v>1</v>
      </c>
      <c r="E157" s="19">
        <v>1</v>
      </c>
      <c r="F157" s="60" t="s">
        <v>390</v>
      </c>
      <c r="G157" s="60" t="s">
        <v>391</v>
      </c>
      <c r="H157" s="20">
        <v>1565</v>
      </c>
      <c r="I157" s="20">
        <v>1535</v>
      </c>
      <c r="J157" s="20">
        <v>1535</v>
      </c>
      <c r="K157" s="61"/>
      <c r="L157" s="61">
        <v>45680</v>
      </c>
      <c r="M157" s="61">
        <v>45131</v>
      </c>
      <c r="O157" s="20">
        <v>1535</v>
      </c>
      <c r="P157" s="20"/>
      <c r="Q157" s="20"/>
      <c r="R157" s="20">
        <v>25</v>
      </c>
      <c r="S157" s="20">
        <v>10</v>
      </c>
      <c r="T157" s="20">
        <v>65</v>
      </c>
      <c r="U157" s="20"/>
      <c r="V157" s="20"/>
      <c r="W157" s="20"/>
      <c r="X157" s="20"/>
      <c r="Y157" s="20"/>
      <c r="Z157" s="20"/>
    </row>
    <row r="158" spans="1:26" x14ac:dyDescent="0.3">
      <c r="A158" s="62" t="s">
        <v>547</v>
      </c>
      <c r="B158" s="62" t="s">
        <v>53</v>
      </c>
      <c r="C158" s="11">
        <v>803</v>
      </c>
      <c r="D158" s="10">
        <v>1</v>
      </c>
      <c r="E158" s="10">
        <v>1</v>
      </c>
      <c r="F158" s="63" t="s">
        <v>390</v>
      </c>
      <c r="G158" s="63" t="s">
        <v>391</v>
      </c>
      <c r="H158" s="11">
        <v>1775</v>
      </c>
      <c r="I158" s="11">
        <v>1710</v>
      </c>
      <c r="J158" s="11">
        <v>1710</v>
      </c>
      <c r="K158" s="64"/>
      <c r="L158" s="64">
        <v>45391</v>
      </c>
      <c r="M158" s="64">
        <v>44967</v>
      </c>
      <c r="O158" s="11">
        <v>1710</v>
      </c>
      <c r="P158" s="11"/>
      <c r="Q158" s="11"/>
      <c r="R158" s="11">
        <v>25</v>
      </c>
      <c r="S158" s="11">
        <v>10</v>
      </c>
      <c r="T158" s="11"/>
      <c r="U158" s="11"/>
      <c r="V158" s="11"/>
      <c r="W158" s="11"/>
      <c r="X158" s="11"/>
      <c r="Y158" s="11"/>
      <c r="Z158" s="11"/>
    </row>
    <row r="159" spans="1:26" x14ac:dyDescent="0.3">
      <c r="A159" s="59" t="s">
        <v>548</v>
      </c>
      <c r="B159" s="59" t="s">
        <v>32</v>
      </c>
      <c r="C159" s="20">
        <v>690</v>
      </c>
      <c r="D159" s="19">
        <v>1</v>
      </c>
      <c r="E159" s="19">
        <v>1</v>
      </c>
      <c r="F159" s="60" t="s">
        <v>390</v>
      </c>
      <c r="G159" s="60" t="s">
        <v>391</v>
      </c>
      <c r="H159" s="20">
        <v>1535</v>
      </c>
      <c r="I159" s="20">
        <v>1375</v>
      </c>
      <c r="J159" s="20">
        <v>1375</v>
      </c>
      <c r="K159" s="61"/>
      <c r="L159" s="61">
        <v>45715</v>
      </c>
      <c r="M159" s="61">
        <v>45258</v>
      </c>
      <c r="O159" s="20">
        <v>1375</v>
      </c>
      <c r="P159" s="20"/>
      <c r="Q159" s="20"/>
      <c r="R159" s="20">
        <v>25</v>
      </c>
      <c r="S159" s="20">
        <v>10</v>
      </c>
      <c r="T159" s="20"/>
      <c r="U159" s="20"/>
      <c r="V159" s="20"/>
      <c r="W159" s="20"/>
      <c r="X159" s="20"/>
      <c r="Y159" s="20"/>
      <c r="Z159" s="20"/>
    </row>
    <row r="160" spans="1:26" x14ac:dyDescent="0.3">
      <c r="A160" s="62" t="s">
        <v>549</v>
      </c>
      <c r="B160" s="62" t="s">
        <v>64</v>
      </c>
      <c r="C160" s="11">
        <v>1109</v>
      </c>
      <c r="D160" s="10">
        <v>2</v>
      </c>
      <c r="E160" s="10">
        <v>2</v>
      </c>
      <c r="F160" s="63" t="s">
        <v>390</v>
      </c>
      <c r="G160" s="63" t="s">
        <v>391</v>
      </c>
      <c r="H160" s="11">
        <v>2210</v>
      </c>
      <c r="I160" s="11">
        <v>2170</v>
      </c>
      <c r="J160" s="11">
        <v>2170</v>
      </c>
      <c r="K160" s="64"/>
      <c r="L160" s="64">
        <v>45523</v>
      </c>
      <c r="M160" s="64">
        <v>44915</v>
      </c>
      <c r="O160" s="11">
        <v>2170</v>
      </c>
      <c r="P160" s="11"/>
      <c r="Q160" s="11">
        <v>190</v>
      </c>
      <c r="R160" s="11">
        <v>25</v>
      </c>
      <c r="S160" s="11">
        <v>10</v>
      </c>
      <c r="T160" s="11"/>
      <c r="U160" s="11">
        <v>50</v>
      </c>
      <c r="V160" s="11"/>
      <c r="W160" s="11"/>
      <c r="X160" s="11"/>
      <c r="Y160" s="11"/>
      <c r="Z160" s="11"/>
    </row>
    <row r="161" spans="1:26" x14ac:dyDescent="0.3">
      <c r="A161" s="59" t="s">
        <v>550</v>
      </c>
      <c r="B161" s="59" t="s">
        <v>59</v>
      </c>
      <c r="C161" s="20">
        <v>1082</v>
      </c>
      <c r="D161" s="19">
        <v>2</v>
      </c>
      <c r="E161" s="19">
        <v>2</v>
      </c>
      <c r="F161" s="60" t="s">
        <v>390</v>
      </c>
      <c r="G161" s="60" t="s">
        <v>391</v>
      </c>
      <c r="H161" s="20">
        <v>2260</v>
      </c>
      <c r="I161" s="20">
        <v>1995</v>
      </c>
      <c r="J161" s="20">
        <v>1995</v>
      </c>
      <c r="K161" s="61"/>
      <c r="L161" s="61">
        <v>45704</v>
      </c>
      <c r="M161" s="61">
        <v>45216</v>
      </c>
      <c r="O161" s="20">
        <v>1995</v>
      </c>
      <c r="P161" s="20"/>
      <c r="Q161" s="20"/>
      <c r="R161" s="20">
        <v>25</v>
      </c>
      <c r="S161" s="20">
        <v>10</v>
      </c>
      <c r="T161" s="20"/>
      <c r="U161" s="20"/>
      <c r="V161" s="20"/>
      <c r="W161" s="20"/>
      <c r="X161" s="20">
        <v>43</v>
      </c>
      <c r="Y161" s="20"/>
      <c r="Z161" s="20"/>
    </row>
    <row r="162" spans="1:26" x14ac:dyDescent="0.3">
      <c r="A162" s="62" t="s">
        <v>551</v>
      </c>
      <c r="B162" s="62" t="s">
        <v>59</v>
      </c>
      <c r="C162" s="11">
        <v>1082</v>
      </c>
      <c r="D162" s="10">
        <v>2</v>
      </c>
      <c r="E162" s="10">
        <v>2</v>
      </c>
      <c r="F162" s="63" t="s">
        <v>390</v>
      </c>
      <c r="G162" s="63" t="s">
        <v>391</v>
      </c>
      <c r="H162" s="11">
        <v>2305</v>
      </c>
      <c r="I162" s="11">
        <v>2190</v>
      </c>
      <c r="J162" s="11">
        <v>2190</v>
      </c>
      <c r="K162" s="64"/>
      <c r="L162" s="64">
        <v>45403</v>
      </c>
      <c r="M162" s="64">
        <v>44948</v>
      </c>
      <c r="O162" s="11">
        <v>2190</v>
      </c>
      <c r="P162" s="11"/>
      <c r="Q162" s="11">
        <v>210</v>
      </c>
      <c r="R162" s="11">
        <v>25</v>
      </c>
      <c r="S162" s="11">
        <v>10</v>
      </c>
      <c r="T162" s="11">
        <v>120</v>
      </c>
      <c r="U162" s="11">
        <v>25</v>
      </c>
      <c r="V162" s="11"/>
      <c r="W162" s="11"/>
      <c r="X162" s="11"/>
      <c r="Y162" s="11"/>
      <c r="Z162" s="11"/>
    </row>
    <row r="163" spans="1:26" x14ac:dyDescent="0.3">
      <c r="A163" s="59" t="s">
        <v>552</v>
      </c>
      <c r="B163" s="59" t="s">
        <v>59</v>
      </c>
      <c r="C163" s="20">
        <v>1082</v>
      </c>
      <c r="D163" s="19">
        <v>2</v>
      </c>
      <c r="E163" s="19">
        <v>2</v>
      </c>
      <c r="F163" s="60" t="s">
        <v>390</v>
      </c>
      <c r="G163" s="60" t="s">
        <v>391</v>
      </c>
      <c r="H163" s="20">
        <v>2130</v>
      </c>
      <c r="I163" s="20">
        <v>2010</v>
      </c>
      <c r="J163" s="20">
        <v>2010</v>
      </c>
      <c r="K163" s="61"/>
      <c r="L163" s="61">
        <v>45791</v>
      </c>
      <c r="M163" s="61">
        <v>45337</v>
      </c>
      <c r="O163" s="20">
        <v>2010</v>
      </c>
      <c r="P163" s="20"/>
      <c r="Q163" s="20"/>
      <c r="R163" s="20"/>
      <c r="S163" s="20">
        <v>10</v>
      </c>
      <c r="T163" s="20"/>
      <c r="U163" s="20"/>
      <c r="V163" s="20"/>
      <c r="W163" s="20"/>
      <c r="X163" s="20"/>
      <c r="Y163" s="20"/>
      <c r="Z163" s="20"/>
    </row>
    <row r="164" spans="1:26" x14ac:dyDescent="0.3">
      <c r="A164" s="62" t="s">
        <v>553</v>
      </c>
      <c r="B164" s="62" t="s">
        <v>53</v>
      </c>
      <c r="C164" s="11">
        <v>803</v>
      </c>
      <c r="D164" s="10">
        <v>1</v>
      </c>
      <c r="E164" s="10">
        <v>1</v>
      </c>
      <c r="F164" s="63" t="s">
        <v>390</v>
      </c>
      <c r="G164" s="63" t="s">
        <v>391</v>
      </c>
      <c r="H164" s="11">
        <v>1820</v>
      </c>
      <c r="I164" s="11">
        <v>1750</v>
      </c>
      <c r="J164" s="11">
        <v>1750</v>
      </c>
      <c r="K164" s="64"/>
      <c r="L164" s="64">
        <v>45596</v>
      </c>
      <c r="M164" s="64">
        <v>45047</v>
      </c>
      <c r="O164" s="11">
        <v>1750</v>
      </c>
      <c r="P164" s="11"/>
      <c r="Q164" s="11">
        <v>350</v>
      </c>
      <c r="R164" s="11">
        <v>25</v>
      </c>
      <c r="S164" s="11">
        <v>10</v>
      </c>
      <c r="T164" s="11"/>
      <c r="U164" s="11"/>
      <c r="V164" s="11"/>
      <c r="W164" s="11"/>
      <c r="X164" s="11"/>
      <c r="Y164" s="11"/>
      <c r="Z164" s="11"/>
    </row>
    <row r="165" spans="1:26" x14ac:dyDescent="0.3">
      <c r="A165" s="59" t="s">
        <v>554</v>
      </c>
      <c r="B165" s="59" t="s">
        <v>39</v>
      </c>
      <c r="C165" s="20">
        <v>719</v>
      </c>
      <c r="D165" s="19">
        <v>1</v>
      </c>
      <c r="E165" s="19">
        <v>1</v>
      </c>
      <c r="F165" s="60" t="s">
        <v>390</v>
      </c>
      <c r="G165" s="60" t="s">
        <v>391</v>
      </c>
      <c r="H165" s="20">
        <v>1595</v>
      </c>
      <c r="I165" s="20">
        <v>1440</v>
      </c>
      <c r="J165" s="20">
        <v>1440</v>
      </c>
      <c r="K165" s="61"/>
      <c r="L165" s="61">
        <v>45671</v>
      </c>
      <c r="M165" s="61">
        <v>45214</v>
      </c>
      <c r="O165" s="20">
        <v>1440</v>
      </c>
      <c r="P165" s="20"/>
      <c r="Q165" s="20"/>
      <c r="R165" s="20">
        <v>25</v>
      </c>
      <c r="S165" s="20">
        <v>10</v>
      </c>
      <c r="T165" s="20"/>
      <c r="U165" s="20"/>
      <c r="V165" s="20"/>
      <c r="W165" s="20"/>
      <c r="X165" s="20"/>
      <c r="Y165" s="20"/>
      <c r="Z165" s="20"/>
    </row>
    <row r="166" spans="1:26" x14ac:dyDescent="0.3">
      <c r="A166" s="62" t="s">
        <v>555</v>
      </c>
      <c r="B166" s="62" t="s">
        <v>53</v>
      </c>
      <c r="C166" s="11">
        <v>803</v>
      </c>
      <c r="D166" s="10">
        <v>1</v>
      </c>
      <c r="E166" s="10">
        <v>1</v>
      </c>
      <c r="F166" s="63" t="s">
        <v>390</v>
      </c>
      <c r="G166" s="63" t="s">
        <v>391</v>
      </c>
      <c r="H166" s="11">
        <v>1820</v>
      </c>
      <c r="I166" s="11">
        <v>1750</v>
      </c>
      <c r="J166" s="11">
        <v>1750</v>
      </c>
      <c r="K166" s="64"/>
      <c r="L166" s="64">
        <v>45450</v>
      </c>
      <c r="M166" s="64">
        <v>45024</v>
      </c>
      <c r="O166" s="11">
        <v>1750</v>
      </c>
      <c r="P166" s="11"/>
      <c r="Q166" s="11"/>
      <c r="R166" s="11">
        <v>25</v>
      </c>
      <c r="S166" s="11">
        <v>10</v>
      </c>
      <c r="T166" s="11"/>
      <c r="U166" s="11">
        <v>25</v>
      </c>
      <c r="V166" s="11"/>
      <c r="W166" s="11"/>
      <c r="X166" s="11"/>
      <c r="Y166" s="11"/>
      <c r="Z166" s="11"/>
    </row>
    <row r="167" spans="1:26" x14ac:dyDescent="0.3">
      <c r="A167" s="59" t="s">
        <v>556</v>
      </c>
      <c r="B167" s="59" t="s">
        <v>39</v>
      </c>
      <c r="C167" s="20">
        <v>719</v>
      </c>
      <c r="D167" s="19">
        <v>1</v>
      </c>
      <c r="E167" s="19">
        <v>1</v>
      </c>
      <c r="F167" s="60" t="s">
        <v>390</v>
      </c>
      <c r="G167" s="60" t="s">
        <v>391</v>
      </c>
      <c r="H167" s="20">
        <v>1595</v>
      </c>
      <c r="I167" s="20">
        <v>1485</v>
      </c>
      <c r="J167" s="20">
        <v>1485</v>
      </c>
      <c r="K167" s="61"/>
      <c r="L167" s="61">
        <v>45474</v>
      </c>
      <c r="M167" s="61">
        <v>45108</v>
      </c>
      <c r="O167" s="20">
        <v>1485</v>
      </c>
      <c r="P167" s="20"/>
      <c r="Q167" s="20"/>
      <c r="R167" s="20">
        <v>25</v>
      </c>
      <c r="S167" s="20">
        <v>10</v>
      </c>
      <c r="T167" s="20"/>
      <c r="U167" s="20"/>
      <c r="V167" s="20"/>
      <c r="W167" s="20"/>
      <c r="X167" s="20"/>
      <c r="Y167" s="20"/>
      <c r="Z167" s="20"/>
    </row>
    <row r="168" spans="1:26" x14ac:dyDescent="0.3">
      <c r="A168" s="62" t="s">
        <v>557</v>
      </c>
      <c r="B168" s="62" t="s">
        <v>56</v>
      </c>
      <c r="C168" s="11">
        <v>941</v>
      </c>
      <c r="D168" s="10">
        <v>1</v>
      </c>
      <c r="E168" s="10">
        <v>1</v>
      </c>
      <c r="F168" s="63" t="s">
        <v>390</v>
      </c>
      <c r="G168" s="63" t="s">
        <v>391</v>
      </c>
      <c r="H168" s="11">
        <v>1860</v>
      </c>
      <c r="I168" s="11">
        <v>1765</v>
      </c>
      <c r="J168" s="11">
        <v>1765</v>
      </c>
      <c r="K168" s="64"/>
      <c r="L168" s="64">
        <v>45366</v>
      </c>
      <c r="M168" s="64">
        <v>44942</v>
      </c>
      <c r="O168" s="11">
        <v>1765</v>
      </c>
      <c r="P168" s="11"/>
      <c r="Q168" s="11"/>
      <c r="R168" s="11">
        <v>25</v>
      </c>
      <c r="S168" s="11">
        <v>10</v>
      </c>
      <c r="T168" s="11"/>
      <c r="U168" s="11"/>
      <c r="V168" s="11"/>
      <c r="W168" s="11"/>
      <c r="X168" s="11"/>
      <c r="Y168" s="11"/>
      <c r="Z168" s="11"/>
    </row>
    <row r="169" spans="1:26" x14ac:dyDescent="0.3">
      <c r="A169" s="59" t="s">
        <v>558</v>
      </c>
      <c r="B169" s="59" t="s">
        <v>45</v>
      </c>
      <c r="C169" s="20">
        <v>736</v>
      </c>
      <c r="D169" s="19">
        <v>1</v>
      </c>
      <c r="E169" s="19">
        <v>1</v>
      </c>
      <c r="F169" s="60" t="s">
        <v>390</v>
      </c>
      <c r="G169" s="60" t="s">
        <v>391</v>
      </c>
      <c r="H169" s="20">
        <v>1690</v>
      </c>
      <c r="I169" s="20">
        <v>1680</v>
      </c>
      <c r="J169" s="20">
        <v>1680</v>
      </c>
      <c r="K169" s="61"/>
      <c r="L169" s="61">
        <v>45588</v>
      </c>
      <c r="M169" s="61">
        <v>45162</v>
      </c>
      <c r="O169" s="20">
        <v>1680</v>
      </c>
      <c r="P169" s="20"/>
      <c r="Q169" s="20"/>
      <c r="R169" s="20">
        <v>25</v>
      </c>
      <c r="S169" s="20">
        <v>10</v>
      </c>
      <c r="T169" s="20"/>
      <c r="U169" s="20"/>
      <c r="V169" s="20"/>
      <c r="W169" s="20"/>
      <c r="X169" s="20"/>
      <c r="Y169" s="20"/>
      <c r="Z169" s="20"/>
    </row>
    <row r="170" spans="1:26" x14ac:dyDescent="0.3">
      <c r="A170" s="62" t="s">
        <v>559</v>
      </c>
      <c r="B170" s="62" t="s">
        <v>56</v>
      </c>
      <c r="C170" s="11">
        <v>941</v>
      </c>
      <c r="D170" s="10">
        <v>1</v>
      </c>
      <c r="E170" s="10">
        <v>1</v>
      </c>
      <c r="F170" s="63" t="s">
        <v>390</v>
      </c>
      <c r="G170" s="63" t="s">
        <v>391</v>
      </c>
      <c r="H170" s="11">
        <v>1860</v>
      </c>
      <c r="I170" s="11">
        <v>1835</v>
      </c>
      <c r="J170" s="11">
        <v>1835</v>
      </c>
      <c r="K170" s="64"/>
      <c r="L170" s="64">
        <v>45649</v>
      </c>
      <c r="M170" s="64">
        <v>45101</v>
      </c>
      <c r="O170" s="11">
        <v>1835</v>
      </c>
      <c r="P170" s="11"/>
      <c r="Q170" s="11"/>
      <c r="R170" s="11">
        <v>25</v>
      </c>
      <c r="S170" s="11">
        <v>10</v>
      </c>
      <c r="T170" s="11"/>
      <c r="U170" s="11"/>
      <c r="V170" s="11"/>
      <c r="W170" s="11"/>
      <c r="X170" s="11"/>
      <c r="Y170" s="11"/>
      <c r="Z170" s="11"/>
    </row>
    <row r="171" spans="1:26" x14ac:dyDescent="0.3">
      <c r="A171" s="59" t="s">
        <v>560</v>
      </c>
      <c r="B171" s="59" t="s">
        <v>74</v>
      </c>
      <c r="C171" s="20">
        <v>1564</v>
      </c>
      <c r="D171" s="19">
        <v>3</v>
      </c>
      <c r="E171" s="19">
        <v>2</v>
      </c>
      <c r="F171" s="60" t="s">
        <v>390</v>
      </c>
      <c r="G171" s="60" t="s">
        <v>397</v>
      </c>
      <c r="H171" s="20">
        <v>2905</v>
      </c>
      <c r="I171" s="20">
        <v>0</v>
      </c>
      <c r="J171" s="20">
        <v>0</v>
      </c>
      <c r="K171" s="61"/>
      <c r="L171" s="61"/>
      <c r="M171" s="61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x14ac:dyDescent="0.3">
      <c r="A172" s="62" t="s">
        <v>561</v>
      </c>
      <c r="B172" s="62" t="s">
        <v>64</v>
      </c>
      <c r="C172" s="11">
        <v>1109</v>
      </c>
      <c r="D172" s="10">
        <v>2</v>
      </c>
      <c r="E172" s="10">
        <v>2</v>
      </c>
      <c r="F172" s="63" t="s">
        <v>390</v>
      </c>
      <c r="G172" s="63" t="s">
        <v>391</v>
      </c>
      <c r="H172" s="11">
        <v>2080</v>
      </c>
      <c r="I172" s="11">
        <v>1980</v>
      </c>
      <c r="J172" s="11">
        <v>1980</v>
      </c>
      <c r="K172" s="64"/>
      <c r="L172" s="64">
        <v>45399</v>
      </c>
      <c r="M172" s="64">
        <v>44975</v>
      </c>
      <c r="O172" s="11">
        <v>1980</v>
      </c>
      <c r="P172" s="11"/>
      <c r="Q172" s="11">
        <v>210</v>
      </c>
      <c r="R172" s="11">
        <v>25</v>
      </c>
      <c r="S172" s="11">
        <v>10</v>
      </c>
      <c r="T172" s="11"/>
      <c r="U172" s="11"/>
      <c r="V172" s="11"/>
      <c r="W172" s="11"/>
      <c r="X172" s="11"/>
      <c r="Y172" s="11"/>
      <c r="Z172" s="11"/>
    </row>
    <row r="173" spans="1:26" x14ac:dyDescent="0.3">
      <c r="A173" s="59" t="s">
        <v>562</v>
      </c>
      <c r="B173" s="59" t="s">
        <v>45</v>
      </c>
      <c r="C173" s="20">
        <v>736</v>
      </c>
      <c r="D173" s="19">
        <v>1</v>
      </c>
      <c r="E173" s="19">
        <v>1</v>
      </c>
      <c r="F173" s="60" t="s">
        <v>390</v>
      </c>
      <c r="G173" s="60" t="s">
        <v>391</v>
      </c>
      <c r="H173" s="20">
        <v>1690</v>
      </c>
      <c r="I173" s="20">
        <v>1660</v>
      </c>
      <c r="J173" s="20">
        <v>1660</v>
      </c>
      <c r="K173" s="61"/>
      <c r="L173" s="61">
        <v>45373</v>
      </c>
      <c r="M173" s="61">
        <v>44949</v>
      </c>
      <c r="O173" s="20">
        <v>1660</v>
      </c>
      <c r="P173" s="20"/>
      <c r="Q173" s="20"/>
      <c r="R173" s="20">
        <v>25</v>
      </c>
      <c r="S173" s="20">
        <v>10</v>
      </c>
      <c r="T173" s="20"/>
      <c r="U173" s="20"/>
      <c r="V173" s="20"/>
      <c r="W173" s="20"/>
      <c r="X173" s="20"/>
      <c r="Y173" s="20"/>
      <c r="Z173" s="20"/>
    </row>
    <row r="174" spans="1:26" x14ac:dyDescent="0.3">
      <c r="A174" s="62" t="s">
        <v>563</v>
      </c>
      <c r="B174" s="62" t="s">
        <v>48</v>
      </c>
      <c r="C174" s="11">
        <v>762</v>
      </c>
      <c r="D174" s="10">
        <v>1</v>
      </c>
      <c r="E174" s="10">
        <v>1</v>
      </c>
      <c r="F174" s="63" t="s">
        <v>390</v>
      </c>
      <c r="G174" s="63" t="s">
        <v>391</v>
      </c>
      <c r="H174" s="11">
        <v>1610</v>
      </c>
      <c r="I174" s="11">
        <v>1570</v>
      </c>
      <c r="J174" s="11">
        <v>1570</v>
      </c>
      <c r="K174" s="64"/>
      <c r="L174" s="64">
        <v>45504</v>
      </c>
      <c r="M174" s="64">
        <v>45139</v>
      </c>
      <c r="O174" s="11">
        <v>1570</v>
      </c>
      <c r="P174" s="11"/>
      <c r="Q174" s="11"/>
      <c r="R174" s="11">
        <v>25</v>
      </c>
      <c r="S174" s="11">
        <v>10</v>
      </c>
      <c r="T174" s="11"/>
      <c r="U174" s="11"/>
      <c r="V174" s="11"/>
      <c r="W174" s="11"/>
      <c r="X174" s="11"/>
      <c r="Y174" s="11"/>
      <c r="Z174" s="11"/>
    </row>
    <row r="175" spans="1:26" x14ac:dyDescent="0.3">
      <c r="A175" s="59" t="s">
        <v>564</v>
      </c>
      <c r="B175" s="59" t="s">
        <v>53</v>
      </c>
      <c r="C175" s="20">
        <v>803</v>
      </c>
      <c r="D175" s="19">
        <v>1</v>
      </c>
      <c r="E175" s="19">
        <v>1</v>
      </c>
      <c r="F175" s="60" t="s">
        <v>390</v>
      </c>
      <c r="G175" s="60" t="s">
        <v>391</v>
      </c>
      <c r="H175" s="20">
        <v>1820</v>
      </c>
      <c r="I175" s="20">
        <v>1715</v>
      </c>
      <c r="J175" s="20">
        <v>1715</v>
      </c>
      <c r="K175" s="61"/>
      <c r="L175" s="61">
        <v>45417</v>
      </c>
      <c r="M175" s="61">
        <v>44991</v>
      </c>
      <c r="O175" s="20">
        <v>1715</v>
      </c>
      <c r="P175" s="20"/>
      <c r="Q175" s="20"/>
      <c r="R175" s="20">
        <v>25</v>
      </c>
      <c r="S175" s="20">
        <v>10</v>
      </c>
      <c r="T175" s="20">
        <v>60</v>
      </c>
      <c r="U175" s="20"/>
      <c r="V175" s="20"/>
      <c r="W175" s="20"/>
      <c r="X175" s="20"/>
      <c r="Y175" s="20"/>
      <c r="Z175" s="20"/>
    </row>
    <row r="176" spans="1:26" x14ac:dyDescent="0.3">
      <c r="A176" s="62" t="s">
        <v>565</v>
      </c>
      <c r="B176" s="62" t="s">
        <v>48</v>
      </c>
      <c r="C176" s="11">
        <v>762</v>
      </c>
      <c r="D176" s="10">
        <v>1</v>
      </c>
      <c r="E176" s="10">
        <v>1</v>
      </c>
      <c r="F176" s="63" t="s">
        <v>390</v>
      </c>
      <c r="G176" s="63" t="s">
        <v>391</v>
      </c>
      <c r="H176" s="11">
        <v>1610</v>
      </c>
      <c r="I176" s="11">
        <v>1545</v>
      </c>
      <c r="J176" s="11">
        <v>1545</v>
      </c>
      <c r="K176" s="64"/>
      <c r="L176" s="64">
        <v>45473</v>
      </c>
      <c r="M176" s="64">
        <v>45047</v>
      </c>
      <c r="O176" s="11">
        <v>1545</v>
      </c>
      <c r="P176" s="11"/>
      <c r="Q176" s="11"/>
      <c r="R176" s="11">
        <v>25</v>
      </c>
      <c r="S176" s="11">
        <v>10</v>
      </c>
      <c r="T176" s="11"/>
      <c r="U176" s="11"/>
      <c r="V176" s="11"/>
      <c r="W176" s="11"/>
      <c r="X176" s="11"/>
      <c r="Y176" s="11"/>
      <c r="Z176" s="11"/>
    </row>
    <row r="177" spans="1:26" x14ac:dyDescent="0.3">
      <c r="A177" s="59" t="s">
        <v>566</v>
      </c>
      <c r="B177" s="59" t="s">
        <v>53</v>
      </c>
      <c r="C177" s="20">
        <v>803</v>
      </c>
      <c r="D177" s="19">
        <v>1</v>
      </c>
      <c r="E177" s="19">
        <v>1</v>
      </c>
      <c r="F177" s="60" t="s">
        <v>390</v>
      </c>
      <c r="G177" s="60" t="s">
        <v>391</v>
      </c>
      <c r="H177" s="20">
        <v>1820</v>
      </c>
      <c r="I177" s="20">
        <v>1715</v>
      </c>
      <c r="J177" s="20">
        <v>1715</v>
      </c>
      <c r="K177" s="61"/>
      <c r="L177" s="61">
        <v>45371</v>
      </c>
      <c r="M177" s="61">
        <v>44947</v>
      </c>
      <c r="O177" s="20">
        <v>1715</v>
      </c>
      <c r="P177" s="20"/>
      <c r="Q177" s="20"/>
      <c r="R177" s="20">
        <v>25</v>
      </c>
      <c r="S177" s="20">
        <v>10</v>
      </c>
      <c r="T177" s="20">
        <v>50</v>
      </c>
      <c r="U177" s="20"/>
      <c r="V177" s="20"/>
      <c r="W177" s="20"/>
      <c r="X177" s="20"/>
      <c r="Y177" s="20"/>
      <c r="Z177" s="20"/>
    </row>
    <row r="178" spans="1:26" x14ac:dyDescent="0.3">
      <c r="A178" s="62" t="s">
        <v>567</v>
      </c>
      <c r="B178" s="62" t="s">
        <v>32</v>
      </c>
      <c r="C178" s="11">
        <v>690</v>
      </c>
      <c r="D178" s="10">
        <v>1</v>
      </c>
      <c r="E178" s="10">
        <v>1</v>
      </c>
      <c r="F178" s="63" t="s">
        <v>390</v>
      </c>
      <c r="G178" s="63" t="s">
        <v>391</v>
      </c>
      <c r="H178" s="11">
        <v>1580</v>
      </c>
      <c r="I178" s="11">
        <v>1580</v>
      </c>
      <c r="J178" s="11">
        <v>1580</v>
      </c>
      <c r="K178" s="64"/>
      <c r="L178" s="64">
        <v>45484</v>
      </c>
      <c r="M178" s="64">
        <v>45119</v>
      </c>
      <c r="O178" s="11">
        <v>1580</v>
      </c>
      <c r="P178" s="11"/>
      <c r="Q178" s="11"/>
      <c r="R178" s="11">
        <v>25</v>
      </c>
      <c r="S178" s="11">
        <v>10</v>
      </c>
      <c r="T178" s="11"/>
      <c r="U178" s="11"/>
      <c r="V178" s="11"/>
      <c r="W178" s="11"/>
      <c r="X178" s="11"/>
      <c r="Y178" s="11"/>
      <c r="Z178" s="11"/>
    </row>
    <row r="179" spans="1:26" x14ac:dyDescent="0.3">
      <c r="A179" s="59" t="s">
        <v>568</v>
      </c>
      <c r="B179" s="59" t="s">
        <v>64</v>
      </c>
      <c r="C179" s="20">
        <v>1109</v>
      </c>
      <c r="D179" s="19">
        <v>2</v>
      </c>
      <c r="E179" s="19">
        <v>2</v>
      </c>
      <c r="F179" s="60" t="s">
        <v>390</v>
      </c>
      <c r="G179" s="60" t="s">
        <v>391</v>
      </c>
      <c r="H179" s="20">
        <v>2255</v>
      </c>
      <c r="I179" s="20">
        <v>2130</v>
      </c>
      <c r="J179" s="20">
        <v>2130</v>
      </c>
      <c r="K179" s="61"/>
      <c r="L179" s="61">
        <v>45530</v>
      </c>
      <c r="M179" s="61">
        <v>44984</v>
      </c>
      <c r="O179" s="20">
        <v>2130</v>
      </c>
      <c r="P179" s="20"/>
      <c r="Q179" s="20">
        <v>210</v>
      </c>
      <c r="R179" s="20">
        <v>25</v>
      </c>
      <c r="S179" s="20">
        <v>10</v>
      </c>
      <c r="T179" s="20"/>
      <c r="U179" s="20"/>
      <c r="V179" s="20"/>
      <c r="W179" s="20"/>
      <c r="X179" s="20"/>
      <c r="Y179" s="20"/>
      <c r="Z179" s="20"/>
    </row>
    <row r="180" spans="1:26" x14ac:dyDescent="0.3">
      <c r="A180" s="62" t="s">
        <v>569</v>
      </c>
      <c r="B180" s="62" t="s">
        <v>59</v>
      </c>
      <c r="C180" s="11">
        <v>1082</v>
      </c>
      <c r="D180" s="10">
        <v>2</v>
      </c>
      <c r="E180" s="10">
        <v>2</v>
      </c>
      <c r="F180" s="63" t="s">
        <v>390</v>
      </c>
      <c r="G180" s="63" t="s">
        <v>391</v>
      </c>
      <c r="H180" s="11">
        <v>2305</v>
      </c>
      <c r="I180" s="11">
        <v>2305</v>
      </c>
      <c r="J180" s="11">
        <v>2305</v>
      </c>
      <c r="K180" s="64"/>
      <c r="L180" s="64">
        <v>45723</v>
      </c>
      <c r="M180" s="64">
        <v>45177</v>
      </c>
      <c r="O180" s="11">
        <v>2305</v>
      </c>
      <c r="P180" s="11"/>
      <c r="Q180" s="11"/>
      <c r="R180" s="11">
        <v>25</v>
      </c>
      <c r="S180" s="11">
        <v>10</v>
      </c>
      <c r="T180" s="11">
        <v>65</v>
      </c>
      <c r="U180" s="11"/>
      <c r="V180" s="11"/>
      <c r="W180" s="11"/>
      <c r="X180" s="11"/>
      <c r="Y180" s="11"/>
      <c r="Z180" s="11"/>
    </row>
    <row r="181" spans="1:26" x14ac:dyDescent="0.3">
      <c r="A181" s="59" t="s">
        <v>570</v>
      </c>
      <c r="B181" s="59" t="s">
        <v>68</v>
      </c>
      <c r="C181" s="20">
        <v>1213</v>
      </c>
      <c r="D181" s="19">
        <v>2</v>
      </c>
      <c r="E181" s="19">
        <v>2</v>
      </c>
      <c r="F181" s="60" t="s">
        <v>390</v>
      </c>
      <c r="G181" s="60" t="s">
        <v>391</v>
      </c>
      <c r="H181" s="20">
        <v>2210</v>
      </c>
      <c r="I181" s="20">
        <v>2205</v>
      </c>
      <c r="J181" s="20">
        <v>2205</v>
      </c>
      <c r="K181" s="61"/>
      <c r="L181" s="61">
        <v>45525</v>
      </c>
      <c r="M181" s="61">
        <v>45099</v>
      </c>
      <c r="O181" s="20">
        <v>2205</v>
      </c>
      <c r="P181" s="20"/>
      <c r="Q181" s="20">
        <v>300</v>
      </c>
      <c r="R181" s="20">
        <v>25</v>
      </c>
      <c r="S181" s="20">
        <v>10</v>
      </c>
      <c r="T181" s="20"/>
      <c r="U181" s="20"/>
      <c r="V181" s="20"/>
      <c r="W181" s="20"/>
      <c r="X181" s="20"/>
      <c r="Y181" s="20"/>
      <c r="Z181" s="20"/>
    </row>
    <row r="182" spans="1:26" x14ac:dyDescent="0.3">
      <c r="A182" s="62" t="s">
        <v>571</v>
      </c>
      <c r="B182" s="62" t="s">
        <v>51</v>
      </c>
      <c r="C182" s="11">
        <v>762</v>
      </c>
      <c r="D182" s="10">
        <v>1</v>
      </c>
      <c r="E182" s="10">
        <v>1</v>
      </c>
      <c r="F182" s="63" t="s">
        <v>390</v>
      </c>
      <c r="G182" s="63" t="s">
        <v>391</v>
      </c>
      <c r="H182" s="11">
        <v>1605</v>
      </c>
      <c r="I182" s="11">
        <v>1585</v>
      </c>
      <c r="J182" s="11">
        <v>1585</v>
      </c>
      <c r="K182" s="64"/>
      <c r="L182" s="64">
        <v>45531</v>
      </c>
      <c r="M182" s="64">
        <v>44985</v>
      </c>
      <c r="O182" s="11">
        <v>1585</v>
      </c>
      <c r="P182" s="11"/>
      <c r="Q182" s="11"/>
      <c r="R182" s="11">
        <v>25</v>
      </c>
      <c r="S182" s="11">
        <v>10</v>
      </c>
      <c r="T182" s="11"/>
      <c r="U182" s="11">
        <v>50</v>
      </c>
      <c r="V182" s="11"/>
      <c r="W182" s="11"/>
      <c r="X182" s="11"/>
      <c r="Y182" s="11"/>
      <c r="Z182" s="11"/>
    </row>
    <row r="183" spans="1:26" x14ac:dyDescent="0.3">
      <c r="A183" s="59" t="s">
        <v>572</v>
      </c>
      <c r="B183" s="59" t="s">
        <v>51</v>
      </c>
      <c r="C183" s="20">
        <v>762</v>
      </c>
      <c r="D183" s="19">
        <v>1</v>
      </c>
      <c r="E183" s="19">
        <v>1</v>
      </c>
      <c r="F183" s="60" t="s">
        <v>390</v>
      </c>
      <c r="G183" s="60" t="s">
        <v>397</v>
      </c>
      <c r="H183" s="20">
        <v>1605</v>
      </c>
      <c r="I183" s="20">
        <v>0</v>
      </c>
      <c r="J183" s="20">
        <v>0</v>
      </c>
      <c r="K183" s="61"/>
      <c r="L183" s="61"/>
      <c r="M183" s="61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x14ac:dyDescent="0.3">
      <c r="A184" s="62" t="s">
        <v>573</v>
      </c>
      <c r="B184" s="62" t="s">
        <v>68</v>
      </c>
      <c r="C184" s="11">
        <v>1213</v>
      </c>
      <c r="D184" s="10">
        <v>2</v>
      </c>
      <c r="E184" s="10">
        <v>2</v>
      </c>
      <c r="F184" s="63" t="s">
        <v>390</v>
      </c>
      <c r="G184" s="63" t="s">
        <v>391</v>
      </c>
      <c r="H184" s="11">
        <v>2210</v>
      </c>
      <c r="I184" s="11">
        <v>2120</v>
      </c>
      <c r="J184" s="11">
        <v>2120</v>
      </c>
      <c r="K184" s="64"/>
      <c r="L184" s="64">
        <v>45348</v>
      </c>
      <c r="M184" s="64">
        <v>44922</v>
      </c>
      <c r="O184" s="11">
        <v>2120</v>
      </c>
      <c r="P184" s="11"/>
      <c r="Q184" s="11">
        <v>295</v>
      </c>
      <c r="R184" s="11">
        <v>25</v>
      </c>
      <c r="S184" s="11">
        <v>10</v>
      </c>
      <c r="T184" s="11">
        <v>50</v>
      </c>
      <c r="U184" s="11">
        <v>50</v>
      </c>
      <c r="V184" s="11"/>
      <c r="W184" s="11"/>
      <c r="X184" s="11"/>
      <c r="Y184" s="11"/>
      <c r="Z184" s="11"/>
    </row>
    <row r="185" spans="1:26" x14ac:dyDescent="0.3">
      <c r="A185" s="59" t="s">
        <v>574</v>
      </c>
      <c r="B185" s="59" t="s">
        <v>59</v>
      </c>
      <c r="C185" s="20">
        <v>1082</v>
      </c>
      <c r="D185" s="19">
        <v>2</v>
      </c>
      <c r="E185" s="19">
        <v>2</v>
      </c>
      <c r="F185" s="60" t="s">
        <v>390</v>
      </c>
      <c r="G185" s="60" t="s">
        <v>391</v>
      </c>
      <c r="H185" s="20">
        <v>2355</v>
      </c>
      <c r="I185" s="20">
        <v>2355</v>
      </c>
      <c r="J185" s="20">
        <v>2355</v>
      </c>
      <c r="K185" s="61"/>
      <c r="L185" s="61">
        <v>45730</v>
      </c>
      <c r="M185" s="61">
        <v>45306</v>
      </c>
      <c r="O185" s="20">
        <v>2355</v>
      </c>
      <c r="P185" s="20">
        <v>-1177.5</v>
      </c>
      <c r="Q185" s="20"/>
      <c r="R185" s="20">
        <v>25</v>
      </c>
      <c r="S185" s="20">
        <v>10</v>
      </c>
      <c r="T185" s="20"/>
      <c r="U185" s="20"/>
      <c r="V185" s="20"/>
      <c r="W185" s="20"/>
      <c r="X185" s="20"/>
      <c r="Y185" s="20"/>
      <c r="Z185" s="20"/>
    </row>
    <row r="186" spans="1:26" x14ac:dyDescent="0.3">
      <c r="A186" s="62" t="s">
        <v>575</v>
      </c>
      <c r="B186" s="62" t="s">
        <v>68</v>
      </c>
      <c r="C186" s="11">
        <v>1213</v>
      </c>
      <c r="D186" s="10">
        <v>2</v>
      </c>
      <c r="E186" s="10">
        <v>2</v>
      </c>
      <c r="F186" s="63" t="s">
        <v>390</v>
      </c>
      <c r="G186" s="63" t="s">
        <v>391</v>
      </c>
      <c r="H186" s="11">
        <v>2130</v>
      </c>
      <c r="I186" s="11">
        <v>2125</v>
      </c>
      <c r="J186" s="11">
        <v>2125</v>
      </c>
      <c r="K186" s="64"/>
      <c r="L186" s="64">
        <v>45607</v>
      </c>
      <c r="M186" s="64">
        <v>45181</v>
      </c>
      <c r="O186" s="11">
        <v>2125</v>
      </c>
      <c r="P186" s="11"/>
      <c r="Q186" s="11">
        <v>350</v>
      </c>
      <c r="R186" s="11">
        <v>25</v>
      </c>
      <c r="S186" s="11">
        <v>10</v>
      </c>
      <c r="T186" s="11"/>
      <c r="U186" s="11"/>
      <c r="V186" s="11"/>
      <c r="W186" s="11"/>
      <c r="X186" s="11"/>
      <c r="Y186" s="11"/>
      <c r="Z186" s="11"/>
    </row>
    <row r="187" spans="1:26" x14ac:dyDescent="0.3">
      <c r="A187" s="59" t="s">
        <v>576</v>
      </c>
      <c r="B187" s="59" t="s">
        <v>36</v>
      </c>
      <c r="C187" s="20">
        <v>698</v>
      </c>
      <c r="D187" s="19">
        <v>1</v>
      </c>
      <c r="E187" s="19">
        <v>1</v>
      </c>
      <c r="F187" s="60" t="s">
        <v>390</v>
      </c>
      <c r="G187" s="60" t="s">
        <v>391</v>
      </c>
      <c r="H187" s="20">
        <v>1755</v>
      </c>
      <c r="I187" s="20">
        <v>1700</v>
      </c>
      <c r="J187" s="20">
        <v>1700</v>
      </c>
      <c r="K187" s="61"/>
      <c r="L187" s="61">
        <v>45730</v>
      </c>
      <c r="M187" s="61">
        <v>44880</v>
      </c>
      <c r="O187" s="20">
        <v>1700</v>
      </c>
      <c r="P187" s="20"/>
      <c r="Q187" s="20">
        <v>185</v>
      </c>
      <c r="R187" s="20">
        <v>25</v>
      </c>
      <c r="S187" s="20">
        <v>10</v>
      </c>
      <c r="T187" s="20"/>
      <c r="U187" s="20">
        <v>50</v>
      </c>
      <c r="V187" s="20"/>
      <c r="W187" s="20"/>
      <c r="X187" s="20"/>
      <c r="Y187" s="20"/>
      <c r="Z187" s="20"/>
    </row>
    <row r="188" spans="1:26" x14ac:dyDescent="0.3">
      <c r="A188" s="62" t="s">
        <v>577</v>
      </c>
      <c r="B188" s="62" t="s">
        <v>48</v>
      </c>
      <c r="C188" s="11">
        <v>762</v>
      </c>
      <c r="D188" s="10">
        <v>1</v>
      </c>
      <c r="E188" s="10">
        <v>1</v>
      </c>
      <c r="F188" s="63" t="s">
        <v>390</v>
      </c>
      <c r="G188" s="63" t="s">
        <v>391</v>
      </c>
      <c r="H188" s="11">
        <v>1565</v>
      </c>
      <c r="I188" s="11">
        <v>1525</v>
      </c>
      <c r="J188" s="11">
        <v>1525</v>
      </c>
      <c r="K188" s="64"/>
      <c r="L188" s="64">
        <v>45621</v>
      </c>
      <c r="M188" s="64">
        <v>45072</v>
      </c>
      <c r="O188" s="11">
        <v>1525</v>
      </c>
      <c r="P188" s="11"/>
      <c r="Q188" s="11"/>
      <c r="R188" s="11">
        <v>25</v>
      </c>
      <c r="S188" s="11">
        <v>10</v>
      </c>
      <c r="T188" s="11"/>
      <c r="U188" s="11">
        <v>50</v>
      </c>
      <c r="V188" s="11"/>
      <c r="W188" s="11"/>
      <c r="X188" s="11"/>
      <c r="Y188" s="11"/>
      <c r="Z188" s="11"/>
    </row>
    <row r="189" spans="1:26" x14ac:dyDescent="0.3">
      <c r="A189" s="59" t="s">
        <v>578</v>
      </c>
      <c r="B189" s="59" t="s">
        <v>36</v>
      </c>
      <c r="C189" s="20">
        <v>698</v>
      </c>
      <c r="D189" s="19">
        <v>1</v>
      </c>
      <c r="E189" s="19">
        <v>1</v>
      </c>
      <c r="F189" s="60" t="s">
        <v>390</v>
      </c>
      <c r="G189" s="60" t="s">
        <v>397</v>
      </c>
      <c r="H189" s="20">
        <v>1755</v>
      </c>
      <c r="I189" s="20">
        <v>0</v>
      </c>
      <c r="J189" s="20">
        <v>0</v>
      </c>
      <c r="K189" s="61"/>
      <c r="L189" s="61"/>
      <c r="M189" s="61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x14ac:dyDescent="0.3">
      <c r="A190" s="62" t="s">
        <v>579</v>
      </c>
      <c r="B190" s="62" t="s">
        <v>48</v>
      </c>
      <c r="C190" s="11">
        <v>762</v>
      </c>
      <c r="D190" s="10">
        <v>1</v>
      </c>
      <c r="E190" s="10">
        <v>1</v>
      </c>
      <c r="F190" s="63" t="s">
        <v>390</v>
      </c>
      <c r="G190" s="63" t="s">
        <v>391</v>
      </c>
      <c r="H190" s="11">
        <v>1565</v>
      </c>
      <c r="I190" s="11">
        <v>1555</v>
      </c>
      <c r="J190" s="11">
        <v>1555</v>
      </c>
      <c r="K190" s="64"/>
      <c r="L190" s="64">
        <v>45551</v>
      </c>
      <c r="M190" s="64">
        <v>45124</v>
      </c>
      <c r="O190" s="11">
        <v>1555</v>
      </c>
      <c r="P190" s="11"/>
      <c r="Q190" s="11"/>
      <c r="R190" s="11">
        <v>25</v>
      </c>
      <c r="S190" s="11">
        <v>10</v>
      </c>
      <c r="T190" s="11"/>
      <c r="U190" s="11"/>
      <c r="V190" s="11"/>
      <c r="W190" s="11"/>
      <c r="X190" s="11"/>
      <c r="Y190" s="11"/>
      <c r="Z190" s="11"/>
    </row>
    <row r="191" spans="1:26" x14ac:dyDescent="0.3">
      <c r="A191" s="59" t="s">
        <v>580</v>
      </c>
      <c r="B191" s="59" t="s">
        <v>59</v>
      </c>
      <c r="C191" s="20">
        <v>1082</v>
      </c>
      <c r="D191" s="19">
        <v>2</v>
      </c>
      <c r="E191" s="19">
        <v>2</v>
      </c>
      <c r="F191" s="60" t="s">
        <v>390</v>
      </c>
      <c r="G191" s="60" t="s">
        <v>391</v>
      </c>
      <c r="H191" s="20">
        <v>2355</v>
      </c>
      <c r="I191" s="20">
        <v>2300</v>
      </c>
      <c r="J191" s="20">
        <v>2300</v>
      </c>
      <c r="K191" s="61"/>
      <c r="L191" s="61">
        <v>45678</v>
      </c>
      <c r="M191" s="61">
        <v>45313</v>
      </c>
      <c r="O191" s="20">
        <v>2300</v>
      </c>
      <c r="P191" s="20">
        <v>-1150</v>
      </c>
      <c r="Q191" s="20"/>
      <c r="R191" s="20">
        <v>25</v>
      </c>
      <c r="S191" s="20">
        <v>10</v>
      </c>
      <c r="T191" s="20"/>
      <c r="U191" s="20"/>
      <c r="V191" s="20"/>
      <c r="W191" s="20"/>
      <c r="X191" s="20"/>
      <c r="Y191" s="20"/>
      <c r="Z191" s="20"/>
    </row>
    <row r="192" spans="1:26" x14ac:dyDescent="0.3">
      <c r="A192" s="62" t="s">
        <v>581</v>
      </c>
      <c r="B192" s="62" t="s">
        <v>68</v>
      </c>
      <c r="C192" s="11">
        <v>1213</v>
      </c>
      <c r="D192" s="10">
        <v>2</v>
      </c>
      <c r="E192" s="10">
        <v>2</v>
      </c>
      <c r="F192" s="63" t="s">
        <v>390</v>
      </c>
      <c r="G192" s="63" t="s">
        <v>391</v>
      </c>
      <c r="H192" s="11">
        <v>2130</v>
      </c>
      <c r="I192" s="11">
        <v>2125</v>
      </c>
      <c r="J192" s="11">
        <v>2125</v>
      </c>
      <c r="K192" s="64"/>
      <c r="L192" s="64">
        <v>45558</v>
      </c>
      <c r="M192" s="64">
        <v>45131</v>
      </c>
      <c r="O192" s="11">
        <v>2125</v>
      </c>
      <c r="P192" s="11"/>
      <c r="Q192" s="11"/>
      <c r="R192" s="11">
        <v>25</v>
      </c>
      <c r="S192" s="11">
        <v>10</v>
      </c>
      <c r="T192" s="11"/>
      <c r="U192" s="11"/>
      <c r="V192" s="11"/>
      <c r="W192" s="11"/>
      <c r="X192" s="11"/>
      <c r="Y192" s="11"/>
      <c r="Z192" s="11"/>
    </row>
    <row r="193" spans="1:26" x14ac:dyDescent="0.3">
      <c r="A193" s="59" t="s">
        <v>582</v>
      </c>
      <c r="B193" s="59" t="s">
        <v>59</v>
      </c>
      <c r="C193" s="20">
        <v>1082</v>
      </c>
      <c r="D193" s="19">
        <v>2</v>
      </c>
      <c r="E193" s="19">
        <v>2</v>
      </c>
      <c r="F193" s="60" t="s">
        <v>390</v>
      </c>
      <c r="G193" s="60" t="s">
        <v>391</v>
      </c>
      <c r="H193" s="20">
        <v>2355</v>
      </c>
      <c r="I193" s="20">
        <v>2355</v>
      </c>
      <c r="J193" s="20">
        <v>2355</v>
      </c>
      <c r="K193" s="61"/>
      <c r="L193" s="61">
        <v>45748</v>
      </c>
      <c r="M193" s="61">
        <v>45322</v>
      </c>
      <c r="O193" s="20">
        <v>2355</v>
      </c>
      <c r="P193" s="20"/>
      <c r="Q193" s="20"/>
      <c r="R193" s="20">
        <v>25</v>
      </c>
      <c r="S193" s="20">
        <v>10</v>
      </c>
      <c r="T193" s="20"/>
      <c r="U193" s="20"/>
      <c r="V193" s="20"/>
      <c r="W193" s="20"/>
      <c r="X193" s="20"/>
      <c r="Y193" s="20"/>
      <c r="Z193" s="20"/>
    </row>
    <row r="194" spans="1:26" x14ac:dyDescent="0.3">
      <c r="A194" s="62" t="s">
        <v>583</v>
      </c>
      <c r="B194" s="62" t="s">
        <v>68</v>
      </c>
      <c r="C194" s="11">
        <v>1213</v>
      </c>
      <c r="D194" s="10">
        <v>2</v>
      </c>
      <c r="E194" s="10">
        <v>2</v>
      </c>
      <c r="F194" s="63" t="s">
        <v>390</v>
      </c>
      <c r="G194" s="63" t="s">
        <v>391</v>
      </c>
      <c r="H194" s="11">
        <v>2175</v>
      </c>
      <c r="I194" s="11">
        <v>2170</v>
      </c>
      <c r="J194" s="11">
        <v>2170</v>
      </c>
      <c r="K194" s="64"/>
      <c r="L194" s="64">
        <v>45646</v>
      </c>
      <c r="M194" s="64">
        <v>45190</v>
      </c>
      <c r="O194" s="11">
        <v>2170</v>
      </c>
      <c r="P194" s="11"/>
      <c r="Q194" s="11">
        <v>350</v>
      </c>
      <c r="R194" s="11">
        <v>25</v>
      </c>
      <c r="S194" s="11">
        <v>10</v>
      </c>
      <c r="T194" s="11"/>
      <c r="U194" s="11"/>
      <c r="V194" s="11"/>
      <c r="W194" s="11"/>
      <c r="X194" s="11">
        <v>43</v>
      </c>
      <c r="Y194" s="11"/>
      <c r="Z194" s="11"/>
    </row>
    <row r="195" spans="1:26" x14ac:dyDescent="0.3">
      <c r="A195" s="59" t="s">
        <v>584</v>
      </c>
      <c r="B195" s="59" t="s">
        <v>36</v>
      </c>
      <c r="C195" s="20">
        <v>698</v>
      </c>
      <c r="D195" s="19">
        <v>1</v>
      </c>
      <c r="E195" s="19">
        <v>1</v>
      </c>
      <c r="F195" s="60" t="s">
        <v>390</v>
      </c>
      <c r="G195" s="60" t="s">
        <v>391</v>
      </c>
      <c r="H195" s="20">
        <v>1800</v>
      </c>
      <c r="I195" s="20">
        <v>1665</v>
      </c>
      <c r="J195" s="20">
        <v>1665</v>
      </c>
      <c r="K195" s="61"/>
      <c r="L195" s="61">
        <v>45357</v>
      </c>
      <c r="M195" s="61">
        <v>44933</v>
      </c>
      <c r="O195" s="20">
        <v>1665</v>
      </c>
      <c r="P195" s="20"/>
      <c r="Q195" s="20">
        <v>200</v>
      </c>
      <c r="R195" s="20">
        <v>25</v>
      </c>
      <c r="S195" s="20">
        <v>10</v>
      </c>
      <c r="T195" s="20"/>
      <c r="U195" s="20"/>
      <c r="V195" s="20"/>
      <c r="W195" s="20"/>
      <c r="X195" s="20"/>
      <c r="Y195" s="20"/>
      <c r="Z195" s="20"/>
    </row>
    <row r="196" spans="1:26" x14ac:dyDescent="0.3">
      <c r="A196" s="62" t="s">
        <v>585</v>
      </c>
      <c r="B196" s="62" t="s">
        <v>48</v>
      </c>
      <c r="C196" s="11">
        <v>762</v>
      </c>
      <c r="D196" s="10">
        <v>1</v>
      </c>
      <c r="E196" s="10">
        <v>1</v>
      </c>
      <c r="F196" s="63" t="s">
        <v>390</v>
      </c>
      <c r="G196" s="63" t="s">
        <v>391</v>
      </c>
      <c r="H196" s="11">
        <v>1610</v>
      </c>
      <c r="I196" s="11">
        <v>1545</v>
      </c>
      <c r="J196" s="11">
        <v>1545</v>
      </c>
      <c r="K196" s="64"/>
      <c r="L196" s="64">
        <v>45404</v>
      </c>
      <c r="M196" s="64">
        <v>44980</v>
      </c>
      <c r="O196" s="11">
        <v>1545</v>
      </c>
      <c r="P196" s="11"/>
      <c r="Q196" s="11"/>
      <c r="R196" s="11">
        <v>25</v>
      </c>
      <c r="S196" s="11">
        <v>10</v>
      </c>
      <c r="T196" s="11"/>
      <c r="U196" s="11"/>
      <c r="V196" s="11"/>
      <c r="W196" s="11"/>
      <c r="X196" s="11"/>
      <c r="Y196" s="11"/>
      <c r="Z196" s="11"/>
    </row>
    <row r="197" spans="1:26" x14ac:dyDescent="0.3">
      <c r="A197" s="59" t="s">
        <v>586</v>
      </c>
      <c r="B197" s="59" t="s">
        <v>36</v>
      </c>
      <c r="C197" s="20">
        <v>698</v>
      </c>
      <c r="D197" s="19">
        <v>1</v>
      </c>
      <c r="E197" s="19">
        <v>1</v>
      </c>
      <c r="F197" s="60" t="s">
        <v>390</v>
      </c>
      <c r="G197" s="60" t="s">
        <v>391</v>
      </c>
      <c r="H197" s="20">
        <v>1800</v>
      </c>
      <c r="I197" s="20">
        <v>1770</v>
      </c>
      <c r="J197" s="20">
        <v>1770</v>
      </c>
      <c r="K197" s="61"/>
      <c r="L197" s="61">
        <v>45649</v>
      </c>
      <c r="M197" s="61">
        <v>45223</v>
      </c>
      <c r="O197" s="20">
        <v>1770</v>
      </c>
      <c r="P197" s="20"/>
      <c r="Q197" s="20"/>
      <c r="R197" s="20">
        <v>25</v>
      </c>
      <c r="S197" s="20">
        <v>10</v>
      </c>
      <c r="T197" s="20"/>
      <c r="U197" s="20"/>
      <c r="V197" s="20"/>
      <c r="W197" s="20"/>
      <c r="X197" s="20">
        <v>42</v>
      </c>
      <c r="Y197" s="20"/>
      <c r="Z197" s="20"/>
    </row>
    <row r="198" spans="1:26" x14ac:dyDescent="0.3">
      <c r="A198" s="62" t="s">
        <v>587</v>
      </c>
      <c r="B198" s="62" t="s">
        <v>48</v>
      </c>
      <c r="C198" s="11">
        <v>762</v>
      </c>
      <c r="D198" s="10">
        <v>1</v>
      </c>
      <c r="E198" s="10">
        <v>1</v>
      </c>
      <c r="F198" s="63" t="s">
        <v>390</v>
      </c>
      <c r="G198" s="63" t="s">
        <v>391</v>
      </c>
      <c r="H198" s="11">
        <v>1610</v>
      </c>
      <c r="I198" s="11">
        <v>1560</v>
      </c>
      <c r="J198" s="11">
        <v>1560</v>
      </c>
      <c r="K198" s="64"/>
      <c r="L198" s="64">
        <v>45640</v>
      </c>
      <c r="M198" s="64">
        <v>45092</v>
      </c>
      <c r="O198" s="11">
        <v>1560</v>
      </c>
      <c r="P198" s="11"/>
      <c r="Q198" s="11"/>
      <c r="R198" s="11">
        <v>25</v>
      </c>
      <c r="S198" s="11">
        <v>10</v>
      </c>
      <c r="T198" s="11">
        <v>65</v>
      </c>
      <c r="U198" s="11"/>
      <c r="V198" s="11"/>
      <c r="W198" s="11"/>
      <c r="X198" s="11"/>
      <c r="Y198" s="11"/>
      <c r="Z198" s="11"/>
    </row>
    <row r="199" spans="1:26" x14ac:dyDescent="0.3">
      <c r="A199" s="59" t="s">
        <v>588</v>
      </c>
      <c r="B199" s="59" t="s">
        <v>59</v>
      </c>
      <c r="C199" s="20">
        <v>1082</v>
      </c>
      <c r="D199" s="19">
        <v>2</v>
      </c>
      <c r="E199" s="19">
        <v>2</v>
      </c>
      <c r="F199" s="60" t="s">
        <v>390</v>
      </c>
      <c r="G199" s="60" t="s">
        <v>397</v>
      </c>
      <c r="H199" s="20">
        <v>2400</v>
      </c>
      <c r="I199" s="20">
        <v>0</v>
      </c>
      <c r="J199" s="20">
        <v>0</v>
      </c>
      <c r="K199" s="61"/>
      <c r="L199" s="61"/>
      <c r="M199" s="61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x14ac:dyDescent="0.3">
      <c r="A200" s="62" t="s">
        <v>589</v>
      </c>
      <c r="B200" s="62" t="s">
        <v>68</v>
      </c>
      <c r="C200" s="11">
        <v>1213</v>
      </c>
      <c r="D200" s="10">
        <v>2</v>
      </c>
      <c r="E200" s="10">
        <v>2</v>
      </c>
      <c r="F200" s="63" t="s">
        <v>390</v>
      </c>
      <c r="G200" s="63" t="s">
        <v>391</v>
      </c>
      <c r="H200" s="11">
        <v>2175</v>
      </c>
      <c r="I200" s="11">
        <v>2140</v>
      </c>
      <c r="J200" s="11">
        <v>2140</v>
      </c>
      <c r="K200" s="64"/>
      <c r="L200" s="64">
        <v>45706</v>
      </c>
      <c r="M200" s="64">
        <v>44914</v>
      </c>
      <c r="O200" s="11">
        <v>2140</v>
      </c>
      <c r="P200" s="11"/>
      <c r="Q200" s="11">
        <v>190</v>
      </c>
      <c r="R200" s="11">
        <v>25</v>
      </c>
      <c r="S200" s="11">
        <v>10</v>
      </c>
      <c r="T200" s="11"/>
      <c r="U200" s="11"/>
      <c r="V200" s="11"/>
      <c r="W200" s="11"/>
      <c r="X200" s="11"/>
      <c r="Y200" s="11"/>
      <c r="Z200" s="11"/>
    </row>
    <row r="201" spans="1:26" x14ac:dyDescent="0.3">
      <c r="A201" s="59" t="s">
        <v>590</v>
      </c>
      <c r="B201" s="59" t="s">
        <v>62</v>
      </c>
      <c r="C201" s="20">
        <v>1082</v>
      </c>
      <c r="D201" s="19">
        <v>2</v>
      </c>
      <c r="E201" s="19">
        <v>2</v>
      </c>
      <c r="F201" s="60" t="s">
        <v>390</v>
      </c>
      <c r="G201" s="60" t="s">
        <v>391</v>
      </c>
      <c r="H201" s="20">
        <v>2190</v>
      </c>
      <c r="I201" s="20">
        <v>2085</v>
      </c>
      <c r="J201" s="20">
        <v>2085</v>
      </c>
      <c r="K201" s="61"/>
      <c r="L201" s="61">
        <v>45672</v>
      </c>
      <c r="M201" s="61">
        <v>45275</v>
      </c>
      <c r="O201" s="20">
        <v>2085</v>
      </c>
      <c r="P201" s="20"/>
      <c r="Q201" s="20">
        <v>298</v>
      </c>
      <c r="R201" s="20">
        <v>25</v>
      </c>
      <c r="S201" s="20">
        <v>10</v>
      </c>
      <c r="T201" s="20"/>
      <c r="U201" s="20"/>
      <c r="V201" s="20"/>
      <c r="W201" s="20"/>
      <c r="X201" s="20"/>
      <c r="Y201" s="20"/>
      <c r="Z201" s="20"/>
    </row>
    <row r="202" spans="1:26" x14ac:dyDescent="0.3">
      <c r="A202" s="62" t="s">
        <v>591</v>
      </c>
      <c r="B202" s="62" t="s">
        <v>39</v>
      </c>
      <c r="C202" s="11">
        <v>719</v>
      </c>
      <c r="D202" s="10">
        <v>1</v>
      </c>
      <c r="E202" s="10">
        <v>1</v>
      </c>
      <c r="F202" s="63" t="s">
        <v>390</v>
      </c>
      <c r="G202" s="63" t="s">
        <v>391</v>
      </c>
      <c r="H202" s="11">
        <v>1630</v>
      </c>
      <c r="I202" s="11">
        <v>1550</v>
      </c>
      <c r="J202" s="11">
        <v>1550</v>
      </c>
      <c r="K202" s="64"/>
      <c r="L202" s="64">
        <v>45404</v>
      </c>
      <c r="M202" s="64">
        <v>45003</v>
      </c>
      <c r="O202" s="11">
        <v>1550</v>
      </c>
      <c r="P202" s="11"/>
      <c r="Q202" s="11"/>
      <c r="R202" s="11">
        <v>25</v>
      </c>
      <c r="S202" s="11">
        <v>10</v>
      </c>
      <c r="T202" s="11"/>
      <c r="U202" s="11"/>
      <c r="V202" s="11"/>
      <c r="W202" s="11"/>
      <c r="X202" s="11"/>
      <c r="Y202" s="11"/>
      <c r="Z202" s="11"/>
    </row>
    <row r="203" spans="1:26" x14ac:dyDescent="0.3">
      <c r="A203" s="59" t="s">
        <v>592</v>
      </c>
      <c r="B203" s="59" t="s">
        <v>39</v>
      </c>
      <c r="C203" s="20">
        <v>719</v>
      </c>
      <c r="D203" s="19">
        <v>1</v>
      </c>
      <c r="E203" s="19">
        <v>1</v>
      </c>
      <c r="F203" s="60" t="s">
        <v>390</v>
      </c>
      <c r="G203" s="60" t="s">
        <v>391</v>
      </c>
      <c r="H203" s="20">
        <v>1630</v>
      </c>
      <c r="I203" s="20">
        <v>1515</v>
      </c>
      <c r="J203" s="20">
        <v>1515</v>
      </c>
      <c r="K203" s="61"/>
      <c r="L203" s="61">
        <v>45464</v>
      </c>
      <c r="M203" s="61">
        <v>44917</v>
      </c>
      <c r="O203" s="20">
        <v>1515</v>
      </c>
      <c r="P203" s="20"/>
      <c r="Q203" s="20"/>
      <c r="R203" s="20">
        <v>25</v>
      </c>
      <c r="S203" s="20">
        <v>10</v>
      </c>
      <c r="T203" s="20"/>
      <c r="U203" s="20"/>
      <c r="V203" s="20"/>
      <c r="W203" s="20"/>
      <c r="X203" s="20"/>
      <c r="Y203" s="20"/>
      <c r="Z203" s="20"/>
    </row>
    <row r="204" spans="1:26" x14ac:dyDescent="0.3">
      <c r="A204" s="62" t="s">
        <v>593</v>
      </c>
      <c r="B204" s="62" t="s">
        <v>53</v>
      </c>
      <c r="C204" s="11">
        <v>803</v>
      </c>
      <c r="D204" s="10">
        <v>1</v>
      </c>
      <c r="E204" s="10">
        <v>1</v>
      </c>
      <c r="F204" s="63" t="s">
        <v>390</v>
      </c>
      <c r="G204" s="63" t="s">
        <v>391</v>
      </c>
      <c r="H204" s="11">
        <v>1680</v>
      </c>
      <c r="I204" s="11">
        <v>1680</v>
      </c>
      <c r="J204" s="11">
        <v>1680</v>
      </c>
      <c r="K204" s="64"/>
      <c r="L204" s="64">
        <v>45773</v>
      </c>
      <c r="M204" s="64">
        <v>45318</v>
      </c>
      <c r="O204" s="11">
        <v>1680</v>
      </c>
      <c r="P204" s="11"/>
      <c r="Q204" s="11">
        <v>185</v>
      </c>
      <c r="R204" s="11">
        <v>25</v>
      </c>
      <c r="S204" s="11">
        <v>10</v>
      </c>
      <c r="T204" s="11"/>
      <c r="U204" s="11"/>
      <c r="V204" s="11"/>
      <c r="W204" s="11"/>
      <c r="X204" s="11"/>
      <c r="Y204" s="11"/>
      <c r="Z204" s="11"/>
    </row>
    <row r="205" spans="1:26" x14ac:dyDescent="0.3">
      <c r="A205" s="59" t="s">
        <v>594</v>
      </c>
      <c r="B205" s="59" t="s">
        <v>53</v>
      </c>
      <c r="C205" s="20">
        <v>803</v>
      </c>
      <c r="D205" s="19">
        <v>1</v>
      </c>
      <c r="E205" s="19">
        <v>1</v>
      </c>
      <c r="F205" s="60" t="s">
        <v>390</v>
      </c>
      <c r="G205" s="60" t="s">
        <v>391</v>
      </c>
      <c r="H205" s="20">
        <v>1680</v>
      </c>
      <c r="I205" s="20">
        <v>1665</v>
      </c>
      <c r="J205" s="20">
        <v>1665</v>
      </c>
      <c r="K205" s="61"/>
      <c r="L205" s="61">
        <v>45702</v>
      </c>
      <c r="M205" s="61">
        <v>44880</v>
      </c>
      <c r="O205" s="20">
        <v>1665</v>
      </c>
      <c r="P205" s="20"/>
      <c r="Q205" s="20"/>
      <c r="R205" s="20">
        <v>25</v>
      </c>
      <c r="S205" s="20">
        <v>10</v>
      </c>
      <c r="T205" s="20"/>
      <c r="U205" s="20">
        <v>25</v>
      </c>
      <c r="V205" s="20"/>
      <c r="W205" s="20"/>
      <c r="X205" s="20"/>
      <c r="Y205" s="20"/>
      <c r="Z205" s="20"/>
    </row>
    <row r="206" spans="1:26" x14ac:dyDescent="0.3">
      <c r="A206" s="62" t="s">
        <v>595</v>
      </c>
      <c r="B206" s="62" t="s">
        <v>39</v>
      </c>
      <c r="C206" s="11">
        <v>719</v>
      </c>
      <c r="D206" s="10">
        <v>1</v>
      </c>
      <c r="E206" s="10">
        <v>1</v>
      </c>
      <c r="F206" s="63" t="s">
        <v>390</v>
      </c>
      <c r="G206" s="63" t="s">
        <v>391</v>
      </c>
      <c r="H206" s="11">
        <v>1630</v>
      </c>
      <c r="I206" s="11">
        <v>1435</v>
      </c>
      <c r="J206" s="11">
        <v>1435</v>
      </c>
      <c r="K206" s="64"/>
      <c r="L206" s="64">
        <v>45720</v>
      </c>
      <c r="M206" s="64">
        <v>45296</v>
      </c>
      <c r="O206" s="11">
        <v>1435</v>
      </c>
      <c r="P206" s="11">
        <v>-717.5</v>
      </c>
      <c r="Q206" s="11"/>
      <c r="R206" s="11">
        <v>25</v>
      </c>
      <c r="S206" s="11">
        <v>10</v>
      </c>
      <c r="T206" s="11"/>
      <c r="U206" s="11"/>
      <c r="V206" s="11"/>
      <c r="W206" s="11"/>
      <c r="X206" s="11"/>
      <c r="Y206" s="11"/>
      <c r="Z206" s="11"/>
    </row>
    <row r="207" spans="1:26" x14ac:dyDescent="0.3">
      <c r="A207" s="59" t="s">
        <v>596</v>
      </c>
      <c r="B207" s="59" t="s">
        <v>39</v>
      </c>
      <c r="C207" s="20">
        <v>719</v>
      </c>
      <c r="D207" s="19">
        <v>1</v>
      </c>
      <c r="E207" s="19">
        <v>1</v>
      </c>
      <c r="F207" s="60" t="s">
        <v>390</v>
      </c>
      <c r="G207" s="60" t="s">
        <v>391</v>
      </c>
      <c r="H207" s="20">
        <v>1630</v>
      </c>
      <c r="I207" s="20">
        <v>1485</v>
      </c>
      <c r="J207" s="20">
        <v>1485</v>
      </c>
      <c r="K207" s="61"/>
      <c r="L207" s="61">
        <v>45716</v>
      </c>
      <c r="M207" s="61">
        <v>45290</v>
      </c>
      <c r="O207" s="20">
        <v>1485</v>
      </c>
      <c r="P207" s="20">
        <v>-742.5</v>
      </c>
      <c r="Q207" s="20"/>
      <c r="R207" s="20">
        <v>25</v>
      </c>
      <c r="S207" s="20">
        <v>10</v>
      </c>
      <c r="T207" s="20"/>
      <c r="U207" s="20">
        <v>25</v>
      </c>
      <c r="V207" s="20"/>
      <c r="W207" s="20"/>
      <c r="X207" s="20"/>
      <c r="Y207" s="20"/>
      <c r="Z207" s="20"/>
    </row>
    <row r="208" spans="1:26" x14ac:dyDescent="0.3">
      <c r="A208" s="62" t="s">
        <v>597</v>
      </c>
      <c r="B208" s="62" t="s">
        <v>59</v>
      </c>
      <c r="C208" s="11">
        <v>1082</v>
      </c>
      <c r="D208" s="10">
        <v>2</v>
      </c>
      <c r="E208" s="10">
        <v>2</v>
      </c>
      <c r="F208" s="63" t="s">
        <v>390</v>
      </c>
      <c r="G208" s="63" t="s">
        <v>397</v>
      </c>
      <c r="H208" s="11">
        <v>2340</v>
      </c>
      <c r="I208" s="11">
        <v>0</v>
      </c>
      <c r="J208" s="11">
        <v>0</v>
      </c>
      <c r="K208" s="64"/>
      <c r="L208" s="64"/>
      <c r="M208" s="6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59" t="s">
        <v>598</v>
      </c>
      <c r="B209" s="59" t="s">
        <v>68</v>
      </c>
      <c r="C209" s="20">
        <v>1213</v>
      </c>
      <c r="D209" s="19">
        <v>2</v>
      </c>
      <c r="E209" s="19">
        <v>2</v>
      </c>
      <c r="F209" s="60" t="s">
        <v>390</v>
      </c>
      <c r="G209" s="60" t="s">
        <v>391</v>
      </c>
      <c r="H209" s="20">
        <v>2210</v>
      </c>
      <c r="I209" s="20">
        <v>2180</v>
      </c>
      <c r="J209" s="20">
        <v>2180</v>
      </c>
      <c r="K209" s="61"/>
      <c r="L209" s="61">
        <v>45577</v>
      </c>
      <c r="M209" s="61">
        <v>45029</v>
      </c>
      <c r="O209" s="20">
        <v>2180</v>
      </c>
      <c r="P209" s="20"/>
      <c r="Q209" s="20"/>
      <c r="R209" s="20">
        <v>25</v>
      </c>
      <c r="S209" s="20">
        <v>10</v>
      </c>
      <c r="T209" s="20"/>
      <c r="U209" s="20">
        <v>50</v>
      </c>
      <c r="V209" s="20"/>
      <c r="W209" s="20"/>
      <c r="X209" s="20">
        <v>42</v>
      </c>
      <c r="Y209" s="20"/>
      <c r="Z209" s="20"/>
    </row>
    <row r="210" spans="1:26" x14ac:dyDescent="0.3">
      <c r="A210" s="62" t="s">
        <v>599</v>
      </c>
      <c r="B210" s="62" t="s">
        <v>59</v>
      </c>
      <c r="C210" s="11">
        <v>1082</v>
      </c>
      <c r="D210" s="10">
        <v>2</v>
      </c>
      <c r="E210" s="10">
        <v>2</v>
      </c>
      <c r="F210" s="63" t="s">
        <v>390</v>
      </c>
      <c r="G210" s="63" t="s">
        <v>391</v>
      </c>
      <c r="H210" s="11">
        <v>2260</v>
      </c>
      <c r="I210" s="11">
        <v>2095</v>
      </c>
      <c r="J210" s="11">
        <v>2095</v>
      </c>
      <c r="K210" s="64"/>
      <c r="L210" s="64">
        <v>44869</v>
      </c>
      <c r="M210" s="64">
        <v>44839</v>
      </c>
      <c r="O210" s="11">
        <v>2095</v>
      </c>
      <c r="P210" s="11"/>
      <c r="Q210" s="11">
        <v>290</v>
      </c>
      <c r="R210" s="11">
        <v>25</v>
      </c>
      <c r="S210" s="11">
        <v>10</v>
      </c>
      <c r="T210" s="11"/>
      <c r="U210" s="11"/>
      <c r="V210" s="11">
        <v>-1047.5</v>
      </c>
      <c r="W210" s="11"/>
      <c r="X210" s="11"/>
      <c r="Y210" s="11"/>
      <c r="Z210" s="11"/>
    </row>
    <row r="211" spans="1:26" x14ac:dyDescent="0.3">
      <c r="A211" s="59" t="s">
        <v>600</v>
      </c>
      <c r="B211" s="59" t="s">
        <v>59</v>
      </c>
      <c r="C211" s="20">
        <v>1082</v>
      </c>
      <c r="D211" s="19">
        <v>2</v>
      </c>
      <c r="E211" s="19">
        <v>2</v>
      </c>
      <c r="F211" s="60" t="s">
        <v>390</v>
      </c>
      <c r="G211" s="60" t="s">
        <v>391</v>
      </c>
      <c r="H211" s="20">
        <v>2260</v>
      </c>
      <c r="I211" s="20">
        <v>2260</v>
      </c>
      <c r="J211" s="20">
        <v>2260</v>
      </c>
      <c r="K211" s="61"/>
      <c r="L211" s="61">
        <v>45588</v>
      </c>
      <c r="M211" s="61">
        <v>45162</v>
      </c>
      <c r="O211" s="20">
        <v>2260</v>
      </c>
      <c r="P211" s="20"/>
      <c r="Q211" s="20"/>
      <c r="R211" s="20">
        <v>25</v>
      </c>
      <c r="S211" s="20">
        <v>10</v>
      </c>
      <c r="T211" s="20"/>
      <c r="U211" s="20"/>
      <c r="V211" s="20"/>
      <c r="W211" s="20"/>
      <c r="X211" s="20"/>
      <c r="Y211" s="20"/>
      <c r="Z211" s="20"/>
    </row>
    <row r="212" spans="1:26" x14ac:dyDescent="0.3">
      <c r="A212" s="62" t="s">
        <v>601</v>
      </c>
      <c r="B212" s="62" t="s">
        <v>32</v>
      </c>
      <c r="C212" s="11">
        <v>690</v>
      </c>
      <c r="D212" s="10">
        <v>1</v>
      </c>
      <c r="E212" s="10">
        <v>1</v>
      </c>
      <c r="F212" s="63" t="s">
        <v>390</v>
      </c>
      <c r="G212" s="63" t="s">
        <v>391</v>
      </c>
      <c r="H212" s="11">
        <v>1575</v>
      </c>
      <c r="I212" s="11">
        <v>1415</v>
      </c>
      <c r="J212" s="11">
        <v>1415</v>
      </c>
      <c r="K212" s="64"/>
      <c r="L212" s="64">
        <v>45716</v>
      </c>
      <c r="M212" s="64">
        <v>45290</v>
      </c>
      <c r="O212" s="11">
        <v>1415</v>
      </c>
      <c r="P212" s="11">
        <v>-707.5</v>
      </c>
      <c r="Q212" s="11"/>
      <c r="R212" s="11">
        <v>25</v>
      </c>
      <c r="S212" s="11">
        <v>10</v>
      </c>
      <c r="T212" s="11"/>
      <c r="U212" s="11"/>
      <c r="V212" s="11"/>
      <c r="W212" s="11"/>
      <c r="X212" s="11"/>
      <c r="Y212" s="11"/>
      <c r="Z212" s="11"/>
    </row>
    <row r="213" spans="1:26" x14ac:dyDescent="0.3">
      <c r="A213" s="59" t="s">
        <v>602</v>
      </c>
      <c r="B213" s="59" t="s">
        <v>39</v>
      </c>
      <c r="C213" s="20">
        <v>719</v>
      </c>
      <c r="D213" s="19">
        <v>1</v>
      </c>
      <c r="E213" s="19">
        <v>1</v>
      </c>
      <c r="F213" s="60" t="s">
        <v>390</v>
      </c>
      <c r="G213" s="60" t="s">
        <v>391</v>
      </c>
      <c r="H213" s="20">
        <v>1550</v>
      </c>
      <c r="I213" s="20">
        <v>1435</v>
      </c>
      <c r="J213" s="20">
        <v>1435</v>
      </c>
      <c r="K213" s="61"/>
      <c r="L213" s="61">
        <v>45382</v>
      </c>
      <c r="M213" s="61">
        <v>44958</v>
      </c>
      <c r="O213" s="20">
        <v>1435</v>
      </c>
      <c r="P213" s="20"/>
      <c r="Q213" s="20"/>
      <c r="R213" s="20">
        <v>25</v>
      </c>
      <c r="S213" s="20">
        <v>10</v>
      </c>
      <c r="T213" s="20"/>
      <c r="U213" s="20"/>
      <c r="V213" s="20"/>
      <c r="W213" s="20"/>
      <c r="X213" s="20"/>
      <c r="Y213" s="20"/>
      <c r="Z213" s="20"/>
    </row>
    <row r="214" spans="1:26" x14ac:dyDescent="0.3">
      <c r="A214" s="62" t="s">
        <v>603</v>
      </c>
      <c r="B214" s="62" t="s">
        <v>32</v>
      </c>
      <c r="C214" s="11">
        <v>690</v>
      </c>
      <c r="D214" s="10">
        <v>1</v>
      </c>
      <c r="E214" s="10">
        <v>1</v>
      </c>
      <c r="F214" s="63" t="s">
        <v>390</v>
      </c>
      <c r="G214" s="63" t="s">
        <v>391</v>
      </c>
      <c r="H214" s="11">
        <v>1575</v>
      </c>
      <c r="I214" s="11">
        <v>1535</v>
      </c>
      <c r="J214" s="11">
        <v>1535</v>
      </c>
      <c r="K214" s="64"/>
      <c r="L214" s="64">
        <v>45744</v>
      </c>
      <c r="M214" s="64">
        <v>44894</v>
      </c>
      <c r="O214" s="11">
        <v>1535</v>
      </c>
      <c r="P214" s="11"/>
      <c r="Q214" s="11"/>
      <c r="R214" s="11">
        <v>25</v>
      </c>
      <c r="S214" s="11">
        <v>10</v>
      </c>
      <c r="T214" s="11"/>
      <c r="U214" s="11">
        <v>25</v>
      </c>
      <c r="V214" s="11"/>
      <c r="W214" s="11"/>
      <c r="X214" s="11"/>
      <c r="Y214" s="11"/>
      <c r="Z214" s="11"/>
    </row>
    <row r="215" spans="1:26" x14ac:dyDescent="0.3">
      <c r="A215" s="59" t="s">
        <v>604</v>
      </c>
      <c r="B215" s="59" t="s">
        <v>39</v>
      </c>
      <c r="C215" s="20">
        <v>719</v>
      </c>
      <c r="D215" s="19">
        <v>1</v>
      </c>
      <c r="E215" s="19">
        <v>1</v>
      </c>
      <c r="F215" s="60" t="s">
        <v>390</v>
      </c>
      <c r="G215" s="60" t="s">
        <v>391</v>
      </c>
      <c r="H215" s="20">
        <v>1550</v>
      </c>
      <c r="I215" s="20">
        <v>1485</v>
      </c>
      <c r="J215" s="20">
        <v>1485</v>
      </c>
      <c r="K215" s="61"/>
      <c r="L215" s="61">
        <v>45524</v>
      </c>
      <c r="M215" s="61">
        <v>45098</v>
      </c>
      <c r="O215" s="20">
        <v>1485</v>
      </c>
      <c r="P215" s="20"/>
      <c r="Q215" s="20"/>
      <c r="R215" s="20">
        <v>25</v>
      </c>
      <c r="S215" s="20">
        <v>10</v>
      </c>
      <c r="T215" s="20"/>
      <c r="U215" s="20">
        <v>25</v>
      </c>
      <c r="V215" s="20"/>
      <c r="W215" s="20"/>
      <c r="X215" s="20"/>
      <c r="Y215" s="20"/>
      <c r="Z215" s="20"/>
    </row>
    <row r="216" spans="1:26" x14ac:dyDescent="0.3">
      <c r="A216" s="62" t="s">
        <v>605</v>
      </c>
      <c r="B216" s="62" t="s">
        <v>39</v>
      </c>
      <c r="C216" s="11">
        <v>719</v>
      </c>
      <c r="D216" s="10">
        <v>1</v>
      </c>
      <c r="E216" s="10">
        <v>1</v>
      </c>
      <c r="F216" s="63" t="s">
        <v>390</v>
      </c>
      <c r="G216" s="63" t="s">
        <v>391</v>
      </c>
      <c r="H216" s="11">
        <v>1590</v>
      </c>
      <c r="I216" s="11">
        <v>1525</v>
      </c>
      <c r="J216" s="11">
        <v>1525</v>
      </c>
      <c r="K216" s="64"/>
      <c r="L216" s="64">
        <v>45442</v>
      </c>
      <c r="M216" s="64">
        <v>44957</v>
      </c>
      <c r="O216" s="11">
        <v>1525</v>
      </c>
      <c r="P216" s="11"/>
      <c r="Q216" s="11"/>
      <c r="R216" s="11">
        <v>25</v>
      </c>
      <c r="S216" s="11">
        <v>10</v>
      </c>
      <c r="T216" s="11"/>
      <c r="U216" s="11"/>
      <c r="V216" s="11"/>
      <c r="W216" s="11"/>
      <c r="X216" s="11"/>
      <c r="Y216" s="11"/>
      <c r="Z216" s="11"/>
    </row>
    <row r="217" spans="1:26" x14ac:dyDescent="0.3">
      <c r="A217" s="59" t="s">
        <v>606</v>
      </c>
      <c r="B217" s="59" t="s">
        <v>53</v>
      </c>
      <c r="C217" s="20">
        <v>803</v>
      </c>
      <c r="D217" s="19">
        <v>1</v>
      </c>
      <c r="E217" s="19">
        <v>1</v>
      </c>
      <c r="F217" s="60" t="s">
        <v>390</v>
      </c>
      <c r="G217" s="60" t="s">
        <v>391</v>
      </c>
      <c r="H217" s="20">
        <v>1600</v>
      </c>
      <c r="I217" s="20">
        <v>1560</v>
      </c>
      <c r="J217" s="20">
        <v>1560</v>
      </c>
      <c r="K217" s="61"/>
      <c r="L217" s="61">
        <v>45169</v>
      </c>
      <c r="M217" s="61">
        <v>44957</v>
      </c>
      <c r="O217" s="20">
        <v>1560</v>
      </c>
      <c r="P217" s="20"/>
      <c r="Q217" s="20"/>
      <c r="R217" s="20">
        <v>25</v>
      </c>
      <c r="S217" s="20">
        <v>10</v>
      </c>
      <c r="T217" s="20"/>
      <c r="U217" s="20"/>
      <c r="V217" s="20"/>
      <c r="W217" s="20">
        <v>-780</v>
      </c>
      <c r="X217" s="20"/>
      <c r="Y217" s="20"/>
      <c r="Z217" s="20"/>
    </row>
    <row r="218" spans="1:26" x14ac:dyDescent="0.3">
      <c r="A218" s="62" t="s">
        <v>607</v>
      </c>
      <c r="B218" s="62" t="s">
        <v>39</v>
      </c>
      <c r="C218" s="11">
        <v>719</v>
      </c>
      <c r="D218" s="10">
        <v>1</v>
      </c>
      <c r="E218" s="10">
        <v>1</v>
      </c>
      <c r="F218" s="63" t="s">
        <v>390</v>
      </c>
      <c r="G218" s="63" t="s">
        <v>391</v>
      </c>
      <c r="H218" s="11">
        <v>1550</v>
      </c>
      <c r="I218" s="11">
        <v>1485</v>
      </c>
      <c r="J218" s="11">
        <v>1485</v>
      </c>
      <c r="K218" s="64"/>
      <c r="L218" s="64">
        <v>45498</v>
      </c>
      <c r="M218" s="64">
        <v>44952</v>
      </c>
      <c r="O218" s="11">
        <v>1485</v>
      </c>
      <c r="P218" s="11"/>
      <c r="Q218" s="11"/>
      <c r="R218" s="11">
        <v>25</v>
      </c>
      <c r="S218" s="11">
        <v>10</v>
      </c>
      <c r="T218" s="11"/>
      <c r="U218" s="11"/>
      <c r="V218" s="11"/>
      <c r="W218" s="11"/>
      <c r="X218" s="11"/>
      <c r="Y218" s="11"/>
      <c r="Z218" s="11"/>
    </row>
    <row r="219" spans="1:26" x14ac:dyDescent="0.3">
      <c r="A219" s="59" t="s">
        <v>608</v>
      </c>
      <c r="B219" s="59" t="s">
        <v>53</v>
      </c>
      <c r="C219" s="20">
        <v>803</v>
      </c>
      <c r="D219" s="19">
        <v>1</v>
      </c>
      <c r="E219" s="19">
        <v>1</v>
      </c>
      <c r="F219" s="60" t="s">
        <v>390</v>
      </c>
      <c r="G219" s="60" t="s">
        <v>391</v>
      </c>
      <c r="H219" s="20">
        <v>1600</v>
      </c>
      <c r="I219" s="20">
        <v>1640</v>
      </c>
      <c r="J219" s="20">
        <v>1640</v>
      </c>
      <c r="K219" s="61"/>
      <c r="L219" s="61">
        <v>45703</v>
      </c>
      <c r="M219" s="61">
        <v>44911</v>
      </c>
      <c r="O219" s="20">
        <v>1640</v>
      </c>
      <c r="P219" s="20"/>
      <c r="Q219" s="20">
        <v>185</v>
      </c>
      <c r="R219" s="20">
        <v>25</v>
      </c>
      <c r="S219" s="20">
        <v>10</v>
      </c>
      <c r="T219" s="20"/>
      <c r="U219" s="20"/>
      <c r="V219" s="20"/>
      <c r="W219" s="20"/>
      <c r="X219" s="20"/>
      <c r="Y219" s="20"/>
      <c r="Z219" s="20"/>
    </row>
    <row r="220" spans="1:26" x14ac:dyDescent="0.3">
      <c r="A220" s="62" t="s">
        <v>609</v>
      </c>
      <c r="B220" s="62" t="s">
        <v>32</v>
      </c>
      <c r="C220" s="11">
        <v>690</v>
      </c>
      <c r="D220" s="10">
        <v>1</v>
      </c>
      <c r="E220" s="10">
        <v>1</v>
      </c>
      <c r="F220" s="63" t="s">
        <v>390</v>
      </c>
      <c r="G220" s="63" t="s">
        <v>391</v>
      </c>
      <c r="H220" s="11">
        <v>1535</v>
      </c>
      <c r="I220" s="11">
        <v>1375</v>
      </c>
      <c r="J220" s="11">
        <v>1375</v>
      </c>
      <c r="K220" s="64"/>
      <c r="L220" s="64">
        <v>45655</v>
      </c>
      <c r="M220" s="64">
        <v>45199</v>
      </c>
      <c r="O220" s="11">
        <v>1375</v>
      </c>
      <c r="P220" s="11"/>
      <c r="Q220" s="11"/>
      <c r="R220" s="11">
        <v>25</v>
      </c>
      <c r="S220" s="11">
        <v>10</v>
      </c>
      <c r="T220" s="11"/>
      <c r="U220" s="11"/>
      <c r="V220" s="11"/>
      <c r="W220" s="11"/>
      <c r="X220" s="11"/>
      <c r="Y220" s="11"/>
      <c r="Z220" s="11"/>
    </row>
    <row r="221" spans="1:26" x14ac:dyDescent="0.3">
      <c r="A221" s="59" t="s">
        <v>610</v>
      </c>
      <c r="B221" s="59" t="s">
        <v>39</v>
      </c>
      <c r="C221" s="20">
        <v>719</v>
      </c>
      <c r="D221" s="19">
        <v>1</v>
      </c>
      <c r="E221" s="19">
        <v>1</v>
      </c>
      <c r="F221" s="60" t="s">
        <v>390</v>
      </c>
      <c r="G221" s="60" t="s">
        <v>391</v>
      </c>
      <c r="H221" s="20">
        <v>1550</v>
      </c>
      <c r="I221" s="20">
        <v>1485</v>
      </c>
      <c r="J221" s="20">
        <v>1485</v>
      </c>
      <c r="K221" s="61"/>
      <c r="L221" s="61">
        <v>45496</v>
      </c>
      <c r="M221" s="61">
        <v>45070</v>
      </c>
      <c r="O221" s="20">
        <v>1485</v>
      </c>
      <c r="P221" s="20"/>
      <c r="Q221" s="20"/>
      <c r="R221" s="20">
        <v>25</v>
      </c>
      <c r="S221" s="20">
        <v>10</v>
      </c>
      <c r="T221" s="20"/>
      <c r="U221" s="20">
        <v>50</v>
      </c>
      <c r="V221" s="20"/>
      <c r="W221" s="20"/>
      <c r="X221" s="20"/>
      <c r="Y221" s="20"/>
      <c r="Z221" s="20"/>
    </row>
    <row r="222" spans="1:26" x14ac:dyDescent="0.3">
      <c r="A222" s="62" t="s">
        <v>611</v>
      </c>
      <c r="B222" s="62" t="s">
        <v>32</v>
      </c>
      <c r="C222" s="11">
        <v>690</v>
      </c>
      <c r="D222" s="10">
        <v>1</v>
      </c>
      <c r="E222" s="10">
        <v>1</v>
      </c>
      <c r="F222" s="63" t="s">
        <v>390</v>
      </c>
      <c r="G222" s="63" t="s">
        <v>391</v>
      </c>
      <c r="H222" s="11">
        <v>1535</v>
      </c>
      <c r="I222" s="11">
        <v>1400</v>
      </c>
      <c r="J222" s="11">
        <v>1400</v>
      </c>
      <c r="K222" s="64"/>
      <c r="L222" s="64">
        <v>45371</v>
      </c>
      <c r="M222" s="64">
        <v>44947</v>
      </c>
      <c r="O222" s="11">
        <v>1400</v>
      </c>
      <c r="P222" s="11"/>
      <c r="Q222" s="11"/>
      <c r="R222" s="11">
        <v>25</v>
      </c>
      <c r="S222" s="11">
        <v>10</v>
      </c>
      <c r="T222" s="11"/>
      <c r="U222" s="11"/>
      <c r="V222" s="11"/>
      <c r="W222" s="11"/>
      <c r="X222" s="11"/>
      <c r="Y222" s="11"/>
      <c r="Z222" s="11"/>
    </row>
    <row r="223" spans="1:26" x14ac:dyDescent="0.3">
      <c r="A223" s="59" t="s">
        <v>612</v>
      </c>
      <c r="B223" s="59" t="s">
        <v>39</v>
      </c>
      <c r="C223" s="20">
        <v>719</v>
      </c>
      <c r="D223" s="19">
        <v>1</v>
      </c>
      <c r="E223" s="19">
        <v>1</v>
      </c>
      <c r="F223" s="60" t="s">
        <v>390</v>
      </c>
      <c r="G223" s="60" t="s">
        <v>391</v>
      </c>
      <c r="H223" s="20">
        <v>1550</v>
      </c>
      <c r="I223" s="20">
        <v>1485</v>
      </c>
      <c r="J223" s="20">
        <v>1485</v>
      </c>
      <c r="K223" s="61"/>
      <c r="L223" s="61">
        <v>45527</v>
      </c>
      <c r="M223" s="61">
        <v>45101</v>
      </c>
      <c r="O223" s="20">
        <v>1485</v>
      </c>
      <c r="P223" s="20"/>
      <c r="Q223" s="20">
        <v>325</v>
      </c>
      <c r="R223" s="20">
        <v>25</v>
      </c>
      <c r="S223" s="20">
        <v>10</v>
      </c>
      <c r="T223" s="20"/>
      <c r="U223" s="20"/>
      <c r="V223" s="20"/>
      <c r="W223" s="20"/>
      <c r="X223" s="20"/>
      <c r="Y223" s="20"/>
      <c r="Z223" s="20"/>
    </row>
    <row r="224" spans="1:26" x14ac:dyDescent="0.3">
      <c r="A224" s="62" t="s">
        <v>613</v>
      </c>
      <c r="B224" s="62" t="s">
        <v>59</v>
      </c>
      <c r="C224" s="11">
        <v>1082</v>
      </c>
      <c r="D224" s="10">
        <v>2</v>
      </c>
      <c r="E224" s="10">
        <v>2</v>
      </c>
      <c r="F224" s="63" t="s">
        <v>390</v>
      </c>
      <c r="G224" s="63" t="s">
        <v>397</v>
      </c>
      <c r="H224" s="11">
        <v>2260</v>
      </c>
      <c r="I224" s="11">
        <v>0</v>
      </c>
      <c r="J224" s="11">
        <v>0</v>
      </c>
      <c r="K224" s="64"/>
      <c r="L224" s="64"/>
      <c r="M224" s="6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59" t="s">
        <v>614</v>
      </c>
      <c r="B225" s="59" t="s">
        <v>68</v>
      </c>
      <c r="C225" s="20">
        <v>1213</v>
      </c>
      <c r="D225" s="19">
        <v>2</v>
      </c>
      <c r="E225" s="19">
        <v>2</v>
      </c>
      <c r="F225" s="60" t="s">
        <v>390</v>
      </c>
      <c r="G225" s="60" t="s">
        <v>391</v>
      </c>
      <c r="H225" s="20">
        <v>2130</v>
      </c>
      <c r="I225" s="20">
        <v>2100</v>
      </c>
      <c r="J225" s="20">
        <v>2100</v>
      </c>
      <c r="K225" s="61"/>
      <c r="L225" s="61">
        <v>45419</v>
      </c>
      <c r="M225" s="61">
        <v>44993</v>
      </c>
      <c r="O225" s="20">
        <v>2100</v>
      </c>
      <c r="P225" s="20"/>
      <c r="Q225" s="20"/>
      <c r="R225" s="20">
        <v>25</v>
      </c>
      <c r="S225" s="20">
        <v>10</v>
      </c>
      <c r="T225" s="20"/>
      <c r="U225" s="20"/>
      <c r="V225" s="20"/>
      <c r="W225" s="20"/>
      <c r="X225" s="20">
        <v>29</v>
      </c>
      <c r="Y225" s="20"/>
      <c r="Z225" s="20"/>
    </row>
    <row r="226" spans="1:26" x14ac:dyDescent="0.3">
      <c r="A226" s="62" t="s">
        <v>615</v>
      </c>
      <c r="B226" s="62" t="s">
        <v>59</v>
      </c>
      <c r="C226" s="11">
        <v>1082</v>
      </c>
      <c r="D226" s="10">
        <v>2</v>
      </c>
      <c r="E226" s="10">
        <v>2</v>
      </c>
      <c r="F226" s="63" t="s">
        <v>390</v>
      </c>
      <c r="G226" s="63" t="s">
        <v>397</v>
      </c>
      <c r="H226" s="11">
        <v>2305</v>
      </c>
      <c r="I226" s="11">
        <v>0</v>
      </c>
      <c r="J226" s="11">
        <v>0</v>
      </c>
      <c r="K226" s="64"/>
      <c r="L226" s="64"/>
      <c r="M226" s="6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59" t="s">
        <v>616</v>
      </c>
      <c r="B227" s="59" t="s">
        <v>59</v>
      </c>
      <c r="C227" s="20">
        <v>1082</v>
      </c>
      <c r="D227" s="19">
        <v>2</v>
      </c>
      <c r="E227" s="19">
        <v>2</v>
      </c>
      <c r="F227" s="60" t="s">
        <v>390</v>
      </c>
      <c r="G227" s="60" t="s">
        <v>391</v>
      </c>
      <c r="H227" s="20">
        <v>2305</v>
      </c>
      <c r="I227" s="20">
        <v>2150</v>
      </c>
      <c r="J227" s="20">
        <v>2150</v>
      </c>
      <c r="K227" s="61"/>
      <c r="L227" s="61">
        <v>45287</v>
      </c>
      <c r="M227" s="61">
        <v>44862</v>
      </c>
      <c r="O227" s="20">
        <v>2150</v>
      </c>
      <c r="P227" s="20"/>
      <c r="Q227" s="20">
        <v>185</v>
      </c>
      <c r="R227" s="20">
        <v>25</v>
      </c>
      <c r="S227" s="20">
        <v>10</v>
      </c>
      <c r="T227" s="20"/>
      <c r="U227" s="20">
        <v>25</v>
      </c>
      <c r="V227" s="20"/>
      <c r="W227" s="20"/>
      <c r="X227" s="20"/>
      <c r="Y227" s="20">
        <v>400</v>
      </c>
      <c r="Z227" s="20"/>
    </row>
    <row r="228" spans="1:26" x14ac:dyDescent="0.3">
      <c r="A228" s="62" t="s">
        <v>617</v>
      </c>
      <c r="B228" s="62" t="s">
        <v>32</v>
      </c>
      <c r="C228" s="11">
        <v>690</v>
      </c>
      <c r="D228" s="10">
        <v>1</v>
      </c>
      <c r="E228" s="10">
        <v>1</v>
      </c>
      <c r="F228" s="63" t="s">
        <v>390</v>
      </c>
      <c r="G228" s="63" t="s">
        <v>391</v>
      </c>
      <c r="H228" s="11">
        <v>1620</v>
      </c>
      <c r="I228" s="11">
        <v>1540</v>
      </c>
      <c r="J228" s="11">
        <v>1540</v>
      </c>
      <c r="K228" s="64"/>
      <c r="L228" s="64">
        <v>45732</v>
      </c>
      <c r="M228" s="64">
        <v>44882</v>
      </c>
      <c r="O228" s="11">
        <v>1540</v>
      </c>
      <c r="P228" s="11"/>
      <c r="Q228" s="11"/>
      <c r="R228" s="11">
        <v>25</v>
      </c>
      <c r="S228" s="11">
        <v>10</v>
      </c>
      <c r="T228" s="11"/>
      <c r="U228" s="11">
        <v>25</v>
      </c>
      <c r="V228" s="11"/>
      <c r="W228" s="11"/>
      <c r="X228" s="11"/>
      <c r="Y228" s="11"/>
      <c r="Z228" s="11"/>
    </row>
    <row r="229" spans="1:26" x14ac:dyDescent="0.3">
      <c r="A229" s="59" t="s">
        <v>618</v>
      </c>
      <c r="B229" s="59" t="s">
        <v>39</v>
      </c>
      <c r="C229" s="20">
        <v>719</v>
      </c>
      <c r="D229" s="19">
        <v>1</v>
      </c>
      <c r="E229" s="19">
        <v>1</v>
      </c>
      <c r="F229" s="60" t="s">
        <v>390</v>
      </c>
      <c r="G229" s="60" t="s">
        <v>391</v>
      </c>
      <c r="H229" s="20">
        <v>1595</v>
      </c>
      <c r="I229" s="20">
        <v>1520</v>
      </c>
      <c r="J229" s="20">
        <v>1520</v>
      </c>
      <c r="K229" s="61"/>
      <c r="L229" s="61">
        <v>45616</v>
      </c>
      <c r="M229" s="61">
        <v>45128</v>
      </c>
      <c r="O229" s="20">
        <v>1520</v>
      </c>
      <c r="P229" s="20"/>
      <c r="Q229" s="20"/>
      <c r="R229" s="20">
        <v>25</v>
      </c>
      <c r="S229" s="20">
        <v>10</v>
      </c>
      <c r="T229" s="20"/>
      <c r="U229" s="20">
        <v>25</v>
      </c>
      <c r="V229" s="20"/>
      <c r="W229" s="20"/>
      <c r="X229" s="20"/>
      <c r="Y229" s="20"/>
      <c r="Z229" s="20"/>
    </row>
    <row r="230" spans="1:26" x14ac:dyDescent="0.3">
      <c r="A230" s="62" t="s">
        <v>619</v>
      </c>
      <c r="B230" s="62" t="s">
        <v>32</v>
      </c>
      <c r="C230" s="11">
        <v>690</v>
      </c>
      <c r="D230" s="10">
        <v>1</v>
      </c>
      <c r="E230" s="10">
        <v>1</v>
      </c>
      <c r="F230" s="63" t="s">
        <v>390</v>
      </c>
      <c r="G230" s="63" t="s">
        <v>391</v>
      </c>
      <c r="H230" s="11">
        <v>1620</v>
      </c>
      <c r="I230" s="11">
        <v>1590</v>
      </c>
      <c r="J230" s="11">
        <v>1590</v>
      </c>
      <c r="K230" s="64"/>
      <c r="L230" s="64">
        <v>45731</v>
      </c>
      <c r="M230" s="64">
        <v>44881</v>
      </c>
      <c r="O230" s="11">
        <v>1590</v>
      </c>
      <c r="P230" s="11"/>
      <c r="Q230" s="11">
        <v>350</v>
      </c>
      <c r="R230" s="11">
        <v>25</v>
      </c>
      <c r="S230" s="11">
        <v>10</v>
      </c>
      <c r="T230" s="11"/>
      <c r="U230" s="11"/>
      <c r="V230" s="11"/>
      <c r="W230" s="11"/>
      <c r="X230" s="11"/>
      <c r="Y230" s="11"/>
      <c r="Z230" s="11"/>
    </row>
    <row r="231" spans="1:26" x14ac:dyDescent="0.3">
      <c r="A231" s="59" t="s">
        <v>620</v>
      </c>
      <c r="B231" s="59" t="s">
        <v>39</v>
      </c>
      <c r="C231" s="20">
        <v>719</v>
      </c>
      <c r="D231" s="19">
        <v>1</v>
      </c>
      <c r="E231" s="19">
        <v>1</v>
      </c>
      <c r="F231" s="60" t="s">
        <v>390</v>
      </c>
      <c r="G231" s="60" t="s">
        <v>391</v>
      </c>
      <c r="H231" s="20">
        <v>1595</v>
      </c>
      <c r="I231" s="20">
        <v>1505</v>
      </c>
      <c r="J231" s="20">
        <v>1505</v>
      </c>
      <c r="K231" s="61"/>
      <c r="L231" s="61">
        <v>45455</v>
      </c>
      <c r="M231" s="61">
        <v>45029</v>
      </c>
      <c r="O231" s="20">
        <v>1505</v>
      </c>
      <c r="P231" s="20"/>
      <c r="Q231" s="20"/>
      <c r="R231" s="20">
        <v>25</v>
      </c>
      <c r="S231" s="20">
        <v>10</v>
      </c>
      <c r="T231" s="20">
        <v>60</v>
      </c>
      <c r="U231" s="20"/>
      <c r="V231" s="20"/>
      <c r="W231" s="20"/>
      <c r="X231" s="20"/>
      <c r="Y231" s="20"/>
      <c r="Z231" s="20"/>
    </row>
    <row r="232" spans="1:26" x14ac:dyDescent="0.3">
      <c r="A232" s="62" t="s">
        <v>621</v>
      </c>
      <c r="B232" s="62" t="s">
        <v>39</v>
      </c>
      <c r="C232" s="11">
        <v>719</v>
      </c>
      <c r="D232" s="10">
        <v>1</v>
      </c>
      <c r="E232" s="10">
        <v>1</v>
      </c>
      <c r="F232" s="63" t="s">
        <v>390</v>
      </c>
      <c r="G232" s="63" t="s">
        <v>391</v>
      </c>
      <c r="H232" s="11">
        <v>1635</v>
      </c>
      <c r="I232" s="11">
        <v>1635</v>
      </c>
      <c r="J232" s="11">
        <v>1635</v>
      </c>
      <c r="K232" s="64"/>
      <c r="L232" s="64">
        <v>45626</v>
      </c>
      <c r="M232" s="64">
        <v>44866</v>
      </c>
      <c r="O232" s="11">
        <v>1635</v>
      </c>
      <c r="P232" s="11"/>
      <c r="Q232" s="11">
        <v>185</v>
      </c>
      <c r="R232" s="11">
        <v>25</v>
      </c>
      <c r="S232" s="11">
        <v>10</v>
      </c>
      <c r="T232" s="11"/>
      <c r="U232" s="11"/>
      <c r="V232" s="11"/>
      <c r="W232" s="11"/>
      <c r="X232" s="11"/>
      <c r="Y232" s="11"/>
      <c r="Z232" s="11"/>
    </row>
    <row r="233" spans="1:26" x14ac:dyDescent="0.3">
      <c r="A233" s="59" t="s">
        <v>622</v>
      </c>
      <c r="B233" s="59" t="s">
        <v>53</v>
      </c>
      <c r="C233" s="20">
        <v>803</v>
      </c>
      <c r="D233" s="19">
        <v>1</v>
      </c>
      <c r="E233" s="19">
        <v>1</v>
      </c>
      <c r="F233" s="60" t="s">
        <v>390</v>
      </c>
      <c r="G233" s="60" t="s">
        <v>391</v>
      </c>
      <c r="H233" s="20">
        <v>1645</v>
      </c>
      <c r="I233" s="20">
        <v>1580</v>
      </c>
      <c r="J233" s="20">
        <v>1580</v>
      </c>
      <c r="K233" s="61"/>
      <c r="L233" s="61">
        <v>45559</v>
      </c>
      <c r="M233" s="61">
        <v>45010</v>
      </c>
      <c r="O233" s="20">
        <v>1580</v>
      </c>
      <c r="P233" s="20"/>
      <c r="Q233" s="20"/>
      <c r="R233" s="20">
        <v>25</v>
      </c>
      <c r="S233" s="20">
        <v>10</v>
      </c>
      <c r="T233" s="20"/>
      <c r="U233" s="20"/>
      <c r="V233" s="20"/>
      <c r="W233" s="20"/>
      <c r="X233" s="20"/>
      <c r="Y233" s="20"/>
      <c r="Z233" s="20">
        <v>40</v>
      </c>
    </row>
    <row r="234" spans="1:26" x14ac:dyDescent="0.3">
      <c r="A234" s="62" t="s">
        <v>623</v>
      </c>
      <c r="B234" s="62" t="s">
        <v>39</v>
      </c>
      <c r="C234" s="11">
        <v>719</v>
      </c>
      <c r="D234" s="10">
        <v>1</v>
      </c>
      <c r="E234" s="10">
        <v>1</v>
      </c>
      <c r="F234" s="63" t="s">
        <v>390</v>
      </c>
      <c r="G234" s="63" t="s">
        <v>391</v>
      </c>
      <c r="H234" s="11">
        <v>1595</v>
      </c>
      <c r="I234" s="11">
        <v>1505</v>
      </c>
      <c r="J234" s="11">
        <v>1505</v>
      </c>
      <c r="K234" s="64"/>
      <c r="L234" s="64">
        <v>45515</v>
      </c>
      <c r="M234" s="64">
        <v>45089</v>
      </c>
      <c r="O234" s="11">
        <v>1505</v>
      </c>
      <c r="P234" s="11"/>
      <c r="Q234" s="11"/>
      <c r="R234" s="11">
        <v>25</v>
      </c>
      <c r="S234" s="11">
        <v>10</v>
      </c>
      <c r="T234" s="11"/>
      <c r="U234" s="11"/>
      <c r="V234" s="11"/>
      <c r="W234" s="11"/>
      <c r="X234" s="11"/>
      <c r="Y234" s="11"/>
      <c r="Z234" s="11"/>
    </row>
    <row r="235" spans="1:26" x14ac:dyDescent="0.3">
      <c r="A235" s="59" t="s">
        <v>624</v>
      </c>
      <c r="B235" s="59" t="s">
        <v>53</v>
      </c>
      <c r="C235" s="20">
        <v>803</v>
      </c>
      <c r="D235" s="19">
        <v>1</v>
      </c>
      <c r="E235" s="19">
        <v>1</v>
      </c>
      <c r="F235" s="60" t="s">
        <v>390</v>
      </c>
      <c r="G235" s="60" t="s">
        <v>391</v>
      </c>
      <c r="H235" s="20">
        <v>1645</v>
      </c>
      <c r="I235" s="20">
        <v>1465</v>
      </c>
      <c r="J235" s="20">
        <v>1465</v>
      </c>
      <c r="K235" s="61"/>
      <c r="L235" s="61">
        <v>45513</v>
      </c>
      <c r="M235" s="61">
        <v>44967</v>
      </c>
      <c r="O235" s="20">
        <v>1465</v>
      </c>
      <c r="P235" s="20"/>
      <c r="Q235" s="20"/>
      <c r="R235" s="20">
        <v>25</v>
      </c>
      <c r="S235" s="20">
        <v>10</v>
      </c>
      <c r="T235" s="20">
        <v>50</v>
      </c>
      <c r="U235" s="20"/>
      <c r="V235" s="20"/>
      <c r="W235" s="20"/>
      <c r="X235" s="20"/>
      <c r="Y235" s="20"/>
      <c r="Z235" s="20"/>
    </row>
    <row r="236" spans="1:26" x14ac:dyDescent="0.3">
      <c r="A236" s="62" t="s">
        <v>625</v>
      </c>
      <c r="B236" s="62" t="s">
        <v>32</v>
      </c>
      <c r="C236" s="11">
        <v>690</v>
      </c>
      <c r="D236" s="10">
        <v>1</v>
      </c>
      <c r="E236" s="10">
        <v>1</v>
      </c>
      <c r="F236" s="63" t="s">
        <v>390</v>
      </c>
      <c r="G236" s="63" t="s">
        <v>397</v>
      </c>
      <c r="H236" s="11">
        <v>1580</v>
      </c>
      <c r="I236" s="11">
        <v>0</v>
      </c>
      <c r="J236" s="11">
        <v>0</v>
      </c>
      <c r="K236" s="64"/>
      <c r="L236" s="64"/>
      <c r="M236" s="6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59" t="s">
        <v>626</v>
      </c>
      <c r="B237" s="59" t="s">
        <v>39</v>
      </c>
      <c r="C237" s="20">
        <v>719</v>
      </c>
      <c r="D237" s="19">
        <v>1</v>
      </c>
      <c r="E237" s="19">
        <v>1</v>
      </c>
      <c r="F237" s="60" t="s">
        <v>390</v>
      </c>
      <c r="G237" s="60" t="s">
        <v>391</v>
      </c>
      <c r="H237" s="20">
        <v>1595</v>
      </c>
      <c r="I237" s="20">
        <v>1485</v>
      </c>
      <c r="J237" s="20">
        <v>1485</v>
      </c>
      <c r="K237" s="61"/>
      <c r="L237" s="61">
        <v>45501</v>
      </c>
      <c r="M237" s="61">
        <v>45136</v>
      </c>
      <c r="O237" s="20">
        <v>1485</v>
      </c>
      <c r="P237" s="20"/>
      <c r="Q237" s="20"/>
      <c r="R237" s="20">
        <v>25</v>
      </c>
      <c r="S237" s="20">
        <v>10</v>
      </c>
      <c r="T237" s="20">
        <v>65</v>
      </c>
      <c r="U237" s="20"/>
      <c r="V237" s="20"/>
      <c r="W237" s="20"/>
      <c r="X237" s="20"/>
      <c r="Y237" s="20"/>
      <c r="Z237" s="20"/>
    </row>
    <row r="238" spans="1:26" x14ac:dyDescent="0.3">
      <c r="A238" s="62" t="s">
        <v>627</v>
      </c>
      <c r="B238" s="62" t="s">
        <v>32</v>
      </c>
      <c r="C238" s="11">
        <v>690</v>
      </c>
      <c r="D238" s="10">
        <v>1</v>
      </c>
      <c r="E238" s="10">
        <v>1</v>
      </c>
      <c r="F238" s="63" t="s">
        <v>390</v>
      </c>
      <c r="G238" s="63" t="s">
        <v>391</v>
      </c>
      <c r="H238" s="11">
        <v>1580</v>
      </c>
      <c r="I238" s="11">
        <v>1460</v>
      </c>
      <c r="J238" s="11">
        <v>1460</v>
      </c>
      <c r="K238" s="64"/>
      <c r="L238" s="64">
        <v>45370</v>
      </c>
      <c r="M238" s="64">
        <v>44946</v>
      </c>
      <c r="O238" s="11">
        <v>1460</v>
      </c>
      <c r="P238" s="11"/>
      <c r="Q238" s="11"/>
      <c r="R238" s="11">
        <v>25</v>
      </c>
      <c r="S238" s="11">
        <v>10</v>
      </c>
      <c r="T238" s="11">
        <v>50</v>
      </c>
      <c r="U238" s="11"/>
      <c r="V238" s="11"/>
      <c r="W238" s="11"/>
      <c r="X238" s="11"/>
      <c r="Y238" s="11"/>
      <c r="Z238" s="11"/>
    </row>
    <row r="239" spans="1:26" x14ac:dyDescent="0.3">
      <c r="A239" s="59" t="s">
        <v>628</v>
      </c>
      <c r="B239" s="59" t="s">
        <v>39</v>
      </c>
      <c r="C239" s="20">
        <v>719</v>
      </c>
      <c r="D239" s="19">
        <v>1</v>
      </c>
      <c r="E239" s="19">
        <v>1</v>
      </c>
      <c r="F239" s="60" t="s">
        <v>390</v>
      </c>
      <c r="G239" s="60" t="s">
        <v>391</v>
      </c>
      <c r="H239" s="20">
        <v>1595</v>
      </c>
      <c r="I239" s="20">
        <v>1485</v>
      </c>
      <c r="J239" s="20">
        <v>1485</v>
      </c>
      <c r="K239" s="61"/>
      <c r="L239" s="61">
        <v>45486</v>
      </c>
      <c r="M239" s="61">
        <v>45121</v>
      </c>
      <c r="O239" s="20">
        <v>1485</v>
      </c>
      <c r="P239" s="20"/>
      <c r="Q239" s="20"/>
      <c r="R239" s="20">
        <v>25</v>
      </c>
      <c r="S239" s="20">
        <v>10</v>
      </c>
      <c r="T239" s="20"/>
      <c r="U239" s="20"/>
      <c r="V239" s="20"/>
      <c r="W239" s="20"/>
      <c r="X239" s="20"/>
      <c r="Y239" s="20"/>
      <c r="Z239" s="20"/>
    </row>
    <row r="240" spans="1:26" x14ac:dyDescent="0.3">
      <c r="A240" s="62" t="s">
        <v>629</v>
      </c>
      <c r="B240" s="62" t="s">
        <v>59</v>
      </c>
      <c r="C240" s="11">
        <v>1082</v>
      </c>
      <c r="D240" s="10">
        <v>2</v>
      </c>
      <c r="E240" s="10">
        <v>2</v>
      </c>
      <c r="F240" s="63" t="s">
        <v>390</v>
      </c>
      <c r="G240" s="63" t="s">
        <v>391</v>
      </c>
      <c r="H240" s="11">
        <v>2305</v>
      </c>
      <c r="I240" s="11">
        <v>2150</v>
      </c>
      <c r="J240" s="11">
        <v>2150</v>
      </c>
      <c r="K240" s="64"/>
      <c r="L240" s="64">
        <v>45578</v>
      </c>
      <c r="M240" s="64">
        <v>44848</v>
      </c>
      <c r="O240" s="11">
        <v>2150</v>
      </c>
      <c r="P240" s="11"/>
      <c r="Q240" s="11">
        <v>185</v>
      </c>
      <c r="R240" s="11">
        <v>25</v>
      </c>
      <c r="S240" s="11">
        <v>10</v>
      </c>
      <c r="T240" s="11"/>
      <c r="U240" s="11"/>
      <c r="V240" s="11"/>
      <c r="W240" s="11"/>
      <c r="X240" s="11"/>
      <c r="Y240" s="11"/>
      <c r="Z240" s="11"/>
    </row>
    <row r="241" spans="1:26" x14ac:dyDescent="0.3">
      <c r="A241" s="59" t="s">
        <v>630</v>
      </c>
      <c r="B241" s="59" t="s">
        <v>68</v>
      </c>
      <c r="C241" s="20">
        <v>1213</v>
      </c>
      <c r="D241" s="19">
        <v>2</v>
      </c>
      <c r="E241" s="19">
        <v>2</v>
      </c>
      <c r="F241" s="60" t="s">
        <v>390</v>
      </c>
      <c r="G241" s="60" t="s">
        <v>391</v>
      </c>
      <c r="H241" s="20">
        <v>2175</v>
      </c>
      <c r="I241" s="20">
        <v>2135</v>
      </c>
      <c r="J241" s="20">
        <v>2135</v>
      </c>
      <c r="K241" s="61"/>
      <c r="L241" s="61">
        <v>45504</v>
      </c>
      <c r="M241" s="61">
        <v>45078</v>
      </c>
      <c r="O241" s="20">
        <v>2135</v>
      </c>
      <c r="P241" s="20"/>
      <c r="Q241" s="20">
        <v>300</v>
      </c>
      <c r="R241" s="20">
        <v>25</v>
      </c>
      <c r="S241" s="20">
        <v>10</v>
      </c>
      <c r="T241" s="20"/>
      <c r="U241" s="20"/>
      <c r="V241" s="20"/>
      <c r="W241" s="20"/>
      <c r="X241" s="20"/>
      <c r="Y241" s="20"/>
      <c r="Z241" s="20"/>
    </row>
    <row r="242" spans="1:26" x14ac:dyDescent="0.3">
      <c r="A242" s="62" t="s">
        <v>631</v>
      </c>
      <c r="B242" s="62" t="s">
        <v>62</v>
      </c>
      <c r="C242" s="11">
        <v>1082</v>
      </c>
      <c r="D242" s="10">
        <v>2</v>
      </c>
      <c r="E242" s="10">
        <v>2</v>
      </c>
      <c r="F242" s="63" t="s">
        <v>390</v>
      </c>
      <c r="G242" s="63" t="s">
        <v>397</v>
      </c>
      <c r="H242" s="11">
        <v>2285</v>
      </c>
      <c r="I242" s="11">
        <v>0</v>
      </c>
      <c r="J242" s="11">
        <v>0</v>
      </c>
      <c r="K242" s="64"/>
      <c r="L242" s="64"/>
      <c r="M242" s="6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59" t="s">
        <v>632</v>
      </c>
      <c r="B243" s="59" t="s">
        <v>68</v>
      </c>
      <c r="C243" s="20">
        <v>1213</v>
      </c>
      <c r="D243" s="19">
        <v>2</v>
      </c>
      <c r="E243" s="19">
        <v>2</v>
      </c>
      <c r="F243" s="60" t="s">
        <v>390</v>
      </c>
      <c r="G243" s="60" t="s">
        <v>391</v>
      </c>
      <c r="H243" s="20">
        <v>2210</v>
      </c>
      <c r="I243" s="20">
        <v>2205</v>
      </c>
      <c r="J243" s="20">
        <v>2205</v>
      </c>
      <c r="K243" s="61"/>
      <c r="L243" s="61">
        <v>45671</v>
      </c>
      <c r="M243" s="61">
        <v>45245</v>
      </c>
      <c r="O243" s="20">
        <v>2205</v>
      </c>
      <c r="P243" s="20"/>
      <c r="Q243" s="20">
        <v>190</v>
      </c>
      <c r="R243" s="20">
        <v>25</v>
      </c>
      <c r="S243" s="20">
        <v>10</v>
      </c>
      <c r="T243" s="20"/>
      <c r="U243" s="20"/>
      <c r="V243" s="20"/>
      <c r="W243" s="20"/>
      <c r="X243" s="20"/>
      <c r="Y243" s="20"/>
      <c r="Z243" s="20"/>
    </row>
    <row r="244" spans="1:26" x14ac:dyDescent="0.3">
      <c r="A244" s="62" t="s">
        <v>633</v>
      </c>
      <c r="B244" s="62" t="s">
        <v>36</v>
      </c>
      <c r="C244" s="11">
        <v>698</v>
      </c>
      <c r="D244" s="10">
        <v>1</v>
      </c>
      <c r="E244" s="10">
        <v>1</v>
      </c>
      <c r="F244" s="63" t="s">
        <v>390</v>
      </c>
      <c r="G244" s="63" t="s">
        <v>397</v>
      </c>
      <c r="H244" s="11">
        <v>1565</v>
      </c>
      <c r="I244" s="11">
        <v>0</v>
      </c>
      <c r="J244" s="11">
        <v>0</v>
      </c>
      <c r="K244" s="64"/>
      <c r="L244" s="64"/>
      <c r="M244" s="6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59" t="s">
        <v>634</v>
      </c>
      <c r="B245" s="59" t="s">
        <v>56</v>
      </c>
      <c r="C245" s="20">
        <v>941</v>
      </c>
      <c r="D245" s="19">
        <v>1</v>
      </c>
      <c r="E245" s="19">
        <v>1</v>
      </c>
      <c r="F245" s="60" t="s">
        <v>390</v>
      </c>
      <c r="G245" s="60" t="s">
        <v>391</v>
      </c>
      <c r="H245" s="20">
        <v>1895</v>
      </c>
      <c r="I245" s="20">
        <v>1895</v>
      </c>
      <c r="J245" s="20">
        <v>1895</v>
      </c>
      <c r="K245" s="61"/>
      <c r="L245" s="61">
        <v>45754</v>
      </c>
      <c r="M245" s="61">
        <v>45330</v>
      </c>
      <c r="O245" s="20">
        <v>1895</v>
      </c>
      <c r="P245" s="20"/>
      <c r="Q245" s="20">
        <v>295</v>
      </c>
      <c r="R245" s="20">
        <v>25</v>
      </c>
      <c r="S245" s="20">
        <v>10</v>
      </c>
      <c r="T245" s="20"/>
      <c r="U245" s="20">
        <v>25</v>
      </c>
      <c r="V245" s="20"/>
      <c r="W245" s="20"/>
      <c r="X245" s="20"/>
      <c r="Y245" s="20"/>
      <c r="Z245" s="20"/>
    </row>
    <row r="246" spans="1:26" x14ac:dyDescent="0.3">
      <c r="A246" s="62" t="s">
        <v>635</v>
      </c>
      <c r="B246" s="62" t="s">
        <v>56</v>
      </c>
      <c r="C246" s="11">
        <v>941</v>
      </c>
      <c r="D246" s="10">
        <v>1</v>
      </c>
      <c r="E246" s="10">
        <v>1</v>
      </c>
      <c r="F246" s="63" t="s">
        <v>390</v>
      </c>
      <c r="G246" s="63" t="s">
        <v>391</v>
      </c>
      <c r="H246" s="11">
        <v>1895</v>
      </c>
      <c r="I246" s="11">
        <v>1895</v>
      </c>
      <c r="J246" s="11">
        <v>1895</v>
      </c>
      <c r="K246" s="64"/>
      <c r="L246" s="64">
        <v>45747</v>
      </c>
      <c r="M246" s="64">
        <v>45261</v>
      </c>
      <c r="O246" s="11">
        <v>1895</v>
      </c>
      <c r="P246" s="11"/>
      <c r="Q246" s="11"/>
      <c r="R246" s="11">
        <v>25</v>
      </c>
      <c r="S246" s="11">
        <v>10</v>
      </c>
      <c r="T246" s="11"/>
      <c r="U246" s="11"/>
      <c r="V246" s="11"/>
      <c r="W246" s="11"/>
      <c r="X246" s="11"/>
      <c r="Y246" s="11"/>
      <c r="Z246" s="11"/>
    </row>
    <row r="247" spans="1:26" x14ac:dyDescent="0.3">
      <c r="A247" s="59" t="s">
        <v>636</v>
      </c>
      <c r="B247" s="59" t="s">
        <v>64</v>
      </c>
      <c r="C247" s="20">
        <v>1109</v>
      </c>
      <c r="D247" s="19">
        <v>2</v>
      </c>
      <c r="E247" s="19">
        <v>2</v>
      </c>
      <c r="F247" s="60" t="s">
        <v>390</v>
      </c>
      <c r="G247" s="60" t="s">
        <v>391</v>
      </c>
      <c r="H247" s="20">
        <v>2115</v>
      </c>
      <c r="I247" s="20">
        <v>2035</v>
      </c>
      <c r="J247" s="20">
        <v>2035</v>
      </c>
      <c r="K247" s="61"/>
      <c r="L247" s="61">
        <v>45447</v>
      </c>
      <c r="M247" s="61">
        <v>45021</v>
      </c>
      <c r="O247" s="20">
        <v>2035</v>
      </c>
      <c r="P247" s="20"/>
      <c r="Q247" s="20"/>
      <c r="R247" s="20">
        <v>25</v>
      </c>
      <c r="S247" s="20">
        <v>10</v>
      </c>
      <c r="T247" s="20"/>
      <c r="U247" s="20">
        <v>50</v>
      </c>
      <c r="V247" s="20"/>
      <c r="W247" s="20"/>
      <c r="X247" s="20"/>
      <c r="Y247" s="20"/>
      <c r="Z247" s="20"/>
    </row>
    <row r="248" spans="1:26" x14ac:dyDescent="0.3">
      <c r="A248" s="62" t="s">
        <v>637</v>
      </c>
      <c r="B248" s="62" t="s">
        <v>51</v>
      </c>
      <c r="C248" s="11">
        <v>762</v>
      </c>
      <c r="D248" s="10">
        <v>1</v>
      </c>
      <c r="E248" s="10">
        <v>1</v>
      </c>
      <c r="F248" s="63" t="s">
        <v>390</v>
      </c>
      <c r="G248" s="63" t="s">
        <v>391</v>
      </c>
      <c r="H248" s="11">
        <v>1605</v>
      </c>
      <c r="I248" s="11">
        <v>1545</v>
      </c>
      <c r="J248" s="11">
        <v>1545</v>
      </c>
      <c r="K248" s="64"/>
      <c r="L248" s="64">
        <v>45491</v>
      </c>
      <c r="M248" s="64">
        <v>44945</v>
      </c>
      <c r="O248" s="11">
        <v>1545</v>
      </c>
      <c r="P248" s="11"/>
      <c r="Q248" s="11"/>
      <c r="R248" s="11">
        <v>25</v>
      </c>
      <c r="S248" s="11">
        <v>10</v>
      </c>
      <c r="T248" s="11"/>
      <c r="U248" s="11">
        <v>25</v>
      </c>
      <c r="V248" s="11"/>
      <c r="W248" s="11"/>
      <c r="X248" s="11"/>
      <c r="Y248" s="11"/>
      <c r="Z248" s="11"/>
    </row>
    <row r="249" spans="1:26" x14ac:dyDescent="0.3">
      <c r="A249" s="59" t="s">
        <v>638</v>
      </c>
      <c r="B249" s="59" t="s">
        <v>48</v>
      </c>
      <c r="C249" s="20">
        <v>762</v>
      </c>
      <c r="D249" s="19">
        <v>1</v>
      </c>
      <c r="E249" s="19">
        <v>1</v>
      </c>
      <c r="F249" s="60" t="s">
        <v>390</v>
      </c>
      <c r="G249" s="60" t="s">
        <v>391</v>
      </c>
      <c r="H249" s="20">
        <v>1645</v>
      </c>
      <c r="I249" s="20">
        <v>1590</v>
      </c>
      <c r="J249" s="20">
        <v>1590</v>
      </c>
      <c r="K249" s="61"/>
      <c r="L249" s="61">
        <v>45392</v>
      </c>
      <c r="M249" s="61">
        <v>44968</v>
      </c>
      <c r="O249" s="20">
        <v>1590</v>
      </c>
      <c r="P249" s="20"/>
      <c r="Q249" s="20"/>
      <c r="R249" s="20">
        <v>25</v>
      </c>
      <c r="S249" s="20">
        <v>10</v>
      </c>
      <c r="T249" s="20"/>
      <c r="U249" s="20"/>
      <c r="V249" s="20"/>
      <c r="W249" s="20"/>
      <c r="X249" s="20"/>
      <c r="Y249" s="20"/>
      <c r="Z249" s="20"/>
    </row>
    <row r="250" spans="1:26" x14ac:dyDescent="0.3">
      <c r="A250" s="62" t="s">
        <v>639</v>
      </c>
      <c r="B250" s="62" t="s">
        <v>59</v>
      </c>
      <c r="C250" s="11">
        <v>1082</v>
      </c>
      <c r="D250" s="10">
        <v>2</v>
      </c>
      <c r="E250" s="10">
        <v>2</v>
      </c>
      <c r="F250" s="63" t="s">
        <v>390</v>
      </c>
      <c r="G250" s="63" t="s">
        <v>391</v>
      </c>
      <c r="H250" s="11">
        <v>2165</v>
      </c>
      <c r="I250" s="11">
        <v>2020</v>
      </c>
      <c r="J250" s="11">
        <v>2020</v>
      </c>
      <c r="K250" s="64"/>
      <c r="L250" s="64">
        <v>45360</v>
      </c>
      <c r="M250" s="64">
        <v>44905</v>
      </c>
      <c r="O250" s="11">
        <v>2020</v>
      </c>
      <c r="P250" s="11"/>
      <c r="Q250" s="11">
        <v>150</v>
      </c>
      <c r="R250" s="11">
        <v>25</v>
      </c>
      <c r="S250" s="11">
        <v>10</v>
      </c>
      <c r="T250" s="11"/>
      <c r="U250" s="11"/>
      <c r="V250" s="11"/>
      <c r="W250" s="11"/>
      <c r="X250" s="11"/>
      <c r="Y250" s="11"/>
      <c r="Z250" s="11"/>
    </row>
    <row r="251" spans="1:26" x14ac:dyDescent="0.3">
      <c r="A251" s="59" t="s">
        <v>640</v>
      </c>
      <c r="B251" s="59" t="s">
        <v>59</v>
      </c>
      <c r="C251" s="20">
        <v>1082</v>
      </c>
      <c r="D251" s="19">
        <v>2</v>
      </c>
      <c r="E251" s="19">
        <v>2</v>
      </c>
      <c r="F251" s="60" t="s">
        <v>390</v>
      </c>
      <c r="G251" s="60" t="s">
        <v>391</v>
      </c>
      <c r="H251" s="20">
        <v>2435</v>
      </c>
      <c r="I251" s="20">
        <v>2295</v>
      </c>
      <c r="J251" s="20">
        <v>2295</v>
      </c>
      <c r="K251" s="61"/>
      <c r="L251" s="61">
        <v>45682</v>
      </c>
      <c r="M251" s="61">
        <v>44891</v>
      </c>
      <c r="O251" s="20">
        <v>2295</v>
      </c>
      <c r="P251" s="20"/>
      <c r="Q251" s="20"/>
      <c r="R251" s="20">
        <v>25</v>
      </c>
      <c r="S251" s="20">
        <v>10</v>
      </c>
      <c r="T251" s="20"/>
      <c r="U251" s="20"/>
      <c r="V251" s="20"/>
      <c r="W251" s="20"/>
      <c r="X251" s="20"/>
      <c r="Y251" s="20"/>
      <c r="Z251" s="20"/>
    </row>
    <row r="252" spans="1:26" x14ac:dyDescent="0.3">
      <c r="A252" s="62" t="s">
        <v>641</v>
      </c>
      <c r="B252" s="62" t="s">
        <v>59</v>
      </c>
      <c r="C252" s="11">
        <v>1082</v>
      </c>
      <c r="D252" s="10">
        <v>2</v>
      </c>
      <c r="E252" s="10">
        <v>2</v>
      </c>
      <c r="F252" s="63" t="s">
        <v>390</v>
      </c>
      <c r="G252" s="63" t="s">
        <v>391</v>
      </c>
      <c r="H252" s="11">
        <v>2165</v>
      </c>
      <c r="I252" s="11">
        <v>2080</v>
      </c>
      <c r="J252" s="11">
        <v>2080</v>
      </c>
      <c r="K252" s="64"/>
      <c r="L252" s="64">
        <v>45447</v>
      </c>
      <c r="M252" s="64">
        <v>44900</v>
      </c>
      <c r="O252" s="11">
        <v>2080</v>
      </c>
      <c r="P252" s="11"/>
      <c r="Q252" s="11">
        <v>185</v>
      </c>
      <c r="R252" s="11">
        <v>25</v>
      </c>
      <c r="S252" s="11">
        <v>10</v>
      </c>
      <c r="T252" s="11"/>
      <c r="U252" s="11"/>
      <c r="V252" s="11"/>
      <c r="W252" s="11"/>
      <c r="X252" s="11"/>
      <c r="Y252" s="11"/>
      <c r="Z252" s="11"/>
    </row>
    <row r="253" spans="1:26" x14ac:dyDescent="0.3">
      <c r="A253" s="59" t="s">
        <v>642</v>
      </c>
      <c r="B253" s="59" t="s">
        <v>59</v>
      </c>
      <c r="C253" s="20">
        <v>1082</v>
      </c>
      <c r="D253" s="19">
        <v>2</v>
      </c>
      <c r="E253" s="19">
        <v>2</v>
      </c>
      <c r="F253" s="60" t="s">
        <v>390</v>
      </c>
      <c r="G253" s="60" t="s">
        <v>397</v>
      </c>
      <c r="H253" s="20">
        <v>2355</v>
      </c>
      <c r="I253" s="20">
        <v>0</v>
      </c>
      <c r="J253" s="20">
        <v>0</v>
      </c>
      <c r="K253" s="61"/>
      <c r="L253" s="61"/>
      <c r="M253" s="61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x14ac:dyDescent="0.3">
      <c r="A254" s="62" t="s">
        <v>643</v>
      </c>
      <c r="B254" s="62" t="s">
        <v>68</v>
      </c>
      <c r="C254" s="11">
        <v>1213</v>
      </c>
      <c r="D254" s="10">
        <v>2</v>
      </c>
      <c r="E254" s="10">
        <v>2</v>
      </c>
      <c r="F254" s="63" t="s">
        <v>390</v>
      </c>
      <c r="G254" s="63" t="s">
        <v>391</v>
      </c>
      <c r="H254" s="11">
        <v>2130</v>
      </c>
      <c r="I254" s="11">
        <v>2115</v>
      </c>
      <c r="J254" s="11">
        <v>2115</v>
      </c>
      <c r="K254" s="64"/>
      <c r="L254" s="64">
        <v>45465</v>
      </c>
      <c r="M254" s="64">
        <v>45039</v>
      </c>
      <c r="O254" s="11">
        <v>2115</v>
      </c>
      <c r="P254" s="11"/>
      <c r="Q254" s="11">
        <v>185</v>
      </c>
      <c r="R254" s="11">
        <v>25</v>
      </c>
      <c r="S254" s="11">
        <v>10</v>
      </c>
      <c r="T254" s="11"/>
      <c r="U254" s="11">
        <v>25</v>
      </c>
      <c r="V254" s="11"/>
      <c r="W254" s="11"/>
      <c r="X254" s="11">
        <v>42</v>
      </c>
      <c r="Y254" s="11"/>
      <c r="Z254" s="11"/>
    </row>
    <row r="255" spans="1:26" x14ac:dyDescent="0.3">
      <c r="A255" s="59" t="s">
        <v>644</v>
      </c>
      <c r="B255" s="59" t="s">
        <v>36</v>
      </c>
      <c r="C255" s="20">
        <v>698</v>
      </c>
      <c r="D255" s="19">
        <v>1</v>
      </c>
      <c r="E255" s="19">
        <v>1</v>
      </c>
      <c r="F255" s="60" t="s">
        <v>390</v>
      </c>
      <c r="G255" s="60" t="s">
        <v>391</v>
      </c>
      <c r="H255" s="20">
        <v>1755</v>
      </c>
      <c r="I255" s="20">
        <v>1575</v>
      </c>
      <c r="J255" s="20">
        <v>1575</v>
      </c>
      <c r="K255" s="61"/>
      <c r="L255" s="61">
        <v>45701</v>
      </c>
      <c r="M255" s="61">
        <v>45213</v>
      </c>
      <c r="O255" s="20">
        <v>1575</v>
      </c>
      <c r="P255" s="20"/>
      <c r="Q255" s="20"/>
      <c r="R255" s="20">
        <v>25</v>
      </c>
      <c r="S255" s="20">
        <v>10</v>
      </c>
      <c r="T255" s="20"/>
      <c r="U255" s="20"/>
      <c r="V255" s="20"/>
      <c r="W255" s="20"/>
      <c r="X255" s="20"/>
      <c r="Y255" s="20"/>
      <c r="Z255" s="20"/>
    </row>
    <row r="256" spans="1:26" x14ac:dyDescent="0.3">
      <c r="A256" s="62" t="s">
        <v>645</v>
      </c>
      <c r="B256" s="62" t="s">
        <v>36</v>
      </c>
      <c r="C256" s="11">
        <v>698</v>
      </c>
      <c r="D256" s="10">
        <v>1</v>
      </c>
      <c r="E256" s="10">
        <v>1</v>
      </c>
      <c r="F256" s="63" t="s">
        <v>390</v>
      </c>
      <c r="G256" s="63" t="s">
        <v>391</v>
      </c>
      <c r="H256" s="11">
        <v>1485</v>
      </c>
      <c r="I256" s="11">
        <v>1455</v>
      </c>
      <c r="J256" s="11">
        <v>1455</v>
      </c>
      <c r="K256" s="64"/>
      <c r="L256" s="64">
        <v>45382</v>
      </c>
      <c r="M256" s="64">
        <v>44984</v>
      </c>
      <c r="O256" s="11">
        <v>1455</v>
      </c>
      <c r="P256" s="11"/>
      <c r="Q256" s="11"/>
      <c r="R256" s="11">
        <v>25</v>
      </c>
      <c r="S256" s="11">
        <v>10</v>
      </c>
      <c r="T256" s="11">
        <v>65</v>
      </c>
      <c r="U256" s="11"/>
      <c r="V256" s="11"/>
      <c r="W256" s="11"/>
      <c r="X256" s="11"/>
      <c r="Y256" s="11"/>
      <c r="Z256" s="11"/>
    </row>
    <row r="257" spans="1:26" x14ac:dyDescent="0.3">
      <c r="A257" s="59" t="s">
        <v>646</v>
      </c>
      <c r="B257" s="59" t="s">
        <v>36</v>
      </c>
      <c r="C257" s="20">
        <v>698</v>
      </c>
      <c r="D257" s="19">
        <v>1</v>
      </c>
      <c r="E257" s="19">
        <v>1</v>
      </c>
      <c r="F257" s="60" t="s">
        <v>390</v>
      </c>
      <c r="G257" s="60" t="s">
        <v>391</v>
      </c>
      <c r="H257" s="20">
        <v>1755</v>
      </c>
      <c r="I257" s="20">
        <v>1705</v>
      </c>
      <c r="J257" s="20">
        <v>1705</v>
      </c>
      <c r="K257" s="61"/>
      <c r="L257" s="61">
        <v>45463</v>
      </c>
      <c r="M257" s="61">
        <v>45098</v>
      </c>
      <c r="O257" s="20">
        <v>1705</v>
      </c>
      <c r="P257" s="20"/>
      <c r="Q257" s="20"/>
      <c r="R257" s="20">
        <v>25</v>
      </c>
      <c r="S257" s="20">
        <v>10</v>
      </c>
      <c r="T257" s="20"/>
      <c r="U257" s="20"/>
      <c r="V257" s="20"/>
      <c r="W257" s="20"/>
      <c r="X257" s="20"/>
      <c r="Y257" s="20"/>
      <c r="Z257" s="20"/>
    </row>
    <row r="258" spans="1:26" x14ac:dyDescent="0.3">
      <c r="A258" s="62" t="s">
        <v>647</v>
      </c>
      <c r="B258" s="62" t="s">
        <v>56</v>
      </c>
      <c r="C258" s="11">
        <v>941</v>
      </c>
      <c r="D258" s="10">
        <v>1</v>
      </c>
      <c r="E258" s="10">
        <v>1</v>
      </c>
      <c r="F258" s="63" t="s">
        <v>390</v>
      </c>
      <c r="G258" s="63" t="s">
        <v>391</v>
      </c>
      <c r="H258" s="11">
        <v>1815</v>
      </c>
      <c r="I258" s="11">
        <v>1795</v>
      </c>
      <c r="J258" s="11">
        <v>1795</v>
      </c>
      <c r="K258" s="64"/>
      <c r="L258" s="64">
        <v>45634</v>
      </c>
      <c r="M258" s="64">
        <v>44904</v>
      </c>
      <c r="O258" s="11">
        <v>1795</v>
      </c>
      <c r="P258" s="11"/>
      <c r="Q258" s="11">
        <v>185</v>
      </c>
      <c r="R258" s="11">
        <v>25</v>
      </c>
      <c r="S258" s="11">
        <v>10</v>
      </c>
      <c r="T258" s="11"/>
      <c r="U258" s="11"/>
      <c r="V258" s="11"/>
      <c r="W258" s="11"/>
      <c r="X258" s="11"/>
      <c r="Y258" s="11"/>
      <c r="Z258" s="11"/>
    </row>
    <row r="259" spans="1:26" x14ac:dyDescent="0.3">
      <c r="A259" s="59" t="s">
        <v>648</v>
      </c>
      <c r="B259" s="59" t="s">
        <v>36</v>
      </c>
      <c r="C259" s="20">
        <v>698</v>
      </c>
      <c r="D259" s="19">
        <v>1</v>
      </c>
      <c r="E259" s="19">
        <v>1</v>
      </c>
      <c r="F259" s="60" t="s">
        <v>390</v>
      </c>
      <c r="G259" s="60" t="s">
        <v>391</v>
      </c>
      <c r="H259" s="20">
        <v>1755</v>
      </c>
      <c r="I259" s="20">
        <v>1755</v>
      </c>
      <c r="J259" s="20">
        <v>1755</v>
      </c>
      <c r="K259" s="61"/>
      <c r="L259" s="61">
        <v>45752</v>
      </c>
      <c r="M259" s="61">
        <v>45328</v>
      </c>
      <c r="O259" s="20">
        <v>1755</v>
      </c>
      <c r="P259" s="20"/>
      <c r="Q259" s="20"/>
      <c r="R259" s="20">
        <v>25</v>
      </c>
      <c r="S259" s="20">
        <v>10</v>
      </c>
      <c r="T259" s="20"/>
      <c r="U259" s="20">
        <v>25</v>
      </c>
      <c r="V259" s="20"/>
      <c r="W259" s="20"/>
      <c r="X259" s="20"/>
      <c r="Y259" s="20"/>
      <c r="Z259" s="20"/>
    </row>
    <row r="260" spans="1:26" x14ac:dyDescent="0.3">
      <c r="A260" s="62" t="s">
        <v>649</v>
      </c>
      <c r="B260" s="62" t="s">
        <v>56</v>
      </c>
      <c r="C260" s="11">
        <v>941</v>
      </c>
      <c r="D260" s="10">
        <v>1</v>
      </c>
      <c r="E260" s="10">
        <v>1</v>
      </c>
      <c r="F260" s="63" t="s">
        <v>390</v>
      </c>
      <c r="G260" s="63" t="s">
        <v>391</v>
      </c>
      <c r="H260" s="11">
        <v>1815</v>
      </c>
      <c r="I260" s="11">
        <v>1815</v>
      </c>
      <c r="J260" s="11">
        <v>1815</v>
      </c>
      <c r="K260" s="64"/>
      <c r="L260" s="64">
        <v>45799</v>
      </c>
      <c r="M260" s="64">
        <v>45345</v>
      </c>
      <c r="O260" s="11">
        <v>1815</v>
      </c>
      <c r="P260" s="11"/>
      <c r="Q260" s="11"/>
      <c r="R260" s="11"/>
      <c r="S260" s="11">
        <v>10</v>
      </c>
      <c r="T260" s="11"/>
      <c r="U260" s="11">
        <v>25</v>
      </c>
      <c r="V260" s="11"/>
      <c r="W260" s="11"/>
      <c r="X260" s="11"/>
      <c r="Y260" s="11"/>
      <c r="Z260" s="11"/>
    </row>
    <row r="261" spans="1:26" x14ac:dyDescent="0.3">
      <c r="A261" s="59" t="s">
        <v>650</v>
      </c>
      <c r="B261" s="59" t="s">
        <v>36</v>
      </c>
      <c r="C261" s="20">
        <v>698</v>
      </c>
      <c r="D261" s="19">
        <v>1</v>
      </c>
      <c r="E261" s="19">
        <v>1</v>
      </c>
      <c r="F261" s="60" t="s">
        <v>390</v>
      </c>
      <c r="G261" s="60" t="s">
        <v>391</v>
      </c>
      <c r="H261" s="20">
        <v>1755</v>
      </c>
      <c r="I261" s="20">
        <v>1670</v>
      </c>
      <c r="J261" s="20">
        <v>1670</v>
      </c>
      <c r="K261" s="61"/>
      <c r="L261" s="61">
        <v>45552</v>
      </c>
      <c r="M261" s="61">
        <v>45003</v>
      </c>
      <c r="O261" s="20">
        <v>1670</v>
      </c>
      <c r="P261" s="20"/>
      <c r="Q261" s="20"/>
      <c r="R261" s="20">
        <v>25</v>
      </c>
      <c r="S261" s="20">
        <v>10</v>
      </c>
      <c r="T261" s="20"/>
      <c r="U261" s="20">
        <v>25</v>
      </c>
      <c r="V261" s="20"/>
      <c r="W261" s="20"/>
      <c r="X261" s="20"/>
      <c r="Y261" s="20"/>
      <c r="Z261" s="20"/>
    </row>
    <row r="262" spans="1:26" x14ac:dyDescent="0.3">
      <c r="A262" s="62" t="s">
        <v>651</v>
      </c>
      <c r="B262" s="62" t="s">
        <v>64</v>
      </c>
      <c r="C262" s="11">
        <v>1109</v>
      </c>
      <c r="D262" s="10">
        <v>2</v>
      </c>
      <c r="E262" s="10">
        <v>2</v>
      </c>
      <c r="F262" s="63" t="s">
        <v>390</v>
      </c>
      <c r="G262" s="63" t="s">
        <v>391</v>
      </c>
      <c r="H262" s="11">
        <v>2035</v>
      </c>
      <c r="I262" s="11">
        <v>1990</v>
      </c>
      <c r="J262" s="11">
        <v>1990</v>
      </c>
      <c r="K262" s="64"/>
      <c r="L262" s="64">
        <v>45426</v>
      </c>
      <c r="M262" s="64">
        <v>45000</v>
      </c>
      <c r="O262" s="11">
        <v>1990</v>
      </c>
      <c r="P262" s="11"/>
      <c r="Q262" s="11"/>
      <c r="R262" s="11">
        <v>25</v>
      </c>
      <c r="S262" s="11">
        <v>10</v>
      </c>
      <c r="T262" s="11"/>
      <c r="U262" s="11"/>
      <c r="V262" s="11"/>
      <c r="W262" s="11"/>
      <c r="X262" s="11">
        <v>29</v>
      </c>
      <c r="Y262" s="11"/>
      <c r="Z262" s="11"/>
    </row>
    <row r="263" spans="1:26" x14ac:dyDescent="0.3">
      <c r="A263" s="59" t="s">
        <v>652</v>
      </c>
      <c r="B263" s="59" t="s">
        <v>36</v>
      </c>
      <c r="C263" s="20">
        <v>698</v>
      </c>
      <c r="D263" s="19">
        <v>1</v>
      </c>
      <c r="E263" s="19">
        <v>1</v>
      </c>
      <c r="F263" s="60" t="s">
        <v>390</v>
      </c>
      <c r="G263" s="60" t="s">
        <v>391</v>
      </c>
      <c r="H263" s="20">
        <v>1755</v>
      </c>
      <c r="I263" s="20">
        <v>1665</v>
      </c>
      <c r="J263" s="20">
        <v>1665</v>
      </c>
      <c r="K263" s="61"/>
      <c r="L263" s="61">
        <v>45527</v>
      </c>
      <c r="M263" s="61">
        <v>44981</v>
      </c>
      <c r="O263" s="20">
        <v>1665</v>
      </c>
      <c r="P263" s="20"/>
      <c r="Q263" s="20"/>
      <c r="R263" s="20">
        <v>25</v>
      </c>
      <c r="S263" s="20">
        <v>10</v>
      </c>
      <c r="T263" s="20"/>
      <c r="U263" s="20"/>
      <c r="V263" s="20"/>
      <c r="W263" s="20"/>
      <c r="X263" s="20"/>
      <c r="Y263" s="20"/>
      <c r="Z263" s="20"/>
    </row>
    <row r="264" spans="1:26" x14ac:dyDescent="0.3">
      <c r="A264" s="62" t="s">
        <v>653</v>
      </c>
      <c r="B264" s="62" t="s">
        <v>48</v>
      </c>
      <c r="C264" s="11">
        <v>762</v>
      </c>
      <c r="D264" s="10">
        <v>1</v>
      </c>
      <c r="E264" s="10">
        <v>1</v>
      </c>
      <c r="F264" s="63" t="s">
        <v>390</v>
      </c>
      <c r="G264" s="63" t="s">
        <v>391</v>
      </c>
      <c r="H264" s="11">
        <v>1565</v>
      </c>
      <c r="I264" s="11">
        <v>1535</v>
      </c>
      <c r="J264" s="11">
        <v>1535</v>
      </c>
      <c r="K264" s="64"/>
      <c r="L264" s="64">
        <v>45532</v>
      </c>
      <c r="M264" s="64">
        <v>45136</v>
      </c>
      <c r="O264" s="11">
        <v>1535</v>
      </c>
      <c r="P264" s="11"/>
      <c r="Q264" s="11"/>
      <c r="R264" s="11">
        <v>25</v>
      </c>
      <c r="S264" s="11">
        <v>10</v>
      </c>
      <c r="T264" s="11"/>
      <c r="U264" s="11"/>
      <c r="V264" s="11"/>
      <c r="W264" s="11"/>
      <c r="X264" s="11"/>
      <c r="Y264" s="11"/>
      <c r="Z264" s="11"/>
    </row>
    <row r="265" spans="1:26" x14ac:dyDescent="0.3">
      <c r="A265" s="59" t="s">
        <v>654</v>
      </c>
      <c r="B265" s="59" t="s">
        <v>64</v>
      </c>
      <c r="C265" s="20">
        <v>1109</v>
      </c>
      <c r="D265" s="19">
        <v>2</v>
      </c>
      <c r="E265" s="19">
        <v>2</v>
      </c>
      <c r="F265" s="60" t="s">
        <v>390</v>
      </c>
      <c r="G265" s="60" t="s">
        <v>391</v>
      </c>
      <c r="H265" s="20">
        <v>2305</v>
      </c>
      <c r="I265" s="20">
        <v>2145</v>
      </c>
      <c r="J265" s="20">
        <v>2145</v>
      </c>
      <c r="K265" s="61"/>
      <c r="L265" s="61">
        <v>45794</v>
      </c>
      <c r="M265" s="61">
        <v>45340</v>
      </c>
      <c r="O265" s="20">
        <v>2145</v>
      </c>
      <c r="P265" s="20"/>
      <c r="Q265" s="20">
        <v>295</v>
      </c>
      <c r="R265" s="20">
        <v>25</v>
      </c>
      <c r="S265" s="20">
        <v>10</v>
      </c>
      <c r="T265" s="20"/>
      <c r="U265" s="20"/>
      <c r="V265" s="20"/>
      <c r="W265" s="20"/>
      <c r="X265" s="20"/>
      <c r="Y265" s="20"/>
      <c r="Z265" s="20"/>
    </row>
    <row r="266" spans="1:26" x14ac:dyDescent="0.3">
      <c r="A266" s="62" t="s">
        <v>655</v>
      </c>
      <c r="B266" s="62" t="s">
        <v>48</v>
      </c>
      <c r="C266" s="11">
        <v>762</v>
      </c>
      <c r="D266" s="10">
        <v>1</v>
      </c>
      <c r="E266" s="10">
        <v>1</v>
      </c>
      <c r="F266" s="63" t="s">
        <v>390</v>
      </c>
      <c r="G266" s="63" t="s">
        <v>391</v>
      </c>
      <c r="H266" s="11">
        <v>1565</v>
      </c>
      <c r="I266" s="11">
        <v>1545</v>
      </c>
      <c r="J266" s="11">
        <v>1545</v>
      </c>
      <c r="K266" s="64"/>
      <c r="L266" s="64">
        <v>45699</v>
      </c>
      <c r="M266" s="64">
        <v>45150</v>
      </c>
      <c r="O266" s="11">
        <v>1545</v>
      </c>
      <c r="P266" s="11"/>
      <c r="Q266" s="11"/>
      <c r="R266" s="11">
        <v>25</v>
      </c>
      <c r="S266" s="11">
        <v>10</v>
      </c>
      <c r="T266" s="11"/>
      <c r="U266" s="11"/>
      <c r="V266" s="11"/>
      <c r="W266" s="11"/>
      <c r="X266" s="11"/>
      <c r="Y266" s="11"/>
      <c r="Z266" s="11"/>
    </row>
    <row r="267" spans="1:26" x14ac:dyDescent="0.3">
      <c r="A267" s="59" t="s">
        <v>656</v>
      </c>
      <c r="B267" s="59" t="s">
        <v>67</v>
      </c>
      <c r="C267" s="20">
        <v>1155</v>
      </c>
      <c r="D267" s="19">
        <v>2</v>
      </c>
      <c r="E267" s="19">
        <v>2</v>
      </c>
      <c r="F267" s="60" t="s">
        <v>390</v>
      </c>
      <c r="G267" s="60" t="s">
        <v>391</v>
      </c>
      <c r="H267" s="20">
        <v>2305</v>
      </c>
      <c r="I267" s="20">
        <v>2180</v>
      </c>
      <c r="J267" s="20">
        <v>2180</v>
      </c>
      <c r="K267" s="61"/>
      <c r="L267" s="61">
        <v>45558</v>
      </c>
      <c r="M267" s="61">
        <v>45009</v>
      </c>
      <c r="O267" s="20">
        <v>2180</v>
      </c>
      <c r="P267" s="20"/>
      <c r="Q267" s="20"/>
      <c r="R267" s="20">
        <v>25</v>
      </c>
      <c r="S267" s="20">
        <v>10</v>
      </c>
      <c r="T267" s="20"/>
      <c r="U267" s="20"/>
      <c r="V267" s="20"/>
      <c r="W267" s="20"/>
      <c r="X267" s="20">
        <v>29</v>
      </c>
      <c r="Y267" s="20"/>
      <c r="Z267" s="20"/>
    </row>
    <row r="268" spans="1:26" x14ac:dyDescent="0.3">
      <c r="A268" s="62" t="s">
        <v>657</v>
      </c>
      <c r="B268" s="62" t="s">
        <v>59</v>
      </c>
      <c r="C268" s="11">
        <v>1082</v>
      </c>
      <c r="D268" s="10">
        <v>2</v>
      </c>
      <c r="E268" s="10">
        <v>2</v>
      </c>
      <c r="F268" s="63" t="s">
        <v>390</v>
      </c>
      <c r="G268" s="63" t="s">
        <v>391</v>
      </c>
      <c r="H268" s="11">
        <v>2085</v>
      </c>
      <c r="I268" s="11">
        <v>2020</v>
      </c>
      <c r="J268" s="11">
        <v>2020</v>
      </c>
      <c r="K268" s="64"/>
      <c r="L268" s="64">
        <v>45375</v>
      </c>
      <c r="M268" s="64">
        <v>44951</v>
      </c>
      <c r="O268" s="11">
        <v>2020</v>
      </c>
      <c r="P268" s="11"/>
      <c r="Q268" s="11"/>
      <c r="R268" s="11">
        <v>25</v>
      </c>
      <c r="S268" s="11">
        <v>10</v>
      </c>
      <c r="T268" s="11"/>
      <c r="U268" s="11"/>
      <c r="V268" s="11"/>
      <c r="W268" s="11"/>
      <c r="X268" s="11"/>
      <c r="Y268" s="11"/>
      <c r="Z268" s="11"/>
    </row>
    <row r="269" spans="1:26" x14ac:dyDescent="0.3">
      <c r="A269" s="59" t="s">
        <v>658</v>
      </c>
      <c r="B269" s="59" t="s">
        <v>59</v>
      </c>
      <c r="C269" s="20">
        <v>1082</v>
      </c>
      <c r="D269" s="19">
        <v>2</v>
      </c>
      <c r="E269" s="19">
        <v>2</v>
      </c>
      <c r="F269" s="60" t="s">
        <v>390</v>
      </c>
      <c r="G269" s="60" t="s">
        <v>391</v>
      </c>
      <c r="H269" s="20">
        <v>2355</v>
      </c>
      <c r="I269" s="20">
        <v>2190</v>
      </c>
      <c r="J269" s="20">
        <v>2190</v>
      </c>
      <c r="K269" s="61"/>
      <c r="L269" s="61">
        <v>45715</v>
      </c>
      <c r="M269" s="61">
        <v>44862</v>
      </c>
      <c r="O269" s="20">
        <v>2190</v>
      </c>
      <c r="P269" s="20"/>
      <c r="Q269" s="20">
        <v>185</v>
      </c>
      <c r="R269" s="20">
        <v>25</v>
      </c>
      <c r="S269" s="20">
        <v>10</v>
      </c>
      <c r="T269" s="20"/>
      <c r="U269" s="20">
        <v>25</v>
      </c>
      <c r="V269" s="20"/>
      <c r="W269" s="20"/>
      <c r="X269" s="20"/>
      <c r="Y269" s="20"/>
      <c r="Z269" s="20"/>
    </row>
    <row r="270" spans="1:26" x14ac:dyDescent="0.3">
      <c r="A270" s="62" t="s">
        <v>659</v>
      </c>
      <c r="B270" s="62" t="s">
        <v>59</v>
      </c>
      <c r="C270" s="11">
        <v>1082</v>
      </c>
      <c r="D270" s="10">
        <v>2</v>
      </c>
      <c r="E270" s="10">
        <v>2</v>
      </c>
      <c r="F270" s="63" t="s">
        <v>390</v>
      </c>
      <c r="G270" s="63" t="s">
        <v>391</v>
      </c>
      <c r="H270" s="11">
        <v>2085</v>
      </c>
      <c r="I270" s="11">
        <v>2055</v>
      </c>
      <c r="J270" s="11">
        <v>2055</v>
      </c>
      <c r="K270" s="64"/>
      <c r="L270" s="64">
        <v>45377</v>
      </c>
      <c r="M270" s="64">
        <v>44953</v>
      </c>
      <c r="O270" s="11">
        <v>2055</v>
      </c>
      <c r="P270" s="11"/>
      <c r="Q270" s="11"/>
      <c r="R270" s="11">
        <v>25</v>
      </c>
      <c r="S270" s="11">
        <v>10</v>
      </c>
      <c r="T270" s="11"/>
      <c r="U270" s="11"/>
      <c r="V270" s="11"/>
      <c r="W270" s="11"/>
      <c r="X270" s="11"/>
      <c r="Y270" s="11"/>
      <c r="Z270" s="11"/>
    </row>
    <row r="271" spans="1:26" x14ac:dyDescent="0.3">
      <c r="A271" s="59" t="s">
        <v>660</v>
      </c>
      <c r="B271" s="59" t="s">
        <v>59</v>
      </c>
      <c r="C271" s="20">
        <v>1082</v>
      </c>
      <c r="D271" s="19">
        <v>2</v>
      </c>
      <c r="E271" s="19">
        <v>2</v>
      </c>
      <c r="F271" s="60" t="s">
        <v>390</v>
      </c>
      <c r="G271" s="60" t="s">
        <v>391</v>
      </c>
      <c r="H271" s="20">
        <v>2400</v>
      </c>
      <c r="I271" s="20">
        <v>2275</v>
      </c>
      <c r="J271" s="20">
        <v>2275</v>
      </c>
      <c r="K271" s="61"/>
      <c r="L271" s="61">
        <v>45447</v>
      </c>
      <c r="M271" s="61">
        <v>45021</v>
      </c>
      <c r="O271" s="20">
        <v>2275</v>
      </c>
      <c r="P271" s="20"/>
      <c r="Q271" s="20"/>
      <c r="R271" s="20">
        <v>25</v>
      </c>
      <c r="S271" s="20">
        <v>10</v>
      </c>
      <c r="T271" s="20">
        <v>60</v>
      </c>
      <c r="U271" s="20"/>
      <c r="V271" s="20"/>
      <c r="W271" s="20"/>
      <c r="X271" s="20"/>
      <c r="Y271" s="20"/>
      <c r="Z271" s="20"/>
    </row>
    <row r="272" spans="1:26" x14ac:dyDescent="0.3">
      <c r="A272" s="62" t="s">
        <v>661</v>
      </c>
      <c r="B272" s="62" t="s">
        <v>68</v>
      </c>
      <c r="C272" s="11">
        <v>1213</v>
      </c>
      <c r="D272" s="10">
        <v>2</v>
      </c>
      <c r="E272" s="10">
        <v>2</v>
      </c>
      <c r="F272" s="63" t="s">
        <v>390</v>
      </c>
      <c r="G272" s="63" t="s">
        <v>391</v>
      </c>
      <c r="H272" s="11">
        <v>2175</v>
      </c>
      <c r="I272" s="11">
        <v>2135</v>
      </c>
      <c r="J272" s="11">
        <v>2135</v>
      </c>
      <c r="K272" s="64"/>
      <c r="L272" s="64">
        <v>45503</v>
      </c>
      <c r="M272" s="64">
        <v>45077</v>
      </c>
      <c r="O272" s="11">
        <v>2135</v>
      </c>
      <c r="P272" s="11"/>
      <c r="Q272" s="11"/>
      <c r="R272" s="11">
        <v>25</v>
      </c>
      <c r="S272" s="11">
        <v>10</v>
      </c>
      <c r="T272" s="11"/>
      <c r="U272" s="11"/>
      <c r="V272" s="11"/>
      <c r="W272" s="11"/>
      <c r="X272" s="11"/>
      <c r="Y272" s="11"/>
      <c r="Z272" s="11"/>
    </row>
    <row r="273" spans="1:26" x14ac:dyDescent="0.3">
      <c r="A273" s="59" t="s">
        <v>662</v>
      </c>
      <c r="B273" s="59" t="s">
        <v>36</v>
      </c>
      <c r="C273" s="20">
        <v>698</v>
      </c>
      <c r="D273" s="19">
        <v>1</v>
      </c>
      <c r="E273" s="19">
        <v>1</v>
      </c>
      <c r="F273" s="60" t="s">
        <v>390</v>
      </c>
      <c r="G273" s="60" t="s">
        <v>391</v>
      </c>
      <c r="H273" s="20">
        <v>1800</v>
      </c>
      <c r="I273" s="20">
        <v>1685</v>
      </c>
      <c r="J273" s="20">
        <v>1685</v>
      </c>
      <c r="K273" s="61"/>
      <c r="L273" s="61">
        <v>45535</v>
      </c>
      <c r="M273" s="61">
        <v>44986</v>
      </c>
      <c r="O273" s="20">
        <v>1685</v>
      </c>
      <c r="P273" s="20"/>
      <c r="Q273" s="20"/>
      <c r="R273" s="20">
        <v>25</v>
      </c>
      <c r="S273" s="20">
        <v>10</v>
      </c>
      <c r="T273" s="20"/>
      <c r="U273" s="20"/>
      <c r="V273" s="20"/>
      <c r="W273" s="20"/>
      <c r="X273" s="20"/>
      <c r="Y273" s="20"/>
      <c r="Z273" s="20"/>
    </row>
    <row r="274" spans="1:26" x14ac:dyDescent="0.3">
      <c r="A274" s="62" t="s">
        <v>663</v>
      </c>
      <c r="B274" s="62" t="s">
        <v>36</v>
      </c>
      <c r="C274" s="11">
        <v>698</v>
      </c>
      <c r="D274" s="10">
        <v>1</v>
      </c>
      <c r="E274" s="10">
        <v>1</v>
      </c>
      <c r="F274" s="63" t="s">
        <v>390</v>
      </c>
      <c r="G274" s="63" t="s">
        <v>391</v>
      </c>
      <c r="H274" s="11">
        <v>1530</v>
      </c>
      <c r="I274" s="11">
        <v>1475</v>
      </c>
      <c r="J274" s="11">
        <v>1475</v>
      </c>
      <c r="K274" s="64"/>
      <c r="L274" s="64">
        <v>45603</v>
      </c>
      <c r="M274" s="64">
        <v>45054</v>
      </c>
      <c r="O274" s="11">
        <v>1475</v>
      </c>
      <c r="P274" s="11"/>
      <c r="Q274" s="11"/>
      <c r="R274" s="11">
        <v>25</v>
      </c>
      <c r="S274" s="11">
        <v>10</v>
      </c>
      <c r="T274" s="11"/>
      <c r="U274" s="11"/>
      <c r="V274" s="11"/>
      <c r="W274" s="11"/>
      <c r="X274" s="11"/>
      <c r="Y274" s="11"/>
      <c r="Z274" s="11"/>
    </row>
    <row r="275" spans="1:26" x14ac:dyDescent="0.3">
      <c r="A275" s="59" t="s">
        <v>664</v>
      </c>
      <c r="B275" s="59" t="s">
        <v>36</v>
      </c>
      <c r="C275" s="20">
        <v>698</v>
      </c>
      <c r="D275" s="19">
        <v>1</v>
      </c>
      <c r="E275" s="19">
        <v>1</v>
      </c>
      <c r="F275" s="60" t="s">
        <v>390</v>
      </c>
      <c r="G275" s="60" t="s">
        <v>391</v>
      </c>
      <c r="H275" s="20">
        <v>1800</v>
      </c>
      <c r="I275" s="20">
        <v>1740</v>
      </c>
      <c r="J275" s="20">
        <v>1740</v>
      </c>
      <c r="K275" s="61"/>
      <c r="L275" s="61">
        <v>45484</v>
      </c>
      <c r="M275" s="61">
        <v>45089</v>
      </c>
      <c r="O275" s="20">
        <v>1740</v>
      </c>
      <c r="P275" s="20"/>
      <c r="Q275" s="20"/>
      <c r="R275" s="20">
        <v>25</v>
      </c>
      <c r="S275" s="20">
        <v>10</v>
      </c>
      <c r="T275" s="20">
        <v>65</v>
      </c>
      <c r="U275" s="20"/>
      <c r="V275" s="20"/>
      <c r="W275" s="20"/>
      <c r="X275" s="20"/>
      <c r="Y275" s="20"/>
      <c r="Z275" s="20"/>
    </row>
    <row r="276" spans="1:26" x14ac:dyDescent="0.3">
      <c r="A276" s="62" t="s">
        <v>665</v>
      </c>
      <c r="B276" s="62" t="s">
        <v>56</v>
      </c>
      <c r="C276" s="11">
        <v>941</v>
      </c>
      <c r="D276" s="10">
        <v>1</v>
      </c>
      <c r="E276" s="10">
        <v>1</v>
      </c>
      <c r="F276" s="63" t="s">
        <v>390</v>
      </c>
      <c r="G276" s="63" t="s">
        <v>391</v>
      </c>
      <c r="H276" s="11">
        <v>1860</v>
      </c>
      <c r="I276" s="11">
        <v>1755</v>
      </c>
      <c r="J276" s="11">
        <v>1755</v>
      </c>
      <c r="K276" s="64"/>
      <c r="L276" s="64">
        <v>45490</v>
      </c>
      <c r="M276" s="64">
        <v>44944</v>
      </c>
      <c r="O276" s="11">
        <v>1755</v>
      </c>
      <c r="P276" s="11"/>
      <c r="Q276" s="11"/>
      <c r="R276" s="11">
        <v>25</v>
      </c>
      <c r="S276" s="11">
        <v>10</v>
      </c>
      <c r="T276" s="11">
        <v>50</v>
      </c>
      <c r="U276" s="11"/>
      <c r="V276" s="11"/>
      <c r="W276" s="11"/>
      <c r="X276" s="11"/>
      <c r="Y276" s="11"/>
      <c r="Z276" s="11"/>
    </row>
    <row r="277" spans="1:26" x14ac:dyDescent="0.3">
      <c r="A277" s="59" t="s">
        <v>666</v>
      </c>
      <c r="B277" s="59" t="s">
        <v>36</v>
      </c>
      <c r="C277" s="20">
        <v>698</v>
      </c>
      <c r="D277" s="19">
        <v>1</v>
      </c>
      <c r="E277" s="19">
        <v>1</v>
      </c>
      <c r="F277" s="60" t="s">
        <v>390</v>
      </c>
      <c r="G277" s="60" t="s">
        <v>391</v>
      </c>
      <c r="H277" s="20">
        <v>1800</v>
      </c>
      <c r="I277" s="20">
        <v>1690</v>
      </c>
      <c r="J277" s="20">
        <v>1690</v>
      </c>
      <c r="K277" s="61"/>
      <c r="L277" s="61">
        <v>45508</v>
      </c>
      <c r="M277" s="61">
        <v>45051</v>
      </c>
      <c r="O277" s="20">
        <v>1690</v>
      </c>
      <c r="P277" s="20"/>
      <c r="Q277" s="20"/>
      <c r="R277" s="20">
        <v>25</v>
      </c>
      <c r="S277" s="20">
        <v>10</v>
      </c>
      <c r="T277" s="20"/>
      <c r="U277" s="20"/>
      <c r="V277" s="20"/>
      <c r="W277" s="20"/>
      <c r="X277" s="20"/>
      <c r="Y277" s="20"/>
      <c r="Z277" s="20"/>
    </row>
    <row r="278" spans="1:26" x14ac:dyDescent="0.3">
      <c r="A278" s="62" t="s">
        <v>667</v>
      </c>
      <c r="B278" s="62" t="s">
        <v>56</v>
      </c>
      <c r="C278" s="11">
        <v>941</v>
      </c>
      <c r="D278" s="10">
        <v>1</v>
      </c>
      <c r="E278" s="10">
        <v>1</v>
      </c>
      <c r="F278" s="63" t="s">
        <v>390</v>
      </c>
      <c r="G278" s="63" t="s">
        <v>391</v>
      </c>
      <c r="H278" s="11">
        <v>1860</v>
      </c>
      <c r="I278" s="11">
        <v>1805</v>
      </c>
      <c r="J278" s="11">
        <v>1805</v>
      </c>
      <c r="K278" s="64"/>
      <c r="L278" s="64">
        <v>45698</v>
      </c>
      <c r="M278" s="64">
        <v>44876</v>
      </c>
      <c r="O278" s="11">
        <v>1805</v>
      </c>
      <c r="P278" s="11"/>
      <c r="Q278" s="11">
        <v>185</v>
      </c>
      <c r="R278" s="11">
        <v>25</v>
      </c>
      <c r="S278" s="11">
        <v>10</v>
      </c>
      <c r="T278" s="11"/>
      <c r="U278" s="11"/>
      <c r="V278" s="11"/>
      <c r="W278" s="11"/>
      <c r="X278" s="11"/>
      <c r="Y278" s="11"/>
      <c r="Z278" s="11"/>
    </row>
    <row r="279" spans="1:26" x14ac:dyDescent="0.3">
      <c r="A279" s="59" t="s">
        <v>668</v>
      </c>
      <c r="B279" s="59" t="s">
        <v>36</v>
      </c>
      <c r="C279" s="20">
        <v>698</v>
      </c>
      <c r="D279" s="19">
        <v>1</v>
      </c>
      <c r="E279" s="19">
        <v>1</v>
      </c>
      <c r="F279" s="60" t="s">
        <v>390</v>
      </c>
      <c r="G279" s="60" t="s">
        <v>391</v>
      </c>
      <c r="H279" s="20">
        <v>1800</v>
      </c>
      <c r="I279" s="20">
        <v>1690</v>
      </c>
      <c r="J279" s="20">
        <v>1690</v>
      </c>
      <c r="K279" s="61"/>
      <c r="L279" s="61">
        <v>45457</v>
      </c>
      <c r="M279" s="61">
        <v>45031</v>
      </c>
      <c r="O279" s="20">
        <v>1690</v>
      </c>
      <c r="P279" s="20"/>
      <c r="Q279" s="20"/>
      <c r="R279" s="20">
        <v>25</v>
      </c>
      <c r="S279" s="20">
        <v>10</v>
      </c>
      <c r="T279" s="20">
        <v>60</v>
      </c>
      <c r="U279" s="20"/>
      <c r="V279" s="20"/>
      <c r="W279" s="20"/>
      <c r="X279" s="20"/>
      <c r="Y279" s="20"/>
      <c r="Z279" s="20"/>
    </row>
    <row r="280" spans="1:26" x14ac:dyDescent="0.3">
      <c r="A280" s="62" t="s">
        <v>669</v>
      </c>
      <c r="B280" s="62" t="s">
        <v>64</v>
      </c>
      <c r="C280" s="11">
        <v>1109</v>
      </c>
      <c r="D280" s="10">
        <v>2</v>
      </c>
      <c r="E280" s="10">
        <v>2</v>
      </c>
      <c r="F280" s="63" t="s">
        <v>390</v>
      </c>
      <c r="G280" s="63" t="s">
        <v>391</v>
      </c>
      <c r="H280" s="11">
        <v>2080</v>
      </c>
      <c r="I280" s="11">
        <v>1970</v>
      </c>
      <c r="J280" s="11">
        <v>1970</v>
      </c>
      <c r="K280" s="64"/>
      <c r="L280" s="64">
        <v>45429</v>
      </c>
      <c r="M280" s="64">
        <v>45003</v>
      </c>
      <c r="O280" s="11">
        <v>1970</v>
      </c>
      <c r="P280" s="11"/>
      <c r="Q280" s="11">
        <v>250</v>
      </c>
      <c r="R280" s="11">
        <v>25</v>
      </c>
      <c r="S280" s="11">
        <v>10</v>
      </c>
      <c r="T280" s="11"/>
      <c r="U280" s="11"/>
      <c r="V280" s="11"/>
      <c r="W280" s="11"/>
      <c r="X280" s="11"/>
      <c r="Y280" s="11"/>
      <c r="Z280" s="11"/>
    </row>
    <row r="281" spans="1:26" x14ac:dyDescent="0.3">
      <c r="A281" s="59" t="s">
        <v>670</v>
      </c>
      <c r="B281" s="59" t="s">
        <v>36</v>
      </c>
      <c r="C281" s="20">
        <v>698</v>
      </c>
      <c r="D281" s="19">
        <v>1</v>
      </c>
      <c r="E281" s="19">
        <v>1</v>
      </c>
      <c r="F281" s="60" t="s">
        <v>390</v>
      </c>
      <c r="G281" s="60" t="s">
        <v>391</v>
      </c>
      <c r="H281" s="20">
        <v>1800</v>
      </c>
      <c r="I281" s="20">
        <v>1685</v>
      </c>
      <c r="J281" s="20">
        <v>1685</v>
      </c>
      <c r="K281" s="61"/>
      <c r="L281" s="61">
        <v>45369</v>
      </c>
      <c r="M281" s="61">
        <v>44945</v>
      </c>
      <c r="O281" s="20">
        <v>1685</v>
      </c>
      <c r="P281" s="20"/>
      <c r="Q281" s="20"/>
      <c r="R281" s="20">
        <v>25</v>
      </c>
      <c r="S281" s="20">
        <v>10</v>
      </c>
      <c r="T281" s="20"/>
      <c r="U281" s="20"/>
      <c r="V281" s="20"/>
      <c r="W281" s="20"/>
      <c r="X281" s="20"/>
      <c r="Y281" s="20"/>
      <c r="Z281" s="20"/>
    </row>
    <row r="282" spans="1:26" x14ac:dyDescent="0.3">
      <c r="A282" s="62" t="s">
        <v>671</v>
      </c>
      <c r="B282" s="62" t="s">
        <v>48</v>
      </c>
      <c r="C282" s="11">
        <v>762</v>
      </c>
      <c r="D282" s="10">
        <v>1</v>
      </c>
      <c r="E282" s="10">
        <v>1</v>
      </c>
      <c r="F282" s="63" t="s">
        <v>390</v>
      </c>
      <c r="G282" s="63" t="s">
        <v>391</v>
      </c>
      <c r="H282" s="11">
        <v>1610</v>
      </c>
      <c r="I282" s="11">
        <v>1560</v>
      </c>
      <c r="J282" s="11">
        <v>1560</v>
      </c>
      <c r="K282" s="64"/>
      <c r="L282" s="64">
        <v>45533</v>
      </c>
      <c r="M282" s="64">
        <v>45107</v>
      </c>
      <c r="O282" s="11">
        <v>1560</v>
      </c>
      <c r="P282" s="11"/>
      <c r="Q282" s="11"/>
      <c r="R282" s="11">
        <v>25</v>
      </c>
      <c r="S282" s="11">
        <v>10</v>
      </c>
      <c r="T282" s="11"/>
      <c r="U282" s="11"/>
      <c r="V282" s="11"/>
      <c r="W282" s="11"/>
      <c r="X282" s="11"/>
      <c r="Y282" s="11"/>
      <c r="Z282" s="11"/>
    </row>
    <row r="283" spans="1:26" x14ac:dyDescent="0.3">
      <c r="A283" s="59" t="s">
        <v>672</v>
      </c>
      <c r="B283" s="59" t="s">
        <v>64</v>
      </c>
      <c r="C283" s="20">
        <v>1109</v>
      </c>
      <c r="D283" s="19">
        <v>2</v>
      </c>
      <c r="E283" s="19">
        <v>2</v>
      </c>
      <c r="F283" s="60" t="s">
        <v>390</v>
      </c>
      <c r="G283" s="60" t="s">
        <v>391</v>
      </c>
      <c r="H283" s="20">
        <v>2350</v>
      </c>
      <c r="I283" s="20">
        <v>2200</v>
      </c>
      <c r="J283" s="20">
        <v>2200</v>
      </c>
      <c r="K283" s="61"/>
      <c r="L283" s="61">
        <v>45396</v>
      </c>
      <c r="M283" s="61">
        <v>44972</v>
      </c>
      <c r="O283" s="20">
        <v>2200</v>
      </c>
      <c r="P283" s="20"/>
      <c r="Q283" s="20"/>
      <c r="R283" s="20">
        <v>25</v>
      </c>
      <c r="S283" s="20">
        <v>10</v>
      </c>
      <c r="T283" s="20"/>
      <c r="U283" s="20"/>
      <c r="V283" s="20"/>
      <c r="W283" s="20"/>
      <c r="X283" s="20"/>
      <c r="Y283" s="20"/>
      <c r="Z283" s="20"/>
    </row>
    <row r="284" spans="1:26" x14ac:dyDescent="0.3">
      <c r="A284" s="62" t="s">
        <v>673</v>
      </c>
      <c r="B284" s="62" t="s">
        <v>48</v>
      </c>
      <c r="C284" s="11">
        <v>762</v>
      </c>
      <c r="D284" s="10">
        <v>1</v>
      </c>
      <c r="E284" s="10">
        <v>1</v>
      </c>
      <c r="F284" s="63" t="s">
        <v>390</v>
      </c>
      <c r="G284" s="63" t="s">
        <v>391</v>
      </c>
      <c r="H284" s="11">
        <v>1610</v>
      </c>
      <c r="I284" s="11">
        <v>1545</v>
      </c>
      <c r="J284" s="11">
        <v>1545</v>
      </c>
      <c r="K284" s="64"/>
      <c r="L284" s="64">
        <v>45523</v>
      </c>
      <c r="M284" s="64">
        <v>45097</v>
      </c>
      <c r="O284" s="11">
        <v>1545</v>
      </c>
      <c r="P284" s="11"/>
      <c r="Q284" s="11"/>
      <c r="R284" s="11">
        <v>25</v>
      </c>
      <c r="S284" s="11">
        <v>10</v>
      </c>
      <c r="T284" s="11"/>
      <c r="U284" s="11"/>
      <c r="V284" s="11"/>
      <c r="W284" s="11"/>
      <c r="X284" s="11"/>
      <c r="Y284" s="11"/>
      <c r="Z284" s="11"/>
    </row>
    <row r="285" spans="1:26" x14ac:dyDescent="0.3">
      <c r="A285" s="59" t="s">
        <v>674</v>
      </c>
      <c r="B285" s="59" t="s">
        <v>67</v>
      </c>
      <c r="C285" s="20">
        <v>1155</v>
      </c>
      <c r="D285" s="19">
        <v>2</v>
      </c>
      <c r="E285" s="19">
        <v>2</v>
      </c>
      <c r="F285" s="60" t="s">
        <v>390</v>
      </c>
      <c r="G285" s="60" t="s">
        <v>391</v>
      </c>
      <c r="H285" s="20">
        <v>2350</v>
      </c>
      <c r="I285" s="20">
        <v>2200</v>
      </c>
      <c r="J285" s="20">
        <v>2200</v>
      </c>
      <c r="K285" s="61"/>
      <c r="L285" s="61">
        <v>45443</v>
      </c>
      <c r="M285" s="61">
        <v>45017</v>
      </c>
      <c r="O285" s="20">
        <v>2200</v>
      </c>
      <c r="P285" s="20"/>
      <c r="Q285" s="20"/>
      <c r="R285" s="20">
        <v>25</v>
      </c>
      <c r="S285" s="20">
        <v>10</v>
      </c>
      <c r="T285" s="20"/>
      <c r="U285" s="20"/>
      <c r="V285" s="20"/>
      <c r="W285" s="20"/>
      <c r="X285" s="20"/>
      <c r="Y285" s="20"/>
      <c r="Z285" s="20"/>
    </row>
    <row r="286" spans="1:26" x14ac:dyDescent="0.3">
      <c r="A286" s="62" t="s">
        <v>675</v>
      </c>
      <c r="B286" s="62" t="s">
        <v>59</v>
      </c>
      <c r="C286" s="11">
        <v>1082</v>
      </c>
      <c r="D286" s="10">
        <v>2</v>
      </c>
      <c r="E286" s="10">
        <v>2</v>
      </c>
      <c r="F286" s="63" t="s">
        <v>390</v>
      </c>
      <c r="G286" s="63" t="s">
        <v>391</v>
      </c>
      <c r="H286" s="11">
        <v>2130</v>
      </c>
      <c r="I286" s="11">
        <v>2020</v>
      </c>
      <c r="J286" s="11">
        <v>2020</v>
      </c>
      <c r="K286" s="64"/>
      <c r="L286" s="64">
        <v>45582</v>
      </c>
      <c r="M286" s="64">
        <v>45156</v>
      </c>
      <c r="O286" s="11">
        <v>2020</v>
      </c>
      <c r="P286" s="11"/>
      <c r="Q286" s="11"/>
      <c r="R286" s="11">
        <v>25</v>
      </c>
      <c r="S286" s="11">
        <v>10</v>
      </c>
      <c r="T286" s="11"/>
      <c r="U286" s="11">
        <v>25</v>
      </c>
      <c r="V286" s="11"/>
      <c r="W286" s="11"/>
      <c r="X286" s="11"/>
      <c r="Y286" s="11"/>
      <c r="Z286" s="11"/>
    </row>
    <row r="287" spans="1:26" x14ac:dyDescent="0.3">
      <c r="A287" s="59" t="s">
        <v>676</v>
      </c>
      <c r="B287" s="59" t="s">
        <v>59</v>
      </c>
      <c r="C287" s="20">
        <v>1082</v>
      </c>
      <c r="D287" s="19">
        <v>2</v>
      </c>
      <c r="E287" s="19">
        <v>2</v>
      </c>
      <c r="F287" s="60" t="s">
        <v>390</v>
      </c>
      <c r="G287" s="60" t="s">
        <v>391</v>
      </c>
      <c r="H287" s="20">
        <v>2400</v>
      </c>
      <c r="I287" s="20">
        <v>2280</v>
      </c>
      <c r="J287" s="20">
        <v>2280</v>
      </c>
      <c r="K287" s="61"/>
      <c r="L287" s="61">
        <v>45616</v>
      </c>
      <c r="M287" s="61">
        <v>44855</v>
      </c>
      <c r="O287" s="20">
        <v>2280</v>
      </c>
      <c r="P287" s="20"/>
      <c r="Q287" s="20">
        <v>175</v>
      </c>
      <c r="R287" s="20">
        <v>25</v>
      </c>
      <c r="S287" s="20">
        <v>10</v>
      </c>
      <c r="T287" s="20"/>
      <c r="U287" s="20">
        <v>50</v>
      </c>
      <c r="V287" s="20"/>
      <c r="W287" s="20"/>
      <c r="X287" s="20"/>
      <c r="Y287" s="20"/>
      <c r="Z287" s="20"/>
    </row>
    <row r="288" spans="1:26" x14ac:dyDescent="0.3">
      <c r="A288" s="62" t="s">
        <v>677</v>
      </c>
      <c r="B288" s="62" t="s">
        <v>59</v>
      </c>
      <c r="C288" s="11">
        <v>1082</v>
      </c>
      <c r="D288" s="10">
        <v>2</v>
      </c>
      <c r="E288" s="10">
        <v>2</v>
      </c>
      <c r="F288" s="63" t="s">
        <v>390</v>
      </c>
      <c r="G288" s="63" t="s">
        <v>391</v>
      </c>
      <c r="H288" s="11">
        <v>2130</v>
      </c>
      <c r="I288" s="11">
        <v>2075</v>
      </c>
      <c r="J288" s="11">
        <v>2075</v>
      </c>
      <c r="K288" s="64"/>
      <c r="L288" s="64">
        <v>45504</v>
      </c>
      <c r="M288" s="64">
        <v>45078</v>
      </c>
      <c r="O288" s="11">
        <v>2075</v>
      </c>
      <c r="P288" s="11"/>
      <c r="Q288" s="11"/>
      <c r="R288" s="11">
        <v>25</v>
      </c>
      <c r="S288" s="11">
        <v>10</v>
      </c>
      <c r="T288" s="11"/>
      <c r="U288" s="11">
        <v>25</v>
      </c>
      <c r="V288" s="11"/>
      <c r="W288" s="11"/>
      <c r="X288" s="11"/>
      <c r="Y288" s="11"/>
      <c r="Z288" s="11"/>
    </row>
    <row r="289" spans="1:26" x14ac:dyDescent="0.3">
      <c r="A289" s="59" t="s">
        <v>678</v>
      </c>
      <c r="B289" s="59" t="s">
        <v>73</v>
      </c>
      <c r="C289" s="20">
        <v>1461</v>
      </c>
      <c r="D289" s="19"/>
      <c r="E289" s="19"/>
      <c r="F289" s="60" t="s">
        <v>390</v>
      </c>
      <c r="G289" s="60" t="s">
        <v>391</v>
      </c>
      <c r="H289" s="20">
        <v>3785</v>
      </c>
      <c r="I289" s="20">
        <v>3099</v>
      </c>
      <c r="J289" s="20">
        <v>3099</v>
      </c>
      <c r="K289" s="61"/>
      <c r="L289" s="61">
        <v>45725</v>
      </c>
      <c r="M289" s="61">
        <v>45332</v>
      </c>
      <c r="O289" s="20">
        <v>3099</v>
      </c>
      <c r="P289" s="20"/>
      <c r="Q289" s="20"/>
      <c r="R289" s="20">
        <v>25</v>
      </c>
      <c r="S289" s="20">
        <v>10</v>
      </c>
      <c r="T289" s="20"/>
      <c r="U289" s="20"/>
      <c r="V289" s="20"/>
      <c r="W289" s="20"/>
      <c r="X289" s="20"/>
      <c r="Y289" s="20"/>
      <c r="Z289" s="20"/>
    </row>
    <row r="290" spans="1:26" x14ac:dyDescent="0.3">
      <c r="A290" s="62" t="s">
        <v>679</v>
      </c>
      <c r="B290" s="62" t="s">
        <v>70</v>
      </c>
      <c r="C290" s="11">
        <v>1381</v>
      </c>
      <c r="D290" s="10"/>
      <c r="E290" s="10"/>
      <c r="F290" s="63" t="s">
        <v>390</v>
      </c>
      <c r="G290" s="63" t="s">
        <v>397</v>
      </c>
      <c r="H290" s="11">
        <v>3410</v>
      </c>
      <c r="I290" s="11">
        <v>0</v>
      </c>
      <c r="J290" s="11">
        <v>0</v>
      </c>
      <c r="K290" s="64"/>
      <c r="L290" s="64"/>
      <c r="M290" s="64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59" t="s">
        <v>680</v>
      </c>
      <c r="B291" s="59" t="s">
        <v>70</v>
      </c>
      <c r="C291" s="20">
        <v>1381</v>
      </c>
      <c r="D291" s="19"/>
      <c r="E291" s="19"/>
      <c r="F291" s="60" t="s">
        <v>390</v>
      </c>
      <c r="G291" s="60" t="s">
        <v>391</v>
      </c>
      <c r="H291" s="20">
        <v>3410</v>
      </c>
      <c r="I291" s="20">
        <v>3390</v>
      </c>
      <c r="J291" s="20">
        <v>3390</v>
      </c>
      <c r="K291" s="61"/>
      <c r="L291" s="61">
        <v>45438</v>
      </c>
      <c r="M291" s="61">
        <v>45073</v>
      </c>
      <c r="O291" s="20">
        <v>3390</v>
      </c>
      <c r="P291" s="20"/>
      <c r="Q291" s="20"/>
      <c r="R291" s="20">
        <v>25</v>
      </c>
      <c r="S291" s="20">
        <v>10</v>
      </c>
      <c r="T291" s="20"/>
      <c r="U291" s="20">
        <v>25</v>
      </c>
      <c r="V291" s="20"/>
      <c r="W291" s="20"/>
      <c r="X291" s="20"/>
      <c r="Y291" s="20"/>
      <c r="Z291" s="20"/>
    </row>
    <row r="292" spans="1:26" x14ac:dyDescent="0.3">
      <c r="A292" s="62" t="s">
        <v>681</v>
      </c>
      <c r="B292" s="62" t="s">
        <v>77</v>
      </c>
      <c r="C292" s="11">
        <v>1427</v>
      </c>
      <c r="D292" s="10"/>
      <c r="E292" s="10"/>
      <c r="F292" s="63" t="s">
        <v>390</v>
      </c>
      <c r="G292" s="63" t="s">
        <v>391</v>
      </c>
      <c r="H292" s="11">
        <v>3955</v>
      </c>
      <c r="I292" s="11">
        <v>3865</v>
      </c>
      <c r="J292" s="11">
        <v>3865</v>
      </c>
      <c r="K292" s="64"/>
      <c r="L292" s="64">
        <v>45436</v>
      </c>
      <c r="M292" s="64">
        <v>45010</v>
      </c>
      <c r="O292" s="11">
        <v>3865</v>
      </c>
      <c r="P292" s="11"/>
      <c r="Q292" s="11"/>
      <c r="R292" s="11">
        <v>25</v>
      </c>
      <c r="S292" s="11">
        <v>10</v>
      </c>
      <c r="T292" s="11"/>
      <c r="U292" s="11"/>
      <c r="V292" s="11"/>
      <c r="W292" s="11"/>
      <c r="X292" s="11">
        <v>29</v>
      </c>
      <c r="Y292" s="11"/>
      <c r="Z292" s="11"/>
    </row>
    <row r="293" spans="1:26" x14ac:dyDescent="0.3">
      <c r="A293" s="28" t="s">
        <v>79</v>
      </c>
      <c r="B293" s="29"/>
      <c r="C293" s="31">
        <f>SUM(C3:C292)</f>
        <v>266411</v>
      </c>
      <c r="D293" s="29"/>
      <c r="E293" s="29"/>
      <c r="F293" s="29"/>
      <c r="G293" s="29"/>
      <c r="H293" s="31">
        <f>SUM(H3:H292)</f>
        <v>559150</v>
      </c>
      <c r="I293" s="31">
        <f>SUM(I3:I292)</f>
        <v>487663</v>
      </c>
      <c r="J293" s="31">
        <f>SUM(J3:J292)</f>
        <v>487663</v>
      </c>
      <c r="K293" s="29"/>
      <c r="L293" s="29"/>
      <c r="M293" s="29"/>
      <c r="N293" s="29"/>
      <c r="O293" s="31">
        <f t="shared" ref="O293:Z293" si="0">SUM(O3:O292)</f>
        <v>487663</v>
      </c>
      <c r="P293" s="31">
        <f t="shared" si="0"/>
        <v>-22187</v>
      </c>
      <c r="Q293" s="31">
        <f t="shared" si="0"/>
        <v>15188</v>
      </c>
      <c r="R293" s="31">
        <f t="shared" si="0"/>
        <v>6625</v>
      </c>
      <c r="S293" s="31">
        <f t="shared" si="0"/>
        <v>2670</v>
      </c>
      <c r="T293" s="31">
        <f t="shared" si="0"/>
        <v>2300</v>
      </c>
      <c r="U293" s="31">
        <f t="shared" si="0"/>
        <v>1775</v>
      </c>
      <c r="V293" s="31">
        <f t="shared" si="0"/>
        <v>-1047.5</v>
      </c>
      <c r="W293" s="31">
        <f t="shared" si="0"/>
        <v>-780</v>
      </c>
      <c r="X293" s="31">
        <f t="shared" si="0"/>
        <v>625</v>
      </c>
      <c r="Y293" s="31">
        <f t="shared" si="0"/>
        <v>400</v>
      </c>
      <c r="Z293" s="31">
        <f t="shared" si="0"/>
        <v>180</v>
      </c>
    </row>
  </sheetData>
  <mergeCells count="14">
    <mergeCell ref="A1:A2"/>
    <mergeCell ref="B1:B2"/>
    <mergeCell ref="D1:D2"/>
    <mergeCell ref="E1:E2"/>
    <mergeCell ref="F1:F2"/>
    <mergeCell ref="G1:G2"/>
    <mergeCell ref="I1:I2"/>
    <mergeCell ref="M1:M2"/>
    <mergeCell ref="K1:K2"/>
    <mergeCell ref="O1:Z1"/>
    <mergeCell ref="C1:C2"/>
    <mergeCell ref="L1:L2"/>
    <mergeCell ref="J1:J2"/>
    <mergeCell ref="H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17"/>
  <sheetViews>
    <sheetView showGridLines="0" workbookViewId="0">
      <pane xSplit="1" ySplit="4" topLeftCell="AD5" activePane="bottomRight" state="frozen"/>
      <selection pane="topRight"/>
      <selection pane="bottomLeft"/>
      <selection pane="bottomRight" activeCell="AP6" sqref="AP6"/>
    </sheetView>
  </sheetViews>
  <sheetFormatPr defaultRowHeight="14.4" x14ac:dyDescent="0.3"/>
  <cols>
    <col min="1" max="1" width="38" customWidth="1"/>
    <col min="2" max="29" width="9.44140625" customWidth="1"/>
  </cols>
  <sheetData>
    <row r="1" spans="1:43" ht="19.2" x14ac:dyDescent="0.35">
      <c r="A1" s="65" t="s">
        <v>684</v>
      </c>
    </row>
    <row r="2" spans="1:43" x14ac:dyDescent="0.3">
      <c r="A2" s="2" t="s">
        <v>685</v>
      </c>
    </row>
    <row r="4" spans="1:43" x14ac:dyDescent="0.3">
      <c r="A4" s="38" t="s">
        <v>686</v>
      </c>
      <c r="B4" s="41" t="s">
        <v>687</v>
      </c>
      <c r="C4" s="41" t="s">
        <v>688</v>
      </c>
      <c r="D4" s="41" t="s">
        <v>689</v>
      </c>
      <c r="E4" s="41" t="s">
        <v>690</v>
      </c>
      <c r="F4" s="41" t="s">
        <v>691</v>
      </c>
      <c r="G4" s="41" t="s">
        <v>692</v>
      </c>
      <c r="H4" s="41" t="s">
        <v>693</v>
      </c>
      <c r="I4" s="41" t="s">
        <v>694</v>
      </c>
      <c r="J4" s="41" t="s">
        <v>695</v>
      </c>
      <c r="K4" s="41" t="s">
        <v>696</v>
      </c>
      <c r="L4" s="41" t="s">
        <v>697</v>
      </c>
      <c r="M4" s="41" t="s">
        <v>698</v>
      </c>
      <c r="N4" s="41" t="s">
        <v>699</v>
      </c>
      <c r="O4" s="41" t="s">
        <v>700</v>
      </c>
      <c r="P4" s="41" t="s">
        <v>701</v>
      </c>
      <c r="Q4" s="41" t="s">
        <v>702</v>
      </c>
      <c r="R4" s="41" t="s">
        <v>703</v>
      </c>
      <c r="S4" s="41" t="s">
        <v>704</v>
      </c>
      <c r="T4" s="41" t="s">
        <v>705</v>
      </c>
      <c r="U4" s="41" t="s">
        <v>706</v>
      </c>
      <c r="V4" s="41" t="s">
        <v>707</v>
      </c>
      <c r="W4" s="41" t="s">
        <v>708</v>
      </c>
      <c r="X4" s="41" t="s">
        <v>709</v>
      </c>
      <c r="Y4" s="41" t="s">
        <v>710</v>
      </c>
      <c r="Z4" s="41" t="s">
        <v>711</v>
      </c>
      <c r="AA4" s="41" t="s">
        <v>712</v>
      </c>
      <c r="AB4" s="41" t="s">
        <v>713</v>
      </c>
      <c r="AC4" s="41" t="s">
        <v>714</v>
      </c>
      <c r="AD4" s="41" t="s">
        <v>715</v>
      </c>
      <c r="AE4" s="41" t="s">
        <v>716</v>
      </c>
      <c r="AF4" s="41" t="s">
        <v>717</v>
      </c>
      <c r="AG4" s="41" t="s">
        <v>718</v>
      </c>
      <c r="AH4" s="41" t="s">
        <v>719</v>
      </c>
      <c r="AI4" s="41" t="s">
        <v>720</v>
      </c>
      <c r="AJ4" s="41" t="s">
        <v>721</v>
      </c>
      <c r="AK4" s="41" t="s">
        <v>722</v>
      </c>
      <c r="AL4" s="41" t="s">
        <v>723</v>
      </c>
      <c r="AM4" s="41" t="s">
        <v>724</v>
      </c>
      <c r="AN4" s="41" t="s">
        <v>725</v>
      </c>
      <c r="AO4" s="41" t="s">
        <v>726</v>
      </c>
      <c r="AP4" s="41" t="s">
        <v>727</v>
      </c>
      <c r="AQ4" s="41" t="s">
        <v>728</v>
      </c>
    </row>
    <row r="5" spans="1:43" x14ac:dyDescent="0.3">
      <c r="A5" s="3" t="s">
        <v>729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3">
      <c r="A6" s="27" t="s">
        <v>730</v>
      </c>
      <c r="G6" s="11">
        <v>1872</v>
      </c>
      <c r="H6" s="11">
        <v>1894</v>
      </c>
      <c r="I6" s="11">
        <v>1874</v>
      </c>
      <c r="J6" s="11">
        <v>1815</v>
      </c>
      <c r="K6" s="11">
        <v>1765</v>
      </c>
      <c r="L6" s="11">
        <v>1694</v>
      </c>
      <c r="M6" s="11">
        <v>1743</v>
      </c>
      <c r="N6" s="11">
        <v>1743</v>
      </c>
      <c r="O6" s="11">
        <v>2083</v>
      </c>
      <c r="P6" s="11">
        <v>1929</v>
      </c>
      <c r="Q6" s="11">
        <v>1906</v>
      </c>
      <c r="R6" s="11">
        <v>1941</v>
      </c>
      <c r="S6" s="11">
        <v>1860</v>
      </c>
      <c r="T6" s="11">
        <v>1817</v>
      </c>
      <c r="U6" s="11">
        <v>1707</v>
      </c>
      <c r="V6" s="11">
        <v>1765</v>
      </c>
      <c r="W6" s="11">
        <v>1683</v>
      </c>
      <c r="X6" s="11">
        <v>1681</v>
      </c>
      <c r="Y6" s="11">
        <v>1716</v>
      </c>
      <c r="Z6" s="11">
        <v>1700</v>
      </c>
      <c r="AA6" s="11">
        <v>1737</v>
      </c>
      <c r="AB6" s="11">
        <v>1861</v>
      </c>
      <c r="AC6" s="11">
        <v>1966</v>
      </c>
      <c r="AD6" s="11">
        <v>1864</v>
      </c>
      <c r="AE6" s="11">
        <v>2020</v>
      </c>
      <c r="AF6" s="11">
        <v>1931</v>
      </c>
      <c r="AG6" s="11">
        <v>1906</v>
      </c>
      <c r="AH6" s="11">
        <v>1942</v>
      </c>
      <c r="AI6" s="11">
        <v>1713</v>
      </c>
      <c r="AJ6" s="11">
        <v>1601</v>
      </c>
      <c r="AK6" s="11">
        <v>1720</v>
      </c>
      <c r="AL6" s="11">
        <v>1608</v>
      </c>
      <c r="AM6" s="11">
        <v>1758</v>
      </c>
      <c r="AN6" s="11">
        <v>1741</v>
      </c>
      <c r="AO6" s="11">
        <v>1860</v>
      </c>
      <c r="AP6" s="11">
        <v>1843</v>
      </c>
      <c r="AQ6" s="11">
        <v>1763</v>
      </c>
    </row>
    <row r="7" spans="1:43" x14ac:dyDescent="0.3">
      <c r="A7" s="5" t="s">
        <v>731</v>
      </c>
      <c r="G7" s="11">
        <v>1655</v>
      </c>
      <c r="H7" s="11">
        <v>1674</v>
      </c>
      <c r="I7" s="11">
        <v>1572</v>
      </c>
      <c r="J7" s="11">
        <v>1604</v>
      </c>
      <c r="K7" s="11">
        <v>1560</v>
      </c>
      <c r="L7" s="11">
        <v>1496</v>
      </c>
      <c r="M7" s="11">
        <v>1472</v>
      </c>
      <c r="N7" s="11">
        <v>1641</v>
      </c>
      <c r="O7" s="11">
        <v>2083</v>
      </c>
      <c r="P7" s="11">
        <v>1929</v>
      </c>
      <c r="Q7" s="11">
        <v>1906</v>
      </c>
      <c r="R7" s="11">
        <v>1941</v>
      </c>
      <c r="S7" s="11">
        <v>1860</v>
      </c>
      <c r="T7" s="11">
        <v>1817</v>
      </c>
      <c r="U7" s="11">
        <v>1674</v>
      </c>
      <c r="V7" s="11">
        <v>1691</v>
      </c>
      <c r="W7" s="11">
        <v>1538</v>
      </c>
      <c r="X7" s="11">
        <v>1681</v>
      </c>
      <c r="Y7" s="11">
        <v>1716</v>
      </c>
      <c r="Z7" s="11">
        <v>1584</v>
      </c>
      <c r="AA7" s="11">
        <v>1737</v>
      </c>
      <c r="AB7" s="11">
        <v>1677</v>
      </c>
      <c r="AC7" s="11">
        <v>1627</v>
      </c>
      <c r="AD7" s="11">
        <v>1624</v>
      </c>
      <c r="AE7" s="11">
        <v>2000</v>
      </c>
      <c r="AF7" s="11">
        <v>1706</v>
      </c>
      <c r="AG7" s="11">
        <v>1653</v>
      </c>
      <c r="AH7" s="11">
        <v>1641</v>
      </c>
      <c r="AI7" s="11">
        <v>1447</v>
      </c>
      <c r="AJ7" s="11">
        <v>1303</v>
      </c>
      <c r="AK7" s="11">
        <v>1460</v>
      </c>
      <c r="AL7" s="11">
        <v>1388</v>
      </c>
      <c r="AM7" s="11">
        <v>1440</v>
      </c>
      <c r="AN7" s="11">
        <v>1687</v>
      </c>
      <c r="AO7" s="11">
        <v>1650</v>
      </c>
      <c r="AP7" s="11">
        <v>1577</v>
      </c>
      <c r="AQ7" s="11">
        <v>1562</v>
      </c>
    </row>
    <row r="8" spans="1:43" x14ac:dyDescent="0.3">
      <c r="A8" s="5" t="s">
        <v>732</v>
      </c>
      <c r="G8" s="14">
        <v>0.115411309062742</v>
      </c>
      <c r="H8" s="14">
        <v>0.11539491941829801</v>
      </c>
      <c r="I8" s="14">
        <v>0.15963351321811611</v>
      </c>
      <c r="J8" s="14">
        <v>0.11542785479139139</v>
      </c>
      <c r="K8" s="14">
        <v>0.1154204768601986</v>
      </c>
      <c r="L8" s="14">
        <v>0.11559008082581181</v>
      </c>
      <c r="M8" s="14">
        <v>0.15368785462862439</v>
      </c>
      <c r="N8" s="14">
        <v>5.840199994554407E-2</v>
      </c>
      <c r="U8" s="14">
        <v>1.9189860029512399E-2</v>
      </c>
      <c r="V8" s="14">
        <v>4.1583858982113593E-2</v>
      </c>
      <c r="W8" s="14">
        <v>8.5182544333432419E-2</v>
      </c>
      <c r="Z8" s="14">
        <v>6.7581356609559218E-2</v>
      </c>
      <c r="AB8" s="14">
        <v>9.7700041693152162E-2</v>
      </c>
      <c r="AC8" s="14">
        <v>0.17142091096437731</v>
      </c>
      <c r="AD8" s="14">
        <v>0.12761873635801249</v>
      </c>
      <c r="AE8" s="14">
        <v>9.8442648384283737E-3</v>
      </c>
      <c r="AF8" s="14">
        <v>0.1154973337117421</v>
      </c>
      <c r="AG8" s="14">
        <v>0.1316518720837602</v>
      </c>
      <c r="AH8" s="14">
        <v>0.15403676104868241</v>
      </c>
      <c r="AI8" s="14">
        <v>0.15386414832784609</v>
      </c>
      <c r="AJ8" s="14">
        <v>0.18426113836231869</v>
      </c>
      <c r="AK8" s="14">
        <v>0.15015861560897881</v>
      </c>
      <c r="AL8" s="14">
        <v>0.13585993699414961</v>
      </c>
      <c r="AM8" s="14">
        <v>0.17932817894447961</v>
      </c>
      <c r="AN8" s="14">
        <v>3.062942046886119E-2</v>
      </c>
      <c r="AO8" s="14">
        <v>0.1118428175226385</v>
      </c>
      <c r="AP8" s="14">
        <v>0.1428709370006539</v>
      </c>
      <c r="AQ8" s="14">
        <v>0.1127919434326119</v>
      </c>
    </row>
    <row r="9" spans="1:43" x14ac:dyDescent="0.3">
      <c r="A9" s="5" t="s">
        <v>733</v>
      </c>
      <c r="G9" s="66">
        <v>8</v>
      </c>
      <c r="H9" s="66">
        <v>17</v>
      </c>
      <c r="I9" s="66">
        <v>12</v>
      </c>
      <c r="J9" s="66">
        <v>16</v>
      </c>
      <c r="K9" s="66">
        <v>17</v>
      </c>
      <c r="L9" s="66">
        <v>10</v>
      </c>
      <c r="M9" s="66">
        <v>13</v>
      </c>
      <c r="N9" s="66">
        <v>15</v>
      </c>
      <c r="O9" s="66">
        <v>9</v>
      </c>
      <c r="P9" s="66">
        <v>9</v>
      </c>
      <c r="Q9" s="66">
        <v>7</v>
      </c>
      <c r="R9" s="66">
        <v>11</v>
      </c>
      <c r="S9" s="66">
        <v>17</v>
      </c>
      <c r="T9" s="66">
        <v>11</v>
      </c>
      <c r="U9" s="66">
        <v>19</v>
      </c>
      <c r="V9" s="66">
        <v>5</v>
      </c>
      <c r="W9" s="66">
        <v>12</v>
      </c>
      <c r="X9" s="66">
        <v>18</v>
      </c>
      <c r="Y9" s="66">
        <v>14</v>
      </c>
      <c r="Z9" s="66">
        <v>18</v>
      </c>
      <c r="AA9" s="66">
        <v>25</v>
      </c>
      <c r="AB9" s="66">
        <v>8</v>
      </c>
      <c r="AC9" s="66">
        <v>9</v>
      </c>
      <c r="AD9" s="66">
        <v>13</v>
      </c>
      <c r="AE9" s="66">
        <v>8</v>
      </c>
      <c r="AF9" s="66">
        <v>7</v>
      </c>
      <c r="AG9" s="66">
        <v>7</v>
      </c>
      <c r="AH9" s="66">
        <v>14</v>
      </c>
      <c r="AI9" s="66">
        <v>8</v>
      </c>
      <c r="AJ9" s="66">
        <v>13</v>
      </c>
      <c r="AK9" s="66">
        <v>9</v>
      </c>
      <c r="AL9" s="66">
        <v>21</v>
      </c>
      <c r="AM9" s="66">
        <v>14</v>
      </c>
      <c r="AN9" s="66">
        <v>15</v>
      </c>
      <c r="AO9" s="66">
        <v>7</v>
      </c>
      <c r="AP9" s="66">
        <v>21</v>
      </c>
      <c r="AQ9" s="66">
        <v>5</v>
      </c>
    </row>
    <row r="10" spans="1:43" x14ac:dyDescent="0.3">
      <c r="A10" s="27" t="s">
        <v>734</v>
      </c>
      <c r="B10" s="11">
        <v>1733</v>
      </c>
      <c r="C10" s="11">
        <v>1620</v>
      </c>
      <c r="D10" s="11">
        <v>1819</v>
      </c>
      <c r="E10" s="11">
        <v>1850</v>
      </c>
      <c r="F10" s="11">
        <v>1876</v>
      </c>
      <c r="G10" s="11">
        <v>1870</v>
      </c>
      <c r="H10" s="11">
        <v>1820</v>
      </c>
      <c r="I10" s="11">
        <v>1858</v>
      </c>
      <c r="J10" s="11">
        <v>1845</v>
      </c>
      <c r="K10" s="11">
        <v>1817</v>
      </c>
      <c r="L10" s="11">
        <v>1746</v>
      </c>
      <c r="M10" s="11">
        <v>1583</v>
      </c>
      <c r="N10" s="11">
        <v>1791</v>
      </c>
      <c r="O10" s="11">
        <v>1912</v>
      </c>
      <c r="AC10" s="11">
        <v>1843</v>
      </c>
      <c r="AD10" s="11">
        <v>1746</v>
      </c>
      <c r="AE10" s="11">
        <v>1979</v>
      </c>
      <c r="AF10" s="11">
        <v>1843</v>
      </c>
      <c r="AG10" s="11">
        <v>1922</v>
      </c>
      <c r="AH10" s="11">
        <v>1895</v>
      </c>
      <c r="AI10" s="11">
        <v>1840</v>
      </c>
      <c r="AJ10" s="11">
        <v>1694</v>
      </c>
      <c r="AK10" s="11">
        <v>1621</v>
      </c>
      <c r="AL10" s="11">
        <v>1662</v>
      </c>
      <c r="AM10" s="11">
        <v>1716</v>
      </c>
      <c r="AN10" s="11">
        <v>1707</v>
      </c>
      <c r="AO10" s="11">
        <v>1824</v>
      </c>
      <c r="AP10" s="11">
        <v>2313</v>
      </c>
    </row>
    <row r="11" spans="1:43" x14ac:dyDescent="0.3">
      <c r="A11" s="5" t="s">
        <v>735</v>
      </c>
      <c r="B11" s="66">
        <v>8</v>
      </c>
      <c r="C11" s="66">
        <v>15</v>
      </c>
      <c r="D11" s="66">
        <v>12</v>
      </c>
      <c r="E11" s="66">
        <v>17</v>
      </c>
      <c r="F11" s="66">
        <v>23</v>
      </c>
      <c r="G11" s="66">
        <v>33</v>
      </c>
      <c r="H11" s="66">
        <v>26</v>
      </c>
      <c r="I11" s="66">
        <v>22</v>
      </c>
      <c r="J11" s="66">
        <v>18</v>
      </c>
      <c r="K11" s="66">
        <v>17</v>
      </c>
      <c r="L11" s="66">
        <v>10</v>
      </c>
      <c r="M11" s="66">
        <v>9</v>
      </c>
      <c r="N11" s="66">
        <v>18</v>
      </c>
      <c r="O11" s="66">
        <v>7</v>
      </c>
      <c r="AC11" s="66">
        <v>4</v>
      </c>
      <c r="AD11" s="66">
        <v>6</v>
      </c>
      <c r="AE11" s="66">
        <v>10</v>
      </c>
      <c r="AF11" s="66">
        <v>7</v>
      </c>
      <c r="AG11" s="66">
        <v>7</v>
      </c>
      <c r="AH11" s="66">
        <v>11</v>
      </c>
      <c r="AI11" s="66">
        <v>13</v>
      </c>
      <c r="AJ11" s="66">
        <v>9</v>
      </c>
      <c r="AK11" s="66">
        <v>11</v>
      </c>
      <c r="AL11" s="66">
        <v>12</v>
      </c>
      <c r="AM11" s="66">
        <v>21</v>
      </c>
      <c r="AN11" s="66">
        <v>9</v>
      </c>
      <c r="AO11" s="66">
        <v>9</v>
      </c>
      <c r="AP11" s="66">
        <v>11</v>
      </c>
    </row>
    <row r="13" spans="1:43" x14ac:dyDescent="0.3">
      <c r="A13" s="3" t="s">
        <v>736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x14ac:dyDescent="0.3">
      <c r="A14" s="5" t="s">
        <v>737</v>
      </c>
      <c r="AD14" s="14">
        <v>0.93982639049862615</v>
      </c>
      <c r="AE14" s="14">
        <v>0.92498040469687881</v>
      </c>
      <c r="AF14" s="14">
        <v>0.93970018519665022</v>
      </c>
      <c r="AG14" s="14">
        <v>0.9321015139688954</v>
      </c>
      <c r="AH14" s="14">
        <v>0.91504856345562602</v>
      </c>
      <c r="AI14" s="14">
        <v>0.93801350641539338</v>
      </c>
      <c r="AJ14" s="14">
        <v>0.92557652920942912</v>
      </c>
      <c r="AK14" s="14">
        <v>0.89750410689134097</v>
      </c>
      <c r="AL14" s="14">
        <v>0.88231020160009599</v>
      </c>
      <c r="AM14" s="14">
        <v>0.90406826699739729</v>
      </c>
      <c r="AN14" s="14">
        <v>0.93017183464287023</v>
      </c>
      <c r="AO14" s="14">
        <v>0.93037279213775392</v>
      </c>
    </row>
    <row r="15" spans="1:43" x14ac:dyDescent="0.3">
      <c r="A15" s="27" t="s">
        <v>738</v>
      </c>
      <c r="AD15" s="11">
        <v>1837</v>
      </c>
      <c r="AE15" s="11">
        <v>1836</v>
      </c>
      <c r="AF15" s="11">
        <v>1839</v>
      </c>
      <c r="AG15" s="11">
        <v>1843</v>
      </c>
      <c r="AH15" s="11">
        <v>1846</v>
      </c>
      <c r="AI15" s="11">
        <v>1848</v>
      </c>
      <c r="AJ15" s="11">
        <v>1844</v>
      </c>
      <c r="AK15" s="11">
        <v>1847</v>
      </c>
      <c r="AL15" s="11">
        <v>1847</v>
      </c>
      <c r="AM15" s="11">
        <v>1835</v>
      </c>
      <c r="AN15" s="11">
        <v>1833</v>
      </c>
      <c r="AO15" s="11">
        <v>1832</v>
      </c>
    </row>
    <row r="16" spans="1:43" x14ac:dyDescent="0.3">
      <c r="A16" s="5" t="s">
        <v>739</v>
      </c>
      <c r="AD16" s="11">
        <v>1932</v>
      </c>
      <c r="AE16" s="11">
        <v>1932</v>
      </c>
      <c r="AF16" s="11">
        <v>1932</v>
      </c>
      <c r="AG16" s="11">
        <v>1930</v>
      </c>
      <c r="AH16" s="11">
        <v>1929</v>
      </c>
      <c r="AI16" s="11">
        <v>1930</v>
      </c>
      <c r="AJ16" s="11">
        <v>1929</v>
      </c>
      <c r="AK16" s="11">
        <v>1930</v>
      </c>
      <c r="AL16" s="11">
        <v>1930</v>
      </c>
      <c r="AM16" s="11">
        <v>1930</v>
      </c>
      <c r="AN16" s="11">
        <v>1931</v>
      </c>
      <c r="AO16" s="11">
        <v>1931</v>
      </c>
    </row>
    <row r="17" spans="1:43" x14ac:dyDescent="0.3">
      <c r="A17" s="27" t="s">
        <v>740</v>
      </c>
      <c r="AD17" s="11">
        <v>27</v>
      </c>
      <c r="AE17" s="11">
        <v>184</v>
      </c>
      <c r="AF17" s="11">
        <v>92</v>
      </c>
      <c r="AG17" s="11">
        <v>62</v>
      </c>
      <c r="AH17" s="11">
        <v>96</v>
      </c>
      <c r="AI17" s="11">
        <v>-135</v>
      </c>
      <c r="AJ17" s="11">
        <v>-243</v>
      </c>
      <c r="AK17" s="11">
        <v>-127</v>
      </c>
      <c r="AL17" s="11">
        <v>-239</v>
      </c>
      <c r="AM17" s="11">
        <v>-78</v>
      </c>
      <c r="AN17" s="11">
        <v>-92</v>
      </c>
      <c r="AO17" s="11">
        <v>28</v>
      </c>
    </row>
    <row r="18" spans="1:43" x14ac:dyDescent="0.3">
      <c r="A18" s="5" t="s">
        <v>741</v>
      </c>
      <c r="AD18" s="14">
        <v>1.4279955905043931E-2</v>
      </c>
      <c r="AE18" s="14">
        <v>9.1127614989473166E-2</v>
      </c>
      <c r="AF18" s="14">
        <v>4.7644335553768923E-2</v>
      </c>
      <c r="AG18" s="14">
        <v>3.2715037947497853E-2</v>
      </c>
      <c r="AH18" s="14">
        <v>4.9553038931722942E-2</v>
      </c>
      <c r="AI18" s="14">
        <v>-7.9107175082772638E-2</v>
      </c>
      <c r="AJ18" s="14">
        <v>-0.151572412906193</v>
      </c>
      <c r="AK18" s="14">
        <v>-7.3590752964383402E-2</v>
      </c>
      <c r="AL18" s="14">
        <v>-0.1483564532793997</v>
      </c>
      <c r="AM18" s="14">
        <v>-4.424661372182985E-2</v>
      </c>
      <c r="AN18" s="14">
        <v>-5.2834047462255708E-2</v>
      </c>
      <c r="AO18" s="14">
        <v>1.507440310618482E-2</v>
      </c>
    </row>
    <row r="20" spans="1:43" x14ac:dyDescent="0.3">
      <c r="A20" s="3" t="s">
        <v>742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x14ac:dyDescent="0.3">
      <c r="A21" s="5" t="s">
        <v>743</v>
      </c>
      <c r="AD21" s="11">
        <v>-51397</v>
      </c>
      <c r="AE21" s="11">
        <v>-36344</v>
      </c>
      <c r="AF21" s="11">
        <v>-41734</v>
      </c>
      <c r="AG21" s="11">
        <v>-40560</v>
      </c>
      <c r="AH21" s="11">
        <v>-23142</v>
      </c>
      <c r="AI21" s="11">
        <v>-21380</v>
      </c>
      <c r="AJ21" s="11">
        <v>-23729</v>
      </c>
      <c r="AK21" s="11">
        <v>-23776</v>
      </c>
      <c r="AL21" s="11">
        <v>-29614</v>
      </c>
      <c r="AM21" s="11">
        <v>-31630</v>
      </c>
      <c r="AN21" s="11">
        <v>-41572</v>
      </c>
      <c r="AO21" s="11">
        <v>-45134</v>
      </c>
    </row>
    <row r="22" spans="1:43" x14ac:dyDescent="0.3">
      <c r="A22" s="27" t="s">
        <v>744</v>
      </c>
      <c r="AD22" s="14">
        <v>9.6469061730512992E-2</v>
      </c>
      <c r="AE22" s="14">
        <v>6.8247669609058939E-2</v>
      </c>
      <c r="AF22" s="14">
        <v>7.825024395956566E-2</v>
      </c>
      <c r="AG22" s="14">
        <v>7.5875412572555867E-2</v>
      </c>
      <c r="AH22" s="14">
        <v>4.3225211157640712E-2</v>
      </c>
      <c r="AI22" s="14">
        <v>3.9885686962606852E-2</v>
      </c>
      <c r="AJ22" s="14">
        <v>4.4383219331174867E-2</v>
      </c>
      <c r="AK22" s="14">
        <v>4.4395898256686092E-2</v>
      </c>
      <c r="AL22" s="14">
        <v>5.5299978732587317E-2</v>
      </c>
      <c r="AM22" s="14">
        <v>5.9423149447962127E-2</v>
      </c>
      <c r="AN22" s="14">
        <v>7.8199941061531261E-2</v>
      </c>
      <c r="AO22" s="14">
        <v>8.4948436175959749E-2</v>
      </c>
    </row>
    <row r="23" spans="1:43" x14ac:dyDescent="0.3">
      <c r="A23" s="27" t="s">
        <v>745</v>
      </c>
      <c r="G23" s="14">
        <v>0.115411309062742</v>
      </c>
      <c r="H23" s="14">
        <v>0.11539491941829801</v>
      </c>
      <c r="I23" s="14">
        <v>0.15963351321811611</v>
      </c>
      <c r="J23" s="14">
        <v>0.11542785479139139</v>
      </c>
      <c r="K23" s="14">
        <v>0.1154204768601986</v>
      </c>
      <c r="L23" s="14">
        <v>0.11559008082581181</v>
      </c>
      <c r="M23" s="14">
        <v>0.15368785462862439</v>
      </c>
      <c r="N23" s="14">
        <v>5.840199994554407E-2</v>
      </c>
      <c r="U23" s="14">
        <v>1.9189860029512399E-2</v>
      </c>
      <c r="V23" s="14">
        <v>4.1583858982113593E-2</v>
      </c>
      <c r="W23" s="14">
        <v>8.5182544333432419E-2</v>
      </c>
      <c r="Z23" s="14">
        <v>6.7581356609559218E-2</v>
      </c>
      <c r="AB23" s="14">
        <v>9.7700041693152162E-2</v>
      </c>
      <c r="AC23" s="14">
        <v>0.17142091096437731</v>
      </c>
      <c r="AD23" s="14">
        <v>0.12761873635801249</v>
      </c>
      <c r="AE23" s="14">
        <v>9.8442648384283737E-3</v>
      </c>
      <c r="AF23" s="14">
        <v>0.1154973337117421</v>
      </c>
      <c r="AG23" s="14">
        <v>0.1316518720837602</v>
      </c>
      <c r="AH23" s="14">
        <v>0.15403676104868241</v>
      </c>
      <c r="AI23" s="14">
        <v>0.15386414832784609</v>
      </c>
      <c r="AJ23" s="14">
        <v>0.18426113836231869</v>
      </c>
      <c r="AK23" s="14">
        <v>0.15015861560897881</v>
      </c>
      <c r="AL23" s="14">
        <v>0.13585993699414961</v>
      </c>
      <c r="AM23" s="14">
        <v>0.17932817894447961</v>
      </c>
      <c r="AN23" s="14">
        <v>3.062942046886119E-2</v>
      </c>
      <c r="AO23" s="14">
        <v>0.1118428175226385</v>
      </c>
      <c r="AP23" s="14">
        <v>0.1428709370006539</v>
      </c>
      <c r="AQ23" s="14">
        <v>0.1127919434326119</v>
      </c>
    </row>
    <row r="25" spans="1:43" x14ac:dyDescent="0.3">
      <c r="A25" s="3" t="s">
        <v>746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x14ac:dyDescent="0.3">
      <c r="A26" s="5" t="s">
        <v>273</v>
      </c>
      <c r="AD26" s="11">
        <v>489633</v>
      </c>
      <c r="AE26" s="11">
        <v>501457</v>
      </c>
      <c r="AF26" s="11">
        <v>494567</v>
      </c>
      <c r="AG26" s="11">
        <v>497846</v>
      </c>
      <c r="AH26" s="11">
        <v>516024</v>
      </c>
      <c r="AI26" s="11">
        <v>529843</v>
      </c>
      <c r="AJ26" s="11">
        <v>525790</v>
      </c>
      <c r="AK26" s="11">
        <v>493546</v>
      </c>
      <c r="AL26" s="11">
        <v>486860</v>
      </c>
      <c r="AM26" s="11">
        <v>490387</v>
      </c>
      <c r="AN26" s="11">
        <v>502231</v>
      </c>
      <c r="AO26" s="11">
        <v>504748</v>
      </c>
    </row>
    <row r="27" spans="1:43" x14ac:dyDescent="0.3">
      <c r="A27" s="5" t="s">
        <v>288</v>
      </c>
      <c r="AD27" s="11">
        <v>257324</v>
      </c>
      <c r="AE27" s="11">
        <v>232211</v>
      </c>
      <c r="AF27" s="11">
        <v>243449</v>
      </c>
      <c r="AG27" s="11">
        <v>219182</v>
      </c>
      <c r="AH27" s="11">
        <v>213094</v>
      </c>
      <c r="AI27" s="11">
        <v>282465</v>
      </c>
      <c r="AJ27" s="11">
        <v>123816</v>
      </c>
      <c r="AK27" s="11">
        <v>227798</v>
      </c>
      <c r="AL27" s="11">
        <v>204269</v>
      </c>
      <c r="AM27" s="11">
        <v>198020</v>
      </c>
      <c r="AN27" s="11">
        <v>190742</v>
      </c>
      <c r="AO27" s="11">
        <v>238843</v>
      </c>
    </row>
    <row r="28" spans="1:43" x14ac:dyDescent="0.3">
      <c r="A28" s="27" t="s">
        <v>313</v>
      </c>
      <c r="AD28" s="11">
        <v>232309</v>
      </c>
      <c r="AE28" s="11">
        <v>269246</v>
      </c>
      <c r="AF28" s="11">
        <v>251119</v>
      </c>
      <c r="AG28" s="11">
        <v>278664</v>
      </c>
      <c r="AH28" s="11">
        <v>302931</v>
      </c>
      <c r="AI28" s="11">
        <v>247378</v>
      </c>
      <c r="AJ28" s="11">
        <v>401975</v>
      </c>
      <c r="AK28" s="11">
        <v>265749</v>
      </c>
      <c r="AL28" s="11">
        <v>282591</v>
      </c>
      <c r="AM28" s="11">
        <v>292366</v>
      </c>
      <c r="AN28" s="11">
        <v>311489</v>
      </c>
      <c r="AO28" s="11">
        <v>265905</v>
      </c>
    </row>
    <row r="30" spans="1:43" x14ac:dyDescent="0.3">
      <c r="A30" s="3" t="s">
        <v>747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x14ac:dyDescent="0.3">
      <c r="B31" s="41" t="s">
        <v>748</v>
      </c>
      <c r="C31" s="41" t="s">
        <v>749</v>
      </c>
      <c r="D31" s="41" t="s">
        <v>750</v>
      </c>
    </row>
    <row r="32" spans="1:43" x14ac:dyDescent="0.3">
      <c r="A32" s="5" t="s">
        <v>751</v>
      </c>
      <c r="B32" s="11">
        <v>6032933</v>
      </c>
      <c r="C32" s="11">
        <v>6007125</v>
      </c>
      <c r="D32" s="11">
        <v>5989462</v>
      </c>
    </row>
    <row r="33" spans="1:13" x14ac:dyDescent="0.3">
      <c r="A33" s="5" t="s">
        <v>288</v>
      </c>
      <c r="B33" s="11">
        <v>2631212</v>
      </c>
      <c r="C33" s="11">
        <v>2366975</v>
      </c>
      <c r="D33" s="11">
        <v>2510419</v>
      </c>
    </row>
    <row r="34" spans="1:13" x14ac:dyDescent="0.3">
      <c r="A34" s="9" t="s">
        <v>752</v>
      </c>
      <c r="B34" s="11">
        <v>3401721</v>
      </c>
      <c r="C34" s="11">
        <v>3640150</v>
      </c>
      <c r="D34" s="11">
        <v>3479043</v>
      </c>
    </row>
    <row r="36" spans="1:13" x14ac:dyDescent="0.3">
      <c r="A36" s="27" t="s">
        <v>753</v>
      </c>
    </row>
    <row r="37" spans="1:13" ht="42" customHeight="1" x14ac:dyDescent="0.3">
      <c r="A37" s="76" t="s">
        <v>82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42" customHeight="1" x14ac:dyDescent="0.3">
      <c r="A38" s="76" t="s">
        <v>83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</row>
    <row r="39" spans="1:13" ht="42" customHeight="1" x14ac:dyDescent="0.3">
      <c r="A39" s="76" t="s">
        <v>84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</row>
    <row r="40" spans="1:13" ht="42" customHeight="1" x14ac:dyDescent="0.3">
      <c r="A40" s="76" t="s">
        <v>85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</row>
    <row r="41" spans="1:13" ht="42" customHeight="1" x14ac:dyDescent="0.3">
      <c r="A41" s="76" t="s">
        <v>754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</row>
    <row r="44" spans="1:13" x14ac:dyDescent="0.3">
      <c r="A44" s="3" t="s">
        <v>755</v>
      </c>
      <c r="B44" s="4"/>
      <c r="C44" s="4"/>
      <c r="D44" s="4"/>
      <c r="E44" s="4"/>
      <c r="F44" s="4"/>
      <c r="G44" s="4"/>
    </row>
    <row r="45" spans="1:13" ht="26.4" x14ac:dyDescent="0.3">
      <c r="A45" s="7" t="s">
        <v>756</v>
      </c>
      <c r="B45" s="7" t="s">
        <v>757</v>
      </c>
      <c r="C45" s="7" t="s">
        <v>758</v>
      </c>
      <c r="D45" s="7" t="s">
        <v>759</v>
      </c>
      <c r="E45" s="7" t="s">
        <v>760</v>
      </c>
    </row>
    <row r="46" spans="1:13" x14ac:dyDescent="0.3">
      <c r="A46" s="54" t="s">
        <v>32</v>
      </c>
      <c r="B46" s="11">
        <v>1520</v>
      </c>
      <c r="C46" s="11">
        <v>1351</v>
      </c>
      <c r="D46" s="14">
        <f t="shared" ref="D46:D56" si="0">IF(OR(B46="",B46=0),"-",1-C46/B46)</f>
        <v>0.11118421052631577</v>
      </c>
      <c r="E46" s="10">
        <v>4</v>
      </c>
    </row>
    <row r="47" spans="1:13" x14ac:dyDescent="0.3">
      <c r="A47" s="54" t="s">
        <v>36</v>
      </c>
      <c r="B47" s="11">
        <v>1605</v>
      </c>
      <c r="C47" s="11">
        <v>1463</v>
      </c>
      <c r="D47" s="14">
        <f t="shared" si="0"/>
        <v>8.8473520249221171E-2</v>
      </c>
      <c r="E47" s="10">
        <v>3</v>
      </c>
    </row>
    <row r="48" spans="1:13" x14ac:dyDescent="0.3">
      <c r="A48" s="54" t="s">
        <v>39</v>
      </c>
      <c r="B48" s="11">
        <v>1564</v>
      </c>
      <c r="C48" s="11">
        <v>1372</v>
      </c>
      <c r="D48" s="14">
        <f t="shared" si="0"/>
        <v>0.12276214833759591</v>
      </c>
      <c r="E48" s="10">
        <v>10</v>
      </c>
    </row>
    <row r="49" spans="1:7" x14ac:dyDescent="0.3">
      <c r="A49" s="54" t="s">
        <v>48</v>
      </c>
      <c r="B49" s="11">
        <v>1580</v>
      </c>
      <c r="C49" s="11">
        <v>1354</v>
      </c>
      <c r="D49" s="14">
        <f t="shared" si="0"/>
        <v>0.14303797468354429</v>
      </c>
      <c r="E49" s="10">
        <v>3</v>
      </c>
    </row>
    <row r="50" spans="1:7" x14ac:dyDescent="0.3">
      <c r="A50" s="54" t="s">
        <v>51</v>
      </c>
      <c r="B50" s="11">
        <v>1605</v>
      </c>
      <c r="C50" s="11">
        <v>1433</v>
      </c>
      <c r="D50" s="14">
        <f t="shared" si="0"/>
        <v>0.1071651090342679</v>
      </c>
      <c r="E50" s="10">
        <v>1</v>
      </c>
    </row>
    <row r="51" spans="1:7" x14ac:dyDescent="0.3">
      <c r="A51" s="54" t="s">
        <v>53</v>
      </c>
      <c r="B51" s="11">
        <v>1732</v>
      </c>
      <c r="C51" s="11">
        <v>1484</v>
      </c>
      <c r="D51" s="14">
        <f t="shared" si="0"/>
        <v>0.14318706697459582</v>
      </c>
      <c r="E51" s="10">
        <v>3</v>
      </c>
    </row>
    <row r="52" spans="1:7" x14ac:dyDescent="0.3">
      <c r="A52" s="54" t="s">
        <v>56</v>
      </c>
      <c r="B52" s="11">
        <v>1860</v>
      </c>
      <c r="C52" s="11">
        <v>1727</v>
      </c>
      <c r="D52" s="14">
        <f t="shared" si="0"/>
        <v>7.1505376344086047E-2</v>
      </c>
      <c r="E52" s="10">
        <v>2</v>
      </c>
    </row>
    <row r="53" spans="1:7" x14ac:dyDescent="0.3">
      <c r="A53" s="54" t="s">
        <v>59</v>
      </c>
      <c r="B53" s="11">
        <v>2215</v>
      </c>
      <c r="C53" s="11">
        <v>2029</v>
      </c>
      <c r="D53" s="14">
        <f t="shared" si="0"/>
        <v>8.3972911963882568E-2</v>
      </c>
      <c r="E53" s="10">
        <v>5</v>
      </c>
    </row>
    <row r="54" spans="1:7" x14ac:dyDescent="0.3">
      <c r="A54" s="54" t="s">
        <v>64</v>
      </c>
      <c r="B54" s="11">
        <v>2120</v>
      </c>
      <c r="C54" s="11">
        <v>1830</v>
      </c>
      <c r="D54" s="14">
        <f t="shared" si="0"/>
        <v>0.1367924528301887</v>
      </c>
      <c r="E54" s="10">
        <v>3</v>
      </c>
    </row>
    <row r="55" spans="1:7" x14ac:dyDescent="0.3">
      <c r="A55" s="54" t="s">
        <v>68</v>
      </c>
      <c r="B55" s="11">
        <v>2160</v>
      </c>
      <c r="C55" s="11">
        <v>1851</v>
      </c>
      <c r="D55" s="14">
        <f t="shared" si="0"/>
        <v>0.1430555555555556</v>
      </c>
      <c r="E55" s="10">
        <v>3</v>
      </c>
    </row>
    <row r="56" spans="1:7" x14ac:dyDescent="0.3">
      <c r="A56" s="54" t="s">
        <v>70</v>
      </c>
      <c r="B56" s="11">
        <v>3410</v>
      </c>
      <c r="C56" s="11">
        <v>2923</v>
      </c>
      <c r="D56" s="14">
        <f t="shared" si="0"/>
        <v>0.14281524926686218</v>
      </c>
      <c r="E56" s="10">
        <v>1</v>
      </c>
    </row>
    <row r="58" spans="1:7" x14ac:dyDescent="0.3">
      <c r="A58" s="3" t="s">
        <v>761</v>
      </c>
      <c r="B58" s="4"/>
      <c r="C58" s="4"/>
      <c r="D58" s="4"/>
      <c r="E58" s="4"/>
      <c r="F58" s="4"/>
      <c r="G58" s="4"/>
    </row>
    <row r="59" spans="1:7" ht="26.4" x14ac:dyDescent="0.3">
      <c r="A59" s="7" t="s">
        <v>6</v>
      </c>
      <c r="B59" s="7" t="s">
        <v>762</v>
      </c>
      <c r="C59" s="7" t="s">
        <v>763</v>
      </c>
      <c r="D59" s="7" t="s">
        <v>764</v>
      </c>
      <c r="E59" s="7" t="s">
        <v>765</v>
      </c>
    </row>
    <row r="60" spans="1:7" x14ac:dyDescent="0.3">
      <c r="A60" s="54" t="s">
        <v>32</v>
      </c>
      <c r="B60" s="63" t="s">
        <v>567</v>
      </c>
      <c r="C60" s="64"/>
      <c r="D60" s="11">
        <v>1350</v>
      </c>
      <c r="E60" s="67">
        <v>1.96</v>
      </c>
    </row>
    <row r="61" spans="1:7" x14ac:dyDescent="0.3">
      <c r="A61" s="54" t="s">
        <v>32</v>
      </c>
      <c r="B61" s="63" t="s">
        <v>617</v>
      </c>
      <c r="C61" s="64"/>
      <c r="D61" s="11">
        <v>1350</v>
      </c>
      <c r="E61" s="67">
        <v>1.96</v>
      </c>
    </row>
    <row r="62" spans="1:7" x14ac:dyDescent="0.3">
      <c r="A62" s="54" t="s">
        <v>32</v>
      </c>
      <c r="B62" s="63" t="s">
        <v>609</v>
      </c>
      <c r="C62" s="64"/>
      <c r="D62" s="11">
        <v>1299</v>
      </c>
      <c r="E62" s="67">
        <v>1.88</v>
      </c>
    </row>
    <row r="63" spans="1:7" x14ac:dyDescent="0.3">
      <c r="A63" s="54" t="s">
        <v>32</v>
      </c>
      <c r="B63" s="63" t="s">
        <v>497</v>
      </c>
      <c r="C63" s="64"/>
      <c r="D63" s="11">
        <v>1499</v>
      </c>
      <c r="E63" s="67">
        <v>2.17</v>
      </c>
    </row>
    <row r="64" spans="1:7" x14ac:dyDescent="0.3">
      <c r="A64" s="54" t="s">
        <v>36</v>
      </c>
      <c r="B64" s="63" t="s">
        <v>451</v>
      </c>
      <c r="C64" s="64"/>
      <c r="D64" s="11">
        <v>1660</v>
      </c>
      <c r="E64" s="67">
        <v>2.38</v>
      </c>
    </row>
    <row r="65" spans="1:5" x14ac:dyDescent="0.3">
      <c r="A65" s="54" t="s">
        <v>36</v>
      </c>
      <c r="B65" s="63" t="s">
        <v>578</v>
      </c>
      <c r="C65" s="64"/>
      <c r="D65" s="11">
        <v>1399</v>
      </c>
      <c r="E65" s="67">
        <v>2</v>
      </c>
    </row>
    <row r="66" spans="1:5" x14ac:dyDescent="0.3">
      <c r="A66" s="54" t="s">
        <v>36</v>
      </c>
      <c r="B66" s="63" t="s">
        <v>441</v>
      </c>
      <c r="C66" s="64"/>
      <c r="D66" s="11">
        <v>1399</v>
      </c>
      <c r="E66" s="67">
        <v>2</v>
      </c>
    </row>
    <row r="67" spans="1:5" x14ac:dyDescent="0.3">
      <c r="A67" s="54" t="s">
        <v>36</v>
      </c>
      <c r="B67" s="63" t="s">
        <v>465</v>
      </c>
      <c r="C67" s="64"/>
      <c r="D67" s="11">
        <v>1399</v>
      </c>
      <c r="E67" s="67">
        <v>2</v>
      </c>
    </row>
    <row r="68" spans="1:5" x14ac:dyDescent="0.3">
      <c r="A68" s="54" t="s">
        <v>36</v>
      </c>
      <c r="B68" s="63" t="s">
        <v>662</v>
      </c>
      <c r="C68" s="64"/>
      <c r="D68" s="11">
        <v>1387</v>
      </c>
      <c r="E68" s="67">
        <v>1.99</v>
      </c>
    </row>
    <row r="69" spans="1:5" x14ac:dyDescent="0.3">
      <c r="A69" s="54" t="s">
        <v>39</v>
      </c>
      <c r="B69" s="63" t="s">
        <v>604</v>
      </c>
      <c r="C69" s="64"/>
      <c r="D69" s="11">
        <v>1550</v>
      </c>
      <c r="E69" s="67">
        <v>2.16</v>
      </c>
    </row>
    <row r="70" spans="1:5" x14ac:dyDescent="0.3">
      <c r="A70" s="54" t="s">
        <v>39</v>
      </c>
      <c r="B70" s="63" t="s">
        <v>537</v>
      </c>
      <c r="C70" s="64"/>
      <c r="D70" s="11">
        <v>1550</v>
      </c>
      <c r="E70" s="67">
        <v>2.16</v>
      </c>
    </row>
    <row r="71" spans="1:5" x14ac:dyDescent="0.3">
      <c r="A71" s="54" t="s">
        <v>39</v>
      </c>
      <c r="B71" s="63" t="s">
        <v>623</v>
      </c>
      <c r="C71" s="64"/>
      <c r="D71" s="11">
        <v>1595</v>
      </c>
      <c r="E71" s="67">
        <v>2.2200000000000002</v>
      </c>
    </row>
    <row r="72" spans="1:5" x14ac:dyDescent="0.3">
      <c r="A72" s="54" t="s">
        <v>39</v>
      </c>
      <c r="B72" s="63" t="s">
        <v>520</v>
      </c>
      <c r="C72" s="64"/>
      <c r="D72" s="11">
        <v>1630</v>
      </c>
      <c r="E72" s="67">
        <v>2.27</v>
      </c>
    </row>
    <row r="73" spans="1:5" x14ac:dyDescent="0.3">
      <c r="A73" s="54" t="s">
        <v>39</v>
      </c>
      <c r="B73" s="63" t="s">
        <v>452</v>
      </c>
      <c r="C73" s="64"/>
      <c r="D73" s="11">
        <v>1550</v>
      </c>
      <c r="E73" s="67">
        <v>2.16</v>
      </c>
    </row>
    <row r="74" spans="1:5" x14ac:dyDescent="0.3">
      <c r="A74" s="54" t="s">
        <v>45</v>
      </c>
      <c r="B74" s="63" t="s">
        <v>472</v>
      </c>
      <c r="C74" s="64"/>
      <c r="D74" s="11">
        <v>1384</v>
      </c>
      <c r="E74" s="67">
        <v>1.88</v>
      </c>
    </row>
    <row r="75" spans="1:5" x14ac:dyDescent="0.3">
      <c r="A75" s="54" t="s">
        <v>45</v>
      </c>
      <c r="B75" s="63" t="s">
        <v>492</v>
      </c>
      <c r="C75" s="64"/>
      <c r="D75" s="11">
        <v>1304</v>
      </c>
      <c r="E75" s="67">
        <v>1.77</v>
      </c>
    </row>
    <row r="76" spans="1:5" x14ac:dyDescent="0.3">
      <c r="A76" s="54" t="s">
        <v>45</v>
      </c>
      <c r="B76" s="63" t="s">
        <v>488</v>
      </c>
      <c r="C76" s="64"/>
      <c r="D76" s="11">
        <v>1395</v>
      </c>
      <c r="E76" s="67">
        <v>1.9</v>
      </c>
    </row>
    <row r="77" spans="1:5" x14ac:dyDescent="0.3">
      <c r="A77" s="54" t="s">
        <v>45</v>
      </c>
      <c r="B77" s="63" t="s">
        <v>562</v>
      </c>
      <c r="C77" s="64"/>
      <c r="D77" s="11">
        <v>1395</v>
      </c>
      <c r="E77" s="67">
        <v>1.9</v>
      </c>
    </row>
    <row r="78" spans="1:5" x14ac:dyDescent="0.3">
      <c r="A78" s="54" t="s">
        <v>45</v>
      </c>
      <c r="B78" s="63" t="s">
        <v>543</v>
      </c>
      <c r="C78" s="64"/>
      <c r="D78" s="11">
        <v>1450</v>
      </c>
      <c r="E78" s="67">
        <v>1.97</v>
      </c>
    </row>
    <row r="79" spans="1:5" x14ac:dyDescent="0.3">
      <c r="A79" s="54" t="s">
        <v>48</v>
      </c>
      <c r="B79" s="63" t="s">
        <v>655</v>
      </c>
      <c r="C79" s="64"/>
      <c r="D79" s="11">
        <v>2272</v>
      </c>
      <c r="E79" s="67">
        <v>2.98</v>
      </c>
    </row>
    <row r="80" spans="1:5" x14ac:dyDescent="0.3">
      <c r="A80" s="54" t="s">
        <v>48</v>
      </c>
      <c r="B80" s="63" t="s">
        <v>493</v>
      </c>
      <c r="C80" s="64"/>
      <c r="D80" s="11">
        <v>1565</v>
      </c>
      <c r="E80" s="67">
        <v>2.0499999999999998</v>
      </c>
    </row>
    <row r="81" spans="1:5" x14ac:dyDescent="0.3">
      <c r="A81" s="54" t="s">
        <v>48</v>
      </c>
      <c r="B81" s="63" t="s">
        <v>587</v>
      </c>
      <c r="C81" s="64"/>
      <c r="D81" s="11">
        <v>1398</v>
      </c>
      <c r="E81" s="67">
        <v>1.83</v>
      </c>
    </row>
    <row r="82" spans="1:5" x14ac:dyDescent="0.3">
      <c r="A82" s="54" t="s">
        <v>48</v>
      </c>
      <c r="B82" s="63" t="s">
        <v>477</v>
      </c>
      <c r="C82" s="64"/>
      <c r="D82" s="11">
        <v>1433</v>
      </c>
      <c r="E82" s="67">
        <v>1.88</v>
      </c>
    </row>
    <row r="83" spans="1:5" x14ac:dyDescent="0.3">
      <c r="A83" s="54" t="s">
        <v>48</v>
      </c>
      <c r="B83" s="63" t="s">
        <v>673</v>
      </c>
      <c r="C83" s="64"/>
      <c r="D83" s="11">
        <v>1398</v>
      </c>
      <c r="E83" s="67">
        <v>1.83</v>
      </c>
    </row>
    <row r="84" spans="1:5" x14ac:dyDescent="0.3">
      <c r="A84" s="54" t="s">
        <v>51</v>
      </c>
      <c r="B84" s="63" t="s">
        <v>572</v>
      </c>
      <c r="C84" s="64"/>
      <c r="D84" s="11">
        <v>1385</v>
      </c>
      <c r="E84" s="67">
        <v>1.82</v>
      </c>
    </row>
    <row r="85" spans="1:5" x14ac:dyDescent="0.3">
      <c r="A85" s="54" t="s">
        <v>51</v>
      </c>
      <c r="B85" s="63" t="s">
        <v>571</v>
      </c>
      <c r="C85" s="64"/>
      <c r="D85" s="11">
        <v>1605</v>
      </c>
      <c r="E85" s="67">
        <v>2.11</v>
      </c>
    </row>
    <row r="86" spans="1:5" x14ac:dyDescent="0.3">
      <c r="A86" s="54" t="s">
        <v>53</v>
      </c>
      <c r="B86" s="63" t="s">
        <v>606</v>
      </c>
      <c r="C86" s="64"/>
      <c r="D86" s="11">
        <v>1600</v>
      </c>
      <c r="E86" s="67">
        <v>1.99</v>
      </c>
    </row>
    <row r="87" spans="1:5" x14ac:dyDescent="0.3">
      <c r="A87" s="54" t="s">
        <v>53</v>
      </c>
      <c r="B87" s="63" t="s">
        <v>485</v>
      </c>
      <c r="C87" s="64"/>
      <c r="D87" s="11">
        <v>1599</v>
      </c>
      <c r="E87" s="67">
        <v>1.99</v>
      </c>
    </row>
    <row r="88" spans="1:5" x14ac:dyDescent="0.3">
      <c r="A88" s="54" t="s">
        <v>53</v>
      </c>
      <c r="B88" s="63" t="s">
        <v>504</v>
      </c>
      <c r="C88" s="64"/>
      <c r="D88" s="11">
        <v>1510</v>
      </c>
      <c r="E88" s="67">
        <v>1.88</v>
      </c>
    </row>
    <row r="89" spans="1:5" x14ac:dyDescent="0.3">
      <c r="A89" s="54" t="s">
        <v>53</v>
      </c>
      <c r="B89" s="63" t="s">
        <v>502</v>
      </c>
      <c r="C89" s="64"/>
      <c r="D89" s="11">
        <v>1510</v>
      </c>
      <c r="E89" s="67">
        <v>1.88</v>
      </c>
    </row>
    <row r="90" spans="1:5" x14ac:dyDescent="0.3">
      <c r="A90" s="54" t="s">
        <v>53</v>
      </c>
      <c r="B90" s="63" t="s">
        <v>515</v>
      </c>
      <c r="C90" s="64"/>
      <c r="D90" s="11">
        <v>1820</v>
      </c>
      <c r="E90" s="67">
        <v>2.27</v>
      </c>
    </row>
    <row r="91" spans="1:5" x14ac:dyDescent="0.3">
      <c r="A91" s="54" t="s">
        <v>56</v>
      </c>
      <c r="B91" s="63" t="s">
        <v>471</v>
      </c>
      <c r="C91" s="64"/>
      <c r="D91" s="11">
        <v>1860</v>
      </c>
      <c r="E91" s="67">
        <v>1.98</v>
      </c>
    </row>
    <row r="92" spans="1:5" x14ac:dyDescent="0.3">
      <c r="A92" s="54" t="s">
        <v>56</v>
      </c>
      <c r="B92" s="63" t="s">
        <v>665</v>
      </c>
      <c r="C92" s="64"/>
      <c r="D92" s="11">
        <v>1800</v>
      </c>
      <c r="E92" s="67">
        <v>1.91</v>
      </c>
    </row>
    <row r="93" spans="1:5" x14ac:dyDescent="0.3">
      <c r="A93" s="54" t="s">
        <v>56</v>
      </c>
      <c r="B93" s="63" t="s">
        <v>489</v>
      </c>
      <c r="C93" s="64"/>
      <c r="D93" s="11">
        <v>1769</v>
      </c>
      <c r="E93" s="67">
        <v>1.88</v>
      </c>
    </row>
    <row r="94" spans="1:5" x14ac:dyDescent="0.3">
      <c r="A94" s="54" t="s">
        <v>56</v>
      </c>
      <c r="B94" s="63" t="s">
        <v>522</v>
      </c>
      <c r="C94" s="64"/>
      <c r="D94" s="11">
        <v>1895</v>
      </c>
      <c r="E94" s="67">
        <v>2.0099999999999998</v>
      </c>
    </row>
    <row r="95" spans="1:5" x14ac:dyDescent="0.3">
      <c r="A95" s="54" t="s">
        <v>56</v>
      </c>
      <c r="B95" s="63" t="s">
        <v>540</v>
      </c>
      <c r="C95" s="64"/>
      <c r="D95" s="11">
        <v>1650</v>
      </c>
      <c r="E95" s="67">
        <v>1.75</v>
      </c>
    </row>
    <row r="96" spans="1:5" x14ac:dyDescent="0.3">
      <c r="A96" s="54" t="s">
        <v>59</v>
      </c>
      <c r="B96" s="63" t="s">
        <v>482</v>
      </c>
      <c r="C96" s="64"/>
      <c r="D96" s="11">
        <v>4170</v>
      </c>
      <c r="E96" s="67">
        <v>3.85</v>
      </c>
    </row>
    <row r="97" spans="1:5" x14ac:dyDescent="0.3">
      <c r="A97" s="54" t="s">
        <v>59</v>
      </c>
      <c r="B97" s="63" t="s">
        <v>531</v>
      </c>
      <c r="C97" s="64"/>
      <c r="D97" s="11">
        <v>2165</v>
      </c>
      <c r="E97" s="67">
        <v>2</v>
      </c>
    </row>
    <row r="98" spans="1:5" x14ac:dyDescent="0.3">
      <c r="A98" s="54" t="s">
        <v>59</v>
      </c>
      <c r="B98" s="63" t="s">
        <v>629</v>
      </c>
      <c r="C98" s="64"/>
      <c r="D98" s="11">
        <v>2305</v>
      </c>
      <c r="E98" s="67">
        <v>2.13</v>
      </c>
    </row>
    <row r="99" spans="1:5" x14ac:dyDescent="0.3">
      <c r="A99" s="54" t="s">
        <v>59</v>
      </c>
      <c r="B99" s="63" t="s">
        <v>675</v>
      </c>
      <c r="C99" s="64"/>
      <c r="D99" s="11">
        <v>2130</v>
      </c>
      <c r="E99" s="67">
        <v>1.97</v>
      </c>
    </row>
    <row r="100" spans="1:5" x14ac:dyDescent="0.3">
      <c r="A100" s="54" t="s">
        <v>59</v>
      </c>
      <c r="B100" s="63" t="s">
        <v>423</v>
      </c>
      <c r="C100" s="64"/>
      <c r="D100" s="11">
        <v>2260</v>
      </c>
      <c r="E100" s="67">
        <v>2.09</v>
      </c>
    </row>
    <row r="101" spans="1:5" x14ac:dyDescent="0.3">
      <c r="A101" s="54" t="s">
        <v>62</v>
      </c>
      <c r="B101" s="63" t="s">
        <v>631</v>
      </c>
      <c r="C101" s="64"/>
      <c r="D101" s="11">
        <v>1899</v>
      </c>
      <c r="E101" s="67">
        <v>1.76</v>
      </c>
    </row>
    <row r="102" spans="1:5" x14ac:dyDescent="0.3">
      <c r="A102" s="54" t="s">
        <v>62</v>
      </c>
      <c r="B102" s="63" t="s">
        <v>590</v>
      </c>
      <c r="C102" s="64"/>
      <c r="D102" s="11">
        <v>2190</v>
      </c>
      <c r="E102" s="67">
        <v>2.02</v>
      </c>
    </row>
    <row r="103" spans="1:5" x14ac:dyDescent="0.3">
      <c r="A103" s="54" t="s">
        <v>64</v>
      </c>
      <c r="B103" s="63" t="s">
        <v>411</v>
      </c>
      <c r="C103" s="64"/>
      <c r="D103" s="11">
        <v>2035</v>
      </c>
      <c r="E103" s="67">
        <v>1.83</v>
      </c>
    </row>
    <row r="104" spans="1:5" x14ac:dyDescent="0.3">
      <c r="A104" s="54" t="s">
        <v>64</v>
      </c>
      <c r="B104" s="63" t="s">
        <v>636</v>
      </c>
      <c r="C104" s="64"/>
      <c r="D104" s="11">
        <v>2115</v>
      </c>
      <c r="E104" s="67">
        <v>1.91</v>
      </c>
    </row>
    <row r="105" spans="1:5" x14ac:dyDescent="0.3">
      <c r="A105" s="54" t="s">
        <v>64</v>
      </c>
      <c r="B105" s="63" t="s">
        <v>438</v>
      </c>
      <c r="C105" s="64"/>
      <c r="D105" s="11">
        <v>2080</v>
      </c>
      <c r="E105" s="67">
        <v>1.88</v>
      </c>
    </row>
    <row r="106" spans="1:5" x14ac:dyDescent="0.3">
      <c r="A106" s="54" t="s">
        <v>64</v>
      </c>
      <c r="B106" s="63" t="s">
        <v>420</v>
      </c>
      <c r="C106" s="64"/>
      <c r="D106" s="11">
        <v>2035</v>
      </c>
      <c r="E106" s="67">
        <v>1.83</v>
      </c>
    </row>
    <row r="107" spans="1:5" x14ac:dyDescent="0.3">
      <c r="A107" s="54" t="s">
        <v>64</v>
      </c>
      <c r="B107" s="63" t="s">
        <v>672</v>
      </c>
      <c r="C107" s="64"/>
      <c r="D107" s="11">
        <v>2350</v>
      </c>
      <c r="E107" s="67">
        <v>2.12</v>
      </c>
    </row>
    <row r="108" spans="1:5" x14ac:dyDescent="0.3">
      <c r="A108" s="54" t="s">
        <v>67</v>
      </c>
      <c r="B108" s="63" t="s">
        <v>674</v>
      </c>
      <c r="C108" s="64"/>
      <c r="D108" s="11">
        <v>2350</v>
      </c>
      <c r="E108" s="67">
        <v>2.0299999999999998</v>
      </c>
    </row>
    <row r="109" spans="1:5" x14ac:dyDescent="0.3">
      <c r="A109" s="54" t="s">
        <v>68</v>
      </c>
      <c r="B109" s="63" t="s">
        <v>460</v>
      </c>
      <c r="C109" s="64"/>
      <c r="D109" s="11">
        <v>2175</v>
      </c>
      <c r="E109" s="67">
        <v>1.79</v>
      </c>
    </row>
    <row r="110" spans="1:5" x14ac:dyDescent="0.3">
      <c r="A110" s="54" t="s">
        <v>68</v>
      </c>
      <c r="B110" s="63" t="s">
        <v>581</v>
      </c>
      <c r="C110" s="64"/>
      <c r="D110" s="11">
        <v>2130</v>
      </c>
      <c r="E110" s="67">
        <v>1.76</v>
      </c>
    </row>
    <row r="111" spans="1:5" x14ac:dyDescent="0.3">
      <c r="A111" s="54" t="s">
        <v>68</v>
      </c>
      <c r="B111" s="63" t="s">
        <v>630</v>
      </c>
      <c r="C111" s="64"/>
      <c r="D111" s="11">
        <v>2175</v>
      </c>
      <c r="E111" s="67">
        <v>1.79</v>
      </c>
    </row>
    <row r="112" spans="1:5" x14ac:dyDescent="0.3">
      <c r="A112" s="54" t="s">
        <v>68</v>
      </c>
      <c r="B112" s="63" t="s">
        <v>450</v>
      </c>
      <c r="C112" s="64"/>
      <c r="D112" s="11">
        <v>2130</v>
      </c>
      <c r="E112" s="67">
        <v>1.76</v>
      </c>
    </row>
    <row r="113" spans="1:5" x14ac:dyDescent="0.3">
      <c r="A113" s="54" t="s">
        <v>68</v>
      </c>
      <c r="B113" s="63" t="s">
        <v>458</v>
      </c>
      <c r="C113" s="64"/>
      <c r="D113" s="11">
        <v>2099</v>
      </c>
      <c r="E113" s="67">
        <v>1.73</v>
      </c>
    </row>
    <row r="114" spans="1:5" x14ac:dyDescent="0.3">
      <c r="A114" s="54" t="s">
        <v>74</v>
      </c>
      <c r="B114" s="63" t="s">
        <v>434</v>
      </c>
      <c r="C114" s="64"/>
      <c r="D114" s="11">
        <v>2905</v>
      </c>
      <c r="E114" s="67">
        <v>1.86</v>
      </c>
    </row>
    <row r="115" spans="1:5" x14ac:dyDescent="0.3">
      <c r="A115" s="54" t="s">
        <v>74</v>
      </c>
      <c r="B115" s="63" t="s">
        <v>398</v>
      </c>
      <c r="C115" s="64"/>
      <c r="D115" s="11">
        <v>2650</v>
      </c>
      <c r="E115" s="67">
        <v>1.69</v>
      </c>
    </row>
    <row r="116" spans="1:5" x14ac:dyDescent="0.3">
      <c r="A116" s="54" t="s">
        <v>76</v>
      </c>
      <c r="B116" s="63" t="s">
        <v>474</v>
      </c>
      <c r="C116" s="64"/>
      <c r="D116" s="11">
        <v>2550</v>
      </c>
      <c r="E116" s="67">
        <v>1.63</v>
      </c>
    </row>
    <row r="117" spans="1:5" x14ac:dyDescent="0.3">
      <c r="A117" s="54" t="s">
        <v>70</v>
      </c>
      <c r="B117" s="63" t="s">
        <v>680</v>
      </c>
      <c r="C117" s="64"/>
      <c r="D117" s="11">
        <v>3410</v>
      </c>
      <c r="E117" s="67">
        <v>2.4700000000000002</v>
      </c>
    </row>
  </sheetData>
  <mergeCells count="5">
    <mergeCell ref="A37:M37"/>
    <mergeCell ref="A40:M40"/>
    <mergeCell ref="A39:M39"/>
    <mergeCell ref="A41:M41"/>
    <mergeCell ref="A38:M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63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1" width="13" customWidth="1"/>
  </cols>
  <sheetData>
    <row r="1" spans="1:21" ht="26.4" x14ac:dyDescent="0.3">
      <c r="A1" s="7" t="s">
        <v>766</v>
      </c>
      <c r="B1" s="7" t="s">
        <v>767</v>
      </c>
      <c r="C1" s="7" t="s">
        <v>762</v>
      </c>
      <c r="D1" s="7" t="s">
        <v>768</v>
      </c>
      <c r="E1" s="7" t="s">
        <v>769</v>
      </c>
      <c r="F1" s="7" t="s">
        <v>770</v>
      </c>
      <c r="G1" s="7" t="s">
        <v>771</v>
      </c>
      <c r="H1" s="7" t="s">
        <v>772</v>
      </c>
      <c r="I1" s="7" t="s">
        <v>773</v>
      </c>
      <c r="J1" s="7" t="s">
        <v>774</v>
      </c>
      <c r="K1" s="7" t="s">
        <v>775</v>
      </c>
      <c r="L1" s="7" t="s">
        <v>776</v>
      </c>
      <c r="M1" s="7" t="s">
        <v>777</v>
      </c>
      <c r="N1" s="7" t="s">
        <v>778</v>
      </c>
      <c r="O1" s="7" t="s">
        <v>779</v>
      </c>
      <c r="P1" s="7" t="s">
        <v>780</v>
      </c>
      <c r="Q1" s="7" t="s">
        <v>781</v>
      </c>
      <c r="R1" s="7" t="s">
        <v>782</v>
      </c>
      <c r="S1" s="7" t="s">
        <v>783</v>
      </c>
      <c r="T1" s="7" t="s">
        <v>784</v>
      </c>
      <c r="U1" s="7" t="s">
        <v>785</v>
      </c>
    </row>
    <row r="2" spans="1:21" x14ac:dyDescent="0.3">
      <c r="A2" s="5" t="s">
        <v>268</v>
      </c>
      <c r="B2" s="5" t="s">
        <v>40</v>
      </c>
      <c r="C2" s="5" t="s">
        <v>456</v>
      </c>
      <c r="D2" s="5">
        <v>2</v>
      </c>
      <c r="E2" s="5">
        <v>1</v>
      </c>
      <c r="F2" s="5">
        <v>1</v>
      </c>
      <c r="G2" s="5"/>
      <c r="H2" s="5">
        <v>719</v>
      </c>
      <c r="I2" s="68">
        <v>45500</v>
      </c>
      <c r="J2" s="5"/>
      <c r="K2" s="5">
        <v>15</v>
      </c>
      <c r="L2" s="5" t="s">
        <v>786</v>
      </c>
      <c r="M2" s="5">
        <v>1445</v>
      </c>
      <c r="N2" s="5">
        <v>2.0099999999999998</v>
      </c>
      <c r="O2" s="5">
        <v>1445</v>
      </c>
      <c r="P2" s="5">
        <v>2.0099999999999998</v>
      </c>
      <c r="Q2" s="68">
        <v>45433</v>
      </c>
      <c r="R2" s="68">
        <v>45539</v>
      </c>
      <c r="S2" s="5">
        <v>107</v>
      </c>
      <c r="T2" s="5">
        <v>40</v>
      </c>
      <c r="U2" s="46" t="s">
        <v>40</v>
      </c>
    </row>
    <row r="3" spans="1:21" x14ac:dyDescent="0.3">
      <c r="A3" s="5" t="s">
        <v>268</v>
      </c>
      <c r="B3" s="5" t="s">
        <v>40</v>
      </c>
      <c r="C3" s="5" t="s">
        <v>456</v>
      </c>
      <c r="D3" s="5">
        <v>2</v>
      </c>
      <c r="E3" s="5">
        <v>1</v>
      </c>
      <c r="F3" s="5">
        <v>1</v>
      </c>
      <c r="G3" s="5"/>
      <c r="H3" s="5">
        <v>719</v>
      </c>
      <c r="I3" s="68">
        <v>46001</v>
      </c>
      <c r="J3" s="5"/>
      <c r="K3" s="5">
        <v>13</v>
      </c>
      <c r="L3" s="5" t="s">
        <v>786</v>
      </c>
      <c r="M3" s="5">
        <v>1299</v>
      </c>
      <c r="N3" s="5">
        <v>1.81</v>
      </c>
      <c r="O3" s="5">
        <v>1299</v>
      </c>
      <c r="P3" s="5">
        <v>1.81</v>
      </c>
      <c r="Q3" s="68">
        <v>45940</v>
      </c>
      <c r="R3" s="68">
        <v>46027</v>
      </c>
      <c r="S3" s="5">
        <v>88</v>
      </c>
      <c r="T3" s="5">
        <v>27</v>
      </c>
      <c r="U3" s="46" t="s">
        <v>40</v>
      </c>
    </row>
    <row r="4" spans="1:21" x14ac:dyDescent="0.3">
      <c r="A4" s="5" t="s">
        <v>268</v>
      </c>
      <c r="B4" s="5" t="s">
        <v>40</v>
      </c>
      <c r="C4" s="5" t="s">
        <v>610</v>
      </c>
      <c r="D4" s="5">
        <v>2</v>
      </c>
      <c r="E4" s="5">
        <v>1</v>
      </c>
      <c r="F4" s="5">
        <v>1</v>
      </c>
      <c r="G4" s="5"/>
      <c r="H4" s="5">
        <v>719</v>
      </c>
      <c r="I4" s="68">
        <v>45480</v>
      </c>
      <c r="J4" s="5"/>
      <c r="K4" s="5">
        <v>12</v>
      </c>
      <c r="L4" s="5" t="s">
        <v>786</v>
      </c>
      <c r="M4" s="5">
        <v>1399</v>
      </c>
      <c r="N4" s="5">
        <v>1.95</v>
      </c>
      <c r="O4" s="5">
        <v>1237</v>
      </c>
      <c r="P4" s="5">
        <v>1.72</v>
      </c>
      <c r="Q4" s="68">
        <v>45413</v>
      </c>
      <c r="R4" s="68">
        <v>45582</v>
      </c>
      <c r="S4" s="5">
        <v>170</v>
      </c>
      <c r="T4" s="5">
        <v>103</v>
      </c>
      <c r="U4" s="46" t="s">
        <v>40</v>
      </c>
    </row>
    <row r="5" spans="1:21" x14ac:dyDescent="0.3">
      <c r="A5" s="5" t="s">
        <v>268</v>
      </c>
      <c r="B5" s="5" t="s">
        <v>40</v>
      </c>
      <c r="C5" s="5" t="s">
        <v>610</v>
      </c>
      <c r="D5" s="5">
        <v>2</v>
      </c>
      <c r="E5" s="5">
        <v>1</v>
      </c>
      <c r="F5" s="5">
        <v>1</v>
      </c>
      <c r="G5" s="5"/>
      <c r="H5" s="5">
        <v>719</v>
      </c>
      <c r="I5" s="68">
        <v>45998</v>
      </c>
      <c r="J5" s="5"/>
      <c r="K5" s="5">
        <v>13</v>
      </c>
      <c r="L5" s="5" t="s">
        <v>786</v>
      </c>
      <c r="M5" s="5">
        <v>1306</v>
      </c>
      <c r="N5" s="5">
        <v>1.82</v>
      </c>
      <c r="O5" s="5">
        <v>1055</v>
      </c>
      <c r="P5" s="5">
        <v>1.47</v>
      </c>
      <c r="Q5" s="68">
        <v>45921</v>
      </c>
      <c r="R5" s="68">
        <v>46041</v>
      </c>
      <c r="S5" s="5">
        <v>121</v>
      </c>
      <c r="T5" s="5">
        <v>44</v>
      </c>
      <c r="U5" s="46" t="s">
        <v>40</v>
      </c>
    </row>
    <row r="6" spans="1:21" x14ac:dyDescent="0.3">
      <c r="A6" s="5" t="s">
        <v>268</v>
      </c>
      <c r="B6" s="5" t="s">
        <v>40</v>
      </c>
      <c r="C6" s="5" t="s">
        <v>503</v>
      </c>
      <c r="D6" s="5">
        <v>3</v>
      </c>
      <c r="E6" s="5">
        <v>1</v>
      </c>
      <c r="F6" s="5">
        <v>1</v>
      </c>
      <c r="G6" s="5"/>
      <c r="H6" s="5">
        <v>719</v>
      </c>
      <c r="I6" s="68">
        <v>45959</v>
      </c>
      <c r="J6" s="5"/>
      <c r="K6" s="5">
        <v>13</v>
      </c>
      <c r="L6" s="5" t="s">
        <v>786</v>
      </c>
      <c r="M6" s="5">
        <v>1351</v>
      </c>
      <c r="N6" s="5">
        <v>1.88</v>
      </c>
      <c r="O6" s="5">
        <v>1091</v>
      </c>
      <c r="P6" s="5">
        <v>1.52</v>
      </c>
      <c r="Q6" s="68">
        <v>45892</v>
      </c>
      <c r="R6" s="68">
        <v>46046</v>
      </c>
      <c r="S6" s="5">
        <v>155</v>
      </c>
      <c r="T6" s="5">
        <v>88</v>
      </c>
      <c r="U6" s="46" t="s">
        <v>40</v>
      </c>
    </row>
    <row r="7" spans="1:21" x14ac:dyDescent="0.3">
      <c r="A7" s="5" t="s">
        <v>268</v>
      </c>
      <c r="B7" s="5" t="s">
        <v>40</v>
      </c>
      <c r="C7" s="5" t="s">
        <v>595</v>
      </c>
      <c r="D7" s="5">
        <v>1</v>
      </c>
      <c r="E7" s="5">
        <v>1</v>
      </c>
      <c r="F7" s="5">
        <v>1</v>
      </c>
      <c r="G7" s="5"/>
      <c r="H7" s="5">
        <v>719</v>
      </c>
      <c r="I7" s="68">
        <v>45094</v>
      </c>
      <c r="J7" s="5"/>
      <c r="K7" s="5"/>
      <c r="L7" s="5" t="s">
        <v>786</v>
      </c>
      <c r="M7" s="5">
        <v>1435</v>
      </c>
      <c r="N7" s="5">
        <v>2</v>
      </c>
      <c r="O7" s="5">
        <v>1186</v>
      </c>
      <c r="P7" s="5">
        <v>1.65</v>
      </c>
      <c r="Q7" s="5"/>
      <c r="R7" s="68">
        <v>45283</v>
      </c>
      <c r="S7" s="5"/>
      <c r="T7" s="5"/>
      <c r="U7" s="46" t="s">
        <v>40</v>
      </c>
    </row>
    <row r="8" spans="1:21" x14ac:dyDescent="0.3">
      <c r="A8" s="5" t="s">
        <v>268</v>
      </c>
      <c r="B8" s="5" t="s">
        <v>40</v>
      </c>
      <c r="C8" s="5" t="s">
        <v>595</v>
      </c>
      <c r="D8" s="5">
        <v>1</v>
      </c>
      <c r="E8" s="5">
        <v>1</v>
      </c>
      <c r="F8" s="5">
        <v>1</v>
      </c>
      <c r="G8" s="5"/>
      <c r="H8" s="5">
        <v>719</v>
      </c>
      <c r="I8" s="68">
        <v>45558</v>
      </c>
      <c r="J8" s="5"/>
      <c r="K8" s="5">
        <v>12</v>
      </c>
      <c r="L8" s="5" t="s">
        <v>786</v>
      </c>
      <c r="M8" s="5">
        <v>1399</v>
      </c>
      <c r="N8" s="5">
        <v>1.95</v>
      </c>
      <c r="O8" s="5">
        <v>1399</v>
      </c>
      <c r="P8" s="5">
        <v>1.95</v>
      </c>
      <c r="Q8" s="68">
        <v>45491</v>
      </c>
      <c r="R8" s="68">
        <v>45603</v>
      </c>
      <c r="S8" s="5">
        <v>113</v>
      </c>
      <c r="T8" s="5">
        <v>46</v>
      </c>
      <c r="U8" s="46" t="s">
        <v>40</v>
      </c>
    </row>
    <row r="9" spans="1:21" x14ac:dyDescent="0.3">
      <c r="A9" s="5" t="s">
        <v>268</v>
      </c>
      <c r="B9" s="5" t="s">
        <v>40</v>
      </c>
      <c r="C9" s="5" t="s">
        <v>595</v>
      </c>
      <c r="D9" s="5">
        <v>1</v>
      </c>
      <c r="E9" s="5">
        <v>1</v>
      </c>
      <c r="F9" s="5">
        <v>1</v>
      </c>
      <c r="G9" s="5"/>
      <c r="H9" s="5">
        <v>719</v>
      </c>
      <c r="I9" s="68">
        <v>45947</v>
      </c>
      <c r="J9" s="5"/>
      <c r="K9" s="5">
        <v>14</v>
      </c>
      <c r="L9" s="5" t="s">
        <v>786</v>
      </c>
      <c r="M9" s="5">
        <v>1386</v>
      </c>
      <c r="N9" s="5">
        <v>1.93</v>
      </c>
      <c r="O9" s="5">
        <v>1138</v>
      </c>
      <c r="P9" s="5">
        <v>1.58</v>
      </c>
      <c r="Q9" s="68">
        <v>45936</v>
      </c>
      <c r="R9" s="68">
        <v>46061</v>
      </c>
      <c r="S9" s="5">
        <v>126</v>
      </c>
      <c r="T9" s="5">
        <v>115</v>
      </c>
      <c r="U9" s="46" t="s">
        <v>40</v>
      </c>
    </row>
    <row r="10" spans="1:21" x14ac:dyDescent="0.3">
      <c r="A10" s="5" t="s">
        <v>268</v>
      </c>
      <c r="B10" s="5" t="s">
        <v>40</v>
      </c>
      <c r="C10" s="5" t="s">
        <v>447</v>
      </c>
      <c r="D10" s="5">
        <v>1</v>
      </c>
      <c r="E10" s="5">
        <v>1</v>
      </c>
      <c r="F10" s="5">
        <v>1</v>
      </c>
      <c r="G10" s="5"/>
      <c r="H10" s="5">
        <v>719</v>
      </c>
      <c r="I10" s="68">
        <v>45094</v>
      </c>
      <c r="J10" s="5"/>
      <c r="K10" s="5"/>
      <c r="L10" s="5" t="s">
        <v>786</v>
      </c>
      <c r="M10" s="5">
        <v>1410</v>
      </c>
      <c r="N10" s="5">
        <v>1.96</v>
      </c>
      <c r="O10" s="5">
        <v>1164</v>
      </c>
      <c r="P10" s="5">
        <v>1.62</v>
      </c>
      <c r="Q10" s="5"/>
      <c r="R10" s="68">
        <v>45272</v>
      </c>
      <c r="S10" s="5"/>
      <c r="T10" s="5"/>
      <c r="U10" s="46" t="s">
        <v>40</v>
      </c>
    </row>
    <row r="11" spans="1:21" x14ac:dyDescent="0.3">
      <c r="A11" s="5" t="s">
        <v>268</v>
      </c>
      <c r="B11" s="5" t="s">
        <v>40</v>
      </c>
      <c r="C11" s="5" t="s">
        <v>447</v>
      </c>
      <c r="D11" s="5">
        <v>1</v>
      </c>
      <c r="E11" s="5">
        <v>1</v>
      </c>
      <c r="F11" s="5">
        <v>1</v>
      </c>
      <c r="G11" s="5"/>
      <c r="H11" s="5">
        <v>719</v>
      </c>
      <c r="I11" s="68">
        <v>45481</v>
      </c>
      <c r="J11" s="5"/>
      <c r="K11" s="5">
        <v>12</v>
      </c>
      <c r="L11" s="5" t="s">
        <v>786</v>
      </c>
      <c r="M11" s="5">
        <v>1630</v>
      </c>
      <c r="N11" s="5">
        <v>2.27</v>
      </c>
      <c r="O11" s="5">
        <v>1630</v>
      </c>
      <c r="P11" s="5">
        <v>2.27</v>
      </c>
      <c r="Q11" s="68">
        <v>45438</v>
      </c>
      <c r="R11" s="68">
        <v>45638</v>
      </c>
      <c r="S11" s="5">
        <v>201</v>
      </c>
      <c r="T11" s="5">
        <v>158</v>
      </c>
      <c r="U11" s="46" t="s">
        <v>40</v>
      </c>
    </row>
    <row r="12" spans="1:21" x14ac:dyDescent="0.3">
      <c r="A12" s="5" t="s">
        <v>268</v>
      </c>
      <c r="B12" s="5" t="s">
        <v>40</v>
      </c>
      <c r="C12" s="5" t="s">
        <v>447</v>
      </c>
      <c r="D12" s="5">
        <v>1</v>
      </c>
      <c r="E12" s="5">
        <v>1</v>
      </c>
      <c r="F12" s="5">
        <v>1</v>
      </c>
      <c r="G12" s="5"/>
      <c r="H12" s="5">
        <v>719</v>
      </c>
      <c r="I12" s="68">
        <v>46035</v>
      </c>
      <c r="J12" s="5"/>
      <c r="K12" s="5">
        <v>14</v>
      </c>
      <c r="L12" s="5" t="s">
        <v>786</v>
      </c>
      <c r="M12" s="5">
        <v>1469</v>
      </c>
      <c r="N12" s="5">
        <v>2.04</v>
      </c>
      <c r="O12" s="5">
        <v>1469</v>
      </c>
      <c r="P12" s="5">
        <v>2.04</v>
      </c>
      <c r="Q12" s="68">
        <v>45923</v>
      </c>
      <c r="R12" s="68">
        <v>46084</v>
      </c>
      <c r="S12" s="5">
        <v>162</v>
      </c>
      <c r="T12" s="5">
        <v>50</v>
      </c>
      <c r="U12" s="46" t="s">
        <v>40</v>
      </c>
    </row>
    <row r="13" spans="1:21" x14ac:dyDescent="0.3">
      <c r="A13" s="5" t="s">
        <v>268</v>
      </c>
      <c r="B13" s="5" t="s">
        <v>40</v>
      </c>
      <c r="C13" s="5" t="s">
        <v>409</v>
      </c>
      <c r="D13" s="5">
        <v>2</v>
      </c>
      <c r="E13" s="5">
        <v>1</v>
      </c>
      <c r="F13" s="5">
        <v>1</v>
      </c>
      <c r="G13" s="5"/>
      <c r="H13" s="5">
        <v>719</v>
      </c>
      <c r="I13" s="68">
        <v>45168</v>
      </c>
      <c r="J13" s="5"/>
      <c r="K13" s="5"/>
      <c r="L13" s="5" t="s">
        <v>786</v>
      </c>
      <c r="M13" s="5">
        <v>1385</v>
      </c>
      <c r="N13" s="5">
        <v>1.93</v>
      </c>
      <c r="O13" s="5">
        <v>1225</v>
      </c>
      <c r="P13" s="5">
        <v>1.7</v>
      </c>
      <c r="Q13" s="68">
        <v>45168</v>
      </c>
      <c r="R13" s="68">
        <v>45264</v>
      </c>
      <c r="S13" s="5">
        <v>97</v>
      </c>
      <c r="T13" s="5">
        <v>97</v>
      </c>
      <c r="U13" s="46" t="s">
        <v>40</v>
      </c>
    </row>
    <row r="14" spans="1:21" x14ac:dyDescent="0.3">
      <c r="A14" s="5" t="s">
        <v>268</v>
      </c>
      <c r="B14" s="5" t="s">
        <v>40</v>
      </c>
      <c r="C14" s="5" t="s">
        <v>409</v>
      </c>
      <c r="D14" s="5">
        <v>2</v>
      </c>
      <c r="E14" s="5">
        <v>1</v>
      </c>
      <c r="F14" s="5">
        <v>1</v>
      </c>
      <c r="G14" s="5"/>
      <c r="H14" s="5">
        <v>719</v>
      </c>
      <c r="I14" s="68">
        <v>45709</v>
      </c>
      <c r="J14" s="5"/>
      <c r="K14" s="5">
        <v>12</v>
      </c>
      <c r="L14" s="5" t="s">
        <v>786</v>
      </c>
      <c r="M14" s="5">
        <v>1375</v>
      </c>
      <c r="N14" s="5">
        <v>1.91</v>
      </c>
      <c r="O14" s="5">
        <v>1375</v>
      </c>
      <c r="P14" s="5">
        <v>1.91</v>
      </c>
      <c r="Q14" s="68">
        <v>45630</v>
      </c>
      <c r="R14" s="68">
        <v>45695</v>
      </c>
      <c r="S14" s="5">
        <v>66</v>
      </c>
      <c r="T14" s="5">
        <v>0</v>
      </c>
      <c r="U14" s="46" t="s">
        <v>40</v>
      </c>
    </row>
    <row r="15" spans="1:21" x14ac:dyDescent="0.3">
      <c r="A15" s="5" t="s">
        <v>268</v>
      </c>
      <c r="B15" s="5" t="s">
        <v>40</v>
      </c>
      <c r="C15" s="5" t="s">
        <v>409</v>
      </c>
      <c r="D15" s="5">
        <v>2</v>
      </c>
      <c r="E15" s="5">
        <v>1</v>
      </c>
      <c r="F15" s="5">
        <v>1</v>
      </c>
      <c r="G15" s="5"/>
      <c r="H15" s="5">
        <v>719</v>
      </c>
      <c r="I15" s="68">
        <v>46026</v>
      </c>
      <c r="J15" s="5"/>
      <c r="K15" s="5">
        <v>14</v>
      </c>
      <c r="L15" s="5" t="s">
        <v>786</v>
      </c>
      <c r="M15" s="5">
        <v>1435</v>
      </c>
      <c r="N15" s="5">
        <v>2</v>
      </c>
      <c r="O15" s="5">
        <v>1179</v>
      </c>
      <c r="P15" s="5">
        <v>1.64</v>
      </c>
      <c r="Q15" s="68">
        <v>45940</v>
      </c>
      <c r="R15" s="68">
        <v>46064</v>
      </c>
      <c r="S15" s="5">
        <v>125</v>
      </c>
      <c r="T15" s="5">
        <v>39</v>
      </c>
      <c r="U15" s="46" t="s">
        <v>40</v>
      </c>
    </row>
    <row r="16" spans="1:21" x14ac:dyDescent="0.3">
      <c r="A16" s="5" t="s">
        <v>268</v>
      </c>
      <c r="B16" s="5" t="s">
        <v>40</v>
      </c>
      <c r="C16" s="5" t="s">
        <v>607</v>
      </c>
      <c r="D16" s="5">
        <v>2</v>
      </c>
      <c r="E16" s="5">
        <v>1</v>
      </c>
      <c r="F16" s="5">
        <v>1</v>
      </c>
      <c r="G16" s="5"/>
      <c r="H16" s="5">
        <v>719</v>
      </c>
      <c r="I16" s="68">
        <v>45505</v>
      </c>
      <c r="J16" s="5"/>
      <c r="K16" s="5">
        <v>15</v>
      </c>
      <c r="L16" s="5" t="s">
        <v>786</v>
      </c>
      <c r="M16" s="5">
        <v>1465</v>
      </c>
      <c r="N16" s="5">
        <v>2.04</v>
      </c>
      <c r="O16" s="5">
        <v>1465</v>
      </c>
      <c r="P16" s="5">
        <v>2.04</v>
      </c>
      <c r="Q16" s="68">
        <v>45422</v>
      </c>
      <c r="R16" s="68">
        <v>45532</v>
      </c>
      <c r="S16" s="5">
        <v>111</v>
      </c>
      <c r="T16" s="5">
        <v>28</v>
      </c>
      <c r="U16" s="46" t="s">
        <v>40</v>
      </c>
    </row>
    <row r="17" spans="1:21" x14ac:dyDescent="0.3">
      <c r="A17" s="5" t="s">
        <v>268</v>
      </c>
      <c r="B17" s="5" t="s">
        <v>40</v>
      </c>
      <c r="C17" s="5" t="s">
        <v>607</v>
      </c>
      <c r="D17" s="5">
        <v>2</v>
      </c>
      <c r="E17" s="5">
        <v>1</v>
      </c>
      <c r="F17" s="5">
        <v>1</v>
      </c>
      <c r="G17" s="5"/>
      <c r="H17" s="5">
        <v>719</v>
      </c>
      <c r="I17" s="68">
        <v>45997</v>
      </c>
      <c r="J17" s="5"/>
      <c r="K17" s="5">
        <v>12</v>
      </c>
      <c r="L17" s="5" t="s">
        <v>786</v>
      </c>
      <c r="M17" s="5">
        <v>1550</v>
      </c>
      <c r="N17" s="5">
        <v>2.16</v>
      </c>
      <c r="O17" s="5">
        <v>1252</v>
      </c>
      <c r="P17" s="5">
        <v>1.74</v>
      </c>
      <c r="Q17" s="68">
        <v>45910</v>
      </c>
      <c r="R17" s="68">
        <v>46000</v>
      </c>
      <c r="S17" s="5">
        <v>91</v>
      </c>
      <c r="T17" s="5">
        <v>4</v>
      </c>
      <c r="U17" s="46" t="s">
        <v>40</v>
      </c>
    </row>
    <row r="18" spans="1:21" x14ac:dyDescent="0.3">
      <c r="A18" s="5" t="s">
        <v>268</v>
      </c>
      <c r="B18" s="5" t="s">
        <v>34</v>
      </c>
      <c r="C18" s="5" t="s">
        <v>609</v>
      </c>
      <c r="D18" s="5">
        <v>2</v>
      </c>
      <c r="E18" s="5">
        <v>1</v>
      </c>
      <c r="F18" s="5">
        <v>1</v>
      </c>
      <c r="G18" s="5"/>
      <c r="H18" s="5">
        <v>690</v>
      </c>
      <c r="I18" s="68">
        <v>45156</v>
      </c>
      <c r="J18" s="5"/>
      <c r="K18" s="5"/>
      <c r="L18" s="5" t="s">
        <v>786</v>
      </c>
      <c r="M18" s="5">
        <v>1375</v>
      </c>
      <c r="N18" s="5">
        <v>1.99</v>
      </c>
      <c r="O18" s="5">
        <v>1216</v>
      </c>
      <c r="P18" s="5">
        <v>1.76</v>
      </c>
      <c r="Q18" s="5"/>
      <c r="R18" s="68">
        <v>45193</v>
      </c>
      <c r="S18" s="5"/>
      <c r="T18" s="5"/>
      <c r="U18" s="46" t="s">
        <v>34</v>
      </c>
    </row>
    <row r="19" spans="1:21" x14ac:dyDescent="0.3">
      <c r="A19" s="5" t="s">
        <v>268</v>
      </c>
      <c r="B19" s="5" t="s">
        <v>34</v>
      </c>
      <c r="C19" s="5" t="s">
        <v>609</v>
      </c>
      <c r="D19" s="5">
        <v>2</v>
      </c>
      <c r="E19" s="5">
        <v>1</v>
      </c>
      <c r="F19" s="5">
        <v>1</v>
      </c>
      <c r="G19" s="5"/>
      <c r="H19" s="5">
        <v>690</v>
      </c>
      <c r="I19" s="68">
        <v>46030</v>
      </c>
      <c r="J19" s="5"/>
      <c r="K19" s="5">
        <v>14</v>
      </c>
      <c r="L19" s="5" t="s">
        <v>786</v>
      </c>
      <c r="M19" s="5">
        <v>1299</v>
      </c>
      <c r="N19" s="5">
        <v>1.88</v>
      </c>
      <c r="O19" s="5">
        <v>1067</v>
      </c>
      <c r="P19" s="5">
        <v>1.55</v>
      </c>
      <c r="Q19" s="68">
        <v>46026</v>
      </c>
      <c r="R19" s="68">
        <v>46057</v>
      </c>
      <c r="S19" s="5">
        <v>32</v>
      </c>
      <c r="T19" s="5">
        <v>28</v>
      </c>
      <c r="U19" s="46" t="s">
        <v>34</v>
      </c>
    </row>
    <row r="20" spans="1:21" x14ac:dyDescent="0.3">
      <c r="A20" s="5" t="s">
        <v>268</v>
      </c>
      <c r="B20" s="5" t="s">
        <v>34</v>
      </c>
      <c r="C20" s="5" t="s">
        <v>617</v>
      </c>
      <c r="D20" s="5">
        <v>3</v>
      </c>
      <c r="E20" s="5">
        <v>1</v>
      </c>
      <c r="F20" s="5">
        <v>1</v>
      </c>
      <c r="G20" s="5"/>
      <c r="H20" s="5">
        <v>690</v>
      </c>
      <c r="I20" s="68">
        <v>45739</v>
      </c>
      <c r="J20" s="5"/>
      <c r="K20" s="5">
        <v>12</v>
      </c>
      <c r="L20" s="5" t="s">
        <v>786</v>
      </c>
      <c r="M20" s="5">
        <v>1620</v>
      </c>
      <c r="N20" s="5">
        <v>2.35</v>
      </c>
      <c r="O20" s="5">
        <v>1620</v>
      </c>
      <c r="P20" s="5">
        <v>2.35</v>
      </c>
      <c r="Q20" s="68">
        <v>45669</v>
      </c>
      <c r="R20" s="68">
        <v>45672</v>
      </c>
      <c r="S20" s="5">
        <v>4</v>
      </c>
      <c r="T20" s="5">
        <v>0</v>
      </c>
      <c r="U20" s="46" t="s">
        <v>34</v>
      </c>
    </row>
    <row r="21" spans="1:21" x14ac:dyDescent="0.3">
      <c r="A21" s="5" t="s">
        <v>268</v>
      </c>
      <c r="B21" s="5" t="s">
        <v>34</v>
      </c>
      <c r="C21" s="5" t="s">
        <v>617</v>
      </c>
      <c r="D21" s="5">
        <v>3</v>
      </c>
      <c r="E21" s="5">
        <v>1</v>
      </c>
      <c r="F21" s="5">
        <v>1</v>
      </c>
      <c r="G21" s="5"/>
      <c r="H21" s="5">
        <v>690</v>
      </c>
      <c r="I21" s="68">
        <v>46119</v>
      </c>
      <c r="J21" s="5"/>
      <c r="K21" s="5">
        <v>14</v>
      </c>
      <c r="L21" s="5" t="s">
        <v>786</v>
      </c>
      <c r="M21" s="5">
        <v>1350</v>
      </c>
      <c r="N21" s="5">
        <v>1.96</v>
      </c>
      <c r="O21" s="5">
        <v>1157</v>
      </c>
      <c r="P21" s="5">
        <v>1.68</v>
      </c>
      <c r="Q21" s="68">
        <v>46038</v>
      </c>
      <c r="R21" s="68">
        <v>46098</v>
      </c>
      <c r="S21" s="5">
        <v>61</v>
      </c>
      <c r="T21" s="5">
        <v>0</v>
      </c>
      <c r="U21" s="46" t="s">
        <v>34</v>
      </c>
    </row>
    <row r="22" spans="1:21" x14ac:dyDescent="0.3">
      <c r="A22" s="5" t="s">
        <v>268</v>
      </c>
      <c r="B22" s="5" t="s">
        <v>34</v>
      </c>
      <c r="C22" s="5" t="s">
        <v>567</v>
      </c>
      <c r="D22" s="5">
        <v>3</v>
      </c>
      <c r="E22" s="5">
        <v>1</v>
      </c>
      <c r="F22" s="5">
        <v>1</v>
      </c>
      <c r="G22" s="5"/>
      <c r="H22" s="5">
        <v>690</v>
      </c>
      <c r="I22" s="68">
        <v>45094</v>
      </c>
      <c r="J22" s="5"/>
      <c r="K22" s="5"/>
      <c r="L22" s="5" t="s">
        <v>786</v>
      </c>
      <c r="M22" s="5">
        <v>1580</v>
      </c>
      <c r="N22" s="5">
        <v>2.29</v>
      </c>
      <c r="O22" s="5">
        <v>1398</v>
      </c>
      <c r="P22" s="5">
        <v>2.0299999999999998</v>
      </c>
      <c r="Q22" s="5"/>
      <c r="R22" s="68">
        <v>45106</v>
      </c>
      <c r="S22" s="5"/>
      <c r="T22" s="5"/>
      <c r="U22" s="46" t="s">
        <v>34</v>
      </c>
    </row>
    <row r="23" spans="1:21" x14ac:dyDescent="0.3">
      <c r="A23" s="5" t="s">
        <v>268</v>
      </c>
      <c r="B23" s="5" t="s">
        <v>34</v>
      </c>
      <c r="C23" s="5" t="s">
        <v>567</v>
      </c>
      <c r="D23" s="5">
        <v>3</v>
      </c>
      <c r="E23" s="5">
        <v>1</v>
      </c>
      <c r="F23" s="5">
        <v>1</v>
      </c>
      <c r="G23" s="5"/>
      <c r="H23" s="5">
        <v>690</v>
      </c>
      <c r="I23" s="68">
        <v>45491</v>
      </c>
      <c r="J23" s="5"/>
      <c r="K23" s="5">
        <v>15</v>
      </c>
      <c r="L23" s="5" t="s">
        <v>786</v>
      </c>
      <c r="M23" s="5">
        <v>1580</v>
      </c>
      <c r="N23" s="5">
        <v>2.29</v>
      </c>
      <c r="O23" s="5">
        <v>1580</v>
      </c>
      <c r="P23" s="5">
        <v>2.29</v>
      </c>
      <c r="Q23" s="68">
        <v>45428</v>
      </c>
      <c r="R23" s="68">
        <v>45433</v>
      </c>
      <c r="S23" s="5">
        <v>6</v>
      </c>
      <c r="T23" s="5">
        <v>0</v>
      </c>
      <c r="U23" s="46" t="s">
        <v>34</v>
      </c>
    </row>
    <row r="24" spans="1:21" x14ac:dyDescent="0.3">
      <c r="A24" s="5" t="s">
        <v>268</v>
      </c>
      <c r="B24" s="5" t="s">
        <v>34</v>
      </c>
      <c r="C24" s="5" t="s">
        <v>567</v>
      </c>
      <c r="D24" s="5">
        <v>3</v>
      </c>
      <c r="E24" s="5">
        <v>1</v>
      </c>
      <c r="F24" s="5">
        <v>1</v>
      </c>
      <c r="G24" s="5"/>
      <c r="H24" s="5">
        <v>690</v>
      </c>
      <c r="I24" s="68">
        <v>46009</v>
      </c>
      <c r="J24" s="5"/>
      <c r="K24" s="5">
        <v>14</v>
      </c>
      <c r="L24" s="5" t="s">
        <v>786</v>
      </c>
      <c r="M24" s="5">
        <v>1350</v>
      </c>
      <c r="N24" s="5">
        <v>1.96</v>
      </c>
      <c r="O24" s="5">
        <v>1350</v>
      </c>
      <c r="P24" s="5">
        <v>1.96</v>
      </c>
      <c r="Q24" s="68">
        <v>45948</v>
      </c>
      <c r="R24" s="68">
        <v>46107</v>
      </c>
      <c r="S24" s="5">
        <v>160</v>
      </c>
      <c r="T24" s="5">
        <v>99</v>
      </c>
      <c r="U24" s="46" t="s">
        <v>34</v>
      </c>
    </row>
    <row r="25" spans="1:21" x14ac:dyDescent="0.3">
      <c r="A25" s="5" t="s">
        <v>268</v>
      </c>
      <c r="B25" s="5" t="s">
        <v>34</v>
      </c>
      <c r="C25" s="5" t="s">
        <v>530</v>
      </c>
      <c r="D25" s="5">
        <v>1</v>
      </c>
      <c r="E25" s="5">
        <v>1</v>
      </c>
      <c r="F25" s="5">
        <v>1</v>
      </c>
      <c r="G25" s="5"/>
      <c r="H25" s="5">
        <v>690</v>
      </c>
      <c r="I25" s="68">
        <v>45094</v>
      </c>
      <c r="J25" s="5"/>
      <c r="K25" s="5"/>
      <c r="L25" s="5" t="s">
        <v>786</v>
      </c>
      <c r="M25" s="5">
        <v>1375</v>
      </c>
      <c r="N25" s="5">
        <v>1.99</v>
      </c>
      <c r="O25" s="5">
        <v>1133</v>
      </c>
      <c r="P25" s="5">
        <v>1.64</v>
      </c>
      <c r="Q25" s="5"/>
      <c r="R25" s="68">
        <v>45277</v>
      </c>
      <c r="S25" s="5"/>
      <c r="T25" s="5"/>
      <c r="U25" s="46" t="s">
        <v>34</v>
      </c>
    </row>
    <row r="26" spans="1:21" x14ac:dyDescent="0.3">
      <c r="A26" s="5" t="s">
        <v>268</v>
      </c>
      <c r="B26" s="5" t="s">
        <v>34</v>
      </c>
      <c r="C26" s="5" t="s">
        <v>516</v>
      </c>
      <c r="D26" s="5">
        <v>3</v>
      </c>
      <c r="E26" s="5">
        <v>1</v>
      </c>
      <c r="F26" s="5">
        <v>1</v>
      </c>
      <c r="G26" s="5"/>
      <c r="H26" s="5">
        <v>690</v>
      </c>
      <c r="I26" s="68">
        <v>45094</v>
      </c>
      <c r="J26" s="5"/>
      <c r="K26" s="5"/>
      <c r="L26" s="5" t="s">
        <v>786</v>
      </c>
      <c r="M26" s="5">
        <v>1420</v>
      </c>
      <c r="N26" s="5">
        <v>2.06</v>
      </c>
      <c r="O26" s="5">
        <v>1256</v>
      </c>
      <c r="P26" s="5">
        <v>1.82</v>
      </c>
      <c r="Q26" s="5"/>
      <c r="R26" s="68">
        <v>45190</v>
      </c>
      <c r="S26" s="5"/>
      <c r="T26" s="5"/>
      <c r="U26" s="46" t="s">
        <v>34</v>
      </c>
    </row>
    <row r="27" spans="1:21" x14ac:dyDescent="0.3">
      <c r="A27" s="5" t="s">
        <v>268</v>
      </c>
      <c r="B27" s="5" t="s">
        <v>34</v>
      </c>
      <c r="C27" s="5" t="s">
        <v>625</v>
      </c>
      <c r="D27" s="5">
        <v>3</v>
      </c>
      <c r="E27" s="5">
        <v>1</v>
      </c>
      <c r="F27" s="5">
        <v>1</v>
      </c>
      <c r="G27" s="5"/>
      <c r="H27" s="5">
        <v>690</v>
      </c>
      <c r="I27" s="68">
        <v>45305</v>
      </c>
      <c r="J27" s="5"/>
      <c r="K27" s="5"/>
      <c r="L27" s="5" t="s">
        <v>786</v>
      </c>
      <c r="M27" s="5">
        <v>1505</v>
      </c>
      <c r="N27" s="5">
        <v>2.1800000000000002</v>
      </c>
      <c r="O27" s="5">
        <v>1505</v>
      </c>
      <c r="P27" s="5">
        <v>2.1800000000000002</v>
      </c>
      <c r="Q27" s="68">
        <v>45238</v>
      </c>
      <c r="R27" s="68">
        <v>45388</v>
      </c>
      <c r="S27" s="5">
        <v>151</v>
      </c>
      <c r="T27" s="5">
        <v>84</v>
      </c>
      <c r="U27" s="46" t="s">
        <v>34</v>
      </c>
    </row>
    <row r="28" spans="1:21" x14ac:dyDescent="0.3">
      <c r="A28" s="5" t="s">
        <v>268</v>
      </c>
      <c r="B28" s="5" t="s">
        <v>34</v>
      </c>
      <c r="C28" s="5" t="s">
        <v>548</v>
      </c>
      <c r="D28" s="5">
        <v>2</v>
      </c>
      <c r="E28" s="5">
        <v>1</v>
      </c>
      <c r="F28" s="5">
        <v>1</v>
      </c>
      <c r="G28" s="5"/>
      <c r="H28" s="5">
        <v>690</v>
      </c>
      <c r="I28" s="68">
        <v>45094</v>
      </c>
      <c r="J28" s="5"/>
      <c r="K28" s="5"/>
      <c r="L28" s="5" t="s">
        <v>786</v>
      </c>
      <c r="M28" s="5">
        <v>1375</v>
      </c>
      <c r="N28" s="5">
        <v>1.99</v>
      </c>
      <c r="O28" s="5">
        <v>1216</v>
      </c>
      <c r="P28" s="5">
        <v>1.76</v>
      </c>
      <c r="Q28" s="5"/>
      <c r="R28" s="68">
        <v>45249</v>
      </c>
      <c r="S28" s="5"/>
      <c r="T28" s="5"/>
      <c r="U28" s="46" t="s">
        <v>34</v>
      </c>
    </row>
    <row r="29" spans="1:21" x14ac:dyDescent="0.3">
      <c r="A29" s="5" t="s">
        <v>268</v>
      </c>
      <c r="B29" s="5" t="s">
        <v>34</v>
      </c>
      <c r="C29" s="5" t="s">
        <v>548</v>
      </c>
      <c r="D29" s="5">
        <v>2</v>
      </c>
      <c r="E29" s="5">
        <v>1</v>
      </c>
      <c r="F29" s="5">
        <v>1</v>
      </c>
      <c r="G29" s="5"/>
      <c r="H29" s="5">
        <v>690</v>
      </c>
      <c r="I29" s="68">
        <v>45645</v>
      </c>
      <c r="J29" s="5"/>
      <c r="K29" s="5">
        <v>12</v>
      </c>
      <c r="L29" s="5" t="s">
        <v>786</v>
      </c>
      <c r="M29" s="5">
        <v>1370</v>
      </c>
      <c r="N29" s="5">
        <v>1.99</v>
      </c>
      <c r="O29" s="5">
        <v>1370</v>
      </c>
      <c r="P29" s="5">
        <v>1.99</v>
      </c>
      <c r="Q29" s="68">
        <v>45640</v>
      </c>
      <c r="R29" s="68">
        <v>45713</v>
      </c>
      <c r="S29" s="5">
        <v>74</v>
      </c>
      <c r="T29" s="5">
        <v>69</v>
      </c>
      <c r="U29" s="46" t="s">
        <v>34</v>
      </c>
    </row>
    <row r="30" spans="1:21" x14ac:dyDescent="0.3">
      <c r="A30" s="5" t="s">
        <v>268</v>
      </c>
      <c r="B30" s="5" t="s">
        <v>34</v>
      </c>
      <c r="C30" s="5" t="s">
        <v>548</v>
      </c>
      <c r="D30" s="5">
        <v>2</v>
      </c>
      <c r="E30" s="5">
        <v>1</v>
      </c>
      <c r="F30" s="5">
        <v>1</v>
      </c>
      <c r="G30" s="5"/>
      <c r="H30" s="5">
        <v>690</v>
      </c>
      <c r="I30" s="68">
        <v>46210</v>
      </c>
      <c r="J30" s="5"/>
      <c r="K30" s="5">
        <v>14</v>
      </c>
      <c r="L30" s="5" t="s">
        <v>786</v>
      </c>
      <c r="M30" s="5">
        <v>1535</v>
      </c>
      <c r="N30" s="5">
        <v>2.2200000000000002</v>
      </c>
      <c r="O30" s="5">
        <v>1316</v>
      </c>
      <c r="P30" s="5">
        <v>1.91</v>
      </c>
      <c r="Q30" s="68">
        <v>46143</v>
      </c>
      <c r="R30" s="68">
        <v>46149</v>
      </c>
      <c r="S30" s="5">
        <v>7</v>
      </c>
      <c r="T30" s="5">
        <v>0</v>
      </c>
      <c r="U30" s="46" t="s">
        <v>34</v>
      </c>
    </row>
    <row r="31" spans="1:21" x14ac:dyDescent="0.3">
      <c r="A31" s="5" t="s">
        <v>268</v>
      </c>
      <c r="B31" s="5" t="s">
        <v>34</v>
      </c>
      <c r="C31" s="5" t="s">
        <v>497</v>
      </c>
      <c r="D31" s="5">
        <v>2</v>
      </c>
      <c r="E31" s="5">
        <v>1</v>
      </c>
      <c r="F31" s="5">
        <v>1</v>
      </c>
      <c r="G31" s="5"/>
      <c r="H31" s="5">
        <v>690</v>
      </c>
      <c r="I31" s="68">
        <v>45773</v>
      </c>
      <c r="J31" s="5"/>
      <c r="K31" s="5">
        <v>12</v>
      </c>
      <c r="L31" s="5" t="s">
        <v>786</v>
      </c>
      <c r="M31" s="5">
        <v>1499</v>
      </c>
      <c r="N31" s="5">
        <v>2.17</v>
      </c>
      <c r="O31" s="5">
        <v>1499</v>
      </c>
      <c r="P31" s="5">
        <v>2.17</v>
      </c>
      <c r="Q31" s="68">
        <v>45700</v>
      </c>
      <c r="R31" s="68">
        <v>45814</v>
      </c>
      <c r="S31" s="5">
        <v>115</v>
      </c>
      <c r="T31" s="5">
        <v>42</v>
      </c>
      <c r="U31" s="46" t="s">
        <v>34</v>
      </c>
    </row>
    <row r="32" spans="1:21" x14ac:dyDescent="0.3">
      <c r="A32" s="5" t="s">
        <v>268</v>
      </c>
      <c r="B32" s="5" t="s">
        <v>34</v>
      </c>
      <c r="C32" s="5" t="s">
        <v>601</v>
      </c>
      <c r="D32" s="5">
        <v>2</v>
      </c>
      <c r="E32" s="5">
        <v>1</v>
      </c>
      <c r="F32" s="5">
        <v>1</v>
      </c>
      <c r="G32" s="5"/>
      <c r="H32" s="5">
        <v>690</v>
      </c>
      <c r="I32" s="68">
        <v>45250</v>
      </c>
      <c r="J32" s="5"/>
      <c r="K32" s="5"/>
      <c r="L32" s="5" t="s">
        <v>786</v>
      </c>
      <c r="M32" s="5">
        <v>1415</v>
      </c>
      <c r="N32" s="5">
        <v>2.0499999999999998</v>
      </c>
      <c r="O32" s="5">
        <v>1252</v>
      </c>
      <c r="P32" s="5">
        <v>1.81</v>
      </c>
      <c r="Q32" s="68">
        <v>45179</v>
      </c>
      <c r="R32" s="68">
        <v>45248</v>
      </c>
      <c r="S32" s="5">
        <v>70</v>
      </c>
      <c r="T32" s="5">
        <v>0</v>
      </c>
      <c r="U32" s="46" t="s">
        <v>34</v>
      </c>
    </row>
    <row r="33" spans="1:21" x14ac:dyDescent="0.3">
      <c r="A33" s="5" t="s">
        <v>268</v>
      </c>
      <c r="B33" s="5" t="s">
        <v>34</v>
      </c>
      <c r="C33" s="5" t="s">
        <v>601</v>
      </c>
      <c r="D33" s="5">
        <v>2</v>
      </c>
      <c r="E33" s="5">
        <v>1</v>
      </c>
      <c r="F33" s="5">
        <v>1</v>
      </c>
      <c r="G33" s="5"/>
      <c r="H33" s="5">
        <v>690</v>
      </c>
      <c r="I33" s="68">
        <v>46088</v>
      </c>
      <c r="J33" s="5"/>
      <c r="K33" s="5">
        <v>14</v>
      </c>
      <c r="L33" s="5" t="s">
        <v>786</v>
      </c>
      <c r="M33" s="5">
        <v>1575</v>
      </c>
      <c r="N33" s="5">
        <v>2.2799999999999998</v>
      </c>
      <c r="O33" s="5">
        <v>1350</v>
      </c>
      <c r="P33" s="5">
        <v>1.96</v>
      </c>
      <c r="Q33" s="68">
        <v>45999</v>
      </c>
      <c r="R33" s="68">
        <v>46147</v>
      </c>
      <c r="S33" s="5">
        <v>149</v>
      </c>
      <c r="T33" s="5">
        <v>60</v>
      </c>
      <c r="U33" s="46" t="s">
        <v>34</v>
      </c>
    </row>
    <row r="34" spans="1:21" x14ac:dyDescent="0.3">
      <c r="A34" s="5" t="s">
        <v>268</v>
      </c>
      <c r="B34" s="5" t="s">
        <v>34</v>
      </c>
      <c r="C34" s="5" t="s">
        <v>603</v>
      </c>
      <c r="D34" s="5">
        <v>2</v>
      </c>
      <c r="E34" s="5">
        <v>1</v>
      </c>
      <c r="F34" s="5">
        <v>1</v>
      </c>
      <c r="G34" s="5"/>
      <c r="H34" s="5">
        <v>690</v>
      </c>
      <c r="I34" s="68">
        <v>45751</v>
      </c>
      <c r="J34" s="5"/>
      <c r="K34" s="5">
        <v>12</v>
      </c>
      <c r="L34" s="5" t="s">
        <v>786</v>
      </c>
      <c r="M34" s="5">
        <v>1575</v>
      </c>
      <c r="N34" s="5">
        <v>2.2799999999999998</v>
      </c>
      <c r="O34" s="5">
        <v>1270</v>
      </c>
      <c r="P34" s="5">
        <v>1.84</v>
      </c>
      <c r="Q34" s="68">
        <v>45661</v>
      </c>
      <c r="R34" s="68">
        <v>45664</v>
      </c>
      <c r="S34" s="5">
        <v>4</v>
      </c>
      <c r="T34" s="5">
        <v>0</v>
      </c>
      <c r="U34" s="46" t="s">
        <v>34</v>
      </c>
    </row>
    <row r="35" spans="1:21" x14ac:dyDescent="0.3">
      <c r="A35" s="5" t="s">
        <v>268</v>
      </c>
      <c r="B35" s="5" t="s">
        <v>34</v>
      </c>
      <c r="C35" s="5" t="s">
        <v>619</v>
      </c>
      <c r="D35" s="5">
        <v>3</v>
      </c>
      <c r="E35" s="5">
        <v>1</v>
      </c>
      <c r="F35" s="5">
        <v>1</v>
      </c>
      <c r="G35" s="5"/>
      <c r="H35" s="5">
        <v>690</v>
      </c>
      <c r="I35" s="68">
        <v>45738</v>
      </c>
      <c r="J35" s="5"/>
      <c r="K35" s="5">
        <v>12</v>
      </c>
      <c r="L35" s="5" t="s">
        <v>787</v>
      </c>
      <c r="M35" s="5">
        <v>1620</v>
      </c>
      <c r="N35" s="5">
        <v>2.35</v>
      </c>
      <c r="O35" s="5">
        <v>1620</v>
      </c>
      <c r="P35" s="5">
        <v>2.35</v>
      </c>
      <c r="Q35" s="68">
        <v>45664</v>
      </c>
      <c r="R35" s="68">
        <v>45700</v>
      </c>
      <c r="S35" s="5">
        <v>37</v>
      </c>
      <c r="T35" s="5">
        <v>0</v>
      </c>
      <c r="U35" s="46" t="s">
        <v>34</v>
      </c>
    </row>
    <row r="36" spans="1:21" x14ac:dyDescent="0.3">
      <c r="A36" s="5" t="s">
        <v>268</v>
      </c>
      <c r="B36" s="5" t="s">
        <v>34</v>
      </c>
      <c r="C36" s="5" t="s">
        <v>619</v>
      </c>
      <c r="D36" s="5">
        <v>3</v>
      </c>
      <c r="E36" s="5">
        <v>1</v>
      </c>
      <c r="F36" s="5">
        <v>1</v>
      </c>
      <c r="G36" s="5"/>
      <c r="H36" s="5">
        <v>690</v>
      </c>
      <c r="I36" s="68">
        <v>46116</v>
      </c>
      <c r="J36" s="5"/>
      <c r="K36" s="5">
        <v>14</v>
      </c>
      <c r="L36" s="5" t="s">
        <v>787</v>
      </c>
      <c r="M36" s="5">
        <v>1620</v>
      </c>
      <c r="N36" s="5">
        <v>2.35</v>
      </c>
      <c r="O36" s="5">
        <v>1389</v>
      </c>
      <c r="P36" s="5">
        <v>2.0099999999999998</v>
      </c>
      <c r="Q36" s="68">
        <v>46040</v>
      </c>
      <c r="R36" s="68">
        <v>46145</v>
      </c>
      <c r="S36" s="5">
        <v>106</v>
      </c>
      <c r="T36" s="5">
        <v>30</v>
      </c>
      <c r="U36" s="46" t="s">
        <v>34</v>
      </c>
    </row>
    <row r="37" spans="1:21" x14ac:dyDescent="0.3">
      <c r="A37" s="5" t="s">
        <v>268</v>
      </c>
      <c r="B37" s="5" t="s">
        <v>37</v>
      </c>
      <c r="C37" s="5" t="s">
        <v>453</v>
      </c>
      <c r="D37" s="5">
        <v>2</v>
      </c>
      <c r="E37" s="5">
        <v>1</v>
      </c>
      <c r="F37" s="5">
        <v>1</v>
      </c>
      <c r="G37" s="5"/>
      <c r="H37" s="5">
        <v>698</v>
      </c>
      <c r="I37" s="68">
        <v>45094</v>
      </c>
      <c r="J37" s="5"/>
      <c r="K37" s="5"/>
      <c r="L37" s="5" t="s">
        <v>786</v>
      </c>
      <c r="M37" s="5">
        <v>1570</v>
      </c>
      <c r="N37" s="5">
        <v>2.25</v>
      </c>
      <c r="O37" s="5">
        <v>1305</v>
      </c>
      <c r="P37" s="5">
        <v>1.87</v>
      </c>
      <c r="Q37" s="5"/>
      <c r="R37" s="68">
        <v>45165</v>
      </c>
      <c r="S37" s="5"/>
      <c r="T37" s="5"/>
      <c r="U37" s="46" t="s">
        <v>37</v>
      </c>
    </row>
    <row r="38" spans="1:21" x14ac:dyDescent="0.3">
      <c r="A38" s="5" t="s">
        <v>268</v>
      </c>
      <c r="B38" s="5" t="s">
        <v>37</v>
      </c>
      <c r="C38" s="5" t="s">
        <v>453</v>
      </c>
      <c r="D38" s="5">
        <v>2</v>
      </c>
      <c r="E38" s="5">
        <v>1</v>
      </c>
      <c r="F38" s="5">
        <v>1</v>
      </c>
      <c r="G38" s="5"/>
      <c r="H38" s="5">
        <v>698</v>
      </c>
      <c r="I38" s="68">
        <v>45603</v>
      </c>
      <c r="J38" s="5"/>
      <c r="K38" s="5">
        <v>15</v>
      </c>
      <c r="L38" s="5" t="s">
        <v>786</v>
      </c>
      <c r="M38" s="5">
        <v>1570</v>
      </c>
      <c r="N38" s="5">
        <v>2.25</v>
      </c>
      <c r="O38" s="5">
        <v>1570</v>
      </c>
      <c r="P38" s="5">
        <v>2.25</v>
      </c>
      <c r="Q38" s="68">
        <v>45423</v>
      </c>
      <c r="R38" s="68">
        <v>45427</v>
      </c>
      <c r="S38" s="5">
        <v>5</v>
      </c>
      <c r="T38" s="5">
        <v>0</v>
      </c>
      <c r="U38" s="46" t="s">
        <v>37</v>
      </c>
    </row>
    <row r="39" spans="1:21" x14ac:dyDescent="0.3">
      <c r="A39" s="5" t="s">
        <v>268</v>
      </c>
      <c r="B39" s="5" t="s">
        <v>37</v>
      </c>
      <c r="C39" s="5" t="s">
        <v>453</v>
      </c>
      <c r="D39" s="5">
        <v>2</v>
      </c>
      <c r="E39" s="5">
        <v>1</v>
      </c>
      <c r="F39" s="5">
        <v>1</v>
      </c>
      <c r="G39" s="5"/>
      <c r="H39" s="5">
        <v>698</v>
      </c>
      <c r="I39" s="68">
        <v>45548</v>
      </c>
      <c r="J39" s="5"/>
      <c r="K39" s="5">
        <v>12</v>
      </c>
      <c r="L39" s="5" t="s">
        <v>786</v>
      </c>
      <c r="M39" s="5">
        <v>1330</v>
      </c>
      <c r="N39" s="5">
        <v>1.91</v>
      </c>
      <c r="O39" s="5">
        <v>1176</v>
      </c>
      <c r="P39" s="5">
        <v>1.68</v>
      </c>
      <c r="Q39" s="68">
        <v>45517</v>
      </c>
      <c r="R39" s="68">
        <v>45575</v>
      </c>
      <c r="S39" s="5">
        <v>59</v>
      </c>
      <c r="T39" s="5">
        <v>28</v>
      </c>
      <c r="U39" s="46" t="s">
        <v>37</v>
      </c>
    </row>
    <row r="40" spans="1:21" x14ac:dyDescent="0.3">
      <c r="A40" s="5" t="s">
        <v>268</v>
      </c>
      <c r="B40" s="5" t="s">
        <v>37</v>
      </c>
      <c r="C40" s="5" t="s">
        <v>453</v>
      </c>
      <c r="D40" s="5">
        <v>2</v>
      </c>
      <c r="E40" s="5">
        <v>1</v>
      </c>
      <c r="F40" s="5">
        <v>1</v>
      </c>
      <c r="G40" s="5"/>
      <c r="H40" s="5">
        <v>698</v>
      </c>
      <c r="I40" s="68">
        <v>46004</v>
      </c>
      <c r="J40" s="5"/>
      <c r="K40" s="5">
        <v>13</v>
      </c>
      <c r="L40" s="5" t="s">
        <v>786</v>
      </c>
      <c r="M40" s="5">
        <v>1312</v>
      </c>
      <c r="N40" s="5">
        <v>1.88</v>
      </c>
      <c r="O40" s="5">
        <v>1060</v>
      </c>
      <c r="P40" s="5">
        <v>1.52</v>
      </c>
      <c r="Q40" s="68">
        <v>45937</v>
      </c>
      <c r="R40" s="68">
        <v>46039</v>
      </c>
      <c r="S40" s="5">
        <v>103</v>
      </c>
      <c r="T40" s="5">
        <v>36</v>
      </c>
      <c r="U40" s="46" t="s">
        <v>37</v>
      </c>
    </row>
    <row r="41" spans="1:21" x14ac:dyDescent="0.3">
      <c r="A41" s="5" t="s">
        <v>268</v>
      </c>
      <c r="B41" s="5" t="s">
        <v>37</v>
      </c>
      <c r="C41" s="5" t="s">
        <v>646</v>
      </c>
      <c r="D41" s="5">
        <v>2</v>
      </c>
      <c r="E41" s="5">
        <v>1</v>
      </c>
      <c r="F41" s="5">
        <v>1</v>
      </c>
      <c r="G41" s="5"/>
      <c r="H41" s="5">
        <v>698</v>
      </c>
      <c r="I41" s="68">
        <v>45470</v>
      </c>
      <c r="J41" s="5"/>
      <c r="K41" s="5">
        <v>15</v>
      </c>
      <c r="L41" s="5" t="s">
        <v>786</v>
      </c>
      <c r="M41" s="5">
        <v>1580</v>
      </c>
      <c r="N41" s="5">
        <v>2.2599999999999998</v>
      </c>
      <c r="O41" s="5">
        <v>1580</v>
      </c>
      <c r="P41" s="5">
        <v>2.2599999999999998</v>
      </c>
      <c r="Q41" s="68">
        <v>45351</v>
      </c>
      <c r="R41" s="68">
        <v>45531</v>
      </c>
      <c r="S41" s="5">
        <v>181</v>
      </c>
      <c r="T41" s="5">
        <v>62</v>
      </c>
      <c r="U41" s="46" t="s">
        <v>37</v>
      </c>
    </row>
    <row r="42" spans="1:21" x14ac:dyDescent="0.3">
      <c r="A42" s="5" t="s">
        <v>268</v>
      </c>
      <c r="B42" s="5" t="s">
        <v>37</v>
      </c>
      <c r="C42" s="5" t="s">
        <v>646</v>
      </c>
      <c r="D42" s="5">
        <v>2</v>
      </c>
      <c r="E42" s="5">
        <v>1</v>
      </c>
      <c r="F42" s="5">
        <v>1</v>
      </c>
      <c r="G42" s="5"/>
      <c r="H42" s="5">
        <v>698</v>
      </c>
      <c r="I42" s="68">
        <v>45954</v>
      </c>
      <c r="J42" s="5"/>
      <c r="K42" s="5">
        <v>12</v>
      </c>
      <c r="L42" s="5" t="s">
        <v>786</v>
      </c>
      <c r="M42" s="5">
        <v>1330</v>
      </c>
      <c r="N42" s="5">
        <v>1.91</v>
      </c>
      <c r="O42" s="5">
        <v>1074</v>
      </c>
      <c r="P42" s="5">
        <v>1.54</v>
      </c>
      <c r="Q42" s="68">
        <v>45889</v>
      </c>
      <c r="R42" s="68">
        <v>45991</v>
      </c>
      <c r="S42" s="5">
        <v>103</v>
      </c>
      <c r="T42" s="5">
        <v>38</v>
      </c>
      <c r="U42" s="46" t="s">
        <v>37</v>
      </c>
    </row>
    <row r="43" spans="1:21" x14ac:dyDescent="0.3">
      <c r="A43" s="5" t="s">
        <v>268</v>
      </c>
      <c r="B43" s="5" t="s">
        <v>37</v>
      </c>
      <c r="C43" s="5" t="s">
        <v>645</v>
      </c>
      <c r="D43" s="5">
        <v>2</v>
      </c>
      <c r="E43" s="5">
        <v>1</v>
      </c>
      <c r="F43" s="5">
        <v>1</v>
      </c>
      <c r="G43" s="5"/>
      <c r="H43" s="5">
        <v>698</v>
      </c>
      <c r="I43" s="68">
        <v>45389</v>
      </c>
      <c r="J43" s="5"/>
      <c r="K43" s="5"/>
      <c r="L43" s="5" t="s">
        <v>786</v>
      </c>
      <c r="M43" s="5">
        <v>1485</v>
      </c>
      <c r="N43" s="5">
        <v>2.13</v>
      </c>
      <c r="O43" s="5">
        <v>1485</v>
      </c>
      <c r="P43" s="5">
        <v>2.13</v>
      </c>
      <c r="Q43" s="68">
        <v>45340</v>
      </c>
      <c r="R43" s="68">
        <v>45413</v>
      </c>
      <c r="S43" s="5">
        <v>74</v>
      </c>
      <c r="T43" s="5">
        <v>25</v>
      </c>
      <c r="U43" s="46" t="s">
        <v>37</v>
      </c>
    </row>
    <row r="44" spans="1:21" x14ac:dyDescent="0.3">
      <c r="A44" s="5" t="s">
        <v>268</v>
      </c>
      <c r="B44" s="5" t="s">
        <v>37</v>
      </c>
      <c r="C44" s="5" t="s">
        <v>645</v>
      </c>
      <c r="D44" s="5">
        <v>2</v>
      </c>
      <c r="E44" s="5">
        <v>1</v>
      </c>
      <c r="F44" s="5">
        <v>1</v>
      </c>
      <c r="G44" s="5"/>
      <c r="H44" s="5">
        <v>698</v>
      </c>
      <c r="I44" s="68">
        <v>45584</v>
      </c>
      <c r="J44" s="5"/>
      <c r="K44" s="5">
        <v>12</v>
      </c>
      <c r="L44" s="5" t="s">
        <v>786</v>
      </c>
      <c r="M44" s="5">
        <v>1330</v>
      </c>
      <c r="N44" s="5">
        <v>1.91</v>
      </c>
      <c r="O44" s="5">
        <v>1176</v>
      </c>
      <c r="P44" s="5">
        <v>1.68</v>
      </c>
      <c r="Q44" s="68">
        <v>45517</v>
      </c>
      <c r="R44" s="68">
        <v>45573</v>
      </c>
      <c r="S44" s="5">
        <v>57</v>
      </c>
      <c r="T44" s="5">
        <v>0</v>
      </c>
      <c r="U44" s="46" t="s">
        <v>37</v>
      </c>
    </row>
    <row r="45" spans="1:21" x14ac:dyDescent="0.3">
      <c r="A45" s="5" t="s">
        <v>268</v>
      </c>
      <c r="B45" s="5" t="s">
        <v>37</v>
      </c>
      <c r="C45" s="5" t="s">
        <v>663</v>
      </c>
      <c r="D45" s="5">
        <v>3</v>
      </c>
      <c r="E45" s="5">
        <v>1</v>
      </c>
      <c r="F45" s="5">
        <v>1</v>
      </c>
      <c r="G45" s="5"/>
      <c r="H45" s="5">
        <v>698</v>
      </c>
      <c r="I45" s="68">
        <v>45876</v>
      </c>
      <c r="J45" s="5"/>
      <c r="K45" s="5">
        <v>12</v>
      </c>
      <c r="L45" s="5" t="s">
        <v>786</v>
      </c>
      <c r="M45" s="5">
        <v>1340</v>
      </c>
      <c r="N45" s="5">
        <v>1.92</v>
      </c>
      <c r="O45" s="5">
        <v>1134</v>
      </c>
      <c r="P45" s="5">
        <v>1.62</v>
      </c>
      <c r="Q45" s="68">
        <v>45797</v>
      </c>
      <c r="R45" s="68">
        <v>45931</v>
      </c>
      <c r="S45" s="5">
        <v>135</v>
      </c>
      <c r="T45" s="5">
        <v>56</v>
      </c>
      <c r="U45" s="46" t="s">
        <v>37</v>
      </c>
    </row>
    <row r="46" spans="1:21" x14ac:dyDescent="0.3">
      <c r="A46" s="5" t="s">
        <v>268</v>
      </c>
      <c r="B46" s="5" t="s">
        <v>37</v>
      </c>
      <c r="C46" s="5" t="s">
        <v>652</v>
      </c>
      <c r="D46" s="5">
        <v>2</v>
      </c>
      <c r="E46" s="5">
        <v>1</v>
      </c>
      <c r="F46" s="5">
        <v>1</v>
      </c>
      <c r="G46" s="5"/>
      <c r="H46" s="5">
        <v>698</v>
      </c>
      <c r="I46" s="68">
        <v>45534</v>
      </c>
      <c r="J46" s="5"/>
      <c r="K46" s="5">
        <v>15</v>
      </c>
      <c r="L46" s="5" t="s">
        <v>786</v>
      </c>
      <c r="M46" s="5">
        <v>1630</v>
      </c>
      <c r="N46" s="5">
        <v>2.34</v>
      </c>
      <c r="O46" s="5">
        <v>1630</v>
      </c>
      <c r="P46" s="5">
        <v>2.34</v>
      </c>
      <c r="Q46" s="68">
        <v>45441</v>
      </c>
      <c r="R46" s="68">
        <v>45454</v>
      </c>
      <c r="S46" s="5">
        <v>14</v>
      </c>
      <c r="T46" s="5">
        <v>0</v>
      </c>
      <c r="U46" s="46" t="s">
        <v>37</v>
      </c>
    </row>
    <row r="47" spans="1:21" x14ac:dyDescent="0.3">
      <c r="A47" s="5" t="s">
        <v>268</v>
      </c>
      <c r="B47" s="5" t="s">
        <v>37</v>
      </c>
      <c r="C47" s="5" t="s">
        <v>652</v>
      </c>
      <c r="D47" s="5">
        <v>2</v>
      </c>
      <c r="E47" s="5">
        <v>1</v>
      </c>
      <c r="F47" s="5">
        <v>1</v>
      </c>
      <c r="G47" s="5"/>
      <c r="H47" s="5">
        <v>698</v>
      </c>
      <c r="I47" s="68">
        <v>45998</v>
      </c>
      <c r="J47" s="5"/>
      <c r="K47" s="5">
        <v>13</v>
      </c>
      <c r="L47" s="5" t="s">
        <v>786</v>
      </c>
      <c r="M47" s="5">
        <v>1342</v>
      </c>
      <c r="N47" s="5">
        <v>1.92</v>
      </c>
      <c r="O47" s="5">
        <v>1084</v>
      </c>
      <c r="P47" s="5">
        <v>1.55</v>
      </c>
      <c r="Q47" s="68">
        <v>45891</v>
      </c>
      <c r="R47" s="68">
        <v>46038</v>
      </c>
      <c r="S47" s="5">
        <v>148</v>
      </c>
      <c r="T47" s="5">
        <v>41</v>
      </c>
      <c r="U47" s="46" t="s">
        <v>37</v>
      </c>
    </row>
    <row r="48" spans="1:21" x14ac:dyDescent="0.3">
      <c r="A48" s="5" t="s">
        <v>268</v>
      </c>
      <c r="B48" s="5" t="s">
        <v>37</v>
      </c>
      <c r="C48" s="5" t="s">
        <v>417</v>
      </c>
      <c r="D48" s="5">
        <v>2</v>
      </c>
      <c r="E48" s="5">
        <v>1</v>
      </c>
      <c r="F48" s="5">
        <v>1</v>
      </c>
      <c r="G48" s="5"/>
      <c r="H48" s="5">
        <v>698</v>
      </c>
      <c r="I48" s="68">
        <v>45094</v>
      </c>
      <c r="J48" s="5"/>
      <c r="K48" s="5"/>
      <c r="L48" s="5" t="s">
        <v>786</v>
      </c>
      <c r="M48" s="5">
        <v>1585</v>
      </c>
      <c r="N48" s="5">
        <v>2.27</v>
      </c>
      <c r="O48" s="5">
        <v>1585</v>
      </c>
      <c r="P48" s="5">
        <v>2.27</v>
      </c>
      <c r="Q48" s="5"/>
      <c r="R48" s="68">
        <v>45397</v>
      </c>
      <c r="S48" s="5"/>
      <c r="T48" s="5"/>
      <c r="U48" s="46" t="s">
        <v>37</v>
      </c>
    </row>
    <row r="49" spans="1:21" x14ac:dyDescent="0.3">
      <c r="A49" s="5" t="s">
        <v>268</v>
      </c>
      <c r="B49" s="5" t="s">
        <v>37</v>
      </c>
      <c r="C49" s="5" t="s">
        <v>417</v>
      </c>
      <c r="D49" s="5">
        <v>2</v>
      </c>
      <c r="E49" s="5">
        <v>1</v>
      </c>
      <c r="F49" s="5">
        <v>1</v>
      </c>
      <c r="G49" s="5"/>
      <c r="H49" s="5">
        <v>698</v>
      </c>
      <c r="I49" s="68">
        <v>45983</v>
      </c>
      <c r="J49" s="5"/>
      <c r="K49" s="5">
        <v>13</v>
      </c>
      <c r="L49" s="5" t="s">
        <v>786</v>
      </c>
      <c r="M49" s="5">
        <v>1364</v>
      </c>
      <c r="N49" s="5">
        <v>1.95</v>
      </c>
      <c r="O49" s="5">
        <v>1102</v>
      </c>
      <c r="P49" s="5">
        <v>1.58</v>
      </c>
      <c r="Q49" s="68">
        <v>45915</v>
      </c>
      <c r="R49" s="68">
        <v>46014</v>
      </c>
      <c r="S49" s="5">
        <v>100</v>
      </c>
      <c r="T49" s="5">
        <v>32</v>
      </c>
      <c r="U49" s="46" t="s">
        <v>37</v>
      </c>
    </row>
    <row r="50" spans="1:21" x14ac:dyDescent="0.3">
      <c r="A50" s="5" t="s">
        <v>268</v>
      </c>
      <c r="B50" s="5" t="s">
        <v>37</v>
      </c>
      <c r="C50" s="5" t="s">
        <v>650</v>
      </c>
      <c r="D50" s="5">
        <v>2</v>
      </c>
      <c r="E50" s="5">
        <v>1</v>
      </c>
      <c r="F50" s="5">
        <v>1</v>
      </c>
      <c r="G50" s="5"/>
      <c r="H50" s="5">
        <v>698</v>
      </c>
      <c r="I50" s="68">
        <v>45559</v>
      </c>
      <c r="J50" s="5"/>
      <c r="K50" s="5">
        <v>12</v>
      </c>
      <c r="L50" s="5" t="s">
        <v>786</v>
      </c>
      <c r="M50" s="5">
        <v>1375</v>
      </c>
      <c r="N50" s="5">
        <v>1.97</v>
      </c>
      <c r="O50" s="5">
        <v>1375</v>
      </c>
      <c r="P50" s="5">
        <v>1.97</v>
      </c>
      <c r="Q50" s="68">
        <v>45553</v>
      </c>
      <c r="R50" s="68">
        <v>45615</v>
      </c>
      <c r="S50" s="5">
        <v>63</v>
      </c>
      <c r="T50" s="5">
        <v>57</v>
      </c>
      <c r="U50" s="46" t="s">
        <v>37</v>
      </c>
    </row>
    <row r="51" spans="1:21" x14ac:dyDescent="0.3">
      <c r="A51" s="5" t="s">
        <v>268</v>
      </c>
      <c r="B51" s="5" t="s">
        <v>37</v>
      </c>
      <c r="C51" s="5" t="s">
        <v>419</v>
      </c>
      <c r="D51" s="5">
        <v>2</v>
      </c>
      <c r="E51" s="5">
        <v>1</v>
      </c>
      <c r="F51" s="5">
        <v>1</v>
      </c>
      <c r="G51" s="5"/>
      <c r="H51" s="5">
        <v>698</v>
      </c>
      <c r="I51" s="68">
        <v>45094</v>
      </c>
      <c r="J51" s="5"/>
      <c r="K51" s="5"/>
      <c r="L51" s="5" t="s">
        <v>786</v>
      </c>
      <c r="M51" s="5">
        <v>1480</v>
      </c>
      <c r="N51" s="5">
        <v>2.12</v>
      </c>
      <c r="O51" s="5">
        <v>1309</v>
      </c>
      <c r="P51" s="5">
        <v>1.88</v>
      </c>
      <c r="Q51" s="5"/>
      <c r="R51" s="68">
        <v>45206</v>
      </c>
      <c r="S51" s="5"/>
      <c r="T51" s="5"/>
      <c r="U51" s="46" t="s">
        <v>37</v>
      </c>
    </row>
    <row r="52" spans="1:21" x14ac:dyDescent="0.3">
      <c r="A52" s="5" t="s">
        <v>268</v>
      </c>
      <c r="B52" s="5" t="s">
        <v>37</v>
      </c>
      <c r="C52" s="5" t="s">
        <v>419</v>
      </c>
      <c r="D52" s="5">
        <v>2</v>
      </c>
      <c r="E52" s="5">
        <v>1</v>
      </c>
      <c r="F52" s="5">
        <v>1</v>
      </c>
      <c r="G52" s="5"/>
      <c r="H52" s="5">
        <v>698</v>
      </c>
      <c r="I52" s="68">
        <v>45690</v>
      </c>
      <c r="J52" s="5"/>
      <c r="K52" s="5">
        <v>12</v>
      </c>
      <c r="L52" s="5" t="s">
        <v>786</v>
      </c>
      <c r="M52" s="5">
        <v>1375</v>
      </c>
      <c r="N52" s="5">
        <v>1.97</v>
      </c>
      <c r="O52" s="5">
        <v>1375</v>
      </c>
      <c r="P52" s="5">
        <v>1.97</v>
      </c>
      <c r="Q52" s="68">
        <v>45623</v>
      </c>
      <c r="R52" s="68">
        <v>45703</v>
      </c>
      <c r="S52" s="5">
        <v>81</v>
      </c>
      <c r="T52" s="5">
        <v>14</v>
      </c>
      <c r="U52" s="46" t="s">
        <v>37</v>
      </c>
    </row>
    <row r="53" spans="1:21" x14ac:dyDescent="0.3">
      <c r="A53" s="5" t="s">
        <v>268</v>
      </c>
      <c r="B53" s="5" t="s">
        <v>37</v>
      </c>
      <c r="C53" s="5" t="s">
        <v>662</v>
      </c>
      <c r="D53" s="5">
        <v>3</v>
      </c>
      <c r="E53" s="5">
        <v>1</v>
      </c>
      <c r="F53" s="5">
        <v>1</v>
      </c>
      <c r="G53" s="5"/>
      <c r="H53" s="5">
        <v>698</v>
      </c>
      <c r="I53" s="68">
        <v>45542</v>
      </c>
      <c r="J53" s="5"/>
      <c r="K53" s="5">
        <v>12</v>
      </c>
      <c r="L53" s="5" t="s">
        <v>786</v>
      </c>
      <c r="M53" s="5">
        <v>1500</v>
      </c>
      <c r="N53" s="5">
        <v>2.15</v>
      </c>
      <c r="O53" s="5">
        <v>1500</v>
      </c>
      <c r="P53" s="5">
        <v>2.15</v>
      </c>
      <c r="Q53" s="68">
        <v>45449</v>
      </c>
      <c r="R53" s="68">
        <v>45604</v>
      </c>
      <c r="S53" s="5">
        <v>156</v>
      </c>
      <c r="T53" s="5">
        <v>63</v>
      </c>
      <c r="U53" s="46" t="s">
        <v>37</v>
      </c>
    </row>
    <row r="54" spans="1:21" x14ac:dyDescent="0.3">
      <c r="A54" s="5" t="s">
        <v>268</v>
      </c>
      <c r="B54" s="5" t="s">
        <v>37</v>
      </c>
      <c r="C54" s="5" t="s">
        <v>662</v>
      </c>
      <c r="D54" s="5">
        <v>3</v>
      </c>
      <c r="E54" s="5">
        <v>1</v>
      </c>
      <c r="F54" s="5">
        <v>1</v>
      </c>
      <c r="G54" s="5"/>
      <c r="H54" s="5">
        <v>698</v>
      </c>
      <c r="I54" s="68">
        <v>46016</v>
      </c>
      <c r="J54" s="5"/>
      <c r="K54" s="5">
        <v>14</v>
      </c>
      <c r="L54" s="5" t="s">
        <v>786</v>
      </c>
      <c r="M54" s="5">
        <v>1387</v>
      </c>
      <c r="N54" s="5">
        <v>1.99</v>
      </c>
      <c r="O54" s="5">
        <v>1139</v>
      </c>
      <c r="P54" s="5">
        <v>1.63</v>
      </c>
      <c r="Q54" s="68">
        <v>45975</v>
      </c>
      <c r="R54" s="68">
        <v>46061</v>
      </c>
      <c r="S54" s="5">
        <v>87</v>
      </c>
      <c r="T54" s="5">
        <v>46</v>
      </c>
      <c r="U54" s="46" t="s">
        <v>37</v>
      </c>
    </row>
    <row r="55" spans="1:21" x14ac:dyDescent="0.3">
      <c r="A55" s="5" t="s">
        <v>268</v>
      </c>
      <c r="B55" s="5" t="s">
        <v>37</v>
      </c>
      <c r="C55" s="5" t="s">
        <v>441</v>
      </c>
      <c r="D55" s="5">
        <v>3</v>
      </c>
      <c r="E55" s="5">
        <v>1</v>
      </c>
      <c r="F55" s="5">
        <v>1</v>
      </c>
      <c r="G55" s="5"/>
      <c r="H55" s="5">
        <v>698</v>
      </c>
      <c r="I55" s="68">
        <v>45094</v>
      </c>
      <c r="J55" s="5"/>
      <c r="K55" s="5"/>
      <c r="L55" s="5" t="s">
        <v>786</v>
      </c>
      <c r="M55" s="5">
        <v>1465</v>
      </c>
      <c r="N55" s="5">
        <v>2.1</v>
      </c>
      <c r="O55" s="5">
        <v>1296</v>
      </c>
      <c r="P55" s="5">
        <v>1.86</v>
      </c>
      <c r="Q55" s="5"/>
      <c r="R55" s="68">
        <v>45212</v>
      </c>
      <c r="S55" s="5"/>
      <c r="T55" s="5"/>
      <c r="U55" s="46" t="s">
        <v>37</v>
      </c>
    </row>
    <row r="56" spans="1:21" x14ac:dyDescent="0.3">
      <c r="A56" s="5" t="s">
        <v>268</v>
      </c>
      <c r="B56" s="5" t="s">
        <v>37</v>
      </c>
      <c r="C56" s="5" t="s">
        <v>441</v>
      </c>
      <c r="D56" s="5">
        <v>3</v>
      </c>
      <c r="E56" s="5">
        <v>1</v>
      </c>
      <c r="F56" s="5">
        <v>1</v>
      </c>
      <c r="G56" s="5"/>
      <c r="H56" s="5">
        <v>698</v>
      </c>
      <c r="I56" s="68">
        <v>46042</v>
      </c>
      <c r="J56" s="5"/>
      <c r="K56" s="5">
        <v>14</v>
      </c>
      <c r="L56" s="5" t="s">
        <v>786</v>
      </c>
      <c r="M56" s="5">
        <v>1399</v>
      </c>
      <c r="N56" s="5">
        <v>2</v>
      </c>
      <c r="O56" s="5">
        <v>1399</v>
      </c>
      <c r="P56" s="5">
        <v>2</v>
      </c>
      <c r="Q56" s="68">
        <v>45976</v>
      </c>
      <c r="R56" s="68">
        <v>46104</v>
      </c>
      <c r="S56" s="5">
        <v>129</v>
      </c>
      <c r="T56" s="5">
        <v>63</v>
      </c>
      <c r="U56" s="46" t="s">
        <v>37</v>
      </c>
    </row>
    <row r="57" spans="1:21" x14ac:dyDescent="0.3">
      <c r="A57" s="5" t="s">
        <v>268</v>
      </c>
      <c r="B57" s="5" t="s">
        <v>37</v>
      </c>
      <c r="C57" s="5" t="s">
        <v>465</v>
      </c>
      <c r="D57" s="5">
        <v>3</v>
      </c>
      <c r="E57" s="5">
        <v>1</v>
      </c>
      <c r="F57" s="5">
        <v>1</v>
      </c>
      <c r="G57" s="5"/>
      <c r="H57" s="5">
        <v>698</v>
      </c>
      <c r="I57" s="68">
        <v>45950</v>
      </c>
      <c r="J57" s="5"/>
      <c r="K57" s="5">
        <v>14</v>
      </c>
      <c r="L57" s="5" t="s">
        <v>786</v>
      </c>
      <c r="M57" s="5">
        <v>1399</v>
      </c>
      <c r="N57" s="5">
        <v>2</v>
      </c>
      <c r="O57" s="5">
        <v>1399</v>
      </c>
      <c r="P57" s="5">
        <v>2</v>
      </c>
      <c r="Q57" s="68">
        <v>45880</v>
      </c>
      <c r="R57" s="68">
        <v>46082</v>
      </c>
      <c r="S57" s="5">
        <v>203</v>
      </c>
      <c r="T57" s="5">
        <v>133</v>
      </c>
      <c r="U57" s="46" t="s">
        <v>37</v>
      </c>
    </row>
    <row r="58" spans="1:21" x14ac:dyDescent="0.3">
      <c r="A58" s="5" t="s">
        <v>268</v>
      </c>
      <c r="B58" s="5" t="s">
        <v>37</v>
      </c>
      <c r="C58" s="5" t="s">
        <v>578</v>
      </c>
      <c r="D58" s="5">
        <v>2</v>
      </c>
      <c r="E58" s="5">
        <v>1</v>
      </c>
      <c r="F58" s="5">
        <v>1</v>
      </c>
      <c r="G58" s="5"/>
      <c r="H58" s="5">
        <v>698</v>
      </c>
      <c r="I58" s="68">
        <v>45298</v>
      </c>
      <c r="J58" s="5"/>
      <c r="K58" s="5"/>
      <c r="L58" s="5" t="s">
        <v>786</v>
      </c>
      <c r="M58" s="5">
        <v>1755</v>
      </c>
      <c r="N58" s="5">
        <v>2.5099999999999998</v>
      </c>
      <c r="O58" s="5">
        <v>1755</v>
      </c>
      <c r="P58" s="5">
        <v>2.5099999999999998</v>
      </c>
      <c r="Q58" s="68">
        <v>45231</v>
      </c>
      <c r="R58" s="68">
        <v>45353</v>
      </c>
      <c r="S58" s="5">
        <v>123</v>
      </c>
      <c r="T58" s="5">
        <v>56</v>
      </c>
      <c r="U58" s="46" t="s">
        <v>37</v>
      </c>
    </row>
    <row r="59" spans="1:21" x14ac:dyDescent="0.3">
      <c r="A59" s="5" t="s">
        <v>268</v>
      </c>
      <c r="B59" s="5" t="s">
        <v>37</v>
      </c>
      <c r="C59" s="5" t="s">
        <v>578</v>
      </c>
      <c r="D59" s="5">
        <v>2</v>
      </c>
      <c r="E59" s="5">
        <v>1</v>
      </c>
      <c r="F59" s="5">
        <v>1</v>
      </c>
      <c r="G59" s="5"/>
      <c r="H59" s="5">
        <v>698</v>
      </c>
      <c r="I59" s="68">
        <v>45852</v>
      </c>
      <c r="J59" s="5"/>
      <c r="K59" s="5">
        <v>12</v>
      </c>
      <c r="L59" s="5" t="s">
        <v>786</v>
      </c>
      <c r="M59" s="5">
        <v>1755</v>
      </c>
      <c r="N59" s="5">
        <v>2.5099999999999998</v>
      </c>
      <c r="O59" s="5">
        <v>1552</v>
      </c>
      <c r="P59" s="5">
        <v>2.2200000000000002</v>
      </c>
      <c r="Q59" s="68">
        <v>45777</v>
      </c>
      <c r="R59" s="68">
        <v>45850</v>
      </c>
      <c r="S59" s="5">
        <v>74</v>
      </c>
      <c r="T59" s="5">
        <v>0</v>
      </c>
      <c r="U59" s="46" t="s">
        <v>37</v>
      </c>
    </row>
    <row r="60" spans="1:21" x14ac:dyDescent="0.3">
      <c r="A60" s="5" t="s">
        <v>268</v>
      </c>
      <c r="B60" s="5" t="s">
        <v>37</v>
      </c>
      <c r="C60" s="5" t="s">
        <v>578</v>
      </c>
      <c r="D60" s="5">
        <v>2</v>
      </c>
      <c r="E60" s="5">
        <v>1</v>
      </c>
      <c r="F60" s="5">
        <v>1</v>
      </c>
      <c r="G60" s="5"/>
      <c r="H60" s="5">
        <v>698</v>
      </c>
      <c r="I60" s="68">
        <v>46038</v>
      </c>
      <c r="J60" s="5"/>
      <c r="K60" s="5">
        <v>14</v>
      </c>
      <c r="L60" s="5" t="s">
        <v>786</v>
      </c>
      <c r="M60" s="5">
        <v>1399</v>
      </c>
      <c r="N60" s="5">
        <v>2</v>
      </c>
      <c r="O60" s="5">
        <v>1149</v>
      </c>
      <c r="P60" s="5">
        <v>1.65</v>
      </c>
      <c r="Q60" s="68">
        <v>46030</v>
      </c>
      <c r="R60" s="68">
        <v>46077</v>
      </c>
      <c r="S60" s="5">
        <v>48</v>
      </c>
      <c r="T60" s="5">
        <v>40</v>
      </c>
      <c r="U60" s="46" t="s">
        <v>37</v>
      </c>
    </row>
    <row r="61" spans="1:21" x14ac:dyDescent="0.3">
      <c r="A61" s="5" t="s">
        <v>268</v>
      </c>
      <c r="B61" s="5" t="s">
        <v>37</v>
      </c>
      <c r="C61" s="5" t="s">
        <v>439</v>
      </c>
      <c r="D61" s="5">
        <v>3</v>
      </c>
      <c r="E61" s="5">
        <v>1</v>
      </c>
      <c r="F61" s="5">
        <v>1</v>
      </c>
      <c r="G61" s="5"/>
      <c r="H61" s="5">
        <v>698</v>
      </c>
      <c r="I61" s="68">
        <v>45094</v>
      </c>
      <c r="J61" s="5"/>
      <c r="K61" s="5"/>
      <c r="L61" s="5" t="s">
        <v>786</v>
      </c>
      <c r="M61" s="5">
        <v>1675</v>
      </c>
      <c r="N61" s="5">
        <v>2.4</v>
      </c>
      <c r="O61" s="5">
        <v>1482</v>
      </c>
      <c r="P61" s="5">
        <v>2.12</v>
      </c>
      <c r="Q61" s="5"/>
      <c r="R61" s="68">
        <v>45116</v>
      </c>
      <c r="S61" s="5"/>
      <c r="T61" s="5"/>
      <c r="U61" s="46" t="s">
        <v>37</v>
      </c>
    </row>
    <row r="62" spans="1:21" x14ac:dyDescent="0.3">
      <c r="A62" s="5" t="s">
        <v>268</v>
      </c>
      <c r="B62" s="5" t="s">
        <v>37</v>
      </c>
      <c r="C62" s="5" t="s">
        <v>439</v>
      </c>
      <c r="D62" s="5">
        <v>3</v>
      </c>
      <c r="E62" s="5">
        <v>1</v>
      </c>
      <c r="F62" s="5">
        <v>1</v>
      </c>
      <c r="G62" s="5"/>
      <c r="H62" s="5">
        <v>698</v>
      </c>
      <c r="I62" s="68">
        <v>45511</v>
      </c>
      <c r="J62" s="5"/>
      <c r="K62" s="5">
        <v>12</v>
      </c>
      <c r="L62" s="5" t="s">
        <v>786</v>
      </c>
      <c r="M62" s="5">
        <v>1400</v>
      </c>
      <c r="N62" s="5">
        <v>2.0099999999999998</v>
      </c>
      <c r="O62" s="5">
        <v>1400</v>
      </c>
      <c r="P62" s="5">
        <v>2.0099999999999998</v>
      </c>
      <c r="Q62" s="68">
        <v>45494</v>
      </c>
      <c r="R62" s="68">
        <v>45636</v>
      </c>
      <c r="S62" s="5">
        <v>143</v>
      </c>
      <c r="T62" s="5">
        <v>126</v>
      </c>
      <c r="U62" s="46" t="s">
        <v>37</v>
      </c>
    </row>
    <row r="63" spans="1:21" x14ac:dyDescent="0.3">
      <c r="A63" s="5" t="s">
        <v>268</v>
      </c>
      <c r="B63" s="5" t="s">
        <v>37</v>
      </c>
      <c r="C63" s="5" t="s">
        <v>633</v>
      </c>
      <c r="D63" s="5">
        <v>1</v>
      </c>
      <c r="E63" s="5">
        <v>1</v>
      </c>
      <c r="F63" s="5">
        <v>1</v>
      </c>
      <c r="G63" s="5"/>
      <c r="H63" s="5">
        <v>698</v>
      </c>
      <c r="I63" s="68">
        <v>45303</v>
      </c>
      <c r="J63" s="5"/>
      <c r="K63" s="5"/>
      <c r="L63" s="5" t="s">
        <v>786</v>
      </c>
      <c r="M63" s="5">
        <v>1565</v>
      </c>
      <c r="N63" s="5">
        <v>2.2400000000000002</v>
      </c>
      <c r="O63" s="5">
        <v>1565</v>
      </c>
      <c r="P63" s="5">
        <v>2.2400000000000002</v>
      </c>
      <c r="Q63" s="68">
        <v>45298</v>
      </c>
      <c r="R63" s="68">
        <v>45317</v>
      </c>
      <c r="S63" s="5">
        <v>20</v>
      </c>
      <c r="T63" s="5">
        <v>15</v>
      </c>
      <c r="U63" s="46" t="s">
        <v>37</v>
      </c>
    </row>
    <row r="64" spans="1:21" x14ac:dyDescent="0.3">
      <c r="A64" s="5" t="s">
        <v>268</v>
      </c>
      <c r="B64" s="5" t="s">
        <v>37</v>
      </c>
      <c r="C64" s="5" t="s">
        <v>633</v>
      </c>
      <c r="D64" s="5">
        <v>1</v>
      </c>
      <c r="E64" s="5">
        <v>1</v>
      </c>
      <c r="F64" s="5">
        <v>1</v>
      </c>
      <c r="G64" s="5"/>
      <c r="H64" s="5">
        <v>698</v>
      </c>
      <c r="I64" s="68">
        <v>45859</v>
      </c>
      <c r="J64" s="5"/>
      <c r="K64" s="5">
        <v>12</v>
      </c>
      <c r="L64" s="5" t="s">
        <v>786</v>
      </c>
      <c r="M64" s="5">
        <v>1565</v>
      </c>
      <c r="N64" s="5">
        <v>2.2400000000000002</v>
      </c>
      <c r="O64" s="5">
        <v>1565</v>
      </c>
      <c r="P64" s="5">
        <v>2.2400000000000002</v>
      </c>
      <c r="Q64" s="68">
        <v>45750</v>
      </c>
      <c r="R64" s="68">
        <v>45808</v>
      </c>
      <c r="S64" s="5">
        <v>59</v>
      </c>
      <c r="T64" s="5">
        <v>0</v>
      </c>
      <c r="U64" s="46" t="s">
        <v>37</v>
      </c>
    </row>
    <row r="65" spans="1:21" x14ac:dyDescent="0.3">
      <c r="A65" s="5" t="s">
        <v>268</v>
      </c>
      <c r="B65" s="5" t="s">
        <v>37</v>
      </c>
      <c r="C65" s="5" t="s">
        <v>451</v>
      </c>
      <c r="D65" s="5">
        <v>2</v>
      </c>
      <c r="E65" s="5">
        <v>1</v>
      </c>
      <c r="F65" s="5">
        <v>1</v>
      </c>
      <c r="G65" s="5"/>
      <c r="H65" s="5">
        <v>698</v>
      </c>
      <c r="I65" s="68">
        <v>46061</v>
      </c>
      <c r="J65" s="5"/>
      <c r="K65" s="5">
        <v>14</v>
      </c>
      <c r="L65" s="5" t="s">
        <v>787</v>
      </c>
      <c r="M65" s="5">
        <v>1660</v>
      </c>
      <c r="N65" s="5">
        <v>2.38</v>
      </c>
      <c r="O65" s="5">
        <v>1423</v>
      </c>
      <c r="P65" s="5">
        <v>2.04</v>
      </c>
      <c r="Q65" s="68">
        <v>45994</v>
      </c>
      <c r="R65" s="68">
        <v>46153</v>
      </c>
      <c r="S65" s="5">
        <v>160</v>
      </c>
      <c r="T65" s="5">
        <v>93</v>
      </c>
      <c r="U65" s="46" t="s">
        <v>37</v>
      </c>
    </row>
    <row r="66" spans="1:21" x14ac:dyDescent="0.3">
      <c r="A66" s="5" t="s">
        <v>268</v>
      </c>
      <c r="B66" s="5" t="s">
        <v>37</v>
      </c>
      <c r="C66" s="5" t="s">
        <v>421</v>
      </c>
      <c r="D66" s="5">
        <v>2</v>
      </c>
      <c r="E66" s="5">
        <v>1</v>
      </c>
      <c r="F66" s="5">
        <v>1</v>
      </c>
      <c r="G66" s="5"/>
      <c r="H66" s="5">
        <v>698</v>
      </c>
      <c r="I66" s="68">
        <v>45094</v>
      </c>
      <c r="J66" s="5"/>
      <c r="K66" s="5"/>
      <c r="L66" s="5" t="s">
        <v>787</v>
      </c>
      <c r="M66" s="5">
        <v>1580</v>
      </c>
      <c r="N66" s="5">
        <v>2.2599999999999998</v>
      </c>
      <c r="O66" s="5">
        <v>1314</v>
      </c>
      <c r="P66" s="5">
        <v>1.88</v>
      </c>
      <c r="Q66" s="5"/>
      <c r="R66" s="68">
        <v>45145</v>
      </c>
      <c r="S66" s="5"/>
      <c r="T66" s="5"/>
      <c r="U66" s="46" t="s">
        <v>37</v>
      </c>
    </row>
    <row r="67" spans="1:21" x14ac:dyDescent="0.3">
      <c r="A67" s="5" t="s">
        <v>268</v>
      </c>
      <c r="B67" s="5" t="s">
        <v>37</v>
      </c>
      <c r="C67" s="5" t="s">
        <v>421</v>
      </c>
      <c r="D67" s="5">
        <v>2</v>
      </c>
      <c r="E67" s="5">
        <v>1</v>
      </c>
      <c r="F67" s="5">
        <v>1</v>
      </c>
      <c r="G67" s="5"/>
      <c r="H67" s="5">
        <v>698</v>
      </c>
      <c r="I67" s="68">
        <v>45676</v>
      </c>
      <c r="J67" s="5"/>
      <c r="K67" s="5">
        <v>12</v>
      </c>
      <c r="L67" s="5" t="s">
        <v>787</v>
      </c>
      <c r="M67" s="5">
        <v>1660</v>
      </c>
      <c r="N67" s="5">
        <v>2.38</v>
      </c>
      <c r="O67" s="5">
        <v>1660</v>
      </c>
      <c r="P67" s="5">
        <v>2.38</v>
      </c>
      <c r="Q67" s="68">
        <v>45539</v>
      </c>
      <c r="R67" s="68">
        <v>45714</v>
      </c>
      <c r="S67" s="5">
        <v>176</v>
      </c>
      <c r="T67" s="5">
        <v>39</v>
      </c>
      <c r="U67" s="46" t="s">
        <v>37</v>
      </c>
    </row>
    <row r="68" spans="1:21" x14ac:dyDescent="0.3">
      <c r="A68" s="5" t="s">
        <v>268</v>
      </c>
      <c r="B68" s="5" t="s">
        <v>37</v>
      </c>
      <c r="C68" s="5" t="s">
        <v>421</v>
      </c>
      <c r="D68" s="5">
        <v>2</v>
      </c>
      <c r="E68" s="5">
        <v>1</v>
      </c>
      <c r="F68" s="5">
        <v>1</v>
      </c>
      <c r="G68" s="5"/>
      <c r="H68" s="5">
        <v>698</v>
      </c>
      <c r="I68" s="68">
        <v>46013</v>
      </c>
      <c r="J68" s="5"/>
      <c r="K68" s="5">
        <v>13</v>
      </c>
      <c r="L68" s="5" t="s">
        <v>787</v>
      </c>
      <c r="M68" s="5">
        <v>1660</v>
      </c>
      <c r="N68" s="5">
        <v>2.38</v>
      </c>
      <c r="O68" s="5">
        <v>1660</v>
      </c>
      <c r="P68" s="5">
        <v>2.38</v>
      </c>
      <c r="Q68" s="68">
        <v>45829</v>
      </c>
      <c r="R68" s="68">
        <v>46022</v>
      </c>
      <c r="S68" s="5">
        <v>194</v>
      </c>
      <c r="T68" s="5">
        <v>10</v>
      </c>
      <c r="U68" s="46" t="s">
        <v>37</v>
      </c>
    </row>
    <row r="69" spans="1:21" x14ac:dyDescent="0.3">
      <c r="A69" s="5" t="s">
        <v>268</v>
      </c>
      <c r="B69" s="5" t="s">
        <v>37</v>
      </c>
      <c r="C69" s="5" t="s">
        <v>455</v>
      </c>
      <c r="D69" s="5">
        <v>2</v>
      </c>
      <c r="E69" s="5">
        <v>1</v>
      </c>
      <c r="F69" s="5">
        <v>1</v>
      </c>
      <c r="G69" s="5"/>
      <c r="H69" s="5">
        <v>698</v>
      </c>
      <c r="I69" s="68">
        <v>45094</v>
      </c>
      <c r="J69" s="5"/>
      <c r="K69" s="5"/>
      <c r="L69" s="5" t="s">
        <v>787</v>
      </c>
      <c r="M69" s="5">
        <v>1580</v>
      </c>
      <c r="N69" s="5">
        <v>2.2599999999999998</v>
      </c>
      <c r="O69" s="5">
        <v>1398</v>
      </c>
      <c r="P69" s="5">
        <v>2</v>
      </c>
      <c r="Q69" s="5"/>
      <c r="R69" s="68">
        <v>45125</v>
      </c>
      <c r="S69" s="5"/>
      <c r="T69" s="5"/>
      <c r="U69" s="46" t="s">
        <v>37</v>
      </c>
    </row>
    <row r="70" spans="1:21" x14ac:dyDescent="0.3">
      <c r="A70" s="5" t="s">
        <v>268</v>
      </c>
      <c r="B70" s="5" t="s">
        <v>37</v>
      </c>
      <c r="C70" s="5" t="s">
        <v>455</v>
      </c>
      <c r="D70" s="5">
        <v>2</v>
      </c>
      <c r="E70" s="5">
        <v>1</v>
      </c>
      <c r="F70" s="5">
        <v>1</v>
      </c>
      <c r="G70" s="5"/>
      <c r="H70" s="5">
        <v>698</v>
      </c>
      <c r="I70" s="68">
        <v>45755</v>
      </c>
      <c r="J70" s="5"/>
      <c r="K70" s="5">
        <v>12</v>
      </c>
      <c r="L70" s="5" t="s">
        <v>787</v>
      </c>
      <c r="M70" s="5">
        <v>1660</v>
      </c>
      <c r="N70" s="5">
        <v>2.38</v>
      </c>
      <c r="O70" s="5">
        <v>1321</v>
      </c>
      <c r="P70" s="5">
        <v>1.89</v>
      </c>
      <c r="Q70" s="68">
        <v>45693</v>
      </c>
      <c r="R70" s="68">
        <v>45736</v>
      </c>
      <c r="S70" s="5">
        <v>44</v>
      </c>
      <c r="T70" s="5">
        <v>0</v>
      </c>
      <c r="U70" s="46" t="s">
        <v>37</v>
      </c>
    </row>
    <row r="71" spans="1:21" x14ac:dyDescent="0.3">
      <c r="A71" s="5" t="s">
        <v>268</v>
      </c>
      <c r="B71" s="5" t="s">
        <v>37</v>
      </c>
      <c r="C71" s="5" t="s">
        <v>463</v>
      </c>
      <c r="D71" s="5">
        <v>3</v>
      </c>
      <c r="E71" s="5">
        <v>1</v>
      </c>
      <c r="F71" s="5">
        <v>1</v>
      </c>
      <c r="G71" s="5"/>
      <c r="H71" s="5">
        <v>698</v>
      </c>
      <c r="I71" s="68">
        <v>45169</v>
      </c>
      <c r="J71" s="5"/>
      <c r="K71" s="5"/>
      <c r="L71" s="5" t="s">
        <v>787</v>
      </c>
      <c r="M71" s="5">
        <v>1675</v>
      </c>
      <c r="N71" s="5">
        <v>2.4</v>
      </c>
      <c r="O71" s="5">
        <v>1398</v>
      </c>
      <c r="P71" s="5">
        <v>2</v>
      </c>
      <c r="Q71" s="68">
        <v>45164</v>
      </c>
      <c r="R71" s="68">
        <v>45272</v>
      </c>
      <c r="S71" s="5">
        <v>109</v>
      </c>
      <c r="T71" s="5">
        <v>104</v>
      </c>
      <c r="U71" s="46" t="s">
        <v>37</v>
      </c>
    </row>
    <row r="72" spans="1:21" x14ac:dyDescent="0.3">
      <c r="A72" s="5" t="s">
        <v>268</v>
      </c>
      <c r="B72" s="5" t="s">
        <v>37</v>
      </c>
      <c r="C72" s="5" t="s">
        <v>668</v>
      </c>
      <c r="D72" s="5">
        <v>3</v>
      </c>
      <c r="E72" s="5">
        <v>1</v>
      </c>
      <c r="F72" s="5">
        <v>1</v>
      </c>
      <c r="G72" s="5"/>
      <c r="H72" s="5">
        <v>698</v>
      </c>
      <c r="I72" s="68">
        <v>45480</v>
      </c>
      <c r="J72" s="5"/>
      <c r="K72" s="5">
        <v>15</v>
      </c>
      <c r="L72" s="5" t="s">
        <v>787</v>
      </c>
      <c r="M72" s="5">
        <v>1700</v>
      </c>
      <c r="N72" s="5">
        <v>2.44</v>
      </c>
      <c r="O72" s="5">
        <v>1700</v>
      </c>
      <c r="P72" s="5">
        <v>2.44</v>
      </c>
      <c r="Q72" s="68">
        <v>45462</v>
      </c>
      <c r="R72" s="68">
        <v>45508</v>
      </c>
      <c r="S72" s="5">
        <v>47</v>
      </c>
      <c r="T72" s="5">
        <v>29</v>
      </c>
      <c r="U72" s="46" t="s">
        <v>37</v>
      </c>
    </row>
    <row r="73" spans="1:21" x14ac:dyDescent="0.3">
      <c r="A73" s="5" t="s">
        <v>268</v>
      </c>
      <c r="B73" s="5" t="s">
        <v>37</v>
      </c>
      <c r="C73" s="5" t="s">
        <v>437</v>
      </c>
      <c r="D73" s="5">
        <v>3</v>
      </c>
      <c r="E73" s="5">
        <v>1</v>
      </c>
      <c r="F73" s="5">
        <v>1</v>
      </c>
      <c r="G73" s="5"/>
      <c r="H73" s="5">
        <v>698</v>
      </c>
      <c r="I73" s="68">
        <v>45094</v>
      </c>
      <c r="J73" s="5"/>
      <c r="K73" s="5"/>
      <c r="L73" s="5" t="s">
        <v>787</v>
      </c>
      <c r="M73" s="5">
        <v>1525</v>
      </c>
      <c r="N73" s="5">
        <v>2.1800000000000002</v>
      </c>
      <c r="O73" s="5">
        <v>1349</v>
      </c>
      <c r="P73" s="5">
        <v>1.93</v>
      </c>
      <c r="Q73" s="5"/>
      <c r="R73" s="68">
        <v>45234</v>
      </c>
      <c r="S73" s="5"/>
      <c r="T73" s="5"/>
      <c r="U73" s="46" t="s">
        <v>37</v>
      </c>
    </row>
    <row r="74" spans="1:21" x14ac:dyDescent="0.3">
      <c r="A74" s="5" t="s">
        <v>268</v>
      </c>
      <c r="B74" s="5" t="s">
        <v>37</v>
      </c>
      <c r="C74" s="5" t="s">
        <v>461</v>
      </c>
      <c r="D74" s="5">
        <v>3</v>
      </c>
      <c r="E74" s="5">
        <v>1</v>
      </c>
      <c r="F74" s="5">
        <v>1</v>
      </c>
      <c r="G74" s="5"/>
      <c r="H74" s="5">
        <v>698</v>
      </c>
      <c r="I74" s="68">
        <v>45094</v>
      </c>
      <c r="J74" s="5"/>
      <c r="K74" s="5"/>
      <c r="L74" s="5" t="s">
        <v>787</v>
      </c>
      <c r="M74" s="5">
        <v>1675</v>
      </c>
      <c r="N74" s="5">
        <v>2.4</v>
      </c>
      <c r="O74" s="5">
        <v>1482</v>
      </c>
      <c r="P74" s="5">
        <v>2.12</v>
      </c>
      <c r="Q74" s="5"/>
      <c r="R74" s="68">
        <v>45227</v>
      </c>
      <c r="S74" s="5"/>
      <c r="T74" s="5"/>
      <c r="U74" s="46" t="s">
        <v>37</v>
      </c>
    </row>
    <row r="75" spans="1:21" x14ac:dyDescent="0.3">
      <c r="A75" s="5" t="s">
        <v>268</v>
      </c>
      <c r="B75" s="5" t="s">
        <v>37</v>
      </c>
      <c r="C75" s="5" t="s">
        <v>461</v>
      </c>
      <c r="D75" s="5">
        <v>3</v>
      </c>
      <c r="E75" s="5">
        <v>1</v>
      </c>
      <c r="F75" s="5">
        <v>1</v>
      </c>
      <c r="G75" s="5"/>
      <c r="H75" s="5">
        <v>698</v>
      </c>
      <c r="I75" s="68">
        <v>45453</v>
      </c>
      <c r="J75" s="5"/>
      <c r="K75" s="5">
        <v>15</v>
      </c>
      <c r="L75" s="5" t="s">
        <v>787</v>
      </c>
      <c r="M75" s="5">
        <v>1705</v>
      </c>
      <c r="N75" s="5">
        <v>2.44</v>
      </c>
      <c r="O75" s="5">
        <v>1705</v>
      </c>
      <c r="P75" s="5">
        <v>2.44</v>
      </c>
      <c r="Q75" s="68">
        <v>45441</v>
      </c>
      <c r="R75" s="68">
        <v>45453</v>
      </c>
      <c r="S75" s="5">
        <v>13</v>
      </c>
      <c r="T75" s="5">
        <v>1</v>
      </c>
      <c r="U75" s="46" t="s">
        <v>37</v>
      </c>
    </row>
    <row r="76" spans="1:21" x14ac:dyDescent="0.3">
      <c r="A76" s="5" t="s">
        <v>268</v>
      </c>
      <c r="B76" s="5" t="s">
        <v>37</v>
      </c>
      <c r="C76" s="5" t="s">
        <v>461</v>
      </c>
      <c r="D76" s="5">
        <v>3</v>
      </c>
      <c r="E76" s="5">
        <v>1</v>
      </c>
      <c r="F76" s="5">
        <v>1</v>
      </c>
      <c r="G76" s="5"/>
      <c r="H76" s="5">
        <v>698</v>
      </c>
      <c r="I76" s="68">
        <v>45648</v>
      </c>
      <c r="J76" s="5"/>
      <c r="K76" s="5">
        <v>12</v>
      </c>
      <c r="L76" s="5" t="s">
        <v>787</v>
      </c>
      <c r="M76" s="5">
        <v>1375</v>
      </c>
      <c r="N76" s="5">
        <v>1.97</v>
      </c>
      <c r="O76" s="5">
        <v>1101</v>
      </c>
      <c r="P76" s="5">
        <v>1.58</v>
      </c>
      <c r="Q76" s="68">
        <v>45583</v>
      </c>
      <c r="R76" s="68">
        <v>45661</v>
      </c>
      <c r="S76" s="5">
        <v>79</v>
      </c>
      <c r="T76" s="5">
        <v>14</v>
      </c>
      <c r="U76" s="46" t="s">
        <v>37</v>
      </c>
    </row>
    <row r="77" spans="1:21" x14ac:dyDescent="0.3">
      <c r="A77" s="5" t="s">
        <v>268</v>
      </c>
      <c r="B77" s="5" t="s">
        <v>37</v>
      </c>
      <c r="C77" s="5" t="s">
        <v>461</v>
      </c>
      <c r="D77" s="5">
        <v>3</v>
      </c>
      <c r="E77" s="5">
        <v>1</v>
      </c>
      <c r="F77" s="5">
        <v>1</v>
      </c>
      <c r="G77" s="5"/>
      <c r="H77" s="5">
        <v>698</v>
      </c>
      <c r="I77" s="68">
        <v>45876</v>
      </c>
      <c r="J77" s="5"/>
      <c r="K77" s="5">
        <v>12</v>
      </c>
      <c r="L77" s="5" t="s">
        <v>787</v>
      </c>
      <c r="M77" s="5">
        <v>1705</v>
      </c>
      <c r="N77" s="5">
        <v>2.44</v>
      </c>
      <c r="O77" s="5">
        <v>1442</v>
      </c>
      <c r="P77" s="5">
        <v>2.0699999999999998</v>
      </c>
      <c r="Q77" s="68">
        <v>45867</v>
      </c>
      <c r="R77" s="68">
        <v>45905</v>
      </c>
      <c r="S77" s="5">
        <v>39</v>
      </c>
      <c r="T77" s="5">
        <v>30</v>
      </c>
      <c r="U77" s="46" t="s">
        <v>37</v>
      </c>
    </row>
    <row r="78" spans="1:21" x14ac:dyDescent="0.3">
      <c r="A78" s="5" t="s">
        <v>268</v>
      </c>
      <c r="B78" s="5" t="s">
        <v>37</v>
      </c>
      <c r="C78" s="5" t="s">
        <v>644</v>
      </c>
      <c r="D78" s="5">
        <v>2</v>
      </c>
      <c r="E78" s="5">
        <v>1</v>
      </c>
      <c r="F78" s="5">
        <v>1</v>
      </c>
      <c r="G78" s="5"/>
      <c r="H78" s="5">
        <v>698</v>
      </c>
      <c r="I78" s="68">
        <v>45094</v>
      </c>
      <c r="J78" s="5"/>
      <c r="K78" s="5"/>
      <c r="L78" s="5" t="s">
        <v>787</v>
      </c>
      <c r="M78" s="5">
        <v>1575</v>
      </c>
      <c r="N78" s="5">
        <v>2.2599999999999998</v>
      </c>
      <c r="O78" s="5">
        <v>1393</v>
      </c>
      <c r="P78" s="5">
        <v>2</v>
      </c>
      <c r="Q78" s="5"/>
      <c r="R78" s="68">
        <v>45207</v>
      </c>
      <c r="S78" s="5"/>
      <c r="T78" s="5"/>
      <c r="U78" s="46" t="s">
        <v>37</v>
      </c>
    </row>
    <row r="79" spans="1:21" x14ac:dyDescent="0.3">
      <c r="A79" s="5" t="s">
        <v>268</v>
      </c>
      <c r="B79" s="5" t="s">
        <v>37</v>
      </c>
      <c r="C79" s="5" t="s">
        <v>644</v>
      </c>
      <c r="D79" s="5">
        <v>2</v>
      </c>
      <c r="E79" s="5">
        <v>1</v>
      </c>
      <c r="F79" s="5">
        <v>1</v>
      </c>
      <c r="G79" s="5"/>
      <c r="H79" s="5">
        <v>698</v>
      </c>
      <c r="I79" s="68">
        <v>45754</v>
      </c>
      <c r="J79" s="5"/>
      <c r="K79" s="5">
        <v>12</v>
      </c>
      <c r="L79" s="5" t="s">
        <v>787</v>
      </c>
      <c r="M79" s="5">
        <v>1755</v>
      </c>
      <c r="N79" s="5">
        <v>2.5099999999999998</v>
      </c>
      <c r="O79" s="5">
        <v>1755</v>
      </c>
      <c r="P79" s="5">
        <v>2.5099999999999998</v>
      </c>
      <c r="Q79" s="68">
        <v>45672</v>
      </c>
      <c r="R79" s="68">
        <v>45722</v>
      </c>
      <c r="S79" s="5">
        <v>51</v>
      </c>
      <c r="T79" s="5">
        <v>0</v>
      </c>
      <c r="U79" s="46" t="s">
        <v>37</v>
      </c>
    </row>
    <row r="80" spans="1:21" x14ac:dyDescent="0.3">
      <c r="A80" s="5" t="s">
        <v>268</v>
      </c>
      <c r="B80" s="5" t="s">
        <v>37</v>
      </c>
      <c r="C80" s="5" t="s">
        <v>648</v>
      </c>
      <c r="D80" s="5">
        <v>2</v>
      </c>
      <c r="E80" s="5">
        <v>1</v>
      </c>
      <c r="F80" s="5">
        <v>1</v>
      </c>
      <c r="G80" s="5"/>
      <c r="H80" s="5">
        <v>698</v>
      </c>
      <c r="I80" s="68">
        <v>45094</v>
      </c>
      <c r="J80" s="5"/>
      <c r="K80" s="5"/>
      <c r="L80" s="5" t="s">
        <v>787</v>
      </c>
      <c r="M80" s="5">
        <v>1755</v>
      </c>
      <c r="N80" s="5">
        <v>2.5099999999999998</v>
      </c>
      <c r="O80" s="5">
        <v>1469</v>
      </c>
      <c r="P80" s="5">
        <v>2.1</v>
      </c>
      <c r="Q80" s="5"/>
      <c r="R80" s="68">
        <v>45300</v>
      </c>
      <c r="S80" s="5"/>
      <c r="T80" s="5"/>
      <c r="U80" s="46" t="s">
        <v>37</v>
      </c>
    </row>
    <row r="81" spans="1:21" x14ac:dyDescent="0.3">
      <c r="A81" s="5" t="s">
        <v>268</v>
      </c>
      <c r="B81" s="5" t="s">
        <v>37</v>
      </c>
      <c r="C81" s="5" t="s">
        <v>648</v>
      </c>
      <c r="D81" s="5">
        <v>2</v>
      </c>
      <c r="E81" s="5">
        <v>1</v>
      </c>
      <c r="F81" s="5">
        <v>1</v>
      </c>
      <c r="G81" s="5"/>
      <c r="H81" s="5">
        <v>698</v>
      </c>
      <c r="I81" s="68">
        <v>45759</v>
      </c>
      <c r="J81" s="5"/>
      <c r="K81" s="5">
        <v>12</v>
      </c>
      <c r="L81" s="5" t="s">
        <v>787</v>
      </c>
      <c r="M81" s="5">
        <v>1755</v>
      </c>
      <c r="N81" s="5">
        <v>2.5099999999999998</v>
      </c>
      <c r="O81" s="5">
        <v>1485</v>
      </c>
      <c r="P81" s="5">
        <v>2.13</v>
      </c>
      <c r="Q81" s="68">
        <v>45662</v>
      </c>
      <c r="R81" s="68">
        <v>45795</v>
      </c>
      <c r="S81" s="5">
        <v>134</v>
      </c>
      <c r="T81" s="5">
        <v>37</v>
      </c>
      <c r="U81" s="46" t="s">
        <v>37</v>
      </c>
    </row>
    <row r="82" spans="1:21" x14ac:dyDescent="0.3">
      <c r="A82" s="5" t="s">
        <v>268</v>
      </c>
      <c r="B82" s="5" t="s">
        <v>37</v>
      </c>
      <c r="C82" s="5" t="s">
        <v>576</v>
      </c>
      <c r="D82" s="5">
        <v>2</v>
      </c>
      <c r="E82" s="5">
        <v>1</v>
      </c>
      <c r="F82" s="5">
        <v>1</v>
      </c>
      <c r="G82" s="5"/>
      <c r="H82" s="5">
        <v>698</v>
      </c>
      <c r="I82" s="68">
        <v>45675</v>
      </c>
      <c r="J82" s="5"/>
      <c r="K82" s="5">
        <v>12</v>
      </c>
      <c r="L82" s="5" t="s">
        <v>787</v>
      </c>
      <c r="M82" s="5">
        <v>1340</v>
      </c>
      <c r="N82" s="5">
        <v>1.92</v>
      </c>
      <c r="O82" s="5">
        <v>1340</v>
      </c>
      <c r="P82" s="5">
        <v>1.92</v>
      </c>
      <c r="Q82" s="68">
        <v>45610</v>
      </c>
      <c r="R82" s="68">
        <v>45654</v>
      </c>
      <c r="S82" s="5">
        <v>45</v>
      </c>
      <c r="T82" s="5">
        <v>0</v>
      </c>
      <c r="U82" s="46" t="s">
        <v>37</v>
      </c>
    </row>
    <row r="83" spans="1:21" x14ac:dyDescent="0.3">
      <c r="A83" s="5" t="s">
        <v>268</v>
      </c>
      <c r="B83" s="5" t="s">
        <v>37</v>
      </c>
      <c r="C83" s="5" t="s">
        <v>576</v>
      </c>
      <c r="D83" s="5">
        <v>2</v>
      </c>
      <c r="E83" s="5">
        <v>1</v>
      </c>
      <c r="F83" s="5">
        <v>1</v>
      </c>
      <c r="G83" s="5"/>
      <c r="H83" s="5">
        <v>698</v>
      </c>
      <c r="I83" s="68">
        <v>46233</v>
      </c>
      <c r="J83" s="5"/>
      <c r="K83" s="5">
        <v>14</v>
      </c>
      <c r="L83" s="5" t="s">
        <v>787</v>
      </c>
      <c r="M83" s="5">
        <v>1755</v>
      </c>
      <c r="N83" s="5">
        <v>2.5099999999999998</v>
      </c>
      <c r="O83" s="5">
        <v>1567</v>
      </c>
      <c r="P83" s="5">
        <v>2.2400000000000002</v>
      </c>
      <c r="Q83" s="68">
        <v>46177</v>
      </c>
      <c r="R83" s="68">
        <v>46181</v>
      </c>
      <c r="S83" s="5">
        <v>5</v>
      </c>
      <c r="T83" s="5">
        <v>0</v>
      </c>
      <c r="U83" s="46" t="s">
        <v>37</v>
      </c>
    </row>
    <row r="84" spans="1:21" x14ac:dyDescent="0.3">
      <c r="A84" s="5" t="s">
        <v>268</v>
      </c>
      <c r="B84" s="5" t="s">
        <v>37</v>
      </c>
      <c r="C84" s="5" t="s">
        <v>670</v>
      </c>
      <c r="D84" s="5">
        <v>3</v>
      </c>
      <c r="E84" s="5">
        <v>1</v>
      </c>
      <c r="F84" s="5">
        <v>1</v>
      </c>
      <c r="G84" s="5"/>
      <c r="H84" s="5">
        <v>698</v>
      </c>
      <c r="I84" s="68">
        <v>45376</v>
      </c>
      <c r="J84" s="5"/>
      <c r="K84" s="5"/>
      <c r="L84" s="5" t="s">
        <v>787</v>
      </c>
      <c r="M84" s="5">
        <v>1800</v>
      </c>
      <c r="N84" s="5">
        <v>2.58</v>
      </c>
      <c r="O84" s="5">
        <v>1800</v>
      </c>
      <c r="P84" s="5">
        <v>2.58</v>
      </c>
      <c r="Q84" s="68">
        <v>45300</v>
      </c>
      <c r="R84" s="68">
        <v>45349</v>
      </c>
      <c r="S84" s="5">
        <v>50</v>
      </c>
      <c r="T84" s="5">
        <v>0</v>
      </c>
      <c r="U84" s="46" t="s">
        <v>37</v>
      </c>
    </row>
    <row r="85" spans="1:21" x14ac:dyDescent="0.3">
      <c r="A85" s="5" t="s">
        <v>268</v>
      </c>
      <c r="B85" s="5" t="s">
        <v>37</v>
      </c>
      <c r="C85" s="5" t="s">
        <v>586</v>
      </c>
      <c r="D85" s="5">
        <v>3</v>
      </c>
      <c r="E85" s="5">
        <v>1</v>
      </c>
      <c r="F85" s="5">
        <v>1</v>
      </c>
      <c r="G85" s="5"/>
      <c r="H85" s="5">
        <v>698</v>
      </c>
      <c r="I85" s="68">
        <v>45183</v>
      </c>
      <c r="J85" s="5"/>
      <c r="K85" s="5"/>
      <c r="L85" s="5" t="s">
        <v>787</v>
      </c>
      <c r="M85" s="5">
        <v>1770</v>
      </c>
      <c r="N85" s="5">
        <v>2.54</v>
      </c>
      <c r="O85" s="5">
        <v>1566</v>
      </c>
      <c r="P85" s="5">
        <v>2.2400000000000002</v>
      </c>
      <c r="Q85" s="68">
        <v>45178</v>
      </c>
      <c r="R85" s="68">
        <v>45212</v>
      </c>
      <c r="S85" s="5">
        <v>35</v>
      </c>
      <c r="T85" s="5">
        <v>30</v>
      </c>
      <c r="U85" s="46" t="s">
        <v>37</v>
      </c>
    </row>
    <row r="86" spans="1:21" x14ac:dyDescent="0.3">
      <c r="A86" s="5" t="s">
        <v>268</v>
      </c>
      <c r="B86" s="5" t="s">
        <v>37</v>
      </c>
      <c r="C86" s="5" t="s">
        <v>586</v>
      </c>
      <c r="D86" s="5">
        <v>3</v>
      </c>
      <c r="E86" s="5">
        <v>1</v>
      </c>
      <c r="F86" s="5">
        <v>1</v>
      </c>
      <c r="G86" s="5"/>
      <c r="H86" s="5">
        <v>698</v>
      </c>
      <c r="I86" s="68">
        <v>46021</v>
      </c>
      <c r="J86" s="5"/>
      <c r="K86" s="5">
        <v>14</v>
      </c>
      <c r="L86" s="5" t="s">
        <v>787</v>
      </c>
      <c r="M86" s="5">
        <v>1800</v>
      </c>
      <c r="N86" s="5">
        <v>2.58</v>
      </c>
      <c r="O86" s="5">
        <v>1479</v>
      </c>
      <c r="P86" s="5">
        <v>2.12</v>
      </c>
      <c r="Q86" s="68">
        <v>45941</v>
      </c>
      <c r="R86" s="68">
        <v>46059</v>
      </c>
      <c r="S86" s="5">
        <v>119</v>
      </c>
      <c r="T86" s="5">
        <v>39</v>
      </c>
      <c r="U86" s="46" t="s">
        <v>37</v>
      </c>
    </row>
    <row r="87" spans="1:21" x14ac:dyDescent="0.3">
      <c r="A87" s="5" t="s">
        <v>268</v>
      </c>
      <c r="B87" s="5" t="s">
        <v>37</v>
      </c>
      <c r="C87" s="5" t="s">
        <v>664</v>
      </c>
      <c r="D87" s="5">
        <v>3</v>
      </c>
      <c r="E87" s="5">
        <v>1</v>
      </c>
      <c r="F87" s="5">
        <v>1</v>
      </c>
      <c r="G87" s="5"/>
      <c r="H87" s="5">
        <v>698</v>
      </c>
      <c r="I87" s="68">
        <v>45491</v>
      </c>
      <c r="J87" s="5"/>
      <c r="K87" s="5">
        <v>15</v>
      </c>
      <c r="L87" s="5" t="s">
        <v>787</v>
      </c>
      <c r="M87" s="5">
        <v>1650</v>
      </c>
      <c r="N87" s="5">
        <v>2.36</v>
      </c>
      <c r="O87" s="5">
        <v>1498</v>
      </c>
      <c r="P87" s="5">
        <v>2.15</v>
      </c>
      <c r="Q87" s="68">
        <v>45309</v>
      </c>
      <c r="R87" s="68">
        <v>45515</v>
      </c>
      <c r="S87" s="5">
        <v>207</v>
      </c>
      <c r="T87" s="5">
        <v>25</v>
      </c>
      <c r="U87" s="46" t="s">
        <v>37</v>
      </c>
    </row>
    <row r="88" spans="1:21" x14ac:dyDescent="0.3">
      <c r="A88" s="5" t="s">
        <v>268</v>
      </c>
      <c r="B88" s="5" t="s">
        <v>37</v>
      </c>
      <c r="C88" s="5" t="s">
        <v>664</v>
      </c>
      <c r="D88" s="5">
        <v>3</v>
      </c>
      <c r="E88" s="5">
        <v>1</v>
      </c>
      <c r="F88" s="5">
        <v>1</v>
      </c>
      <c r="G88" s="5"/>
      <c r="H88" s="5">
        <v>698</v>
      </c>
      <c r="I88" s="68">
        <v>45845</v>
      </c>
      <c r="J88" s="5"/>
      <c r="K88" s="5">
        <v>12</v>
      </c>
      <c r="L88" s="5" t="s">
        <v>787</v>
      </c>
      <c r="M88" s="5">
        <v>1800</v>
      </c>
      <c r="N88" s="5">
        <v>2.58</v>
      </c>
      <c r="O88" s="5">
        <v>1523</v>
      </c>
      <c r="P88" s="5">
        <v>2.1800000000000002</v>
      </c>
      <c r="Q88" s="68">
        <v>45818</v>
      </c>
      <c r="R88" s="68">
        <v>45932</v>
      </c>
      <c r="S88" s="5">
        <v>115</v>
      </c>
      <c r="T88" s="5">
        <v>88</v>
      </c>
      <c r="U88" s="46" t="s">
        <v>37</v>
      </c>
    </row>
    <row r="89" spans="1:21" x14ac:dyDescent="0.3">
      <c r="A89" s="5" t="s">
        <v>268</v>
      </c>
      <c r="B89" s="5" t="s">
        <v>37</v>
      </c>
      <c r="C89" s="5" t="s">
        <v>584</v>
      </c>
      <c r="D89" s="5">
        <v>3</v>
      </c>
      <c r="E89" s="5">
        <v>1</v>
      </c>
      <c r="F89" s="5">
        <v>1</v>
      </c>
      <c r="G89" s="5"/>
      <c r="H89" s="5">
        <v>698</v>
      </c>
      <c r="I89" s="68">
        <v>45760</v>
      </c>
      <c r="J89" s="5"/>
      <c r="K89" s="5">
        <v>12</v>
      </c>
      <c r="L89" s="5" t="s">
        <v>787</v>
      </c>
      <c r="M89" s="5">
        <v>1800</v>
      </c>
      <c r="N89" s="5">
        <v>2.58</v>
      </c>
      <c r="O89" s="5">
        <v>1523</v>
      </c>
      <c r="P89" s="5">
        <v>2.1800000000000002</v>
      </c>
      <c r="Q89" s="68">
        <v>45706</v>
      </c>
      <c r="R89" s="68">
        <v>45799</v>
      </c>
      <c r="S89" s="5">
        <v>94</v>
      </c>
      <c r="T89" s="5">
        <v>40</v>
      </c>
      <c r="U89" s="46" t="s">
        <v>37</v>
      </c>
    </row>
    <row r="90" spans="1:21" x14ac:dyDescent="0.3">
      <c r="A90" s="5" t="s">
        <v>268</v>
      </c>
      <c r="B90" s="5" t="s">
        <v>40</v>
      </c>
      <c r="C90" s="5" t="s">
        <v>445</v>
      </c>
      <c r="D90" s="5">
        <v>1</v>
      </c>
      <c r="E90" s="5">
        <v>1</v>
      </c>
      <c r="F90" s="5">
        <v>1</v>
      </c>
      <c r="G90" s="5"/>
      <c r="H90" s="5">
        <v>719</v>
      </c>
      <c r="I90" s="68">
        <v>45094</v>
      </c>
      <c r="J90" s="5"/>
      <c r="K90" s="5"/>
      <c r="L90" s="5" t="s">
        <v>786</v>
      </c>
      <c r="M90" s="5">
        <v>1450</v>
      </c>
      <c r="N90" s="5">
        <v>2.02</v>
      </c>
      <c r="O90" s="5">
        <v>1283</v>
      </c>
      <c r="P90" s="5">
        <v>1.78</v>
      </c>
      <c r="Q90" s="5"/>
      <c r="R90" s="68">
        <v>45184</v>
      </c>
      <c r="S90" s="5"/>
      <c r="T90" s="5"/>
      <c r="U90" s="46" t="s">
        <v>40</v>
      </c>
    </row>
    <row r="91" spans="1:21" x14ac:dyDescent="0.3">
      <c r="A91" s="5" t="s">
        <v>268</v>
      </c>
      <c r="B91" s="5" t="s">
        <v>40</v>
      </c>
      <c r="C91" s="5" t="s">
        <v>445</v>
      </c>
      <c r="D91" s="5">
        <v>1</v>
      </c>
      <c r="E91" s="5">
        <v>1</v>
      </c>
      <c r="F91" s="5">
        <v>1</v>
      </c>
      <c r="G91" s="5"/>
      <c r="H91" s="5">
        <v>719</v>
      </c>
      <c r="I91" s="68">
        <v>45618</v>
      </c>
      <c r="J91" s="5"/>
      <c r="K91" s="5">
        <v>12</v>
      </c>
      <c r="L91" s="5" t="s">
        <v>786</v>
      </c>
      <c r="M91" s="5">
        <v>1360</v>
      </c>
      <c r="N91" s="5">
        <v>1.89</v>
      </c>
      <c r="O91" s="5">
        <v>1088</v>
      </c>
      <c r="P91" s="5">
        <v>1.51</v>
      </c>
      <c r="Q91" s="68">
        <v>45546</v>
      </c>
      <c r="R91" s="68">
        <v>45660</v>
      </c>
      <c r="S91" s="5">
        <v>115</v>
      </c>
      <c r="T91" s="5">
        <v>43</v>
      </c>
      <c r="U91" s="46" t="s">
        <v>40</v>
      </c>
    </row>
    <row r="92" spans="1:21" x14ac:dyDescent="0.3">
      <c r="A92" s="5" t="s">
        <v>268</v>
      </c>
      <c r="B92" s="5" t="s">
        <v>40</v>
      </c>
      <c r="C92" s="5" t="s">
        <v>556</v>
      </c>
      <c r="D92" s="5">
        <v>3</v>
      </c>
      <c r="E92" s="5">
        <v>1</v>
      </c>
      <c r="F92" s="5">
        <v>1</v>
      </c>
      <c r="G92" s="5"/>
      <c r="H92" s="5">
        <v>719</v>
      </c>
      <c r="I92" s="68">
        <v>45954</v>
      </c>
      <c r="J92" s="5"/>
      <c r="K92" s="5">
        <v>12</v>
      </c>
      <c r="L92" s="5" t="s">
        <v>786</v>
      </c>
      <c r="M92" s="5">
        <v>1365</v>
      </c>
      <c r="N92" s="5">
        <v>1.9</v>
      </c>
      <c r="O92" s="5">
        <v>1102</v>
      </c>
      <c r="P92" s="5">
        <v>1.53</v>
      </c>
      <c r="Q92" s="68">
        <v>45907</v>
      </c>
      <c r="R92" s="68">
        <v>45971</v>
      </c>
      <c r="S92" s="5">
        <v>65</v>
      </c>
      <c r="T92" s="5">
        <v>18</v>
      </c>
      <c r="U92" s="46" t="s">
        <v>40</v>
      </c>
    </row>
    <row r="93" spans="1:21" x14ac:dyDescent="0.3">
      <c r="A93" s="5" t="s">
        <v>268</v>
      </c>
      <c r="B93" s="5" t="s">
        <v>40</v>
      </c>
      <c r="C93" s="5" t="s">
        <v>429</v>
      </c>
      <c r="D93" s="5">
        <v>3</v>
      </c>
      <c r="E93" s="5">
        <v>1</v>
      </c>
      <c r="F93" s="5">
        <v>1</v>
      </c>
      <c r="G93" s="5"/>
      <c r="H93" s="5">
        <v>719</v>
      </c>
      <c r="I93" s="68">
        <v>45094</v>
      </c>
      <c r="J93" s="5"/>
      <c r="K93" s="5"/>
      <c r="L93" s="5" t="s">
        <v>786</v>
      </c>
      <c r="M93" s="5">
        <v>1415</v>
      </c>
      <c r="N93" s="5">
        <v>1.97</v>
      </c>
      <c r="O93" s="5">
        <v>1252</v>
      </c>
      <c r="P93" s="5">
        <v>1.74</v>
      </c>
      <c r="Q93" s="5"/>
      <c r="R93" s="68">
        <v>45216</v>
      </c>
      <c r="S93" s="5"/>
      <c r="T93" s="5"/>
      <c r="U93" s="46" t="s">
        <v>40</v>
      </c>
    </row>
    <row r="94" spans="1:21" x14ac:dyDescent="0.3">
      <c r="A94" s="5" t="s">
        <v>268</v>
      </c>
      <c r="B94" s="5" t="s">
        <v>40</v>
      </c>
      <c r="C94" s="5" t="s">
        <v>429</v>
      </c>
      <c r="D94" s="5">
        <v>3</v>
      </c>
      <c r="E94" s="5">
        <v>1</v>
      </c>
      <c r="F94" s="5">
        <v>1</v>
      </c>
      <c r="G94" s="5"/>
      <c r="H94" s="5">
        <v>719</v>
      </c>
      <c r="I94" s="68">
        <v>45653</v>
      </c>
      <c r="J94" s="5"/>
      <c r="K94" s="5">
        <v>12</v>
      </c>
      <c r="L94" s="5" t="s">
        <v>786</v>
      </c>
      <c r="M94" s="5">
        <v>1380</v>
      </c>
      <c r="N94" s="5">
        <v>1.92</v>
      </c>
      <c r="O94" s="5">
        <v>1380</v>
      </c>
      <c r="P94" s="5">
        <v>1.92</v>
      </c>
      <c r="Q94" s="68">
        <v>45584</v>
      </c>
      <c r="R94" s="68">
        <v>45716</v>
      </c>
      <c r="S94" s="5">
        <v>133</v>
      </c>
      <c r="T94" s="5">
        <v>64</v>
      </c>
      <c r="U94" s="46" t="s">
        <v>40</v>
      </c>
    </row>
    <row r="95" spans="1:21" x14ac:dyDescent="0.3">
      <c r="A95" s="5" t="s">
        <v>268</v>
      </c>
      <c r="B95" s="5" t="s">
        <v>40</v>
      </c>
      <c r="C95" s="5" t="s">
        <v>602</v>
      </c>
      <c r="D95" s="5">
        <v>2</v>
      </c>
      <c r="E95" s="5">
        <v>1</v>
      </c>
      <c r="F95" s="5">
        <v>1</v>
      </c>
      <c r="G95" s="5"/>
      <c r="H95" s="5">
        <v>719</v>
      </c>
      <c r="I95" s="68">
        <v>45389</v>
      </c>
      <c r="J95" s="5"/>
      <c r="K95" s="5"/>
      <c r="L95" s="5" t="s">
        <v>786</v>
      </c>
      <c r="M95" s="5">
        <v>1385</v>
      </c>
      <c r="N95" s="5">
        <v>1.93</v>
      </c>
      <c r="O95" s="5">
        <v>1385</v>
      </c>
      <c r="P95" s="5">
        <v>1.93</v>
      </c>
      <c r="Q95" s="68">
        <v>45297</v>
      </c>
      <c r="R95" s="68">
        <v>45302</v>
      </c>
      <c r="S95" s="5">
        <v>6</v>
      </c>
      <c r="T95" s="5">
        <v>0</v>
      </c>
      <c r="U95" s="46" t="s">
        <v>40</v>
      </c>
    </row>
    <row r="96" spans="1:21" x14ac:dyDescent="0.3">
      <c r="A96" s="5" t="s">
        <v>268</v>
      </c>
      <c r="B96" s="5" t="s">
        <v>40</v>
      </c>
      <c r="C96" s="5" t="s">
        <v>592</v>
      </c>
      <c r="D96" s="5">
        <v>1</v>
      </c>
      <c r="E96" s="5">
        <v>1</v>
      </c>
      <c r="F96" s="5">
        <v>1</v>
      </c>
      <c r="G96" s="5"/>
      <c r="H96" s="5">
        <v>719</v>
      </c>
      <c r="I96" s="68">
        <v>45462</v>
      </c>
      <c r="J96" s="5"/>
      <c r="K96" s="5">
        <v>12</v>
      </c>
      <c r="L96" s="5" t="s">
        <v>786</v>
      </c>
      <c r="M96" s="5">
        <v>1399</v>
      </c>
      <c r="N96" s="5">
        <v>1.95</v>
      </c>
      <c r="O96" s="5">
        <v>1399</v>
      </c>
      <c r="P96" s="5">
        <v>1.95</v>
      </c>
      <c r="Q96" s="68">
        <v>45399</v>
      </c>
      <c r="R96" s="68">
        <v>45606</v>
      </c>
      <c r="S96" s="5">
        <v>208</v>
      </c>
      <c r="T96" s="5">
        <v>145</v>
      </c>
      <c r="U96" s="46" t="s">
        <v>40</v>
      </c>
    </row>
    <row r="97" spans="1:21" x14ac:dyDescent="0.3">
      <c r="A97" s="5" t="s">
        <v>268</v>
      </c>
      <c r="B97" s="5" t="s">
        <v>40</v>
      </c>
      <c r="C97" s="5" t="s">
        <v>620</v>
      </c>
      <c r="D97" s="5">
        <v>3</v>
      </c>
      <c r="E97" s="5">
        <v>1</v>
      </c>
      <c r="F97" s="5">
        <v>1</v>
      </c>
      <c r="G97" s="5"/>
      <c r="H97" s="5">
        <v>719</v>
      </c>
      <c r="I97" s="68">
        <v>45888</v>
      </c>
      <c r="J97" s="5"/>
      <c r="K97" s="5">
        <v>12</v>
      </c>
      <c r="L97" s="5" t="s">
        <v>786</v>
      </c>
      <c r="M97" s="5">
        <v>1399</v>
      </c>
      <c r="N97" s="5">
        <v>1.95</v>
      </c>
      <c r="O97" s="5">
        <v>1184</v>
      </c>
      <c r="P97" s="5">
        <v>1.65</v>
      </c>
      <c r="Q97" s="68">
        <v>45800</v>
      </c>
      <c r="R97" s="68">
        <v>45934</v>
      </c>
      <c r="S97" s="5">
        <v>135</v>
      </c>
      <c r="T97" s="5">
        <v>47</v>
      </c>
      <c r="U97" s="46" t="s">
        <v>40</v>
      </c>
    </row>
    <row r="98" spans="1:21" x14ac:dyDescent="0.3">
      <c r="A98" s="5" t="s">
        <v>268</v>
      </c>
      <c r="B98" s="5" t="s">
        <v>40</v>
      </c>
      <c r="C98" s="5" t="s">
        <v>446</v>
      </c>
      <c r="D98" s="5">
        <v>1</v>
      </c>
      <c r="E98" s="5">
        <v>1</v>
      </c>
      <c r="F98" s="5">
        <v>1</v>
      </c>
      <c r="G98" s="5"/>
      <c r="H98" s="5">
        <v>719</v>
      </c>
      <c r="I98" s="68">
        <v>45094</v>
      </c>
      <c r="J98" s="5"/>
      <c r="K98" s="5"/>
      <c r="L98" s="5" t="s">
        <v>786</v>
      </c>
      <c r="M98" s="5">
        <v>1410</v>
      </c>
      <c r="N98" s="5">
        <v>1.96</v>
      </c>
      <c r="O98" s="5">
        <v>1247</v>
      </c>
      <c r="P98" s="5">
        <v>1.73</v>
      </c>
      <c r="Q98" s="5"/>
      <c r="R98" s="68">
        <v>45248</v>
      </c>
      <c r="S98" s="5"/>
      <c r="T98" s="5"/>
      <c r="U98" s="46" t="s">
        <v>40</v>
      </c>
    </row>
    <row r="99" spans="1:21" x14ac:dyDescent="0.3">
      <c r="A99" s="5" t="s">
        <v>268</v>
      </c>
      <c r="B99" s="5" t="s">
        <v>40</v>
      </c>
      <c r="C99" s="5" t="s">
        <v>392</v>
      </c>
      <c r="D99" s="5">
        <v>1</v>
      </c>
      <c r="E99" s="5">
        <v>1</v>
      </c>
      <c r="F99" s="5">
        <v>1</v>
      </c>
      <c r="G99" s="5"/>
      <c r="H99" s="5">
        <v>719</v>
      </c>
      <c r="I99" s="68">
        <v>45094</v>
      </c>
      <c r="J99" s="5"/>
      <c r="K99" s="5"/>
      <c r="L99" s="5" t="s">
        <v>786</v>
      </c>
      <c r="M99" s="5">
        <v>1410</v>
      </c>
      <c r="N99" s="5">
        <v>1.96</v>
      </c>
      <c r="O99" s="5">
        <v>1164</v>
      </c>
      <c r="P99" s="5">
        <v>1.62</v>
      </c>
      <c r="Q99" s="5"/>
      <c r="R99" s="68">
        <v>45295</v>
      </c>
      <c r="S99" s="5"/>
      <c r="T99" s="5"/>
      <c r="U99" s="46" t="s">
        <v>40</v>
      </c>
    </row>
    <row r="100" spans="1:21" x14ac:dyDescent="0.3">
      <c r="A100" s="5" t="s">
        <v>268</v>
      </c>
      <c r="B100" s="5" t="s">
        <v>40</v>
      </c>
      <c r="C100" s="5" t="s">
        <v>605</v>
      </c>
      <c r="D100" s="5">
        <v>2</v>
      </c>
      <c r="E100" s="5">
        <v>1</v>
      </c>
      <c r="F100" s="5">
        <v>1</v>
      </c>
      <c r="G100" s="5"/>
      <c r="H100" s="5">
        <v>719</v>
      </c>
      <c r="I100" s="68">
        <v>46059</v>
      </c>
      <c r="J100" s="5"/>
      <c r="K100" s="5">
        <v>14</v>
      </c>
      <c r="L100" s="5" t="s">
        <v>786</v>
      </c>
      <c r="M100" s="5">
        <v>1429</v>
      </c>
      <c r="N100" s="5">
        <v>1.99</v>
      </c>
      <c r="O100" s="5">
        <v>1429</v>
      </c>
      <c r="P100" s="5">
        <v>1.99</v>
      </c>
      <c r="Q100" s="68">
        <v>45990</v>
      </c>
      <c r="R100" s="68">
        <v>46112</v>
      </c>
      <c r="S100" s="5">
        <v>123</v>
      </c>
      <c r="T100" s="5">
        <v>54</v>
      </c>
      <c r="U100" s="46" t="s">
        <v>40</v>
      </c>
    </row>
    <row r="101" spans="1:21" x14ac:dyDescent="0.3">
      <c r="A101" s="5" t="s">
        <v>268</v>
      </c>
      <c r="B101" s="5" t="s">
        <v>40</v>
      </c>
      <c r="C101" s="5" t="s">
        <v>466</v>
      </c>
      <c r="D101" s="5">
        <v>3</v>
      </c>
      <c r="E101" s="5">
        <v>1</v>
      </c>
      <c r="F101" s="5">
        <v>1</v>
      </c>
      <c r="G101" s="5"/>
      <c r="H101" s="5">
        <v>719</v>
      </c>
      <c r="I101" s="68">
        <v>45618</v>
      </c>
      <c r="J101" s="5"/>
      <c r="K101" s="5">
        <v>12</v>
      </c>
      <c r="L101" s="5" t="s">
        <v>786</v>
      </c>
      <c r="M101" s="5">
        <v>1430</v>
      </c>
      <c r="N101" s="5">
        <v>1.99</v>
      </c>
      <c r="O101" s="5">
        <v>1430</v>
      </c>
      <c r="P101" s="5">
        <v>1.99</v>
      </c>
      <c r="Q101" s="68">
        <v>45584</v>
      </c>
      <c r="R101" s="68">
        <v>45691</v>
      </c>
      <c r="S101" s="5">
        <v>108</v>
      </c>
      <c r="T101" s="5">
        <v>74</v>
      </c>
      <c r="U101" s="46" t="s">
        <v>40</v>
      </c>
    </row>
    <row r="102" spans="1:21" x14ac:dyDescent="0.3">
      <c r="A102" s="5" t="s">
        <v>268</v>
      </c>
      <c r="B102" s="5" t="s">
        <v>40</v>
      </c>
      <c r="C102" s="5" t="s">
        <v>462</v>
      </c>
      <c r="D102" s="5">
        <v>3</v>
      </c>
      <c r="E102" s="5">
        <v>1</v>
      </c>
      <c r="F102" s="5">
        <v>1</v>
      </c>
      <c r="G102" s="5"/>
      <c r="H102" s="5">
        <v>719</v>
      </c>
      <c r="I102" s="68">
        <v>45094</v>
      </c>
      <c r="J102" s="5"/>
      <c r="K102" s="5"/>
      <c r="L102" s="5" t="s">
        <v>786</v>
      </c>
      <c r="M102" s="5">
        <v>1485</v>
      </c>
      <c r="N102" s="5">
        <v>2.0699999999999998</v>
      </c>
      <c r="O102" s="5">
        <v>1314</v>
      </c>
      <c r="P102" s="5">
        <v>1.83</v>
      </c>
      <c r="Q102" s="5"/>
      <c r="R102" s="68">
        <v>45102</v>
      </c>
      <c r="S102" s="5"/>
      <c r="T102" s="5"/>
      <c r="U102" s="46" t="s">
        <v>40</v>
      </c>
    </row>
    <row r="103" spans="1:21" x14ac:dyDescent="0.3">
      <c r="A103" s="5" t="s">
        <v>268</v>
      </c>
      <c r="B103" s="5" t="s">
        <v>40</v>
      </c>
      <c r="C103" s="5" t="s">
        <v>462</v>
      </c>
      <c r="D103" s="5">
        <v>3</v>
      </c>
      <c r="E103" s="5">
        <v>1</v>
      </c>
      <c r="F103" s="5">
        <v>1</v>
      </c>
      <c r="G103" s="5"/>
      <c r="H103" s="5">
        <v>719</v>
      </c>
      <c r="I103" s="68">
        <v>45570</v>
      </c>
      <c r="J103" s="5"/>
      <c r="K103" s="5">
        <v>12</v>
      </c>
      <c r="L103" s="5" t="s">
        <v>786</v>
      </c>
      <c r="M103" s="5">
        <v>1435</v>
      </c>
      <c r="N103" s="5">
        <v>2</v>
      </c>
      <c r="O103" s="5">
        <v>1435</v>
      </c>
      <c r="P103" s="5">
        <v>2</v>
      </c>
      <c r="Q103" s="68">
        <v>45506</v>
      </c>
      <c r="R103" s="68">
        <v>45604</v>
      </c>
      <c r="S103" s="5">
        <v>99</v>
      </c>
      <c r="T103" s="5">
        <v>35</v>
      </c>
      <c r="U103" s="46" t="s">
        <v>40</v>
      </c>
    </row>
    <row r="104" spans="1:21" x14ac:dyDescent="0.3">
      <c r="A104" s="5" t="s">
        <v>268</v>
      </c>
      <c r="B104" s="5" t="s">
        <v>40</v>
      </c>
      <c r="C104" s="5" t="s">
        <v>427</v>
      </c>
      <c r="D104" s="5">
        <v>3</v>
      </c>
      <c r="E104" s="5">
        <v>1</v>
      </c>
      <c r="F104" s="5">
        <v>1</v>
      </c>
      <c r="G104" s="5"/>
      <c r="H104" s="5">
        <v>719</v>
      </c>
      <c r="I104" s="68">
        <v>45094</v>
      </c>
      <c r="J104" s="5"/>
      <c r="K104" s="5"/>
      <c r="L104" s="5" t="s">
        <v>786</v>
      </c>
      <c r="M104" s="5">
        <v>1435</v>
      </c>
      <c r="N104" s="5">
        <v>2</v>
      </c>
      <c r="O104" s="5">
        <v>1269</v>
      </c>
      <c r="P104" s="5">
        <v>1.76</v>
      </c>
      <c r="Q104" s="5"/>
      <c r="R104" s="68">
        <v>45225</v>
      </c>
      <c r="S104" s="5"/>
      <c r="T104" s="5"/>
      <c r="U104" s="46" t="s">
        <v>40</v>
      </c>
    </row>
    <row r="105" spans="1:21" x14ac:dyDescent="0.3">
      <c r="A105" s="5" t="s">
        <v>268</v>
      </c>
      <c r="B105" s="5" t="s">
        <v>40</v>
      </c>
      <c r="C105" s="5" t="s">
        <v>400</v>
      </c>
      <c r="D105" s="5">
        <v>1</v>
      </c>
      <c r="E105" s="5">
        <v>1</v>
      </c>
      <c r="F105" s="5">
        <v>1</v>
      </c>
      <c r="G105" s="5"/>
      <c r="H105" s="5">
        <v>719</v>
      </c>
      <c r="I105" s="68">
        <v>45094</v>
      </c>
      <c r="J105" s="5"/>
      <c r="K105" s="5"/>
      <c r="L105" s="5" t="s">
        <v>786</v>
      </c>
      <c r="M105" s="5">
        <v>1470</v>
      </c>
      <c r="N105" s="5">
        <v>2.04</v>
      </c>
      <c r="O105" s="5">
        <v>1300</v>
      </c>
      <c r="P105" s="5">
        <v>1.81</v>
      </c>
      <c r="Q105" s="5"/>
      <c r="R105" s="68">
        <v>45256</v>
      </c>
      <c r="S105" s="5"/>
      <c r="T105" s="5"/>
      <c r="U105" s="46" t="s">
        <v>40</v>
      </c>
    </row>
    <row r="106" spans="1:21" x14ac:dyDescent="0.3">
      <c r="A106" s="5" t="s">
        <v>268</v>
      </c>
      <c r="B106" s="5" t="s">
        <v>40</v>
      </c>
      <c r="C106" s="5" t="s">
        <v>407</v>
      </c>
      <c r="D106" s="5">
        <v>2</v>
      </c>
      <c r="E106" s="5">
        <v>1</v>
      </c>
      <c r="F106" s="5">
        <v>1</v>
      </c>
      <c r="G106" s="5"/>
      <c r="H106" s="5">
        <v>719</v>
      </c>
      <c r="I106" s="68">
        <v>45625</v>
      </c>
      <c r="J106" s="5"/>
      <c r="K106" s="5">
        <v>12</v>
      </c>
      <c r="L106" s="5" t="s">
        <v>786</v>
      </c>
      <c r="M106" s="5">
        <v>1360</v>
      </c>
      <c r="N106" s="5">
        <v>1.89</v>
      </c>
      <c r="O106" s="5">
        <v>1360</v>
      </c>
      <c r="P106" s="5">
        <v>1.89</v>
      </c>
      <c r="Q106" s="68">
        <v>45399</v>
      </c>
      <c r="R106" s="68">
        <v>45678</v>
      </c>
      <c r="S106" s="5">
        <v>280</v>
      </c>
      <c r="T106" s="5">
        <v>54</v>
      </c>
      <c r="U106" s="46" t="s">
        <v>40</v>
      </c>
    </row>
    <row r="107" spans="1:21" x14ac:dyDescent="0.3">
      <c r="A107" s="5" t="s">
        <v>268</v>
      </c>
      <c r="B107" s="5" t="s">
        <v>40</v>
      </c>
      <c r="C107" s="5" t="s">
        <v>407</v>
      </c>
      <c r="D107" s="5">
        <v>2</v>
      </c>
      <c r="E107" s="5">
        <v>1</v>
      </c>
      <c r="F107" s="5">
        <v>1</v>
      </c>
      <c r="G107" s="5"/>
      <c r="H107" s="5">
        <v>719</v>
      </c>
      <c r="I107" s="68">
        <v>46052</v>
      </c>
      <c r="J107" s="5"/>
      <c r="K107" s="5">
        <v>14</v>
      </c>
      <c r="L107" s="5" t="s">
        <v>786</v>
      </c>
      <c r="M107" s="5">
        <v>1550</v>
      </c>
      <c r="N107" s="5">
        <v>2.16</v>
      </c>
      <c r="O107" s="5">
        <v>1384</v>
      </c>
      <c r="P107" s="5">
        <v>1.92</v>
      </c>
      <c r="Q107" s="68">
        <v>45983</v>
      </c>
      <c r="R107" s="68">
        <v>46182</v>
      </c>
      <c r="S107" s="5">
        <v>200</v>
      </c>
      <c r="T107" s="5">
        <v>131</v>
      </c>
      <c r="U107" s="46" t="s">
        <v>40</v>
      </c>
    </row>
    <row r="108" spans="1:21" x14ac:dyDescent="0.3">
      <c r="A108" s="5" t="s">
        <v>268</v>
      </c>
      <c r="B108" s="5" t="s">
        <v>40</v>
      </c>
      <c r="C108" s="5" t="s">
        <v>486</v>
      </c>
      <c r="D108" s="5">
        <v>2</v>
      </c>
      <c r="E108" s="5">
        <v>1</v>
      </c>
      <c r="F108" s="5">
        <v>1</v>
      </c>
      <c r="G108" s="5"/>
      <c r="H108" s="5">
        <v>719</v>
      </c>
      <c r="I108" s="68">
        <v>45785</v>
      </c>
      <c r="J108" s="5"/>
      <c r="K108" s="5">
        <v>12</v>
      </c>
      <c r="L108" s="5" t="s">
        <v>786</v>
      </c>
      <c r="M108" s="5">
        <v>1550</v>
      </c>
      <c r="N108" s="5">
        <v>2.16</v>
      </c>
      <c r="O108" s="5">
        <v>1311</v>
      </c>
      <c r="P108" s="5">
        <v>1.82</v>
      </c>
      <c r="Q108" s="68">
        <v>45748</v>
      </c>
      <c r="R108" s="68">
        <v>45795</v>
      </c>
      <c r="S108" s="5">
        <v>48</v>
      </c>
      <c r="T108" s="5">
        <v>11</v>
      </c>
      <c r="U108" s="46" t="s">
        <v>40</v>
      </c>
    </row>
    <row r="109" spans="1:21" x14ac:dyDescent="0.3">
      <c r="A109" s="5" t="s">
        <v>268</v>
      </c>
      <c r="B109" s="5" t="s">
        <v>40</v>
      </c>
      <c r="C109" s="5" t="s">
        <v>604</v>
      </c>
      <c r="D109" s="5">
        <v>2</v>
      </c>
      <c r="E109" s="5">
        <v>1</v>
      </c>
      <c r="F109" s="5">
        <v>1</v>
      </c>
      <c r="G109" s="5"/>
      <c r="H109" s="5">
        <v>719</v>
      </c>
      <c r="I109" s="68">
        <v>45542</v>
      </c>
      <c r="J109" s="5"/>
      <c r="K109" s="5">
        <v>12</v>
      </c>
      <c r="L109" s="5" t="s">
        <v>786</v>
      </c>
      <c r="M109" s="5">
        <v>1399</v>
      </c>
      <c r="N109" s="5">
        <v>1.95</v>
      </c>
      <c r="O109" s="5">
        <v>1399</v>
      </c>
      <c r="P109" s="5">
        <v>1.95</v>
      </c>
      <c r="Q109" s="68">
        <v>45497</v>
      </c>
      <c r="R109" s="68">
        <v>45587</v>
      </c>
      <c r="S109" s="5">
        <v>91</v>
      </c>
      <c r="T109" s="5">
        <v>46</v>
      </c>
      <c r="U109" s="46" t="s">
        <v>40</v>
      </c>
    </row>
    <row r="110" spans="1:21" x14ac:dyDescent="0.3">
      <c r="A110" s="5" t="s">
        <v>268</v>
      </c>
      <c r="B110" s="5" t="s">
        <v>40</v>
      </c>
      <c r="C110" s="5" t="s">
        <v>604</v>
      </c>
      <c r="D110" s="5">
        <v>2</v>
      </c>
      <c r="E110" s="5">
        <v>1</v>
      </c>
      <c r="F110" s="5">
        <v>1</v>
      </c>
      <c r="G110" s="5"/>
      <c r="H110" s="5">
        <v>719</v>
      </c>
      <c r="I110" s="68">
        <v>46083</v>
      </c>
      <c r="J110" s="5"/>
      <c r="K110" s="5">
        <v>14</v>
      </c>
      <c r="L110" s="5" t="s">
        <v>786</v>
      </c>
      <c r="M110" s="5">
        <v>1550</v>
      </c>
      <c r="N110" s="5">
        <v>2.16</v>
      </c>
      <c r="O110" s="5">
        <v>1329</v>
      </c>
      <c r="P110" s="5">
        <v>1.85</v>
      </c>
      <c r="Q110" s="68">
        <v>45998</v>
      </c>
      <c r="R110" s="68">
        <v>46143</v>
      </c>
      <c r="S110" s="5">
        <v>146</v>
      </c>
      <c r="T110" s="5">
        <v>61</v>
      </c>
      <c r="U110" s="46" t="s">
        <v>40</v>
      </c>
    </row>
    <row r="111" spans="1:21" x14ac:dyDescent="0.3">
      <c r="A111" s="5" t="s">
        <v>268</v>
      </c>
      <c r="B111" s="5" t="s">
        <v>40</v>
      </c>
      <c r="C111" s="5" t="s">
        <v>452</v>
      </c>
      <c r="D111" s="5">
        <v>2</v>
      </c>
      <c r="E111" s="5">
        <v>1</v>
      </c>
      <c r="F111" s="5">
        <v>1</v>
      </c>
      <c r="G111" s="5"/>
      <c r="H111" s="5">
        <v>719</v>
      </c>
      <c r="I111" s="68">
        <v>45539</v>
      </c>
      <c r="J111" s="5"/>
      <c r="K111" s="5">
        <v>15</v>
      </c>
      <c r="L111" s="5" t="s">
        <v>786</v>
      </c>
      <c r="M111" s="5">
        <v>1550</v>
      </c>
      <c r="N111" s="5">
        <v>2.16</v>
      </c>
      <c r="O111" s="5">
        <v>1550</v>
      </c>
      <c r="P111" s="5">
        <v>2.16</v>
      </c>
      <c r="Q111" s="68">
        <v>45470</v>
      </c>
      <c r="R111" s="68">
        <v>45490</v>
      </c>
      <c r="S111" s="5">
        <v>21</v>
      </c>
      <c r="T111" s="5">
        <v>0</v>
      </c>
      <c r="U111" s="46" t="s">
        <v>40</v>
      </c>
    </row>
    <row r="112" spans="1:21" x14ac:dyDescent="0.3">
      <c r="A112" s="5" t="s">
        <v>268</v>
      </c>
      <c r="B112" s="5" t="s">
        <v>40</v>
      </c>
      <c r="C112" s="5" t="s">
        <v>452</v>
      </c>
      <c r="D112" s="5">
        <v>2</v>
      </c>
      <c r="E112" s="5">
        <v>1</v>
      </c>
      <c r="F112" s="5">
        <v>1</v>
      </c>
      <c r="G112" s="5"/>
      <c r="H112" s="5">
        <v>719</v>
      </c>
      <c r="I112" s="68">
        <v>45616</v>
      </c>
      <c r="J112" s="5"/>
      <c r="K112" s="5">
        <v>12</v>
      </c>
      <c r="L112" s="5" t="s">
        <v>786</v>
      </c>
      <c r="M112" s="5">
        <v>1550</v>
      </c>
      <c r="N112" s="5">
        <v>2.16</v>
      </c>
      <c r="O112" s="5">
        <v>1550</v>
      </c>
      <c r="P112" s="5">
        <v>2.16</v>
      </c>
      <c r="Q112" s="68">
        <v>45610</v>
      </c>
      <c r="R112" s="68">
        <v>45689</v>
      </c>
      <c r="S112" s="5">
        <v>80</v>
      </c>
      <c r="T112" s="5">
        <v>74</v>
      </c>
      <c r="U112" s="46" t="s">
        <v>40</v>
      </c>
    </row>
    <row r="113" spans="1:21" x14ac:dyDescent="0.3">
      <c r="A113" s="5" t="s">
        <v>268</v>
      </c>
      <c r="B113" s="5" t="s">
        <v>40</v>
      </c>
      <c r="C113" s="5" t="s">
        <v>452</v>
      </c>
      <c r="D113" s="5">
        <v>2</v>
      </c>
      <c r="E113" s="5">
        <v>1</v>
      </c>
      <c r="F113" s="5">
        <v>1</v>
      </c>
      <c r="G113" s="5"/>
      <c r="H113" s="5">
        <v>719</v>
      </c>
      <c r="I113" s="68">
        <v>46088</v>
      </c>
      <c r="J113" s="5"/>
      <c r="K113" s="5">
        <v>14</v>
      </c>
      <c r="L113" s="5" t="s">
        <v>786</v>
      </c>
      <c r="M113" s="5">
        <v>1550</v>
      </c>
      <c r="N113" s="5">
        <v>2.16</v>
      </c>
      <c r="O113" s="5">
        <v>1329</v>
      </c>
      <c r="P113" s="5">
        <v>1.85</v>
      </c>
      <c r="Q113" s="68">
        <v>46018</v>
      </c>
      <c r="R113" s="68">
        <v>46099</v>
      </c>
      <c r="S113" s="5">
        <v>82</v>
      </c>
      <c r="T113" s="5">
        <v>12</v>
      </c>
      <c r="U113" s="46" t="s">
        <v>40</v>
      </c>
    </row>
    <row r="114" spans="1:21" x14ac:dyDescent="0.3">
      <c r="A114" s="5" t="s">
        <v>268</v>
      </c>
      <c r="B114" s="5" t="s">
        <v>40</v>
      </c>
      <c r="C114" s="5" t="s">
        <v>484</v>
      </c>
      <c r="D114" s="5">
        <v>2</v>
      </c>
      <c r="E114" s="5">
        <v>1</v>
      </c>
      <c r="F114" s="5">
        <v>1</v>
      </c>
      <c r="G114" s="5"/>
      <c r="H114" s="5">
        <v>719</v>
      </c>
      <c r="I114" s="68">
        <v>45273</v>
      </c>
      <c r="J114" s="5"/>
      <c r="K114" s="5"/>
      <c r="L114" s="5" t="s">
        <v>786</v>
      </c>
      <c r="M114" s="5">
        <v>1520</v>
      </c>
      <c r="N114" s="5">
        <v>2.11</v>
      </c>
      <c r="O114" s="5">
        <v>1344</v>
      </c>
      <c r="P114" s="5">
        <v>1.87</v>
      </c>
      <c r="Q114" s="68">
        <v>45207</v>
      </c>
      <c r="R114" s="68">
        <v>45241</v>
      </c>
      <c r="S114" s="5">
        <v>35</v>
      </c>
      <c r="T114" s="5">
        <v>0</v>
      </c>
      <c r="U114" s="46" t="s">
        <v>40</v>
      </c>
    </row>
    <row r="115" spans="1:21" x14ac:dyDescent="0.3">
      <c r="A115" s="5" t="s">
        <v>268</v>
      </c>
      <c r="B115" s="5" t="s">
        <v>40</v>
      </c>
      <c r="C115" s="5" t="s">
        <v>484</v>
      </c>
      <c r="D115" s="5">
        <v>2</v>
      </c>
      <c r="E115" s="5">
        <v>1</v>
      </c>
      <c r="F115" s="5">
        <v>1</v>
      </c>
      <c r="G115" s="5"/>
      <c r="H115" s="5">
        <v>719</v>
      </c>
      <c r="I115" s="68">
        <v>45793</v>
      </c>
      <c r="J115" s="5"/>
      <c r="K115" s="5">
        <v>12</v>
      </c>
      <c r="L115" s="5" t="s">
        <v>786</v>
      </c>
      <c r="M115" s="5">
        <v>1550</v>
      </c>
      <c r="N115" s="5">
        <v>2.16</v>
      </c>
      <c r="O115" s="5">
        <v>1311</v>
      </c>
      <c r="P115" s="5">
        <v>1.82</v>
      </c>
      <c r="Q115" s="68">
        <v>45721</v>
      </c>
      <c r="R115" s="68">
        <v>45771</v>
      </c>
      <c r="S115" s="5">
        <v>51</v>
      </c>
      <c r="T115" s="5">
        <v>0</v>
      </c>
      <c r="U115" s="46" t="s">
        <v>40</v>
      </c>
    </row>
    <row r="116" spans="1:21" x14ac:dyDescent="0.3">
      <c r="A116" s="5" t="s">
        <v>268</v>
      </c>
      <c r="B116" s="5" t="s">
        <v>40</v>
      </c>
      <c r="C116" s="5" t="s">
        <v>484</v>
      </c>
      <c r="D116" s="5">
        <v>2</v>
      </c>
      <c r="E116" s="5">
        <v>1</v>
      </c>
      <c r="F116" s="5">
        <v>1</v>
      </c>
      <c r="G116" s="5"/>
      <c r="H116" s="5">
        <v>719</v>
      </c>
      <c r="I116" s="68">
        <v>46088</v>
      </c>
      <c r="J116" s="5"/>
      <c r="K116" s="5">
        <v>14</v>
      </c>
      <c r="L116" s="5" t="s">
        <v>786</v>
      </c>
      <c r="M116" s="5">
        <v>1550</v>
      </c>
      <c r="N116" s="5">
        <v>2.16</v>
      </c>
      <c r="O116" s="5">
        <v>1273</v>
      </c>
      <c r="P116" s="5">
        <v>1.77</v>
      </c>
      <c r="Q116" s="68">
        <v>46022</v>
      </c>
      <c r="R116" s="68">
        <v>46058</v>
      </c>
      <c r="S116" s="5">
        <v>37</v>
      </c>
      <c r="T116" s="5">
        <v>0</v>
      </c>
      <c r="U116" s="46" t="s">
        <v>40</v>
      </c>
    </row>
    <row r="117" spans="1:21" x14ac:dyDescent="0.3">
      <c r="A117" s="5" t="s">
        <v>268</v>
      </c>
      <c r="B117" s="5" t="s">
        <v>40</v>
      </c>
      <c r="C117" s="5" t="s">
        <v>535</v>
      </c>
      <c r="D117" s="5">
        <v>2</v>
      </c>
      <c r="E117" s="5">
        <v>1</v>
      </c>
      <c r="F117" s="5">
        <v>1</v>
      </c>
      <c r="G117" s="5"/>
      <c r="H117" s="5">
        <v>719</v>
      </c>
      <c r="I117" s="68">
        <v>45115</v>
      </c>
      <c r="J117" s="5"/>
      <c r="K117" s="5"/>
      <c r="L117" s="5" t="s">
        <v>786</v>
      </c>
      <c r="M117" s="5">
        <v>1390</v>
      </c>
      <c r="N117" s="5">
        <v>1.93</v>
      </c>
      <c r="O117" s="5">
        <v>1229</v>
      </c>
      <c r="P117" s="5">
        <v>1.71</v>
      </c>
      <c r="Q117" s="68">
        <v>45115</v>
      </c>
      <c r="R117" s="68">
        <v>45194</v>
      </c>
      <c r="S117" s="5">
        <v>80</v>
      </c>
      <c r="T117" s="5">
        <v>80</v>
      </c>
      <c r="U117" s="46" t="s">
        <v>40</v>
      </c>
    </row>
    <row r="118" spans="1:21" x14ac:dyDescent="0.3">
      <c r="A118" s="5" t="s">
        <v>268</v>
      </c>
      <c r="B118" s="5" t="s">
        <v>40</v>
      </c>
      <c r="C118" s="5" t="s">
        <v>535</v>
      </c>
      <c r="D118" s="5">
        <v>2</v>
      </c>
      <c r="E118" s="5">
        <v>1</v>
      </c>
      <c r="F118" s="5">
        <v>1</v>
      </c>
      <c r="G118" s="5"/>
      <c r="H118" s="5">
        <v>719</v>
      </c>
      <c r="I118" s="68">
        <v>45603</v>
      </c>
      <c r="J118" s="5"/>
      <c r="K118" s="5">
        <v>12</v>
      </c>
      <c r="L118" s="5" t="s">
        <v>786</v>
      </c>
      <c r="M118" s="5">
        <v>1360</v>
      </c>
      <c r="N118" s="5">
        <v>1.89</v>
      </c>
      <c r="O118" s="5">
        <v>1088</v>
      </c>
      <c r="P118" s="5">
        <v>1.51</v>
      </c>
      <c r="Q118" s="68">
        <v>45543</v>
      </c>
      <c r="R118" s="68">
        <v>45664</v>
      </c>
      <c r="S118" s="5">
        <v>122</v>
      </c>
      <c r="T118" s="5">
        <v>62</v>
      </c>
      <c r="U118" s="46" t="s">
        <v>40</v>
      </c>
    </row>
    <row r="119" spans="1:21" x14ac:dyDescent="0.3">
      <c r="A119" s="5" t="s">
        <v>268</v>
      </c>
      <c r="B119" s="5" t="s">
        <v>40</v>
      </c>
      <c r="C119" s="5" t="s">
        <v>535</v>
      </c>
      <c r="D119" s="5">
        <v>2</v>
      </c>
      <c r="E119" s="5">
        <v>1</v>
      </c>
      <c r="F119" s="5">
        <v>1</v>
      </c>
      <c r="G119" s="5"/>
      <c r="H119" s="5">
        <v>719</v>
      </c>
      <c r="I119" s="68">
        <v>46230</v>
      </c>
      <c r="J119" s="5"/>
      <c r="K119" s="5">
        <v>14</v>
      </c>
      <c r="L119" s="5" t="s">
        <v>786</v>
      </c>
      <c r="M119" s="5">
        <v>1550</v>
      </c>
      <c r="N119" s="5">
        <v>2.16</v>
      </c>
      <c r="O119" s="5">
        <v>1384</v>
      </c>
      <c r="P119" s="5">
        <v>1.92</v>
      </c>
      <c r="Q119" s="68">
        <v>46165</v>
      </c>
      <c r="R119" s="68">
        <v>46177</v>
      </c>
      <c r="S119" s="5">
        <v>13</v>
      </c>
      <c r="T119" s="5">
        <v>0</v>
      </c>
      <c r="U119" s="46" t="s">
        <v>40</v>
      </c>
    </row>
    <row r="120" spans="1:21" x14ac:dyDescent="0.3">
      <c r="A120" s="5" t="s">
        <v>268</v>
      </c>
      <c r="B120" s="5" t="s">
        <v>40</v>
      </c>
      <c r="C120" s="5" t="s">
        <v>416</v>
      </c>
      <c r="D120" s="5">
        <v>2</v>
      </c>
      <c r="E120" s="5">
        <v>1</v>
      </c>
      <c r="F120" s="5">
        <v>1</v>
      </c>
      <c r="G120" s="5"/>
      <c r="H120" s="5">
        <v>719</v>
      </c>
      <c r="I120" s="68">
        <v>45519</v>
      </c>
      <c r="J120" s="5"/>
      <c r="K120" s="5">
        <v>15</v>
      </c>
      <c r="L120" s="5" t="s">
        <v>786</v>
      </c>
      <c r="M120" s="5">
        <v>1550</v>
      </c>
      <c r="N120" s="5">
        <v>2.16</v>
      </c>
      <c r="O120" s="5">
        <v>1550</v>
      </c>
      <c r="P120" s="5">
        <v>2.16</v>
      </c>
      <c r="Q120" s="68">
        <v>45460</v>
      </c>
      <c r="R120" s="68">
        <v>45468</v>
      </c>
      <c r="S120" s="5">
        <v>9</v>
      </c>
      <c r="T120" s="5">
        <v>0</v>
      </c>
      <c r="U120" s="46" t="s">
        <v>40</v>
      </c>
    </row>
    <row r="121" spans="1:21" x14ac:dyDescent="0.3">
      <c r="A121" s="5" t="s">
        <v>268</v>
      </c>
      <c r="B121" s="5" t="s">
        <v>40</v>
      </c>
      <c r="C121" s="5" t="s">
        <v>416</v>
      </c>
      <c r="D121" s="5">
        <v>2</v>
      </c>
      <c r="E121" s="5">
        <v>1</v>
      </c>
      <c r="F121" s="5">
        <v>1</v>
      </c>
      <c r="G121" s="5"/>
      <c r="H121" s="5">
        <v>719</v>
      </c>
      <c r="I121" s="68">
        <v>46012</v>
      </c>
      <c r="J121" s="5"/>
      <c r="K121" s="5">
        <v>12</v>
      </c>
      <c r="L121" s="5" t="s">
        <v>786</v>
      </c>
      <c r="M121" s="5">
        <v>1550</v>
      </c>
      <c r="N121" s="5">
        <v>2.16</v>
      </c>
      <c r="O121" s="5">
        <v>1311</v>
      </c>
      <c r="P121" s="5">
        <v>1.82</v>
      </c>
      <c r="Q121" s="68">
        <v>45945</v>
      </c>
      <c r="R121" s="68">
        <v>45962</v>
      </c>
      <c r="S121" s="5">
        <v>18</v>
      </c>
      <c r="T121" s="5">
        <v>0</v>
      </c>
      <c r="U121" s="46" t="s">
        <v>40</v>
      </c>
    </row>
    <row r="122" spans="1:21" x14ac:dyDescent="0.3">
      <c r="A122" s="5" t="s">
        <v>268</v>
      </c>
      <c r="B122" s="5" t="s">
        <v>40</v>
      </c>
      <c r="C122" s="5" t="s">
        <v>537</v>
      </c>
      <c r="D122" s="5">
        <v>2</v>
      </c>
      <c r="E122" s="5">
        <v>1</v>
      </c>
      <c r="F122" s="5">
        <v>1</v>
      </c>
      <c r="G122" s="5"/>
      <c r="H122" s="5">
        <v>719</v>
      </c>
      <c r="I122" s="68">
        <v>45619</v>
      </c>
      <c r="J122" s="5"/>
      <c r="K122" s="5">
        <v>12</v>
      </c>
      <c r="L122" s="5" t="s">
        <v>786</v>
      </c>
      <c r="M122" s="5">
        <v>1350</v>
      </c>
      <c r="N122" s="5">
        <v>1.88</v>
      </c>
      <c r="O122" s="5">
        <v>1350</v>
      </c>
      <c r="P122" s="5">
        <v>1.88</v>
      </c>
      <c r="Q122" s="68">
        <v>45539</v>
      </c>
      <c r="R122" s="68">
        <v>45683</v>
      </c>
      <c r="S122" s="5">
        <v>145</v>
      </c>
      <c r="T122" s="5">
        <v>65</v>
      </c>
      <c r="U122" s="46" t="s">
        <v>40</v>
      </c>
    </row>
    <row r="123" spans="1:21" x14ac:dyDescent="0.3">
      <c r="A123" s="5" t="s">
        <v>268</v>
      </c>
      <c r="B123" s="5" t="s">
        <v>40</v>
      </c>
      <c r="C123" s="5" t="s">
        <v>537</v>
      </c>
      <c r="D123" s="5">
        <v>2</v>
      </c>
      <c r="E123" s="5">
        <v>1</v>
      </c>
      <c r="F123" s="5">
        <v>1</v>
      </c>
      <c r="G123" s="5"/>
      <c r="H123" s="5">
        <v>719</v>
      </c>
      <c r="I123" s="68">
        <v>46119</v>
      </c>
      <c r="J123" s="5"/>
      <c r="K123" s="5">
        <v>14</v>
      </c>
      <c r="L123" s="5" t="s">
        <v>786</v>
      </c>
      <c r="M123" s="5">
        <v>1550</v>
      </c>
      <c r="N123" s="5">
        <v>2.16</v>
      </c>
      <c r="O123" s="5">
        <v>1329</v>
      </c>
      <c r="P123" s="5">
        <v>1.85</v>
      </c>
      <c r="Q123" s="68">
        <v>46055</v>
      </c>
      <c r="R123" s="68">
        <v>46160</v>
      </c>
      <c r="S123" s="5">
        <v>106</v>
      </c>
      <c r="T123" s="5">
        <v>42</v>
      </c>
      <c r="U123" s="46" t="s">
        <v>40</v>
      </c>
    </row>
    <row r="124" spans="1:21" x14ac:dyDescent="0.3">
      <c r="A124" s="5" t="s">
        <v>268</v>
      </c>
      <c r="B124" s="5" t="s">
        <v>40</v>
      </c>
      <c r="C124" s="5" t="s">
        <v>454</v>
      </c>
      <c r="D124" s="5">
        <v>2</v>
      </c>
      <c r="E124" s="5">
        <v>1</v>
      </c>
      <c r="F124" s="5">
        <v>1</v>
      </c>
      <c r="G124" s="5"/>
      <c r="H124" s="5">
        <v>719</v>
      </c>
      <c r="I124" s="68">
        <v>45478</v>
      </c>
      <c r="J124" s="5"/>
      <c r="K124" s="5">
        <v>15</v>
      </c>
      <c r="L124" s="5" t="s">
        <v>786</v>
      </c>
      <c r="M124" s="5">
        <v>1430</v>
      </c>
      <c r="N124" s="5">
        <v>1.99</v>
      </c>
      <c r="O124" s="5">
        <v>1430</v>
      </c>
      <c r="P124" s="5">
        <v>1.99</v>
      </c>
      <c r="Q124" s="68">
        <v>45418</v>
      </c>
      <c r="R124" s="68">
        <v>45508</v>
      </c>
      <c r="S124" s="5">
        <v>91</v>
      </c>
      <c r="T124" s="5">
        <v>31</v>
      </c>
      <c r="U124" s="46" t="s">
        <v>40</v>
      </c>
    </row>
    <row r="125" spans="1:21" x14ac:dyDescent="0.3">
      <c r="A125" s="5" t="s">
        <v>268</v>
      </c>
      <c r="B125" s="5" t="s">
        <v>40</v>
      </c>
      <c r="C125" s="5" t="s">
        <v>454</v>
      </c>
      <c r="D125" s="5">
        <v>2</v>
      </c>
      <c r="E125" s="5">
        <v>1</v>
      </c>
      <c r="F125" s="5">
        <v>1</v>
      </c>
      <c r="G125" s="5"/>
      <c r="H125" s="5">
        <v>719</v>
      </c>
      <c r="I125" s="68">
        <v>45929</v>
      </c>
      <c r="J125" s="5"/>
      <c r="K125" s="5">
        <v>12</v>
      </c>
      <c r="L125" s="5" t="s">
        <v>786</v>
      </c>
      <c r="M125" s="5">
        <v>1550</v>
      </c>
      <c r="N125" s="5">
        <v>2.16</v>
      </c>
      <c r="O125" s="5">
        <v>1311</v>
      </c>
      <c r="P125" s="5">
        <v>1.82</v>
      </c>
      <c r="Q125" s="68">
        <v>45853</v>
      </c>
      <c r="R125" s="68">
        <v>45910</v>
      </c>
      <c r="S125" s="5">
        <v>58</v>
      </c>
      <c r="T125" s="5">
        <v>0</v>
      </c>
      <c r="U125" s="46" t="s">
        <v>40</v>
      </c>
    </row>
    <row r="126" spans="1:21" x14ac:dyDescent="0.3">
      <c r="A126" s="5" t="s">
        <v>268</v>
      </c>
      <c r="B126" s="5" t="s">
        <v>40</v>
      </c>
      <c r="C126" s="5" t="s">
        <v>436</v>
      </c>
      <c r="D126" s="5">
        <v>3</v>
      </c>
      <c r="E126" s="5">
        <v>1</v>
      </c>
      <c r="F126" s="5">
        <v>1</v>
      </c>
      <c r="G126" s="5"/>
      <c r="H126" s="5">
        <v>719</v>
      </c>
      <c r="I126" s="68">
        <v>45094</v>
      </c>
      <c r="J126" s="5"/>
      <c r="K126" s="5"/>
      <c r="L126" s="5" t="s">
        <v>786</v>
      </c>
      <c r="M126" s="5">
        <v>1410</v>
      </c>
      <c r="N126" s="5">
        <v>1.96</v>
      </c>
      <c r="O126" s="5">
        <v>1247</v>
      </c>
      <c r="P126" s="5">
        <v>1.73</v>
      </c>
      <c r="Q126" s="5"/>
      <c r="R126" s="68">
        <v>45260</v>
      </c>
      <c r="S126" s="5"/>
      <c r="T126" s="5"/>
      <c r="U126" s="46" t="s">
        <v>40</v>
      </c>
    </row>
    <row r="127" spans="1:21" x14ac:dyDescent="0.3">
      <c r="A127" s="5" t="s">
        <v>268</v>
      </c>
      <c r="B127" s="5" t="s">
        <v>40</v>
      </c>
      <c r="C127" s="5" t="s">
        <v>436</v>
      </c>
      <c r="D127" s="5">
        <v>3</v>
      </c>
      <c r="E127" s="5">
        <v>1</v>
      </c>
      <c r="F127" s="5">
        <v>1</v>
      </c>
      <c r="G127" s="5"/>
      <c r="H127" s="5">
        <v>719</v>
      </c>
      <c r="I127" s="68">
        <v>46120</v>
      </c>
      <c r="J127" s="5"/>
      <c r="K127" s="5">
        <v>14</v>
      </c>
      <c r="L127" s="5" t="s">
        <v>786</v>
      </c>
      <c r="M127" s="5">
        <v>1595</v>
      </c>
      <c r="N127" s="5">
        <v>2.2200000000000002</v>
      </c>
      <c r="O127" s="5">
        <v>1367</v>
      </c>
      <c r="P127" s="5">
        <v>1.9</v>
      </c>
      <c r="Q127" s="68">
        <v>46063</v>
      </c>
      <c r="R127" s="68">
        <v>46164</v>
      </c>
      <c r="S127" s="5">
        <v>102</v>
      </c>
      <c r="T127" s="5">
        <v>45</v>
      </c>
      <c r="U127" s="46" t="s">
        <v>40</v>
      </c>
    </row>
    <row r="128" spans="1:21" x14ac:dyDescent="0.3">
      <c r="A128" s="5" t="s">
        <v>268</v>
      </c>
      <c r="B128" s="5" t="s">
        <v>40</v>
      </c>
      <c r="C128" s="5" t="s">
        <v>554</v>
      </c>
      <c r="D128" s="5">
        <v>3</v>
      </c>
      <c r="E128" s="5">
        <v>1</v>
      </c>
      <c r="F128" s="5">
        <v>1</v>
      </c>
      <c r="G128" s="5"/>
      <c r="H128" s="5">
        <v>719</v>
      </c>
      <c r="I128" s="68">
        <v>45094</v>
      </c>
      <c r="J128" s="5"/>
      <c r="K128" s="5"/>
      <c r="L128" s="5" t="s">
        <v>786</v>
      </c>
      <c r="M128" s="5">
        <v>1440</v>
      </c>
      <c r="N128" s="5">
        <v>2</v>
      </c>
      <c r="O128" s="5">
        <v>1274</v>
      </c>
      <c r="P128" s="5">
        <v>1.77</v>
      </c>
      <c r="Q128" s="5"/>
      <c r="R128" s="68">
        <v>45180</v>
      </c>
      <c r="S128" s="5"/>
      <c r="T128" s="5"/>
      <c r="U128" s="46" t="s">
        <v>40</v>
      </c>
    </row>
    <row r="129" spans="1:21" x14ac:dyDescent="0.3">
      <c r="A129" s="5" t="s">
        <v>268</v>
      </c>
      <c r="B129" s="5" t="s">
        <v>40</v>
      </c>
      <c r="C129" s="5" t="s">
        <v>554</v>
      </c>
      <c r="D129" s="5">
        <v>3</v>
      </c>
      <c r="E129" s="5">
        <v>1</v>
      </c>
      <c r="F129" s="5">
        <v>1</v>
      </c>
      <c r="G129" s="5"/>
      <c r="H129" s="5">
        <v>719</v>
      </c>
      <c r="I129" s="68">
        <v>46163</v>
      </c>
      <c r="J129" s="5"/>
      <c r="K129" s="5">
        <v>14</v>
      </c>
      <c r="L129" s="5" t="s">
        <v>786</v>
      </c>
      <c r="M129" s="5">
        <v>1595</v>
      </c>
      <c r="N129" s="5">
        <v>2.2200000000000002</v>
      </c>
      <c r="O129" s="5">
        <v>1367</v>
      </c>
      <c r="P129" s="5">
        <v>1.9</v>
      </c>
      <c r="Q129" s="68">
        <v>46058</v>
      </c>
      <c r="R129" s="68">
        <v>46140</v>
      </c>
      <c r="S129" s="5">
        <v>83</v>
      </c>
      <c r="T129" s="5">
        <v>0</v>
      </c>
      <c r="U129" s="46" t="s">
        <v>40</v>
      </c>
    </row>
    <row r="130" spans="1:21" x14ac:dyDescent="0.3">
      <c r="A130" s="5" t="s">
        <v>268</v>
      </c>
      <c r="B130" s="5" t="s">
        <v>40</v>
      </c>
      <c r="C130" s="5" t="s">
        <v>464</v>
      </c>
      <c r="D130" s="5">
        <v>3</v>
      </c>
      <c r="E130" s="5">
        <v>1</v>
      </c>
      <c r="F130" s="5">
        <v>1</v>
      </c>
      <c r="G130" s="5"/>
      <c r="H130" s="5">
        <v>719</v>
      </c>
      <c r="I130" s="68">
        <v>45837</v>
      </c>
      <c r="J130" s="5"/>
      <c r="K130" s="5">
        <v>12</v>
      </c>
      <c r="L130" s="5" t="s">
        <v>786</v>
      </c>
      <c r="M130" s="5">
        <v>1595</v>
      </c>
      <c r="N130" s="5">
        <v>2.2200000000000002</v>
      </c>
      <c r="O130" s="5">
        <v>1349</v>
      </c>
      <c r="P130" s="5">
        <v>1.88</v>
      </c>
      <c r="Q130" s="68">
        <v>45773</v>
      </c>
      <c r="R130" s="68">
        <v>45889</v>
      </c>
      <c r="S130" s="5">
        <v>117</v>
      </c>
      <c r="T130" s="5">
        <v>53</v>
      </c>
      <c r="U130" s="46" t="s">
        <v>40</v>
      </c>
    </row>
    <row r="131" spans="1:21" x14ac:dyDescent="0.3">
      <c r="A131" s="5" t="s">
        <v>268</v>
      </c>
      <c r="B131" s="5" t="s">
        <v>40</v>
      </c>
      <c r="C131" s="5" t="s">
        <v>505</v>
      </c>
      <c r="D131" s="5">
        <v>3</v>
      </c>
      <c r="E131" s="5">
        <v>1</v>
      </c>
      <c r="F131" s="5">
        <v>1</v>
      </c>
      <c r="G131" s="5"/>
      <c r="H131" s="5">
        <v>719</v>
      </c>
      <c r="I131" s="68">
        <v>45106</v>
      </c>
      <c r="J131" s="5"/>
      <c r="K131" s="5"/>
      <c r="L131" s="5" t="s">
        <v>786</v>
      </c>
      <c r="M131" s="5">
        <v>1435</v>
      </c>
      <c r="N131" s="5">
        <v>2</v>
      </c>
      <c r="O131" s="5">
        <v>1269</v>
      </c>
      <c r="P131" s="5">
        <v>1.76</v>
      </c>
      <c r="Q131" s="68">
        <v>45106</v>
      </c>
      <c r="R131" s="68">
        <v>45210</v>
      </c>
      <c r="S131" s="5">
        <v>105</v>
      </c>
      <c r="T131" s="5">
        <v>105</v>
      </c>
      <c r="U131" s="46" t="s">
        <v>40</v>
      </c>
    </row>
    <row r="132" spans="1:21" x14ac:dyDescent="0.3">
      <c r="A132" s="5" t="s">
        <v>268</v>
      </c>
      <c r="B132" s="5" t="s">
        <v>40</v>
      </c>
      <c r="C132" s="5" t="s">
        <v>505</v>
      </c>
      <c r="D132" s="5">
        <v>3</v>
      </c>
      <c r="E132" s="5">
        <v>1</v>
      </c>
      <c r="F132" s="5">
        <v>1</v>
      </c>
      <c r="G132" s="5"/>
      <c r="H132" s="5">
        <v>719</v>
      </c>
      <c r="I132" s="68">
        <v>45652</v>
      </c>
      <c r="J132" s="5"/>
      <c r="K132" s="5">
        <v>12</v>
      </c>
      <c r="L132" s="5" t="s">
        <v>786</v>
      </c>
      <c r="M132" s="5">
        <v>1399</v>
      </c>
      <c r="N132" s="5">
        <v>1.95</v>
      </c>
      <c r="O132" s="5">
        <v>1121</v>
      </c>
      <c r="P132" s="5">
        <v>1.56</v>
      </c>
      <c r="Q132" s="68">
        <v>45582</v>
      </c>
      <c r="R132" s="68">
        <v>45664</v>
      </c>
      <c r="S132" s="5">
        <v>83</v>
      </c>
      <c r="T132" s="5">
        <v>13</v>
      </c>
      <c r="U132" s="46" t="s">
        <v>40</v>
      </c>
    </row>
    <row r="133" spans="1:21" x14ac:dyDescent="0.3">
      <c r="A133" s="5" t="s">
        <v>268</v>
      </c>
      <c r="B133" s="5" t="s">
        <v>40</v>
      </c>
      <c r="C133" s="5" t="s">
        <v>626</v>
      </c>
      <c r="D133" s="5">
        <v>3</v>
      </c>
      <c r="E133" s="5">
        <v>1</v>
      </c>
      <c r="F133" s="5">
        <v>1</v>
      </c>
      <c r="G133" s="5"/>
      <c r="H133" s="5">
        <v>719</v>
      </c>
      <c r="I133" s="68">
        <v>45094</v>
      </c>
      <c r="J133" s="5"/>
      <c r="K133" s="5"/>
      <c r="L133" s="5" t="s">
        <v>786</v>
      </c>
      <c r="M133" s="5">
        <v>1485</v>
      </c>
      <c r="N133" s="5">
        <v>2.0699999999999998</v>
      </c>
      <c r="O133" s="5">
        <v>1314</v>
      </c>
      <c r="P133" s="5">
        <v>1.83</v>
      </c>
      <c r="Q133" s="5"/>
      <c r="R133" s="68">
        <v>45111</v>
      </c>
      <c r="S133" s="5"/>
      <c r="T133" s="5"/>
      <c r="U133" s="46" t="s">
        <v>40</v>
      </c>
    </row>
    <row r="134" spans="1:21" x14ac:dyDescent="0.3">
      <c r="A134" s="5" t="s">
        <v>268</v>
      </c>
      <c r="B134" s="5" t="s">
        <v>40</v>
      </c>
      <c r="C134" s="5" t="s">
        <v>626</v>
      </c>
      <c r="D134" s="5">
        <v>3</v>
      </c>
      <c r="E134" s="5">
        <v>1</v>
      </c>
      <c r="F134" s="5">
        <v>1</v>
      </c>
      <c r="G134" s="5"/>
      <c r="H134" s="5">
        <v>719</v>
      </c>
      <c r="I134" s="68">
        <v>45508</v>
      </c>
      <c r="J134" s="5"/>
      <c r="K134" s="5">
        <v>12</v>
      </c>
      <c r="L134" s="5" t="s">
        <v>786</v>
      </c>
      <c r="M134" s="5">
        <v>1399</v>
      </c>
      <c r="N134" s="5">
        <v>1.95</v>
      </c>
      <c r="O134" s="5">
        <v>1399</v>
      </c>
      <c r="P134" s="5">
        <v>1.95</v>
      </c>
      <c r="Q134" s="68">
        <v>45462</v>
      </c>
      <c r="R134" s="68">
        <v>45647</v>
      </c>
      <c r="S134" s="5">
        <v>186</v>
      </c>
      <c r="T134" s="5">
        <v>140</v>
      </c>
      <c r="U134" s="46" t="s">
        <v>40</v>
      </c>
    </row>
    <row r="135" spans="1:21" x14ac:dyDescent="0.3">
      <c r="A135" s="5" t="s">
        <v>268</v>
      </c>
      <c r="B135" s="5" t="s">
        <v>40</v>
      </c>
      <c r="C135" s="5" t="s">
        <v>626</v>
      </c>
      <c r="D135" s="5">
        <v>3</v>
      </c>
      <c r="E135" s="5">
        <v>1</v>
      </c>
      <c r="F135" s="5">
        <v>1</v>
      </c>
      <c r="G135" s="5"/>
      <c r="H135" s="5">
        <v>719</v>
      </c>
      <c r="I135" s="68">
        <v>45755</v>
      </c>
      <c r="J135" s="5"/>
      <c r="K135" s="5">
        <v>12</v>
      </c>
      <c r="L135" s="5" t="s">
        <v>786</v>
      </c>
      <c r="M135" s="5">
        <v>1595</v>
      </c>
      <c r="N135" s="5">
        <v>2.2200000000000002</v>
      </c>
      <c r="O135" s="5">
        <v>1349</v>
      </c>
      <c r="P135" s="5">
        <v>1.88</v>
      </c>
      <c r="Q135" s="68">
        <v>45748</v>
      </c>
      <c r="R135" s="68">
        <v>45765</v>
      </c>
      <c r="S135" s="5">
        <v>18</v>
      </c>
      <c r="T135" s="5">
        <v>11</v>
      </c>
      <c r="U135" s="46" t="s">
        <v>40</v>
      </c>
    </row>
    <row r="136" spans="1:21" x14ac:dyDescent="0.3">
      <c r="A136" s="5" t="s">
        <v>268</v>
      </c>
      <c r="B136" s="5" t="s">
        <v>40</v>
      </c>
      <c r="C136" s="5" t="s">
        <v>623</v>
      </c>
      <c r="D136" s="5">
        <v>3</v>
      </c>
      <c r="E136" s="5">
        <v>1</v>
      </c>
      <c r="F136" s="5">
        <v>1</v>
      </c>
      <c r="G136" s="5"/>
      <c r="H136" s="5">
        <v>719</v>
      </c>
      <c r="I136" s="68">
        <v>45887</v>
      </c>
      <c r="J136" s="5"/>
      <c r="K136" s="5">
        <v>12</v>
      </c>
      <c r="L136" s="5" t="s">
        <v>786</v>
      </c>
      <c r="M136" s="5">
        <v>1595</v>
      </c>
      <c r="N136" s="5">
        <v>2.2200000000000002</v>
      </c>
      <c r="O136" s="5">
        <v>1411</v>
      </c>
      <c r="P136" s="5">
        <v>1.96</v>
      </c>
      <c r="Q136" s="68">
        <v>45818</v>
      </c>
      <c r="R136" s="68">
        <v>45882</v>
      </c>
      <c r="S136" s="5">
        <v>65</v>
      </c>
      <c r="T136" s="5">
        <v>0</v>
      </c>
      <c r="U136" s="46" t="s">
        <v>40</v>
      </c>
    </row>
    <row r="137" spans="1:21" x14ac:dyDescent="0.3">
      <c r="A137" s="5" t="s">
        <v>268</v>
      </c>
      <c r="B137" s="5" t="s">
        <v>40</v>
      </c>
      <c r="C137" s="5" t="s">
        <v>623</v>
      </c>
      <c r="D137" s="5">
        <v>3</v>
      </c>
      <c r="E137" s="5">
        <v>1</v>
      </c>
      <c r="F137" s="5">
        <v>1</v>
      </c>
      <c r="G137" s="5"/>
      <c r="H137" s="5">
        <v>719</v>
      </c>
      <c r="I137" s="68">
        <v>46118</v>
      </c>
      <c r="J137" s="5"/>
      <c r="K137" s="5">
        <v>14</v>
      </c>
      <c r="L137" s="5" t="s">
        <v>786</v>
      </c>
      <c r="M137" s="5">
        <v>1595</v>
      </c>
      <c r="N137" s="5">
        <v>2.2200000000000002</v>
      </c>
      <c r="O137" s="5">
        <v>1367</v>
      </c>
      <c r="P137" s="5">
        <v>1.9</v>
      </c>
      <c r="Q137" s="68">
        <v>46090</v>
      </c>
      <c r="R137" s="68">
        <v>46128</v>
      </c>
      <c r="S137" s="5">
        <v>39</v>
      </c>
      <c r="T137" s="5">
        <v>11</v>
      </c>
      <c r="U137" s="46" t="s">
        <v>40</v>
      </c>
    </row>
    <row r="138" spans="1:21" x14ac:dyDescent="0.3">
      <c r="A138" s="5" t="s">
        <v>268</v>
      </c>
      <c r="B138" s="5" t="s">
        <v>40</v>
      </c>
      <c r="C138" s="5" t="s">
        <v>628</v>
      </c>
      <c r="D138" s="5">
        <v>3</v>
      </c>
      <c r="E138" s="5">
        <v>1</v>
      </c>
      <c r="F138" s="5">
        <v>1</v>
      </c>
      <c r="G138" s="5"/>
      <c r="H138" s="5">
        <v>719</v>
      </c>
      <c r="I138" s="68">
        <v>45094</v>
      </c>
      <c r="J138" s="5"/>
      <c r="K138" s="5"/>
      <c r="L138" s="5" t="s">
        <v>786</v>
      </c>
      <c r="M138" s="5">
        <v>1485</v>
      </c>
      <c r="N138" s="5">
        <v>2.0699999999999998</v>
      </c>
      <c r="O138" s="5">
        <v>1314</v>
      </c>
      <c r="P138" s="5">
        <v>1.83</v>
      </c>
      <c r="Q138" s="5"/>
      <c r="R138" s="68">
        <v>45102</v>
      </c>
      <c r="S138" s="5"/>
      <c r="T138" s="5"/>
      <c r="U138" s="46" t="s">
        <v>40</v>
      </c>
    </row>
    <row r="139" spans="1:21" x14ac:dyDescent="0.3">
      <c r="A139" s="5" t="s">
        <v>268</v>
      </c>
      <c r="B139" s="5" t="s">
        <v>40</v>
      </c>
      <c r="C139" s="5" t="s">
        <v>628</v>
      </c>
      <c r="D139" s="5">
        <v>3</v>
      </c>
      <c r="E139" s="5">
        <v>1</v>
      </c>
      <c r="F139" s="5">
        <v>1</v>
      </c>
      <c r="G139" s="5"/>
      <c r="H139" s="5">
        <v>719</v>
      </c>
      <c r="I139" s="68">
        <v>45858</v>
      </c>
      <c r="J139" s="5"/>
      <c r="K139" s="5">
        <v>12</v>
      </c>
      <c r="L139" s="5" t="s">
        <v>786</v>
      </c>
      <c r="M139" s="5">
        <v>1365</v>
      </c>
      <c r="N139" s="5">
        <v>1.9</v>
      </c>
      <c r="O139" s="5">
        <v>1155</v>
      </c>
      <c r="P139" s="5">
        <v>1.61</v>
      </c>
      <c r="Q139" s="68">
        <v>45782</v>
      </c>
      <c r="R139" s="68">
        <v>45964</v>
      </c>
      <c r="S139" s="5">
        <v>183</v>
      </c>
      <c r="T139" s="5">
        <v>107</v>
      </c>
      <c r="U139" s="46" t="s">
        <v>40</v>
      </c>
    </row>
    <row r="140" spans="1:21" x14ac:dyDescent="0.3">
      <c r="A140" s="5" t="s">
        <v>268</v>
      </c>
      <c r="B140" s="5" t="s">
        <v>40</v>
      </c>
      <c r="C140" s="5" t="s">
        <v>618</v>
      </c>
      <c r="D140" s="5">
        <v>3</v>
      </c>
      <c r="E140" s="5">
        <v>1</v>
      </c>
      <c r="F140" s="5">
        <v>1</v>
      </c>
      <c r="G140" s="5"/>
      <c r="H140" s="5">
        <v>719</v>
      </c>
      <c r="I140" s="68">
        <v>46169</v>
      </c>
      <c r="J140" s="5"/>
      <c r="K140" s="5">
        <v>14</v>
      </c>
      <c r="L140" s="5" t="s">
        <v>786</v>
      </c>
      <c r="M140" s="5">
        <v>1595</v>
      </c>
      <c r="N140" s="5">
        <v>2.2200000000000002</v>
      </c>
      <c r="O140" s="5">
        <v>1367</v>
      </c>
      <c r="P140" s="5">
        <v>1.9</v>
      </c>
      <c r="Q140" s="68">
        <v>46100</v>
      </c>
      <c r="R140" s="68">
        <v>46153</v>
      </c>
      <c r="S140" s="5">
        <v>54</v>
      </c>
      <c r="T140" s="5">
        <v>0</v>
      </c>
      <c r="U140" s="46" t="s">
        <v>40</v>
      </c>
    </row>
    <row r="141" spans="1:21" x14ac:dyDescent="0.3">
      <c r="A141" s="5" t="s">
        <v>268</v>
      </c>
      <c r="B141" s="5" t="s">
        <v>40</v>
      </c>
      <c r="C141" s="5" t="s">
        <v>521</v>
      </c>
      <c r="D141" s="5">
        <v>1</v>
      </c>
      <c r="E141" s="5">
        <v>1</v>
      </c>
      <c r="F141" s="5">
        <v>1</v>
      </c>
      <c r="G141" s="5"/>
      <c r="H141" s="5">
        <v>719</v>
      </c>
      <c r="I141" s="68">
        <v>45097</v>
      </c>
      <c r="J141" s="5"/>
      <c r="K141" s="5"/>
      <c r="L141" s="5" t="s">
        <v>787</v>
      </c>
      <c r="M141" s="5">
        <v>1470</v>
      </c>
      <c r="N141" s="5">
        <v>2.04</v>
      </c>
      <c r="O141" s="5">
        <v>1300</v>
      </c>
      <c r="P141" s="5">
        <v>1.81</v>
      </c>
      <c r="Q141" s="5"/>
      <c r="R141" s="68">
        <v>45193</v>
      </c>
      <c r="S141" s="5"/>
      <c r="T141" s="5"/>
      <c r="U141" s="46" t="s">
        <v>40</v>
      </c>
    </row>
    <row r="142" spans="1:21" x14ac:dyDescent="0.3">
      <c r="A142" s="5" t="s">
        <v>268</v>
      </c>
      <c r="B142" s="5" t="s">
        <v>40</v>
      </c>
      <c r="C142" s="5" t="s">
        <v>521</v>
      </c>
      <c r="D142" s="5">
        <v>1</v>
      </c>
      <c r="E142" s="5">
        <v>1</v>
      </c>
      <c r="F142" s="5">
        <v>1</v>
      </c>
      <c r="G142" s="5"/>
      <c r="H142" s="5">
        <v>719</v>
      </c>
      <c r="I142" s="68">
        <v>45528</v>
      </c>
      <c r="J142" s="5"/>
      <c r="K142" s="5">
        <v>12</v>
      </c>
      <c r="L142" s="5" t="s">
        <v>787</v>
      </c>
      <c r="M142" s="5">
        <v>1350</v>
      </c>
      <c r="N142" s="5">
        <v>1.88</v>
      </c>
      <c r="O142" s="5">
        <v>1080</v>
      </c>
      <c r="P142" s="5">
        <v>1.5</v>
      </c>
      <c r="Q142" s="68">
        <v>45521</v>
      </c>
      <c r="R142" s="68">
        <v>45664</v>
      </c>
      <c r="S142" s="5">
        <v>144</v>
      </c>
      <c r="T142" s="5">
        <v>137</v>
      </c>
      <c r="U142" s="46" t="s">
        <v>40</v>
      </c>
    </row>
    <row r="143" spans="1:21" x14ac:dyDescent="0.3">
      <c r="A143" s="5" t="s">
        <v>268</v>
      </c>
      <c r="B143" s="5" t="s">
        <v>40</v>
      </c>
      <c r="C143" s="5" t="s">
        <v>521</v>
      </c>
      <c r="D143" s="5">
        <v>1</v>
      </c>
      <c r="E143" s="5">
        <v>1</v>
      </c>
      <c r="F143" s="5">
        <v>1</v>
      </c>
      <c r="G143" s="5"/>
      <c r="H143" s="5">
        <v>719</v>
      </c>
      <c r="I143" s="68">
        <v>45876</v>
      </c>
      <c r="J143" s="5"/>
      <c r="K143" s="5">
        <v>12</v>
      </c>
      <c r="L143" s="5" t="s">
        <v>787</v>
      </c>
      <c r="M143" s="5">
        <v>1630</v>
      </c>
      <c r="N143" s="5">
        <v>2.27</v>
      </c>
      <c r="O143" s="5">
        <v>1379</v>
      </c>
      <c r="P143" s="5">
        <v>1.92</v>
      </c>
      <c r="Q143" s="68">
        <v>45861</v>
      </c>
      <c r="R143" s="68">
        <v>45908</v>
      </c>
      <c r="S143" s="5">
        <v>48</v>
      </c>
      <c r="T143" s="5">
        <v>33</v>
      </c>
      <c r="U143" s="46" t="s">
        <v>40</v>
      </c>
    </row>
    <row r="144" spans="1:21" x14ac:dyDescent="0.3">
      <c r="A144" s="5" t="s">
        <v>268</v>
      </c>
      <c r="B144" s="5" t="s">
        <v>40</v>
      </c>
      <c r="C144" s="5" t="s">
        <v>470</v>
      </c>
      <c r="D144" s="5">
        <v>1</v>
      </c>
      <c r="E144" s="5">
        <v>1</v>
      </c>
      <c r="F144" s="5">
        <v>1</v>
      </c>
      <c r="G144" s="5"/>
      <c r="H144" s="5">
        <v>719</v>
      </c>
      <c r="I144" s="68">
        <v>45094</v>
      </c>
      <c r="J144" s="5"/>
      <c r="K144" s="5"/>
      <c r="L144" s="5" t="s">
        <v>787</v>
      </c>
      <c r="M144" s="5">
        <v>1415</v>
      </c>
      <c r="N144" s="5">
        <v>1.97</v>
      </c>
      <c r="O144" s="5">
        <v>1252</v>
      </c>
      <c r="P144" s="5">
        <v>1.74</v>
      </c>
      <c r="Q144" s="5"/>
      <c r="R144" s="68">
        <v>45267</v>
      </c>
      <c r="S144" s="5"/>
      <c r="T144" s="5"/>
      <c r="U144" s="46" t="s">
        <v>40</v>
      </c>
    </row>
    <row r="145" spans="1:21" x14ac:dyDescent="0.3">
      <c r="A145" s="5" t="s">
        <v>268</v>
      </c>
      <c r="B145" s="5" t="s">
        <v>40</v>
      </c>
      <c r="C145" s="5" t="s">
        <v>470</v>
      </c>
      <c r="D145" s="5">
        <v>1</v>
      </c>
      <c r="E145" s="5">
        <v>1</v>
      </c>
      <c r="F145" s="5">
        <v>1</v>
      </c>
      <c r="G145" s="5"/>
      <c r="H145" s="5">
        <v>719</v>
      </c>
      <c r="I145" s="68">
        <v>45728</v>
      </c>
      <c r="J145" s="5"/>
      <c r="K145" s="5">
        <v>12</v>
      </c>
      <c r="L145" s="5" t="s">
        <v>787</v>
      </c>
      <c r="M145" s="5">
        <v>1630</v>
      </c>
      <c r="N145" s="5">
        <v>2.27</v>
      </c>
      <c r="O145" s="5">
        <v>1296</v>
      </c>
      <c r="P145" s="5">
        <v>1.8</v>
      </c>
      <c r="Q145" s="68">
        <v>45690</v>
      </c>
      <c r="R145" s="68">
        <v>45753</v>
      </c>
      <c r="S145" s="5">
        <v>64</v>
      </c>
      <c r="T145" s="5">
        <v>26</v>
      </c>
      <c r="U145" s="46" t="s">
        <v>40</v>
      </c>
    </row>
    <row r="146" spans="1:21" x14ac:dyDescent="0.3">
      <c r="A146" s="5" t="s">
        <v>268</v>
      </c>
      <c r="B146" s="5" t="s">
        <v>40</v>
      </c>
      <c r="C146" s="5" t="s">
        <v>469</v>
      </c>
      <c r="D146" s="5">
        <v>1</v>
      </c>
      <c r="E146" s="5">
        <v>1</v>
      </c>
      <c r="F146" s="5">
        <v>1</v>
      </c>
      <c r="G146" s="5"/>
      <c r="H146" s="5">
        <v>719</v>
      </c>
      <c r="I146" s="68">
        <v>45094</v>
      </c>
      <c r="J146" s="5"/>
      <c r="K146" s="5"/>
      <c r="L146" s="5" t="s">
        <v>787</v>
      </c>
      <c r="M146" s="5">
        <v>1550</v>
      </c>
      <c r="N146" s="5">
        <v>2.16</v>
      </c>
      <c r="O146" s="5">
        <v>1371</v>
      </c>
      <c r="P146" s="5">
        <v>1.91</v>
      </c>
      <c r="Q146" s="5"/>
      <c r="R146" s="68">
        <v>45133</v>
      </c>
      <c r="S146" s="5"/>
      <c r="T146" s="5"/>
      <c r="U146" s="46" t="s">
        <v>40</v>
      </c>
    </row>
    <row r="147" spans="1:21" x14ac:dyDescent="0.3">
      <c r="A147" s="5" t="s">
        <v>268</v>
      </c>
      <c r="B147" s="5" t="s">
        <v>40</v>
      </c>
      <c r="C147" s="5" t="s">
        <v>469</v>
      </c>
      <c r="D147" s="5">
        <v>1</v>
      </c>
      <c r="E147" s="5">
        <v>1</v>
      </c>
      <c r="F147" s="5">
        <v>1</v>
      </c>
      <c r="G147" s="5"/>
      <c r="H147" s="5">
        <v>719</v>
      </c>
      <c r="I147" s="68">
        <v>45225</v>
      </c>
      <c r="J147" s="5"/>
      <c r="K147" s="5"/>
      <c r="L147" s="5" t="s">
        <v>787</v>
      </c>
      <c r="M147" s="5">
        <v>1415</v>
      </c>
      <c r="N147" s="5">
        <v>1.97</v>
      </c>
      <c r="O147" s="5">
        <v>1168</v>
      </c>
      <c r="P147" s="5">
        <v>1.62</v>
      </c>
      <c r="Q147" s="68">
        <v>45225</v>
      </c>
      <c r="R147" s="68">
        <v>45294</v>
      </c>
      <c r="S147" s="5">
        <v>70</v>
      </c>
      <c r="T147" s="5">
        <v>70</v>
      </c>
      <c r="U147" s="46" t="s">
        <v>40</v>
      </c>
    </row>
    <row r="148" spans="1:21" x14ac:dyDescent="0.3">
      <c r="A148" s="5" t="s">
        <v>268</v>
      </c>
      <c r="B148" s="5" t="s">
        <v>40</v>
      </c>
      <c r="C148" s="5" t="s">
        <v>591</v>
      </c>
      <c r="D148" s="5">
        <v>1</v>
      </c>
      <c r="E148" s="5">
        <v>1</v>
      </c>
      <c r="F148" s="5">
        <v>1</v>
      </c>
      <c r="G148" s="5"/>
      <c r="H148" s="5">
        <v>719</v>
      </c>
      <c r="I148" s="68">
        <v>45389</v>
      </c>
      <c r="J148" s="5"/>
      <c r="K148" s="5"/>
      <c r="L148" s="5" t="s">
        <v>787</v>
      </c>
      <c r="M148" s="5">
        <v>1630</v>
      </c>
      <c r="N148" s="5">
        <v>2.27</v>
      </c>
      <c r="O148" s="5">
        <v>1630</v>
      </c>
      <c r="P148" s="5">
        <v>2.27</v>
      </c>
      <c r="Q148" s="68">
        <v>45345</v>
      </c>
      <c r="R148" s="68">
        <v>45376</v>
      </c>
      <c r="S148" s="5">
        <v>32</v>
      </c>
      <c r="T148" s="5">
        <v>0</v>
      </c>
      <c r="U148" s="46" t="s">
        <v>40</v>
      </c>
    </row>
    <row r="149" spans="1:21" x14ac:dyDescent="0.3">
      <c r="A149" s="5" t="s">
        <v>268</v>
      </c>
      <c r="B149" s="5" t="s">
        <v>40</v>
      </c>
      <c r="C149" s="5" t="s">
        <v>596</v>
      </c>
      <c r="D149" s="5">
        <v>1</v>
      </c>
      <c r="E149" s="5">
        <v>1</v>
      </c>
      <c r="F149" s="5">
        <v>1</v>
      </c>
      <c r="G149" s="5"/>
      <c r="H149" s="5">
        <v>719</v>
      </c>
      <c r="I149" s="68">
        <v>45094</v>
      </c>
      <c r="J149" s="5"/>
      <c r="K149" s="5"/>
      <c r="L149" s="5" t="s">
        <v>787</v>
      </c>
      <c r="M149" s="5">
        <v>1485</v>
      </c>
      <c r="N149" s="5">
        <v>2.0699999999999998</v>
      </c>
      <c r="O149" s="5">
        <v>1314</v>
      </c>
      <c r="P149" s="5">
        <v>1.83</v>
      </c>
      <c r="Q149" s="5"/>
      <c r="R149" s="68">
        <v>45199</v>
      </c>
      <c r="S149" s="5"/>
      <c r="T149" s="5"/>
      <c r="U149" s="46" t="s">
        <v>40</v>
      </c>
    </row>
    <row r="150" spans="1:21" x14ac:dyDescent="0.3">
      <c r="A150" s="5" t="s">
        <v>268</v>
      </c>
      <c r="B150" s="5" t="s">
        <v>40</v>
      </c>
      <c r="C150" s="5" t="s">
        <v>596</v>
      </c>
      <c r="D150" s="5">
        <v>1</v>
      </c>
      <c r="E150" s="5">
        <v>1</v>
      </c>
      <c r="F150" s="5">
        <v>1</v>
      </c>
      <c r="G150" s="5"/>
      <c r="H150" s="5">
        <v>719</v>
      </c>
      <c r="I150" s="68">
        <v>45534</v>
      </c>
      <c r="J150" s="5"/>
      <c r="K150" s="5">
        <v>12</v>
      </c>
      <c r="L150" s="5" t="s">
        <v>787</v>
      </c>
      <c r="M150" s="5">
        <v>1399</v>
      </c>
      <c r="N150" s="5">
        <v>1.95</v>
      </c>
      <c r="O150" s="5">
        <v>1399</v>
      </c>
      <c r="P150" s="5">
        <v>1.95</v>
      </c>
      <c r="Q150" s="68">
        <v>45528</v>
      </c>
      <c r="R150" s="68">
        <v>45598</v>
      </c>
      <c r="S150" s="5">
        <v>71</v>
      </c>
      <c r="T150" s="5">
        <v>65</v>
      </c>
      <c r="U150" s="46" t="s">
        <v>40</v>
      </c>
    </row>
    <row r="151" spans="1:21" x14ac:dyDescent="0.3">
      <c r="A151" s="5" t="s">
        <v>268</v>
      </c>
      <c r="B151" s="5" t="s">
        <v>40</v>
      </c>
      <c r="C151" s="5" t="s">
        <v>596</v>
      </c>
      <c r="D151" s="5">
        <v>1</v>
      </c>
      <c r="E151" s="5">
        <v>1</v>
      </c>
      <c r="F151" s="5">
        <v>1</v>
      </c>
      <c r="G151" s="5"/>
      <c r="H151" s="5">
        <v>719</v>
      </c>
      <c r="I151" s="68">
        <v>45979</v>
      </c>
      <c r="J151" s="5"/>
      <c r="K151" s="5">
        <v>12</v>
      </c>
      <c r="L151" s="5" t="s">
        <v>787</v>
      </c>
      <c r="M151" s="5">
        <v>1630</v>
      </c>
      <c r="N151" s="5">
        <v>2.27</v>
      </c>
      <c r="O151" s="5">
        <v>1379</v>
      </c>
      <c r="P151" s="5">
        <v>1.92</v>
      </c>
      <c r="Q151" s="68">
        <v>45910</v>
      </c>
      <c r="R151" s="68">
        <v>45964</v>
      </c>
      <c r="S151" s="5">
        <v>55</v>
      </c>
      <c r="T151" s="5">
        <v>0</v>
      </c>
      <c r="U151" s="46" t="s">
        <v>40</v>
      </c>
    </row>
    <row r="152" spans="1:21" x14ac:dyDescent="0.3">
      <c r="A152" s="5" t="s">
        <v>268</v>
      </c>
      <c r="B152" s="5" t="s">
        <v>40</v>
      </c>
      <c r="C152" s="5" t="s">
        <v>393</v>
      </c>
      <c r="D152" s="5">
        <v>1</v>
      </c>
      <c r="E152" s="5">
        <v>1</v>
      </c>
      <c r="F152" s="5">
        <v>1</v>
      </c>
      <c r="G152" s="5"/>
      <c r="H152" s="5">
        <v>719</v>
      </c>
      <c r="I152" s="68">
        <v>45094</v>
      </c>
      <c r="J152" s="5"/>
      <c r="K152" s="5"/>
      <c r="L152" s="5" t="s">
        <v>787</v>
      </c>
      <c r="M152" s="5">
        <v>1450</v>
      </c>
      <c r="N152" s="5">
        <v>2.02</v>
      </c>
      <c r="O152" s="5">
        <v>1283</v>
      </c>
      <c r="P152" s="5">
        <v>1.78</v>
      </c>
      <c r="Q152" s="5"/>
      <c r="R152" s="68">
        <v>45174</v>
      </c>
      <c r="S152" s="5"/>
      <c r="T152" s="5"/>
      <c r="U152" s="46" t="s">
        <v>40</v>
      </c>
    </row>
    <row r="153" spans="1:21" x14ac:dyDescent="0.3">
      <c r="A153" s="5" t="s">
        <v>268</v>
      </c>
      <c r="B153" s="5" t="s">
        <v>40</v>
      </c>
      <c r="C153" s="5" t="s">
        <v>393</v>
      </c>
      <c r="D153" s="5">
        <v>1</v>
      </c>
      <c r="E153" s="5">
        <v>1</v>
      </c>
      <c r="F153" s="5">
        <v>1</v>
      </c>
      <c r="G153" s="5"/>
      <c r="H153" s="5">
        <v>719</v>
      </c>
      <c r="I153" s="68">
        <v>45695</v>
      </c>
      <c r="J153" s="5"/>
      <c r="K153" s="5">
        <v>12</v>
      </c>
      <c r="L153" s="5" t="s">
        <v>787</v>
      </c>
      <c r="M153" s="5">
        <v>1630</v>
      </c>
      <c r="N153" s="5">
        <v>2.27</v>
      </c>
      <c r="O153" s="5">
        <v>1296</v>
      </c>
      <c r="P153" s="5">
        <v>1.8</v>
      </c>
      <c r="Q153" s="68">
        <v>45624</v>
      </c>
      <c r="R153" s="68">
        <v>45743</v>
      </c>
      <c r="S153" s="5">
        <v>120</v>
      </c>
      <c r="T153" s="5">
        <v>49</v>
      </c>
      <c r="U153" s="46" t="s">
        <v>40</v>
      </c>
    </row>
    <row r="154" spans="1:21" x14ac:dyDescent="0.3">
      <c r="A154" s="5" t="s">
        <v>268</v>
      </c>
      <c r="B154" s="5" t="s">
        <v>40</v>
      </c>
      <c r="C154" s="5" t="s">
        <v>520</v>
      </c>
      <c r="D154" s="5">
        <v>1</v>
      </c>
      <c r="E154" s="5">
        <v>1</v>
      </c>
      <c r="F154" s="5">
        <v>1</v>
      </c>
      <c r="G154" s="5"/>
      <c r="H154" s="5">
        <v>719</v>
      </c>
      <c r="I154" s="68">
        <v>45094</v>
      </c>
      <c r="J154" s="5"/>
      <c r="K154" s="5"/>
      <c r="L154" s="5" t="s">
        <v>787</v>
      </c>
      <c r="M154" s="5">
        <v>1470</v>
      </c>
      <c r="N154" s="5">
        <v>2.04</v>
      </c>
      <c r="O154" s="5">
        <v>1300</v>
      </c>
      <c r="P154" s="5">
        <v>1.81</v>
      </c>
      <c r="Q154" s="5"/>
      <c r="R154" s="68">
        <v>45239</v>
      </c>
      <c r="S154" s="5"/>
      <c r="T154" s="5"/>
      <c r="U154" s="46" t="s">
        <v>40</v>
      </c>
    </row>
    <row r="155" spans="1:21" x14ac:dyDescent="0.3">
      <c r="A155" s="5" t="s">
        <v>268</v>
      </c>
      <c r="B155" s="5" t="s">
        <v>40</v>
      </c>
      <c r="C155" s="5" t="s">
        <v>520</v>
      </c>
      <c r="D155" s="5">
        <v>1</v>
      </c>
      <c r="E155" s="5">
        <v>1</v>
      </c>
      <c r="F155" s="5">
        <v>1</v>
      </c>
      <c r="G155" s="5"/>
      <c r="H155" s="5">
        <v>719</v>
      </c>
      <c r="I155" s="68">
        <v>45618</v>
      </c>
      <c r="J155" s="5"/>
      <c r="K155" s="5">
        <v>12</v>
      </c>
      <c r="L155" s="5" t="s">
        <v>787</v>
      </c>
      <c r="M155" s="5">
        <v>1630</v>
      </c>
      <c r="N155" s="5">
        <v>2.27</v>
      </c>
      <c r="O155" s="5">
        <v>1630</v>
      </c>
      <c r="P155" s="5">
        <v>2.27</v>
      </c>
      <c r="Q155" s="68">
        <v>45588</v>
      </c>
      <c r="R155" s="68">
        <v>45685</v>
      </c>
      <c r="S155" s="5">
        <v>98</v>
      </c>
      <c r="T155" s="5">
        <v>68</v>
      </c>
      <c r="U155" s="46" t="s">
        <v>40</v>
      </c>
    </row>
    <row r="156" spans="1:21" x14ac:dyDescent="0.3">
      <c r="A156" s="5" t="s">
        <v>268</v>
      </c>
      <c r="B156" s="5" t="s">
        <v>40</v>
      </c>
      <c r="C156" s="5" t="s">
        <v>520</v>
      </c>
      <c r="D156" s="5">
        <v>1</v>
      </c>
      <c r="E156" s="5">
        <v>1</v>
      </c>
      <c r="F156" s="5">
        <v>1</v>
      </c>
      <c r="G156" s="5"/>
      <c r="H156" s="5">
        <v>719</v>
      </c>
      <c r="I156" s="68">
        <v>46114</v>
      </c>
      <c r="J156" s="5"/>
      <c r="K156" s="5">
        <v>14</v>
      </c>
      <c r="L156" s="5" t="s">
        <v>787</v>
      </c>
      <c r="M156" s="5">
        <v>1630</v>
      </c>
      <c r="N156" s="5">
        <v>2.27</v>
      </c>
      <c r="O156" s="5">
        <v>1397</v>
      </c>
      <c r="P156" s="5">
        <v>1.94</v>
      </c>
      <c r="Q156" s="68">
        <v>46078</v>
      </c>
      <c r="R156" s="68">
        <v>46127</v>
      </c>
      <c r="S156" s="5">
        <v>50</v>
      </c>
      <c r="T156" s="5">
        <v>14</v>
      </c>
      <c r="U156" s="46" t="s">
        <v>40</v>
      </c>
    </row>
    <row r="157" spans="1:21" x14ac:dyDescent="0.3">
      <c r="A157" s="5" t="s">
        <v>268</v>
      </c>
      <c r="B157" s="5" t="s">
        <v>46</v>
      </c>
      <c r="C157" s="5" t="s">
        <v>492</v>
      </c>
      <c r="D157" s="5">
        <v>2</v>
      </c>
      <c r="E157" s="5">
        <v>1</v>
      </c>
      <c r="F157" s="5">
        <v>1</v>
      </c>
      <c r="G157" s="5"/>
      <c r="H157" s="5">
        <v>736</v>
      </c>
      <c r="I157" s="68">
        <v>45094</v>
      </c>
      <c r="J157" s="5"/>
      <c r="K157" s="5"/>
      <c r="L157" s="5" t="s">
        <v>786</v>
      </c>
      <c r="M157" s="5">
        <v>1625</v>
      </c>
      <c r="N157" s="5">
        <v>2.21</v>
      </c>
      <c r="O157" s="5">
        <v>1437</v>
      </c>
      <c r="P157" s="5">
        <v>1.95</v>
      </c>
      <c r="Q157" s="5"/>
      <c r="R157" s="68">
        <v>45118</v>
      </c>
      <c r="S157" s="5"/>
      <c r="T157" s="5"/>
      <c r="U157" s="46" t="s">
        <v>46</v>
      </c>
    </row>
    <row r="158" spans="1:21" x14ac:dyDescent="0.3">
      <c r="A158" s="5" t="s">
        <v>268</v>
      </c>
      <c r="B158" s="5" t="s">
        <v>46</v>
      </c>
      <c r="C158" s="5" t="s">
        <v>492</v>
      </c>
      <c r="D158" s="5">
        <v>2</v>
      </c>
      <c r="E158" s="5">
        <v>1</v>
      </c>
      <c r="F158" s="5">
        <v>1</v>
      </c>
      <c r="G158" s="5"/>
      <c r="H158" s="5">
        <v>736</v>
      </c>
      <c r="I158" s="68">
        <v>45890</v>
      </c>
      <c r="J158" s="5"/>
      <c r="K158" s="5">
        <v>13</v>
      </c>
      <c r="L158" s="5" t="s">
        <v>786</v>
      </c>
      <c r="M158" s="5">
        <v>1304</v>
      </c>
      <c r="N158" s="5">
        <v>1.77</v>
      </c>
      <c r="O158" s="5">
        <v>1053</v>
      </c>
      <c r="P158" s="5">
        <v>1.43</v>
      </c>
      <c r="Q158" s="68">
        <v>45849</v>
      </c>
      <c r="R158" s="68">
        <v>46046</v>
      </c>
      <c r="S158" s="5">
        <v>198</v>
      </c>
      <c r="T158" s="5">
        <v>157</v>
      </c>
      <c r="U158" s="46" t="s">
        <v>46</v>
      </c>
    </row>
    <row r="159" spans="1:21" x14ac:dyDescent="0.3">
      <c r="A159" s="5" t="s">
        <v>268</v>
      </c>
      <c r="B159" s="5" t="s">
        <v>46</v>
      </c>
      <c r="C159" s="5" t="s">
        <v>472</v>
      </c>
      <c r="D159" s="5">
        <v>1</v>
      </c>
      <c r="E159" s="5">
        <v>1</v>
      </c>
      <c r="F159" s="5">
        <v>1</v>
      </c>
      <c r="G159" s="5"/>
      <c r="H159" s="5">
        <v>736</v>
      </c>
      <c r="I159" s="68">
        <v>45094</v>
      </c>
      <c r="J159" s="5"/>
      <c r="K159" s="5">
        <v>15</v>
      </c>
      <c r="L159" s="5" t="s">
        <v>786</v>
      </c>
      <c r="M159" s="5">
        <v>1625</v>
      </c>
      <c r="N159" s="5">
        <v>2.21</v>
      </c>
      <c r="O159" s="5">
        <v>1625</v>
      </c>
      <c r="P159" s="5">
        <v>2.21</v>
      </c>
      <c r="Q159" s="5"/>
      <c r="R159" s="68">
        <v>45450</v>
      </c>
      <c r="S159" s="5"/>
      <c r="T159" s="5"/>
      <c r="U159" s="46" t="s">
        <v>46</v>
      </c>
    </row>
    <row r="160" spans="1:21" x14ac:dyDescent="0.3">
      <c r="A160" s="5" t="s">
        <v>268</v>
      </c>
      <c r="B160" s="5" t="s">
        <v>46</v>
      </c>
      <c r="C160" s="5" t="s">
        <v>472</v>
      </c>
      <c r="D160" s="5">
        <v>1</v>
      </c>
      <c r="E160" s="5">
        <v>1</v>
      </c>
      <c r="F160" s="5">
        <v>1</v>
      </c>
      <c r="G160" s="5"/>
      <c r="H160" s="5">
        <v>736</v>
      </c>
      <c r="I160" s="68">
        <v>46019</v>
      </c>
      <c r="J160" s="5"/>
      <c r="K160" s="5">
        <v>13</v>
      </c>
      <c r="L160" s="5" t="s">
        <v>786</v>
      </c>
      <c r="M160" s="5">
        <v>1384</v>
      </c>
      <c r="N160" s="5">
        <v>1.88</v>
      </c>
      <c r="O160" s="5">
        <v>1118</v>
      </c>
      <c r="P160" s="5">
        <v>1.52</v>
      </c>
      <c r="Q160" s="68">
        <v>45967</v>
      </c>
      <c r="R160" s="68">
        <v>46037</v>
      </c>
      <c r="S160" s="5">
        <v>71</v>
      </c>
      <c r="T160" s="5">
        <v>19</v>
      </c>
      <c r="U160" s="46" t="s">
        <v>46</v>
      </c>
    </row>
    <row r="161" spans="1:21" x14ac:dyDescent="0.3">
      <c r="A161" s="5" t="s">
        <v>268</v>
      </c>
      <c r="B161" s="5" t="s">
        <v>46</v>
      </c>
      <c r="C161" s="5" t="s">
        <v>488</v>
      </c>
      <c r="D161" s="5">
        <v>2</v>
      </c>
      <c r="E161" s="5">
        <v>1</v>
      </c>
      <c r="F161" s="5">
        <v>1</v>
      </c>
      <c r="G161" s="5"/>
      <c r="H161" s="5">
        <v>736</v>
      </c>
      <c r="I161" s="68">
        <v>45094</v>
      </c>
      <c r="J161" s="5"/>
      <c r="K161" s="5"/>
      <c r="L161" s="5" t="s">
        <v>786</v>
      </c>
      <c r="M161" s="5">
        <v>1625</v>
      </c>
      <c r="N161" s="5">
        <v>2.21</v>
      </c>
      <c r="O161" s="5">
        <v>1437</v>
      </c>
      <c r="P161" s="5">
        <v>1.95</v>
      </c>
      <c r="Q161" s="5"/>
      <c r="R161" s="68">
        <v>45105</v>
      </c>
      <c r="S161" s="5"/>
      <c r="T161" s="5"/>
      <c r="U161" s="46" t="s">
        <v>46</v>
      </c>
    </row>
    <row r="162" spans="1:21" x14ac:dyDescent="0.3">
      <c r="A162" s="5" t="s">
        <v>268</v>
      </c>
      <c r="B162" s="5" t="s">
        <v>46</v>
      </c>
      <c r="C162" s="5" t="s">
        <v>488</v>
      </c>
      <c r="D162" s="5">
        <v>2</v>
      </c>
      <c r="E162" s="5">
        <v>1</v>
      </c>
      <c r="F162" s="5">
        <v>1</v>
      </c>
      <c r="G162" s="5"/>
      <c r="H162" s="5">
        <v>736</v>
      </c>
      <c r="I162" s="68">
        <v>45511</v>
      </c>
      <c r="J162" s="5"/>
      <c r="K162" s="5">
        <v>12</v>
      </c>
      <c r="L162" s="5" t="s">
        <v>786</v>
      </c>
      <c r="M162" s="5">
        <v>1450</v>
      </c>
      <c r="N162" s="5">
        <v>1.97</v>
      </c>
      <c r="O162" s="5">
        <v>1450</v>
      </c>
      <c r="P162" s="5">
        <v>1.97</v>
      </c>
      <c r="Q162" s="68">
        <v>45468</v>
      </c>
      <c r="R162" s="68">
        <v>45618</v>
      </c>
      <c r="S162" s="5">
        <v>151</v>
      </c>
      <c r="T162" s="5">
        <v>108</v>
      </c>
      <c r="U162" s="46" t="s">
        <v>46</v>
      </c>
    </row>
    <row r="163" spans="1:21" x14ac:dyDescent="0.3">
      <c r="A163" s="5" t="s">
        <v>268</v>
      </c>
      <c r="B163" s="5" t="s">
        <v>46</v>
      </c>
      <c r="C163" s="5" t="s">
        <v>488</v>
      </c>
      <c r="D163" s="5">
        <v>2</v>
      </c>
      <c r="E163" s="5">
        <v>1</v>
      </c>
      <c r="F163" s="5">
        <v>1</v>
      </c>
      <c r="G163" s="5"/>
      <c r="H163" s="5">
        <v>736</v>
      </c>
      <c r="I163" s="68">
        <v>45894</v>
      </c>
      <c r="J163" s="5"/>
      <c r="K163" s="5">
        <v>12</v>
      </c>
      <c r="L163" s="5" t="s">
        <v>786</v>
      </c>
      <c r="M163" s="5">
        <v>1395</v>
      </c>
      <c r="N163" s="5">
        <v>1.9</v>
      </c>
      <c r="O163" s="5">
        <v>1127</v>
      </c>
      <c r="P163" s="5">
        <v>1.53</v>
      </c>
      <c r="Q163" s="68">
        <v>45829</v>
      </c>
      <c r="R163" s="68">
        <v>45992</v>
      </c>
      <c r="S163" s="5">
        <v>164</v>
      </c>
      <c r="T163" s="5">
        <v>99</v>
      </c>
      <c r="U163" s="46" t="s">
        <v>46</v>
      </c>
    </row>
    <row r="164" spans="1:21" x14ac:dyDescent="0.3">
      <c r="A164" s="5" t="s">
        <v>268</v>
      </c>
      <c r="B164" s="5" t="s">
        <v>46</v>
      </c>
      <c r="C164" s="5" t="s">
        <v>562</v>
      </c>
      <c r="D164" s="5">
        <v>3</v>
      </c>
      <c r="E164" s="5">
        <v>1</v>
      </c>
      <c r="F164" s="5">
        <v>1</v>
      </c>
      <c r="G164" s="5"/>
      <c r="H164" s="5">
        <v>736</v>
      </c>
      <c r="I164" s="68">
        <v>45396</v>
      </c>
      <c r="J164" s="5"/>
      <c r="K164" s="5">
        <v>15</v>
      </c>
      <c r="L164" s="5" t="s">
        <v>786</v>
      </c>
      <c r="M164" s="5">
        <v>1665</v>
      </c>
      <c r="N164" s="5">
        <v>2.2599999999999998</v>
      </c>
      <c r="O164" s="5">
        <v>1665</v>
      </c>
      <c r="P164" s="5">
        <v>2.2599999999999998</v>
      </c>
      <c r="Q164" s="68">
        <v>45302</v>
      </c>
      <c r="R164" s="68">
        <v>45469</v>
      </c>
      <c r="S164" s="5">
        <v>168</v>
      </c>
      <c r="T164" s="5">
        <v>74</v>
      </c>
      <c r="U164" s="46" t="s">
        <v>46</v>
      </c>
    </row>
    <row r="165" spans="1:21" x14ac:dyDescent="0.3">
      <c r="A165" s="5" t="s">
        <v>268</v>
      </c>
      <c r="B165" s="5" t="s">
        <v>46</v>
      </c>
      <c r="C165" s="5" t="s">
        <v>562</v>
      </c>
      <c r="D165" s="5">
        <v>3</v>
      </c>
      <c r="E165" s="5">
        <v>1</v>
      </c>
      <c r="F165" s="5">
        <v>1</v>
      </c>
      <c r="G165" s="5"/>
      <c r="H165" s="5">
        <v>736</v>
      </c>
      <c r="I165" s="68">
        <v>45876</v>
      </c>
      <c r="J165" s="5"/>
      <c r="K165" s="5">
        <v>12</v>
      </c>
      <c r="L165" s="5" t="s">
        <v>786</v>
      </c>
      <c r="M165" s="5">
        <v>1395</v>
      </c>
      <c r="N165" s="5">
        <v>1.9</v>
      </c>
      <c r="O165" s="5">
        <v>1127</v>
      </c>
      <c r="P165" s="5">
        <v>1.53</v>
      </c>
      <c r="Q165" s="68">
        <v>45875</v>
      </c>
      <c r="R165" s="68">
        <v>45967</v>
      </c>
      <c r="S165" s="5">
        <v>93</v>
      </c>
      <c r="T165" s="5">
        <v>92</v>
      </c>
      <c r="U165" s="46" t="s">
        <v>46</v>
      </c>
    </row>
    <row r="166" spans="1:21" x14ac:dyDescent="0.3">
      <c r="A166" s="5" t="s">
        <v>268</v>
      </c>
      <c r="B166" s="5" t="s">
        <v>46</v>
      </c>
      <c r="C166" s="5" t="s">
        <v>432</v>
      </c>
      <c r="D166" s="5">
        <v>3</v>
      </c>
      <c r="E166" s="5">
        <v>1</v>
      </c>
      <c r="F166" s="5">
        <v>1</v>
      </c>
      <c r="G166" s="5"/>
      <c r="H166" s="5">
        <v>736</v>
      </c>
      <c r="I166" s="68">
        <v>45094</v>
      </c>
      <c r="J166" s="5"/>
      <c r="K166" s="5"/>
      <c r="L166" s="5" t="s">
        <v>786</v>
      </c>
      <c r="M166" s="5">
        <v>1660</v>
      </c>
      <c r="N166" s="5">
        <v>2.2599999999999998</v>
      </c>
      <c r="O166" s="5">
        <v>1468</v>
      </c>
      <c r="P166" s="5">
        <v>1.99</v>
      </c>
      <c r="Q166" s="5"/>
      <c r="R166" s="68">
        <v>45192</v>
      </c>
      <c r="S166" s="5"/>
      <c r="T166" s="5"/>
      <c r="U166" s="46" t="s">
        <v>46</v>
      </c>
    </row>
    <row r="167" spans="1:21" x14ac:dyDescent="0.3">
      <c r="A167" s="5" t="s">
        <v>268</v>
      </c>
      <c r="B167" s="5" t="s">
        <v>46</v>
      </c>
      <c r="C167" s="5" t="s">
        <v>432</v>
      </c>
      <c r="D167" s="5">
        <v>3</v>
      </c>
      <c r="E167" s="5">
        <v>1</v>
      </c>
      <c r="F167" s="5">
        <v>1</v>
      </c>
      <c r="G167" s="5"/>
      <c r="H167" s="5">
        <v>736</v>
      </c>
      <c r="I167" s="68">
        <v>45885</v>
      </c>
      <c r="J167" s="5"/>
      <c r="K167" s="5">
        <v>12</v>
      </c>
      <c r="L167" s="5" t="s">
        <v>786</v>
      </c>
      <c r="M167" s="5">
        <v>1450</v>
      </c>
      <c r="N167" s="5">
        <v>1.97</v>
      </c>
      <c r="O167" s="5">
        <v>1227</v>
      </c>
      <c r="P167" s="5">
        <v>1.67</v>
      </c>
      <c r="Q167" s="68">
        <v>45574</v>
      </c>
      <c r="R167" s="68">
        <v>45940</v>
      </c>
      <c r="S167" s="5">
        <v>367</v>
      </c>
      <c r="T167" s="5">
        <v>56</v>
      </c>
      <c r="U167" s="46" t="s">
        <v>46</v>
      </c>
    </row>
    <row r="168" spans="1:21" x14ac:dyDescent="0.3">
      <c r="A168" s="5" t="s">
        <v>268</v>
      </c>
      <c r="B168" s="5" t="s">
        <v>46</v>
      </c>
      <c r="C168" s="5" t="s">
        <v>543</v>
      </c>
      <c r="D168" s="5">
        <v>2</v>
      </c>
      <c r="E168" s="5">
        <v>1</v>
      </c>
      <c r="F168" s="5">
        <v>1</v>
      </c>
      <c r="G168" s="5"/>
      <c r="H168" s="5">
        <v>736</v>
      </c>
      <c r="I168" s="68">
        <v>45094</v>
      </c>
      <c r="J168" s="5"/>
      <c r="K168" s="5"/>
      <c r="L168" s="5" t="s">
        <v>786</v>
      </c>
      <c r="M168" s="5">
        <v>1635</v>
      </c>
      <c r="N168" s="5">
        <v>2.2200000000000002</v>
      </c>
      <c r="O168" s="5">
        <v>1363</v>
      </c>
      <c r="P168" s="5">
        <v>1.85</v>
      </c>
      <c r="Q168" s="5"/>
      <c r="R168" s="68">
        <v>45299</v>
      </c>
      <c r="S168" s="5"/>
      <c r="T168" s="5"/>
      <c r="U168" s="46" t="s">
        <v>46</v>
      </c>
    </row>
    <row r="169" spans="1:21" x14ac:dyDescent="0.3">
      <c r="A169" s="5" t="s">
        <v>268</v>
      </c>
      <c r="B169" s="5" t="s">
        <v>46</v>
      </c>
      <c r="C169" s="5" t="s">
        <v>543</v>
      </c>
      <c r="D169" s="5">
        <v>2</v>
      </c>
      <c r="E169" s="5">
        <v>1</v>
      </c>
      <c r="F169" s="5">
        <v>1</v>
      </c>
      <c r="G169" s="5"/>
      <c r="H169" s="5">
        <v>736</v>
      </c>
      <c r="I169" s="68">
        <v>45815</v>
      </c>
      <c r="J169" s="5"/>
      <c r="K169" s="5">
        <v>12</v>
      </c>
      <c r="L169" s="5" t="s">
        <v>786</v>
      </c>
      <c r="M169" s="5">
        <v>1450</v>
      </c>
      <c r="N169" s="5">
        <v>1.97</v>
      </c>
      <c r="O169" s="5">
        <v>1227</v>
      </c>
      <c r="P169" s="5">
        <v>1.67</v>
      </c>
      <c r="Q169" s="68">
        <v>45722</v>
      </c>
      <c r="R169" s="68">
        <v>45953</v>
      </c>
      <c r="S169" s="5">
        <v>232</v>
      </c>
      <c r="T169" s="5">
        <v>139</v>
      </c>
      <c r="U169" s="46" t="s">
        <v>46</v>
      </c>
    </row>
    <row r="170" spans="1:21" x14ac:dyDescent="0.3">
      <c r="A170" s="5" t="s">
        <v>268</v>
      </c>
      <c r="B170" s="5" t="s">
        <v>46</v>
      </c>
      <c r="C170" s="5" t="s">
        <v>476</v>
      </c>
      <c r="D170" s="5">
        <v>1</v>
      </c>
      <c r="E170" s="5">
        <v>1</v>
      </c>
      <c r="F170" s="5">
        <v>1</v>
      </c>
      <c r="G170" s="5"/>
      <c r="H170" s="5">
        <v>736</v>
      </c>
      <c r="I170" s="68">
        <v>45094</v>
      </c>
      <c r="J170" s="5"/>
      <c r="K170" s="5"/>
      <c r="L170" s="5" t="s">
        <v>786</v>
      </c>
      <c r="M170" s="5">
        <v>1595</v>
      </c>
      <c r="N170" s="5">
        <v>2.17</v>
      </c>
      <c r="O170" s="5">
        <v>1411</v>
      </c>
      <c r="P170" s="5">
        <v>1.92</v>
      </c>
      <c r="Q170" s="5"/>
      <c r="R170" s="68">
        <v>45222</v>
      </c>
      <c r="S170" s="5"/>
      <c r="T170" s="5"/>
      <c r="U170" s="46" t="s">
        <v>46</v>
      </c>
    </row>
    <row r="171" spans="1:21" x14ac:dyDescent="0.3">
      <c r="A171" s="5" t="s">
        <v>268</v>
      </c>
      <c r="B171" s="5" t="s">
        <v>46</v>
      </c>
      <c r="C171" s="5" t="s">
        <v>476</v>
      </c>
      <c r="D171" s="5">
        <v>1</v>
      </c>
      <c r="E171" s="5">
        <v>1</v>
      </c>
      <c r="F171" s="5">
        <v>1</v>
      </c>
      <c r="G171" s="5"/>
      <c r="H171" s="5">
        <v>736</v>
      </c>
      <c r="I171" s="68">
        <v>45502</v>
      </c>
      <c r="J171" s="5"/>
      <c r="K171" s="5">
        <v>12</v>
      </c>
      <c r="L171" s="5" t="s">
        <v>786</v>
      </c>
      <c r="M171" s="5">
        <v>1470</v>
      </c>
      <c r="N171" s="5">
        <v>2</v>
      </c>
      <c r="O171" s="5">
        <v>1470</v>
      </c>
      <c r="P171" s="5">
        <v>2</v>
      </c>
      <c r="Q171" s="68">
        <v>45468</v>
      </c>
      <c r="R171" s="68">
        <v>45640</v>
      </c>
      <c r="S171" s="5">
        <v>173</v>
      </c>
      <c r="T171" s="5">
        <v>139</v>
      </c>
      <c r="U171" s="46" t="s">
        <v>46</v>
      </c>
    </row>
    <row r="172" spans="1:21" x14ac:dyDescent="0.3">
      <c r="A172" s="5" t="s">
        <v>268</v>
      </c>
      <c r="B172" s="5" t="s">
        <v>46</v>
      </c>
      <c r="C172" s="5" t="s">
        <v>523</v>
      </c>
      <c r="D172" s="5">
        <v>1</v>
      </c>
      <c r="E172" s="5">
        <v>1</v>
      </c>
      <c r="F172" s="5">
        <v>1</v>
      </c>
      <c r="G172" s="5"/>
      <c r="H172" s="5">
        <v>736</v>
      </c>
      <c r="I172" s="68">
        <v>45094</v>
      </c>
      <c r="J172" s="5"/>
      <c r="K172" s="5"/>
      <c r="L172" s="5" t="s">
        <v>786</v>
      </c>
      <c r="M172" s="5">
        <v>1705</v>
      </c>
      <c r="N172" s="5">
        <v>2.3199999999999998</v>
      </c>
      <c r="O172" s="5">
        <v>1508</v>
      </c>
      <c r="P172" s="5">
        <v>2.0499999999999998</v>
      </c>
      <c r="Q172" s="5"/>
      <c r="R172" s="68">
        <v>45109</v>
      </c>
      <c r="S172" s="5"/>
      <c r="T172" s="5"/>
      <c r="U172" s="46" t="s">
        <v>46</v>
      </c>
    </row>
    <row r="173" spans="1:21" x14ac:dyDescent="0.3">
      <c r="A173" s="5" t="s">
        <v>268</v>
      </c>
      <c r="B173" s="5" t="s">
        <v>46</v>
      </c>
      <c r="C173" s="5" t="s">
        <v>523</v>
      </c>
      <c r="D173" s="5">
        <v>1</v>
      </c>
      <c r="E173" s="5">
        <v>1</v>
      </c>
      <c r="F173" s="5">
        <v>1</v>
      </c>
      <c r="G173" s="5"/>
      <c r="H173" s="5">
        <v>736</v>
      </c>
      <c r="I173" s="68">
        <v>45271</v>
      </c>
      <c r="J173" s="5"/>
      <c r="K173" s="5">
        <v>12</v>
      </c>
      <c r="L173" s="5" t="s">
        <v>786</v>
      </c>
      <c r="M173" s="5">
        <v>1485</v>
      </c>
      <c r="N173" s="5">
        <v>2.02</v>
      </c>
      <c r="O173" s="5">
        <v>1485</v>
      </c>
      <c r="P173" s="5">
        <v>2.02</v>
      </c>
      <c r="Q173" s="68">
        <v>45266</v>
      </c>
      <c r="R173" s="68">
        <v>45605</v>
      </c>
      <c r="S173" s="5">
        <v>340</v>
      </c>
      <c r="T173" s="5">
        <v>335</v>
      </c>
      <c r="U173" s="46" t="s">
        <v>46</v>
      </c>
    </row>
    <row r="174" spans="1:21" x14ac:dyDescent="0.3">
      <c r="A174" s="5" t="s">
        <v>268</v>
      </c>
      <c r="B174" s="5" t="s">
        <v>46</v>
      </c>
      <c r="C174" s="5" t="s">
        <v>412</v>
      </c>
      <c r="D174" s="5">
        <v>2</v>
      </c>
      <c r="E174" s="5">
        <v>1</v>
      </c>
      <c r="F174" s="5">
        <v>1</v>
      </c>
      <c r="G174" s="5"/>
      <c r="H174" s="5">
        <v>736</v>
      </c>
      <c r="I174" s="68">
        <v>45094</v>
      </c>
      <c r="J174" s="5"/>
      <c r="K174" s="5"/>
      <c r="L174" s="5" t="s">
        <v>786</v>
      </c>
      <c r="M174" s="5">
        <v>1635</v>
      </c>
      <c r="N174" s="5">
        <v>2.2200000000000002</v>
      </c>
      <c r="O174" s="5">
        <v>1363</v>
      </c>
      <c r="P174" s="5">
        <v>1.85</v>
      </c>
      <c r="Q174" s="5"/>
      <c r="R174" s="68">
        <v>45143</v>
      </c>
      <c r="S174" s="5"/>
      <c r="T174" s="5"/>
      <c r="U174" s="46" t="s">
        <v>46</v>
      </c>
    </row>
    <row r="175" spans="1:21" x14ac:dyDescent="0.3">
      <c r="A175" s="5" t="s">
        <v>268</v>
      </c>
      <c r="B175" s="5" t="s">
        <v>46</v>
      </c>
      <c r="C175" s="5" t="s">
        <v>412</v>
      </c>
      <c r="D175" s="5">
        <v>2</v>
      </c>
      <c r="E175" s="5">
        <v>1</v>
      </c>
      <c r="F175" s="5">
        <v>1</v>
      </c>
      <c r="G175" s="5"/>
      <c r="H175" s="5">
        <v>736</v>
      </c>
      <c r="I175" s="68">
        <v>45454</v>
      </c>
      <c r="J175" s="5"/>
      <c r="K175" s="5">
        <v>12</v>
      </c>
      <c r="L175" s="5" t="s">
        <v>786</v>
      </c>
      <c r="M175" s="5">
        <v>1499</v>
      </c>
      <c r="N175" s="5">
        <v>2.04</v>
      </c>
      <c r="O175" s="5">
        <v>1326</v>
      </c>
      <c r="P175" s="5">
        <v>1.8</v>
      </c>
      <c r="Q175" s="68">
        <v>45448</v>
      </c>
      <c r="R175" s="68">
        <v>45584</v>
      </c>
      <c r="S175" s="5">
        <v>137</v>
      </c>
      <c r="T175" s="5">
        <v>131</v>
      </c>
      <c r="U175" s="46" t="s">
        <v>46</v>
      </c>
    </row>
    <row r="176" spans="1:21" x14ac:dyDescent="0.3">
      <c r="A176" s="5" t="s">
        <v>268</v>
      </c>
      <c r="B176" s="5" t="s">
        <v>46</v>
      </c>
      <c r="C176" s="5" t="s">
        <v>527</v>
      </c>
      <c r="D176" s="5">
        <v>1</v>
      </c>
      <c r="E176" s="5">
        <v>1</v>
      </c>
      <c r="F176" s="5">
        <v>1</v>
      </c>
      <c r="G176" s="5"/>
      <c r="H176" s="5">
        <v>736</v>
      </c>
      <c r="I176" s="68">
        <v>45094</v>
      </c>
      <c r="J176" s="5"/>
      <c r="K176" s="5"/>
      <c r="L176" s="5" t="s">
        <v>786</v>
      </c>
      <c r="M176" s="5">
        <v>1715</v>
      </c>
      <c r="N176" s="5">
        <v>2.33</v>
      </c>
      <c r="O176" s="5">
        <v>1434</v>
      </c>
      <c r="P176" s="5">
        <v>1.95</v>
      </c>
      <c r="Q176" s="5"/>
      <c r="R176" s="68">
        <v>45152</v>
      </c>
      <c r="S176" s="5"/>
      <c r="T176" s="5"/>
      <c r="U176" s="46" t="s">
        <v>46</v>
      </c>
    </row>
    <row r="177" spans="1:21" x14ac:dyDescent="0.3">
      <c r="A177" s="5" t="s">
        <v>268</v>
      </c>
      <c r="B177" s="5" t="s">
        <v>46</v>
      </c>
      <c r="C177" s="5" t="s">
        <v>527</v>
      </c>
      <c r="D177" s="5">
        <v>1</v>
      </c>
      <c r="E177" s="5">
        <v>1</v>
      </c>
      <c r="F177" s="5">
        <v>1</v>
      </c>
      <c r="G177" s="5"/>
      <c r="H177" s="5">
        <v>736</v>
      </c>
      <c r="I177" s="68">
        <v>45730</v>
      </c>
      <c r="J177" s="5"/>
      <c r="K177" s="5">
        <v>12</v>
      </c>
      <c r="L177" s="5" t="s">
        <v>786</v>
      </c>
      <c r="M177" s="5">
        <v>1530</v>
      </c>
      <c r="N177" s="5">
        <v>2.08</v>
      </c>
      <c r="O177" s="5">
        <v>1353</v>
      </c>
      <c r="P177" s="5">
        <v>1.84</v>
      </c>
      <c r="Q177" s="68">
        <v>45657</v>
      </c>
      <c r="R177" s="68">
        <v>45876</v>
      </c>
      <c r="S177" s="5">
        <v>220</v>
      </c>
      <c r="T177" s="5">
        <v>147</v>
      </c>
      <c r="U177" s="46" t="s">
        <v>46</v>
      </c>
    </row>
    <row r="178" spans="1:21" x14ac:dyDescent="0.3">
      <c r="A178" s="5" t="s">
        <v>268</v>
      </c>
      <c r="B178" s="5" t="s">
        <v>46</v>
      </c>
      <c r="C178" s="5" t="s">
        <v>395</v>
      </c>
      <c r="D178" s="5">
        <v>1</v>
      </c>
      <c r="E178" s="5">
        <v>1</v>
      </c>
      <c r="F178" s="5">
        <v>1</v>
      </c>
      <c r="G178" s="5"/>
      <c r="H178" s="5">
        <v>736</v>
      </c>
      <c r="I178" s="68">
        <v>45094</v>
      </c>
      <c r="J178" s="5"/>
      <c r="K178" s="5"/>
      <c r="L178" s="5" t="s">
        <v>786</v>
      </c>
      <c r="M178" s="5">
        <v>1545</v>
      </c>
      <c r="N178" s="5">
        <v>2.1</v>
      </c>
      <c r="O178" s="5">
        <v>1283</v>
      </c>
      <c r="P178" s="5">
        <v>1.74</v>
      </c>
      <c r="Q178" s="5"/>
      <c r="R178" s="68">
        <v>45296</v>
      </c>
      <c r="S178" s="5"/>
      <c r="T178" s="5"/>
      <c r="U178" s="46" t="s">
        <v>46</v>
      </c>
    </row>
    <row r="179" spans="1:21" x14ac:dyDescent="0.3">
      <c r="A179" s="5" t="s">
        <v>268</v>
      </c>
      <c r="B179" s="5" t="s">
        <v>46</v>
      </c>
      <c r="C179" s="5" t="s">
        <v>399</v>
      </c>
      <c r="D179" s="5">
        <v>1</v>
      </c>
      <c r="E179" s="5">
        <v>1</v>
      </c>
      <c r="F179" s="5">
        <v>1</v>
      </c>
      <c r="G179" s="5"/>
      <c r="H179" s="5">
        <v>736</v>
      </c>
      <c r="I179" s="68">
        <v>45094</v>
      </c>
      <c r="J179" s="5"/>
      <c r="K179" s="5"/>
      <c r="L179" s="5" t="s">
        <v>786</v>
      </c>
      <c r="M179" s="5">
        <v>1545</v>
      </c>
      <c r="N179" s="5">
        <v>2.1</v>
      </c>
      <c r="O179" s="5">
        <v>1283</v>
      </c>
      <c r="P179" s="5">
        <v>1.74</v>
      </c>
      <c r="Q179" s="5"/>
      <c r="R179" s="68">
        <v>45299</v>
      </c>
      <c r="S179" s="5"/>
      <c r="T179" s="5"/>
      <c r="U179" s="46" t="s">
        <v>46</v>
      </c>
    </row>
    <row r="180" spans="1:21" x14ac:dyDescent="0.3">
      <c r="A180" s="5" t="s">
        <v>268</v>
      </c>
      <c r="B180" s="5" t="s">
        <v>46</v>
      </c>
      <c r="C180" s="5" t="s">
        <v>558</v>
      </c>
      <c r="D180" s="5">
        <v>3</v>
      </c>
      <c r="E180" s="5">
        <v>1</v>
      </c>
      <c r="F180" s="5">
        <v>1</v>
      </c>
      <c r="G180" s="5"/>
      <c r="H180" s="5">
        <v>736</v>
      </c>
      <c r="I180" s="68">
        <v>45094</v>
      </c>
      <c r="J180" s="5"/>
      <c r="K180" s="5"/>
      <c r="L180" s="5" t="s">
        <v>786</v>
      </c>
      <c r="M180" s="5">
        <v>1680</v>
      </c>
      <c r="N180" s="5">
        <v>2.2799999999999998</v>
      </c>
      <c r="O180" s="5">
        <v>1486</v>
      </c>
      <c r="P180" s="5">
        <v>2.02</v>
      </c>
      <c r="Q180" s="5"/>
      <c r="R180" s="68">
        <v>45125</v>
      </c>
      <c r="S180" s="5"/>
      <c r="T180" s="5"/>
      <c r="U180" s="46" t="s">
        <v>46</v>
      </c>
    </row>
    <row r="181" spans="1:21" x14ac:dyDescent="0.3">
      <c r="A181" s="5" t="s">
        <v>268</v>
      </c>
      <c r="B181" s="5" t="s">
        <v>46</v>
      </c>
      <c r="C181" s="5" t="s">
        <v>558</v>
      </c>
      <c r="D181" s="5">
        <v>3</v>
      </c>
      <c r="E181" s="5">
        <v>1</v>
      </c>
      <c r="F181" s="5">
        <v>1</v>
      </c>
      <c r="G181" s="5"/>
      <c r="H181" s="5">
        <v>736</v>
      </c>
      <c r="I181" s="68">
        <v>45801</v>
      </c>
      <c r="J181" s="5"/>
      <c r="K181" s="5">
        <v>12</v>
      </c>
      <c r="L181" s="5" t="s">
        <v>786</v>
      </c>
      <c r="M181" s="5">
        <v>1550</v>
      </c>
      <c r="N181" s="5">
        <v>2.11</v>
      </c>
      <c r="O181" s="5">
        <v>1311</v>
      </c>
      <c r="P181" s="5">
        <v>1.78</v>
      </c>
      <c r="Q181" s="68">
        <v>45769</v>
      </c>
      <c r="R181" s="68">
        <v>45910</v>
      </c>
      <c r="S181" s="5">
        <v>142</v>
      </c>
      <c r="T181" s="5">
        <v>110</v>
      </c>
      <c r="U181" s="46" t="s">
        <v>46</v>
      </c>
    </row>
    <row r="182" spans="1:21" x14ac:dyDescent="0.3">
      <c r="A182" s="5" t="s">
        <v>268</v>
      </c>
      <c r="B182" s="5" t="s">
        <v>46</v>
      </c>
      <c r="C182" s="5" t="s">
        <v>507</v>
      </c>
      <c r="D182" s="5">
        <v>3</v>
      </c>
      <c r="E182" s="5">
        <v>1</v>
      </c>
      <c r="F182" s="5">
        <v>1</v>
      </c>
      <c r="G182" s="5"/>
      <c r="H182" s="5">
        <v>736</v>
      </c>
      <c r="I182" s="68">
        <v>45475</v>
      </c>
      <c r="J182" s="5"/>
      <c r="K182" s="5">
        <v>15</v>
      </c>
      <c r="L182" s="5" t="s">
        <v>786</v>
      </c>
      <c r="M182" s="5">
        <v>1555</v>
      </c>
      <c r="N182" s="5">
        <v>2.11</v>
      </c>
      <c r="O182" s="5">
        <v>1555</v>
      </c>
      <c r="P182" s="5">
        <v>2.11</v>
      </c>
      <c r="Q182" s="68">
        <v>45409</v>
      </c>
      <c r="R182" s="68">
        <v>45529</v>
      </c>
      <c r="S182" s="5">
        <v>121</v>
      </c>
      <c r="T182" s="5">
        <v>55</v>
      </c>
      <c r="U182" s="46" t="s">
        <v>46</v>
      </c>
    </row>
    <row r="183" spans="1:21" x14ac:dyDescent="0.3">
      <c r="A183" s="5" t="s">
        <v>268</v>
      </c>
      <c r="B183" s="5" t="s">
        <v>46</v>
      </c>
      <c r="C183" s="5" t="s">
        <v>539</v>
      </c>
      <c r="D183" s="5">
        <v>2</v>
      </c>
      <c r="E183" s="5">
        <v>1</v>
      </c>
      <c r="F183" s="5">
        <v>1</v>
      </c>
      <c r="G183" s="5"/>
      <c r="H183" s="5">
        <v>736</v>
      </c>
      <c r="I183" s="68">
        <v>45511</v>
      </c>
      <c r="J183" s="5"/>
      <c r="K183" s="5">
        <v>15</v>
      </c>
      <c r="L183" s="5" t="s">
        <v>787</v>
      </c>
      <c r="M183" s="5">
        <v>1645</v>
      </c>
      <c r="N183" s="5">
        <v>2.2400000000000002</v>
      </c>
      <c r="O183" s="5">
        <v>1645</v>
      </c>
      <c r="P183" s="5">
        <v>2.2400000000000002</v>
      </c>
      <c r="Q183" s="68">
        <v>45460</v>
      </c>
      <c r="R183" s="68">
        <v>45480</v>
      </c>
      <c r="S183" s="5">
        <v>21</v>
      </c>
      <c r="T183" s="5">
        <v>0</v>
      </c>
      <c r="U183" s="46" t="s">
        <v>46</v>
      </c>
    </row>
    <row r="184" spans="1:21" x14ac:dyDescent="0.3">
      <c r="A184" s="5" t="s">
        <v>268</v>
      </c>
      <c r="B184" s="5" t="s">
        <v>46</v>
      </c>
      <c r="C184" s="5" t="s">
        <v>415</v>
      </c>
      <c r="D184" s="5">
        <v>2</v>
      </c>
      <c r="E184" s="5">
        <v>1</v>
      </c>
      <c r="F184" s="5">
        <v>1</v>
      </c>
      <c r="G184" s="5"/>
      <c r="H184" s="5">
        <v>736</v>
      </c>
      <c r="I184" s="68">
        <v>45094</v>
      </c>
      <c r="J184" s="5"/>
      <c r="K184" s="5"/>
      <c r="L184" s="5" t="s">
        <v>787</v>
      </c>
      <c r="M184" s="5">
        <v>1499</v>
      </c>
      <c r="N184" s="5">
        <v>2.04</v>
      </c>
      <c r="O184" s="5">
        <v>1243</v>
      </c>
      <c r="P184" s="5">
        <v>1.69</v>
      </c>
      <c r="Q184" s="5"/>
      <c r="R184" s="68">
        <v>45275</v>
      </c>
      <c r="S184" s="5"/>
      <c r="T184" s="5"/>
      <c r="U184" s="46" t="s">
        <v>46</v>
      </c>
    </row>
    <row r="185" spans="1:21" x14ac:dyDescent="0.3">
      <c r="A185" s="5" t="s">
        <v>268</v>
      </c>
      <c r="B185" s="5" t="s">
        <v>46</v>
      </c>
      <c r="C185" s="5" t="s">
        <v>415</v>
      </c>
      <c r="D185" s="5">
        <v>2</v>
      </c>
      <c r="E185" s="5">
        <v>1</v>
      </c>
      <c r="F185" s="5">
        <v>1</v>
      </c>
      <c r="G185" s="5"/>
      <c r="H185" s="5">
        <v>736</v>
      </c>
      <c r="I185" s="68">
        <v>45725</v>
      </c>
      <c r="J185" s="5"/>
      <c r="K185" s="5">
        <v>12</v>
      </c>
      <c r="L185" s="5" t="s">
        <v>787</v>
      </c>
      <c r="M185" s="5">
        <v>1645</v>
      </c>
      <c r="N185" s="5">
        <v>2.2400000000000002</v>
      </c>
      <c r="O185" s="5">
        <v>1308</v>
      </c>
      <c r="P185" s="5">
        <v>1.78</v>
      </c>
      <c r="Q185" s="68">
        <v>45660</v>
      </c>
      <c r="R185" s="68">
        <v>45739</v>
      </c>
      <c r="S185" s="5">
        <v>80</v>
      </c>
      <c r="T185" s="5">
        <v>15</v>
      </c>
      <c r="U185" s="46" t="s">
        <v>46</v>
      </c>
    </row>
    <row r="186" spans="1:21" x14ac:dyDescent="0.3">
      <c r="A186" s="5" t="s">
        <v>268</v>
      </c>
      <c r="B186" s="5" t="s">
        <v>46</v>
      </c>
      <c r="C186" s="5" t="s">
        <v>435</v>
      </c>
      <c r="D186" s="5">
        <v>3</v>
      </c>
      <c r="E186" s="5">
        <v>1</v>
      </c>
      <c r="F186" s="5">
        <v>1</v>
      </c>
      <c r="G186" s="5"/>
      <c r="H186" s="5">
        <v>736</v>
      </c>
      <c r="I186" s="68">
        <v>45094</v>
      </c>
      <c r="J186" s="5"/>
      <c r="K186" s="5"/>
      <c r="L186" s="5" t="s">
        <v>787</v>
      </c>
      <c r="M186" s="5">
        <v>1680</v>
      </c>
      <c r="N186" s="5">
        <v>2.2799999999999998</v>
      </c>
      <c r="O186" s="5">
        <v>1403</v>
      </c>
      <c r="P186" s="5">
        <v>1.91</v>
      </c>
      <c r="Q186" s="5"/>
      <c r="R186" s="68">
        <v>45155</v>
      </c>
      <c r="S186" s="5"/>
      <c r="T186" s="5"/>
      <c r="U186" s="46" t="s">
        <v>46</v>
      </c>
    </row>
    <row r="187" spans="1:21" x14ac:dyDescent="0.3">
      <c r="A187" s="5" t="s">
        <v>268</v>
      </c>
      <c r="B187" s="5" t="s">
        <v>46</v>
      </c>
      <c r="C187" s="5" t="s">
        <v>511</v>
      </c>
      <c r="D187" s="5">
        <v>3</v>
      </c>
      <c r="E187" s="5">
        <v>1</v>
      </c>
      <c r="F187" s="5">
        <v>1</v>
      </c>
      <c r="G187" s="5"/>
      <c r="H187" s="5">
        <v>736</v>
      </c>
      <c r="I187" s="68">
        <v>45094</v>
      </c>
      <c r="J187" s="5"/>
      <c r="K187" s="5"/>
      <c r="L187" s="5" t="s">
        <v>787</v>
      </c>
      <c r="M187" s="5">
        <v>1660</v>
      </c>
      <c r="N187" s="5">
        <v>2.2599999999999998</v>
      </c>
      <c r="O187" s="5">
        <v>1468</v>
      </c>
      <c r="P187" s="5">
        <v>1.99</v>
      </c>
      <c r="Q187" s="5"/>
      <c r="R187" s="68">
        <v>45112</v>
      </c>
      <c r="S187" s="5"/>
      <c r="T187" s="5"/>
      <c r="U187" s="46" t="s">
        <v>46</v>
      </c>
    </row>
    <row r="188" spans="1:21" x14ac:dyDescent="0.3">
      <c r="A188" s="5" t="s">
        <v>268</v>
      </c>
      <c r="B188" s="5" t="s">
        <v>46</v>
      </c>
      <c r="C188" s="5" t="s">
        <v>511</v>
      </c>
      <c r="D188" s="5">
        <v>3</v>
      </c>
      <c r="E188" s="5">
        <v>1</v>
      </c>
      <c r="F188" s="5">
        <v>1</v>
      </c>
      <c r="G188" s="5"/>
      <c r="H188" s="5">
        <v>736</v>
      </c>
      <c r="I188" s="68">
        <v>45664</v>
      </c>
      <c r="J188" s="5"/>
      <c r="K188" s="5">
        <v>12</v>
      </c>
      <c r="L188" s="5" t="s">
        <v>787</v>
      </c>
      <c r="M188" s="5">
        <v>1690</v>
      </c>
      <c r="N188" s="5">
        <v>2.2999999999999998</v>
      </c>
      <c r="O188" s="5">
        <v>1690</v>
      </c>
      <c r="P188" s="5">
        <v>2.2999999999999998</v>
      </c>
      <c r="Q188" s="68">
        <v>45594</v>
      </c>
      <c r="R188" s="68">
        <v>45708</v>
      </c>
      <c r="S188" s="5">
        <v>115</v>
      </c>
      <c r="T188" s="5">
        <v>45</v>
      </c>
      <c r="U188" s="46" t="s">
        <v>46</v>
      </c>
    </row>
    <row r="189" spans="1:21" x14ac:dyDescent="0.3">
      <c r="A189" s="5" t="s">
        <v>268</v>
      </c>
      <c r="B189" s="5" t="s">
        <v>40</v>
      </c>
      <c r="C189" s="5" t="s">
        <v>475</v>
      </c>
      <c r="D189" s="5">
        <v>1</v>
      </c>
      <c r="E189" s="5">
        <v>1</v>
      </c>
      <c r="F189" s="5">
        <v>1</v>
      </c>
      <c r="G189" s="5"/>
      <c r="H189" s="5">
        <v>739</v>
      </c>
      <c r="I189" s="68">
        <v>45094</v>
      </c>
      <c r="J189" s="5"/>
      <c r="K189" s="5">
        <v>15</v>
      </c>
      <c r="L189" s="5" t="s">
        <v>786</v>
      </c>
      <c r="M189" s="5">
        <v>1500</v>
      </c>
      <c r="N189" s="5">
        <v>2.0299999999999998</v>
      </c>
      <c r="O189" s="5">
        <v>1500</v>
      </c>
      <c r="P189" s="5">
        <v>2.0299999999999998</v>
      </c>
      <c r="Q189" s="5"/>
      <c r="R189" s="68">
        <v>45451</v>
      </c>
      <c r="S189" s="5"/>
      <c r="T189" s="5"/>
      <c r="U189" s="46" t="s">
        <v>40</v>
      </c>
    </row>
    <row r="190" spans="1:21" x14ac:dyDescent="0.3">
      <c r="A190" s="5" t="s">
        <v>268</v>
      </c>
      <c r="B190" s="5" t="s">
        <v>40</v>
      </c>
      <c r="C190" s="5" t="s">
        <v>475</v>
      </c>
      <c r="D190" s="5">
        <v>1</v>
      </c>
      <c r="E190" s="5">
        <v>1</v>
      </c>
      <c r="F190" s="5">
        <v>1</v>
      </c>
      <c r="G190" s="5"/>
      <c r="H190" s="5">
        <v>739</v>
      </c>
      <c r="I190" s="68">
        <v>45643</v>
      </c>
      <c r="J190" s="5"/>
      <c r="K190" s="5">
        <v>12</v>
      </c>
      <c r="L190" s="5" t="s">
        <v>786</v>
      </c>
      <c r="M190" s="5">
        <v>1375</v>
      </c>
      <c r="N190" s="5">
        <v>1.86</v>
      </c>
      <c r="O190" s="5">
        <v>1375</v>
      </c>
      <c r="P190" s="5">
        <v>1.86</v>
      </c>
      <c r="Q190" s="68">
        <v>45623</v>
      </c>
      <c r="R190" s="68">
        <v>45682</v>
      </c>
      <c r="S190" s="5">
        <v>60</v>
      </c>
      <c r="T190" s="5">
        <v>40</v>
      </c>
      <c r="U190" s="46" t="s">
        <v>40</v>
      </c>
    </row>
    <row r="191" spans="1:21" x14ac:dyDescent="0.3">
      <c r="A191" s="5" t="s">
        <v>268</v>
      </c>
      <c r="B191" s="5" t="s">
        <v>40</v>
      </c>
      <c r="C191" s="5" t="s">
        <v>526</v>
      </c>
      <c r="D191" s="5">
        <v>1</v>
      </c>
      <c r="E191" s="5">
        <v>1</v>
      </c>
      <c r="F191" s="5">
        <v>1</v>
      </c>
      <c r="G191" s="5"/>
      <c r="H191" s="5">
        <v>739</v>
      </c>
      <c r="I191" s="68">
        <v>45094</v>
      </c>
      <c r="J191" s="5"/>
      <c r="K191" s="5"/>
      <c r="L191" s="5" t="s">
        <v>786</v>
      </c>
      <c r="M191" s="5">
        <v>1520</v>
      </c>
      <c r="N191" s="5">
        <v>2.06</v>
      </c>
      <c r="O191" s="5">
        <v>1261</v>
      </c>
      <c r="P191" s="5">
        <v>1.71</v>
      </c>
      <c r="Q191" s="5"/>
      <c r="R191" s="68">
        <v>45151</v>
      </c>
      <c r="S191" s="5"/>
      <c r="T191" s="5"/>
      <c r="U191" s="46" t="s">
        <v>40</v>
      </c>
    </row>
    <row r="192" spans="1:21" x14ac:dyDescent="0.3">
      <c r="A192" s="5" t="s">
        <v>268</v>
      </c>
      <c r="B192" s="5" t="s">
        <v>40</v>
      </c>
      <c r="C192" s="5" t="s">
        <v>526</v>
      </c>
      <c r="D192" s="5">
        <v>1</v>
      </c>
      <c r="E192" s="5">
        <v>1</v>
      </c>
      <c r="F192" s="5">
        <v>1</v>
      </c>
      <c r="G192" s="5"/>
      <c r="H192" s="5">
        <v>739</v>
      </c>
      <c r="I192" s="68">
        <v>45625</v>
      </c>
      <c r="J192" s="5"/>
      <c r="K192" s="5">
        <v>12</v>
      </c>
      <c r="L192" s="5" t="s">
        <v>786</v>
      </c>
      <c r="M192" s="5">
        <v>1525</v>
      </c>
      <c r="N192" s="5">
        <v>2.06</v>
      </c>
      <c r="O192" s="5">
        <v>1525</v>
      </c>
      <c r="P192" s="5">
        <v>2.06</v>
      </c>
      <c r="Q192" s="68">
        <v>45540</v>
      </c>
      <c r="R192" s="68">
        <v>45691</v>
      </c>
      <c r="S192" s="5">
        <v>152</v>
      </c>
      <c r="T192" s="5">
        <v>67</v>
      </c>
      <c r="U192" s="46" t="s">
        <v>40</v>
      </c>
    </row>
    <row r="193" spans="1:21" x14ac:dyDescent="0.3">
      <c r="A193" s="5" t="s">
        <v>268</v>
      </c>
      <c r="B193" s="5" t="s">
        <v>49</v>
      </c>
      <c r="C193" s="5" t="s">
        <v>544</v>
      </c>
      <c r="D193" s="5">
        <v>2</v>
      </c>
      <c r="E193" s="5">
        <v>1</v>
      </c>
      <c r="F193" s="5">
        <v>1</v>
      </c>
      <c r="G193" s="5"/>
      <c r="H193" s="5">
        <v>762</v>
      </c>
      <c r="I193" s="68">
        <v>45473</v>
      </c>
      <c r="J193" s="5"/>
      <c r="K193" s="5">
        <v>15</v>
      </c>
      <c r="L193" s="5" t="s">
        <v>786</v>
      </c>
      <c r="M193" s="5">
        <v>1565</v>
      </c>
      <c r="N193" s="5">
        <v>2.0499999999999998</v>
      </c>
      <c r="O193" s="5">
        <v>1565</v>
      </c>
      <c r="P193" s="5">
        <v>2.0499999999999998</v>
      </c>
      <c r="Q193" s="68">
        <v>45395</v>
      </c>
      <c r="R193" s="68">
        <v>45461</v>
      </c>
      <c r="S193" s="5">
        <v>67</v>
      </c>
      <c r="T193" s="5">
        <v>0</v>
      </c>
      <c r="U193" s="46" t="s">
        <v>49</v>
      </c>
    </row>
    <row r="194" spans="1:21" x14ac:dyDescent="0.3">
      <c r="A194" s="5" t="s">
        <v>268</v>
      </c>
      <c r="B194" s="5" t="s">
        <v>49</v>
      </c>
      <c r="C194" s="5" t="s">
        <v>544</v>
      </c>
      <c r="D194" s="5">
        <v>2</v>
      </c>
      <c r="E194" s="5">
        <v>1</v>
      </c>
      <c r="F194" s="5">
        <v>1</v>
      </c>
      <c r="G194" s="5"/>
      <c r="H194" s="5">
        <v>762</v>
      </c>
      <c r="I194" s="68">
        <v>45929</v>
      </c>
      <c r="J194" s="5"/>
      <c r="K194" s="5">
        <v>13</v>
      </c>
      <c r="L194" s="5" t="s">
        <v>786</v>
      </c>
      <c r="M194" s="5">
        <v>1353</v>
      </c>
      <c r="N194" s="5">
        <v>1.78</v>
      </c>
      <c r="O194" s="5">
        <v>1093</v>
      </c>
      <c r="P194" s="5">
        <v>1.43</v>
      </c>
      <c r="Q194" s="68">
        <v>45860</v>
      </c>
      <c r="R194" s="68">
        <v>46037</v>
      </c>
      <c r="S194" s="5">
        <v>178</v>
      </c>
      <c r="T194" s="5">
        <v>109</v>
      </c>
      <c r="U194" s="46" t="s">
        <v>49</v>
      </c>
    </row>
    <row r="195" spans="1:21" x14ac:dyDescent="0.3">
      <c r="A195" s="5" t="s">
        <v>268</v>
      </c>
      <c r="B195" s="5" t="s">
        <v>49</v>
      </c>
      <c r="C195" s="5" t="s">
        <v>572</v>
      </c>
      <c r="D195" s="5">
        <v>1</v>
      </c>
      <c r="E195" s="5">
        <v>1</v>
      </c>
      <c r="F195" s="5">
        <v>1</v>
      </c>
      <c r="G195" s="5"/>
      <c r="H195" s="5">
        <v>762</v>
      </c>
      <c r="I195" s="68">
        <v>45234</v>
      </c>
      <c r="J195" s="5"/>
      <c r="K195" s="5">
        <v>15</v>
      </c>
      <c r="L195" s="5" t="s">
        <v>786</v>
      </c>
      <c r="M195" s="5">
        <v>1585</v>
      </c>
      <c r="N195" s="5">
        <v>2.08</v>
      </c>
      <c r="O195" s="5">
        <v>1585</v>
      </c>
      <c r="P195" s="5">
        <v>2.08</v>
      </c>
      <c r="Q195" s="68">
        <v>45141</v>
      </c>
      <c r="R195" s="68">
        <v>45465</v>
      </c>
      <c r="S195" s="5">
        <v>325</v>
      </c>
      <c r="T195" s="5">
        <v>232</v>
      </c>
      <c r="U195" s="46" t="s">
        <v>49</v>
      </c>
    </row>
    <row r="196" spans="1:21" x14ac:dyDescent="0.3">
      <c r="A196" s="5" t="s">
        <v>268</v>
      </c>
      <c r="B196" s="5" t="s">
        <v>49</v>
      </c>
      <c r="C196" s="5" t="s">
        <v>572</v>
      </c>
      <c r="D196" s="5">
        <v>1</v>
      </c>
      <c r="E196" s="5">
        <v>1</v>
      </c>
      <c r="F196" s="5">
        <v>1</v>
      </c>
      <c r="G196" s="5"/>
      <c r="H196" s="5">
        <v>762</v>
      </c>
      <c r="I196" s="68">
        <v>45934</v>
      </c>
      <c r="J196" s="5"/>
      <c r="K196" s="5">
        <v>13</v>
      </c>
      <c r="L196" s="5" t="s">
        <v>786</v>
      </c>
      <c r="M196" s="5">
        <v>1385</v>
      </c>
      <c r="N196" s="5">
        <v>1.82</v>
      </c>
      <c r="O196" s="5">
        <v>1385</v>
      </c>
      <c r="P196" s="5">
        <v>1.82</v>
      </c>
      <c r="Q196" s="68">
        <v>45857</v>
      </c>
      <c r="R196" s="68">
        <v>46028</v>
      </c>
      <c r="S196" s="5">
        <v>172</v>
      </c>
      <c r="T196" s="5">
        <v>95</v>
      </c>
      <c r="U196" s="46" t="s">
        <v>49</v>
      </c>
    </row>
    <row r="197" spans="1:21" x14ac:dyDescent="0.3">
      <c r="A197" s="5" t="s">
        <v>268</v>
      </c>
      <c r="B197" s="5" t="s">
        <v>49</v>
      </c>
      <c r="C197" s="5" t="s">
        <v>587</v>
      </c>
      <c r="D197" s="5">
        <v>3</v>
      </c>
      <c r="E197" s="5">
        <v>1</v>
      </c>
      <c r="F197" s="5">
        <v>1</v>
      </c>
      <c r="G197" s="5"/>
      <c r="H197" s="5">
        <v>762</v>
      </c>
      <c r="I197" s="68">
        <v>46012</v>
      </c>
      <c r="J197" s="5"/>
      <c r="K197" s="5">
        <v>14</v>
      </c>
      <c r="L197" s="5" t="s">
        <v>786</v>
      </c>
      <c r="M197" s="5">
        <v>1398</v>
      </c>
      <c r="N197" s="5">
        <v>1.83</v>
      </c>
      <c r="O197" s="5">
        <v>1148</v>
      </c>
      <c r="P197" s="5">
        <v>1.51</v>
      </c>
      <c r="Q197" s="68">
        <v>45932</v>
      </c>
      <c r="R197" s="68">
        <v>46058</v>
      </c>
      <c r="S197" s="5">
        <v>127</v>
      </c>
      <c r="T197" s="5">
        <v>47</v>
      </c>
      <c r="U197" s="46" t="s">
        <v>49</v>
      </c>
    </row>
    <row r="198" spans="1:21" x14ac:dyDescent="0.3">
      <c r="A198" s="5" t="s">
        <v>268</v>
      </c>
      <c r="B198" s="5" t="s">
        <v>49</v>
      </c>
      <c r="C198" s="5" t="s">
        <v>512</v>
      </c>
      <c r="D198" s="5">
        <v>3</v>
      </c>
      <c r="E198" s="5">
        <v>1</v>
      </c>
      <c r="F198" s="5">
        <v>1</v>
      </c>
      <c r="G198" s="5"/>
      <c r="H198" s="5">
        <v>762</v>
      </c>
      <c r="I198" s="68">
        <v>45430</v>
      </c>
      <c r="J198" s="5"/>
      <c r="K198" s="5">
        <v>15</v>
      </c>
      <c r="L198" s="5" t="s">
        <v>786</v>
      </c>
      <c r="M198" s="5">
        <v>1610</v>
      </c>
      <c r="N198" s="5">
        <v>2.11</v>
      </c>
      <c r="O198" s="5">
        <v>1610</v>
      </c>
      <c r="P198" s="5">
        <v>2.11</v>
      </c>
      <c r="Q198" s="68">
        <v>45415</v>
      </c>
      <c r="R198" s="68">
        <v>45461</v>
      </c>
      <c r="S198" s="5">
        <v>47</v>
      </c>
      <c r="T198" s="5">
        <v>32</v>
      </c>
      <c r="U198" s="46" t="s">
        <v>49</v>
      </c>
    </row>
    <row r="199" spans="1:21" x14ac:dyDescent="0.3">
      <c r="A199" s="5" t="s">
        <v>268</v>
      </c>
      <c r="B199" s="5" t="s">
        <v>49</v>
      </c>
      <c r="C199" s="5" t="s">
        <v>512</v>
      </c>
      <c r="D199" s="5">
        <v>3</v>
      </c>
      <c r="E199" s="5">
        <v>1</v>
      </c>
      <c r="F199" s="5">
        <v>1</v>
      </c>
      <c r="G199" s="5"/>
      <c r="H199" s="5">
        <v>762</v>
      </c>
      <c r="I199" s="68">
        <v>46018</v>
      </c>
      <c r="J199" s="5"/>
      <c r="K199" s="5">
        <v>13</v>
      </c>
      <c r="L199" s="5" t="s">
        <v>786</v>
      </c>
      <c r="M199" s="5">
        <v>1398</v>
      </c>
      <c r="N199" s="5">
        <v>1.83</v>
      </c>
      <c r="O199" s="5">
        <v>1129</v>
      </c>
      <c r="P199" s="5">
        <v>1.48</v>
      </c>
      <c r="Q199" s="68">
        <v>45956</v>
      </c>
      <c r="R199" s="68">
        <v>46050</v>
      </c>
      <c r="S199" s="5">
        <v>95</v>
      </c>
      <c r="T199" s="5">
        <v>33</v>
      </c>
      <c r="U199" s="46" t="s">
        <v>49</v>
      </c>
    </row>
    <row r="200" spans="1:21" x14ac:dyDescent="0.3">
      <c r="A200" s="5" t="s">
        <v>268</v>
      </c>
      <c r="B200" s="5" t="s">
        <v>49</v>
      </c>
      <c r="C200" s="5" t="s">
        <v>673</v>
      </c>
      <c r="D200" s="5">
        <v>3</v>
      </c>
      <c r="E200" s="5">
        <v>1</v>
      </c>
      <c r="F200" s="5">
        <v>1</v>
      </c>
      <c r="G200" s="5"/>
      <c r="H200" s="5">
        <v>762</v>
      </c>
      <c r="I200" s="68">
        <v>45916</v>
      </c>
      <c r="J200" s="5"/>
      <c r="K200" s="5">
        <v>14</v>
      </c>
      <c r="L200" s="5" t="s">
        <v>786</v>
      </c>
      <c r="M200" s="5">
        <v>1398</v>
      </c>
      <c r="N200" s="5">
        <v>1.83</v>
      </c>
      <c r="O200" s="5">
        <v>1148</v>
      </c>
      <c r="P200" s="5">
        <v>1.51</v>
      </c>
      <c r="Q200" s="68">
        <v>45849</v>
      </c>
      <c r="R200" s="68">
        <v>46060</v>
      </c>
      <c r="S200" s="5">
        <v>212</v>
      </c>
      <c r="T200" s="5">
        <v>145</v>
      </c>
      <c r="U200" s="46" t="s">
        <v>49</v>
      </c>
    </row>
    <row r="201" spans="1:21" x14ac:dyDescent="0.3">
      <c r="A201" s="5" t="s">
        <v>268</v>
      </c>
      <c r="B201" s="5" t="s">
        <v>49</v>
      </c>
      <c r="C201" s="5" t="s">
        <v>579</v>
      </c>
      <c r="D201" s="5">
        <v>2</v>
      </c>
      <c r="E201" s="5">
        <v>1</v>
      </c>
      <c r="F201" s="5">
        <v>1</v>
      </c>
      <c r="G201" s="5"/>
      <c r="H201" s="5">
        <v>762</v>
      </c>
      <c r="I201" s="68">
        <v>45098</v>
      </c>
      <c r="J201" s="5"/>
      <c r="K201" s="5"/>
      <c r="L201" s="5" t="s">
        <v>786</v>
      </c>
      <c r="M201" s="5">
        <v>1555</v>
      </c>
      <c r="N201" s="5">
        <v>2.04</v>
      </c>
      <c r="O201" s="5">
        <v>1375</v>
      </c>
      <c r="P201" s="5">
        <v>1.8</v>
      </c>
      <c r="Q201" s="68">
        <v>45098</v>
      </c>
      <c r="R201" s="68">
        <v>45118</v>
      </c>
      <c r="S201" s="5">
        <v>21</v>
      </c>
      <c r="T201" s="5">
        <v>21</v>
      </c>
      <c r="U201" s="46" t="s">
        <v>49</v>
      </c>
    </row>
    <row r="202" spans="1:21" x14ac:dyDescent="0.3">
      <c r="A202" s="5" t="s">
        <v>268</v>
      </c>
      <c r="B202" s="5" t="s">
        <v>49</v>
      </c>
      <c r="C202" s="5" t="s">
        <v>579</v>
      </c>
      <c r="D202" s="5">
        <v>2</v>
      </c>
      <c r="E202" s="5">
        <v>1</v>
      </c>
      <c r="F202" s="5">
        <v>1</v>
      </c>
      <c r="G202" s="5"/>
      <c r="H202" s="5">
        <v>762</v>
      </c>
      <c r="I202" s="68">
        <v>45557</v>
      </c>
      <c r="J202" s="5"/>
      <c r="K202" s="5">
        <v>12</v>
      </c>
      <c r="L202" s="5" t="s">
        <v>786</v>
      </c>
      <c r="M202" s="5">
        <v>1399</v>
      </c>
      <c r="N202" s="5">
        <v>1.84</v>
      </c>
      <c r="O202" s="5">
        <v>1399</v>
      </c>
      <c r="P202" s="5">
        <v>1.84</v>
      </c>
      <c r="Q202" s="68">
        <v>45475</v>
      </c>
      <c r="R202" s="68">
        <v>45705</v>
      </c>
      <c r="S202" s="5">
        <v>231</v>
      </c>
      <c r="T202" s="5">
        <v>149</v>
      </c>
      <c r="U202" s="46" t="s">
        <v>49</v>
      </c>
    </row>
    <row r="203" spans="1:21" x14ac:dyDescent="0.3">
      <c r="A203" s="5" t="s">
        <v>268</v>
      </c>
      <c r="B203" s="5" t="s">
        <v>49</v>
      </c>
      <c r="C203" s="5" t="s">
        <v>477</v>
      </c>
      <c r="D203" s="5">
        <v>1</v>
      </c>
      <c r="E203" s="5">
        <v>1</v>
      </c>
      <c r="F203" s="5">
        <v>1</v>
      </c>
      <c r="G203" s="5"/>
      <c r="H203" s="5">
        <v>762</v>
      </c>
      <c r="I203" s="68">
        <v>45511</v>
      </c>
      <c r="J203" s="5"/>
      <c r="K203" s="5">
        <v>12</v>
      </c>
      <c r="L203" s="5" t="s">
        <v>786</v>
      </c>
      <c r="M203" s="5">
        <v>1485</v>
      </c>
      <c r="N203" s="5">
        <v>1.95</v>
      </c>
      <c r="O203" s="5">
        <v>1485</v>
      </c>
      <c r="P203" s="5">
        <v>1.95</v>
      </c>
      <c r="Q203" s="68">
        <v>45470</v>
      </c>
      <c r="R203" s="68">
        <v>45608</v>
      </c>
      <c r="S203" s="5">
        <v>139</v>
      </c>
      <c r="T203" s="5">
        <v>98</v>
      </c>
      <c r="U203" s="46" t="s">
        <v>49</v>
      </c>
    </row>
    <row r="204" spans="1:21" x14ac:dyDescent="0.3">
      <c r="A204" s="5" t="s">
        <v>268</v>
      </c>
      <c r="B204" s="5" t="s">
        <v>49</v>
      </c>
      <c r="C204" s="5" t="s">
        <v>477</v>
      </c>
      <c r="D204" s="5">
        <v>1</v>
      </c>
      <c r="E204" s="5">
        <v>1</v>
      </c>
      <c r="F204" s="5">
        <v>1</v>
      </c>
      <c r="G204" s="5"/>
      <c r="H204" s="5">
        <v>762</v>
      </c>
      <c r="I204" s="68">
        <v>45991</v>
      </c>
      <c r="J204" s="5"/>
      <c r="K204" s="5">
        <v>13</v>
      </c>
      <c r="L204" s="5" t="s">
        <v>786</v>
      </c>
      <c r="M204" s="5">
        <v>1433</v>
      </c>
      <c r="N204" s="5">
        <v>1.88</v>
      </c>
      <c r="O204" s="5">
        <v>1157</v>
      </c>
      <c r="P204" s="5">
        <v>1.52</v>
      </c>
      <c r="Q204" s="68">
        <v>45905</v>
      </c>
      <c r="R204" s="68">
        <v>46048</v>
      </c>
      <c r="S204" s="5">
        <v>144</v>
      </c>
      <c r="T204" s="5">
        <v>58</v>
      </c>
      <c r="U204" s="46" t="s">
        <v>49</v>
      </c>
    </row>
    <row r="205" spans="1:21" x14ac:dyDescent="0.3">
      <c r="A205" s="5" t="s">
        <v>268</v>
      </c>
      <c r="B205" s="5" t="s">
        <v>49</v>
      </c>
      <c r="C205" s="5" t="s">
        <v>653</v>
      </c>
      <c r="D205" s="5">
        <v>2</v>
      </c>
      <c r="E205" s="5">
        <v>1</v>
      </c>
      <c r="F205" s="5">
        <v>1</v>
      </c>
      <c r="G205" s="5"/>
      <c r="H205" s="5">
        <v>762</v>
      </c>
      <c r="I205" s="68">
        <v>45539</v>
      </c>
      <c r="J205" s="5"/>
      <c r="K205" s="5">
        <v>15</v>
      </c>
      <c r="L205" s="5" t="s">
        <v>786</v>
      </c>
      <c r="M205" s="5">
        <v>1495</v>
      </c>
      <c r="N205" s="5">
        <v>1.96</v>
      </c>
      <c r="O205" s="5">
        <v>1357</v>
      </c>
      <c r="P205" s="5">
        <v>1.78</v>
      </c>
      <c r="Q205" s="68">
        <v>45441</v>
      </c>
      <c r="R205" s="68">
        <v>45513</v>
      </c>
      <c r="S205" s="5">
        <v>73</v>
      </c>
      <c r="T205" s="5">
        <v>0</v>
      </c>
      <c r="U205" s="46" t="s">
        <v>49</v>
      </c>
    </row>
    <row r="206" spans="1:21" x14ac:dyDescent="0.3">
      <c r="A206" s="5" t="s">
        <v>268</v>
      </c>
      <c r="B206" s="5" t="s">
        <v>49</v>
      </c>
      <c r="C206" s="5" t="s">
        <v>671</v>
      </c>
      <c r="D206" s="5">
        <v>3</v>
      </c>
      <c r="E206" s="5">
        <v>1</v>
      </c>
      <c r="F206" s="5">
        <v>1</v>
      </c>
      <c r="G206" s="5"/>
      <c r="H206" s="5">
        <v>762</v>
      </c>
      <c r="I206" s="68">
        <v>45495</v>
      </c>
      <c r="J206" s="5"/>
      <c r="K206" s="5">
        <v>12</v>
      </c>
      <c r="L206" s="5" t="s">
        <v>786</v>
      </c>
      <c r="M206" s="5">
        <v>1499</v>
      </c>
      <c r="N206" s="5">
        <v>1.97</v>
      </c>
      <c r="O206" s="5">
        <v>1499</v>
      </c>
      <c r="P206" s="5">
        <v>1.97</v>
      </c>
      <c r="Q206" s="68">
        <v>45477</v>
      </c>
      <c r="R206" s="68">
        <v>45630</v>
      </c>
      <c r="S206" s="5">
        <v>154</v>
      </c>
      <c r="T206" s="5">
        <v>136</v>
      </c>
      <c r="U206" s="46" t="s">
        <v>49</v>
      </c>
    </row>
    <row r="207" spans="1:21" x14ac:dyDescent="0.3">
      <c r="A207" s="5" t="s">
        <v>268</v>
      </c>
      <c r="B207" s="5" t="s">
        <v>49</v>
      </c>
      <c r="C207" s="5" t="s">
        <v>495</v>
      </c>
      <c r="D207" s="5">
        <v>2</v>
      </c>
      <c r="E207" s="5">
        <v>1</v>
      </c>
      <c r="F207" s="5">
        <v>1</v>
      </c>
      <c r="G207" s="5"/>
      <c r="H207" s="5">
        <v>762</v>
      </c>
      <c r="I207" s="68">
        <v>45498</v>
      </c>
      <c r="J207" s="5"/>
      <c r="K207" s="5">
        <v>15</v>
      </c>
      <c r="L207" s="5" t="s">
        <v>786</v>
      </c>
      <c r="M207" s="5">
        <v>1565</v>
      </c>
      <c r="N207" s="5">
        <v>2.0499999999999998</v>
      </c>
      <c r="O207" s="5">
        <v>1565</v>
      </c>
      <c r="P207" s="5">
        <v>2.0499999999999998</v>
      </c>
      <c r="Q207" s="68">
        <v>45415</v>
      </c>
      <c r="R207" s="68">
        <v>45477</v>
      </c>
      <c r="S207" s="5">
        <v>63</v>
      </c>
      <c r="T207" s="5">
        <v>0</v>
      </c>
      <c r="U207" s="46" t="s">
        <v>49</v>
      </c>
    </row>
    <row r="208" spans="1:21" x14ac:dyDescent="0.3">
      <c r="A208" s="5" t="s">
        <v>268</v>
      </c>
      <c r="B208" s="5" t="s">
        <v>49</v>
      </c>
      <c r="C208" s="5" t="s">
        <v>493</v>
      </c>
      <c r="D208" s="5">
        <v>2</v>
      </c>
      <c r="E208" s="5">
        <v>1</v>
      </c>
      <c r="F208" s="5">
        <v>1</v>
      </c>
      <c r="G208" s="5"/>
      <c r="H208" s="5">
        <v>762</v>
      </c>
      <c r="I208" s="68">
        <v>45543</v>
      </c>
      <c r="J208" s="5"/>
      <c r="K208" s="5">
        <v>12</v>
      </c>
      <c r="L208" s="5" t="s">
        <v>786</v>
      </c>
      <c r="M208" s="5">
        <v>1470</v>
      </c>
      <c r="N208" s="5">
        <v>1.93</v>
      </c>
      <c r="O208" s="5">
        <v>1470</v>
      </c>
      <c r="P208" s="5">
        <v>1.93</v>
      </c>
      <c r="Q208" s="68">
        <v>45506</v>
      </c>
      <c r="R208" s="68">
        <v>45656</v>
      </c>
      <c r="S208" s="5">
        <v>151</v>
      </c>
      <c r="T208" s="5">
        <v>114</v>
      </c>
      <c r="U208" s="46" t="s">
        <v>49</v>
      </c>
    </row>
    <row r="209" spans="1:21" x14ac:dyDescent="0.3">
      <c r="A209" s="5" t="s">
        <v>268</v>
      </c>
      <c r="B209" s="5" t="s">
        <v>49</v>
      </c>
      <c r="C209" s="5" t="s">
        <v>493</v>
      </c>
      <c r="D209" s="5">
        <v>2</v>
      </c>
      <c r="E209" s="5">
        <v>1</v>
      </c>
      <c r="F209" s="5">
        <v>1</v>
      </c>
      <c r="G209" s="5"/>
      <c r="H209" s="5">
        <v>762</v>
      </c>
      <c r="I209" s="68">
        <v>46038</v>
      </c>
      <c r="J209" s="5"/>
      <c r="K209" s="5">
        <v>14</v>
      </c>
      <c r="L209" s="5" t="s">
        <v>786</v>
      </c>
      <c r="M209" s="5">
        <v>1565</v>
      </c>
      <c r="N209" s="5">
        <v>2.0499999999999998</v>
      </c>
      <c r="O209" s="5">
        <v>1341</v>
      </c>
      <c r="P209" s="5">
        <v>1.76</v>
      </c>
      <c r="Q209" s="68">
        <v>45976</v>
      </c>
      <c r="R209" s="68">
        <v>46141</v>
      </c>
      <c r="S209" s="5">
        <v>166</v>
      </c>
      <c r="T209" s="5">
        <v>104</v>
      </c>
      <c r="U209" s="46" t="s">
        <v>49</v>
      </c>
    </row>
    <row r="210" spans="1:21" x14ac:dyDescent="0.3">
      <c r="A210" s="5" t="s">
        <v>268</v>
      </c>
      <c r="B210" s="5" t="s">
        <v>49</v>
      </c>
      <c r="C210" s="5" t="s">
        <v>655</v>
      </c>
      <c r="D210" s="5">
        <v>2</v>
      </c>
      <c r="E210" s="5">
        <v>1</v>
      </c>
      <c r="F210" s="5">
        <v>1</v>
      </c>
      <c r="G210" s="5"/>
      <c r="H210" s="5">
        <v>762</v>
      </c>
      <c r="I210" s="68">
        <v>45706</v>
      </c>
      <c r="J210" s="5"/>
      <c r="K210" s="5">
        <v>12</v>
      </c>
      <c r="L210" s="5" t="s">
        <v>786</v>
      </c>
      <c r="M210" s="5">
        <v>1565</v>
      </c>
      <c r="N210" s="5">
        <v>2.0499999999999998</v>
      </c>
      <c r="O210" s="5">
        <v>1565</v>
      </c>
      <c r="P210" s="5">
        <v>2.0499999999999998</v>
      </c>
      <c r="Q210" s="68">
        <v>45643</v>
      </c>
      <c r="R210" s="68">
        <v>45713</v>
      </c>
      <c r="S210" s="5">
        <v>71</v>
      </c>
      <c r="T210" s="5">
        <v>8</v>
      </c>
      <c r="U210" s="46" t="s">
        <v>49</v>
      </c>
    </row>
    <row r="211" spans="1:21" x14ac:dyDescent="0.3">
      <c r="A211" s="5" t="s">
        <v>268</v>
      </c>
      <c r="B211" s="5" t="s">
        <v>49</v>
      </c>
      <c r="C211" s="5" t="s">
        <v>655</v>
      </c>
      <c r="D211" s="5">
        <v>2</v>
      </c>
      <c r="E211" s="5">
        <v>1</v>
      </c>
      <c r="F211" s="5">
        <v>1</v>
      </c>
      <c r="G211" s="5"/>
      <c r="H211" s="5">
        <v>762</v>
      </c>
      <c r="I211" s="68">
        <v>46141</v>
      </c>
      <c r="J211" s="5"/>
      <c r="K211" s="5">
        <v>14</v>
      </c>
      <c r="L211" s="5" t="s">
        <v>786</v>
      </c>
      <c r="M211" s="5">
        <v>1565</v>
      </c>
      <c r="N211" s="5">
        <v>2.0499999999999998</v>
      </c>
      <c r="O211" s="5">
        <v>1341</v>
      </c>
      <c r="P211" s="5">
        <v>1.76</v>
      </c>
      <c r="Q211" s="68">
        <v>46071</v>
      </c>
      <c r="R211" s="68">
        <v>46153</v>
      </c>
      <c r="S211" s="5">
        <v>83</v>
      </c>
      <c r="T211" s="5">
        <v>13</v>
      </c>
      <c r="U211" s="46" t="s">
        <v>49</v>
      </c>
    </row>
    <row r="212" spans="1:21" x14ac:dyDescent="0.3">
      <c r="A212" s="5" t="s">
        <v>268</v>
      </c>
      <c r="B212" s="5" t="s">
        <v>49</v>
      </c>
      <c r="C212" s="5" t="s">
        <v>571</v>
      </c>
      <c r="D212" s="5">
        <v>1</v>
      </c>
      <c r="E212" s="5">
        <v>1</v>
      </c>
      <c r="F212" s="5">
        <v>1</v>
      </c>
      <c r="G212" s="5"/>
      <c r="H212" s="5">
        <v>762</v>
      </c>
      <c r="I212" s="68">
        <v>45538</v>
      </c>
      <c r="J212" s="5"/>
      <c r="K212" s="5">
        <v>12</v>
      </c>
      <c r="L212" s="5" t="s">
        <v>786</v>
      </c>
      <c r="M212" s="5">
        <v>1530</v>
      </c>
      <c r="N212" s="5">
        <v>2.0099999999999998</v>
      </c>
      <c r="O212" s="5">
        <v>1530</v>
      </c>
      <c r="P212" s="5">
        <v>2.0099999999999998</v>
      </c>
      <c r="Q212" s="68">
        <v>45468</v>
      </c>
      <c r="R212" s="68">
        <v>45618</v>
      </c>
      <c r="S212" s="5">
        <v>151</v>
      </c>
      <c r="T212" s="5">
        <v>81</v>
      </c>
      <c r="U212" s="46" t="s">
        <v>49</v>
      </c>
    </row>
    <row r="213" spans="1:21" x14ac:dyDescent="0.3">
      <c r="A213" s="5" t="s">
        <v>268</v>
      </c>
      <c r="B213" s="5" t="s">
        <v>49</v>
      </c>
      <c r="C213" s="5" t="s">
        <v>571</v>
      </c>
      <c r="D213" s="5">
        <v>1</v>
      </c>
      <c r="E213" s="5">
        <v>1</v>
      </c>
      <c r="F213" s="5">
        <v>1</v>
      </c>
      <c r="G213" s="5"/>
      <c r="H213" s="5">
        <v>762</v>
      </c>
      <c r="I213" s="68">
        <v>45824</v>
      </c>
      <c r="J213" s="5"/>
      <c r="K213" s="5">
        <v>12</v>
      </c>
      <c r="L213" s="5" t="s">
        <v>786</v>
      </c>
      <c r="M213" s="5">
        <v>1605</v>
      </c>
      <c r="N213" s="5">
        <v>2.11</v>
      </c>
      <c r="O213" s="5">
        <v>1420</v>
      </c>
      <c r="P213" s="5">
        <v>1.86</v>
      </c>
      <c r="Q213" s="68">
        <v>45818</v>
      </c>
      <c r="R213" s="68">
        <v>45850</v>
      </c>
      <c r="S213" s="5">
        <v>33</v>
      </c>
      <c r="T213" s="5">
        <v>27</v>
      </c>
      <c r="U213" s="46" t="s">
        <v>49</v>
      </c>
    </row>
    <row r="214" spans="1:21" x14ac:dyDescent="0.3">
      <c r="A214" s="5" t="s">
        <v>268</v>
      </c>
      <c r="B214" s="5" t="s">
        <v>49</v>
      </c>
      <c r="C214" s="5" t="s">
        <v>637</v>
      </c>
      <c r="D214" s="5">
        <v>1</v>
      </c>
      <c r="E214" s="5">
        <v>1</v>
      </c>
      <c r="F214" s="5">
        <v>1</v>
      </c>
      <c r="G214" s="5"/>
      <c r="H214" s="5">
        <v>762</v>
      </c>
      <c r="I214" s="68">
        <v>45498</v>
      </c>
      <c r="J214" s="5"/>
      <c r="K214" s="5">
        <v>15</v>
      </c>
      <c r="L214" s="5" t="s">
        <v>786</v>
      </c>
      <c r="M214" s="5">
        <v>1510</v>
      </c>
      <c r="N214" s="5">
        <v>1.98</v>
      </c>
      <c r="O214" s="5">
        <v>1510</v>
      </c>
      <c r="P214" s="5">
        <v>1.98</v>
      </c>
      <c r="Q214" s="68">
        <v>45395</v>
      </c>
      <c r="R214" s="68">
        <v>45507</v>
      </c>
      <c r="S214" s="5">
        <v>113</v>
      </c>
      <c r="T214" s="5">
        <v>10</v>
      </c>
      <c r="U214" s="46" t="s">
        <v>49</v>
      </c>
    </row>
    <row r="215" spans="1:21" x14ac:dyDescent="0.3">
      <c r="A215" s="5" t="s">
        <v>268</v>
      </c>
      <c r="B215" s="5" t="s">
        <v>49</v>
      </c>
      <c r="C215" s="5" t="s">
        <v>637</v>
      </c>
      <c r="D215" s="5">
        <v>1</v>
      </c>
      <c r="E215" s="5">
        <v>1</v>
      </c>
      <c r="F215" s="5">
        <v>1</v>
      </c>
      <c r="G215" s="5"/>
      <c r="H215" s="5">
        <v>762</v>
      </c>
      <c r="I215" s="68">
        <v>46242</v>
      </c>
      <c r="J215" s="5"/>
      <c r="K215" s="5">
        <v>14</v>
      </c>
      <c r="L215" s="5" t="s">
        <v>786</v>
      </c>
      <c r="M215" s="5">
        <v>1605</v>
      </c>
      <c r="N215" s="5">
        <v>2.11</v>
      </c>
      <c r="O215" s="5">
        <v>1433</v>
      </c>
      <c r="P215" s="5">
        <v>1.88</v>
      </c>
      <c r="Q215" s="68">
        <v>46175</v>
      </c>
      <c r="R215" s="68">
        <v>46178</v>
      </c>
      <c r="S215" s="5">
        <v>4</v>
      </c>
      <c r="T215" s="5">
        <v>0</v>
      </c>
      <c r="U215" s="46" t="s">
        <v>49</v>
      </c>
    </row>
    <row r="216" spans="1:21" x14ac:dyDescent="0.3">
      <c r="A216" s="5" t="s">
        <v>268</v>
      </c>
      <c r="B216" s="5" t="s">
        <v>49</v>
      </c>
      <c r="C216" s="5" t="s">
        <v>565</v>
      </c>
      <c r="D216" s="5">
        <v>3</v>
      </c>
      <c r="E216" s="5">
        <v>1</v>
      </c>
      <c r="F216" s="5">
        <v>1</v>
      </c>
      <c r="G216" s="5"/>
      <c r="H216" s="5">
        <v>762</v>
      </c>
      <c r="I216" s="68">
        <v>45845</v>
      </c>
      <c r="J216" s="5"/>
      <c r="K216" s="5">
        <v>12</v>
      </c>
      <c r="L216" s="5" t="s">
        <v>786</v>
      </c>
      <c r="M216" s="5">
        <v>1610</v>
      </c>
      <c r="N216" s="5">
        <v>2.11</v>
      </c>
      <c r="O216" s="5">
        <v>1424</v>
      </c>
      <c r="P216" s="5">
        <v>1.87</v>
      </c>
      <c r="Q216" s="68">
        <v>45812</v>
      </c>
      <c r="R216" s="68">
        <v>45862</v>
      </c>
      <c r="S216" s="5">
        <v>51</v>
      </c>
      <c r="T216" s="5">
        <v>18</v>
      </c>
      <c r="U216" s="46" t="s">
        <v>49</v>
      </c>
    </row>
    <row r="217" spans="1:21" x14ac:dyDescent="0.3">
      <c r="A217" s="5" t="s">
        <v>268</v>
      </c>
      <c r="B217" s="5" t="s">
        <v>49</v>
      </c>
      <c r="C217" s="5" t="s">
        <v>585</v>
      </c>
      <c r="D217" s="5">
        <v>3</v>
      </c>
      <c r="E217" s="5">
        <v>1</v>
      </c>
      <c r="F217" s="5">
        <v>1</v>
      </c>
      <c r="G217" s="5"/>
      <c r="H217" s="5">
        <v>762</v>
      </c>
      <c r="I217" s="68">
        <v>45394</v>
      </c>
      <c r="J217" s="5"/>
      <c r="K217" s="5"/>
      <c r="L217" s="5" t="s">
        <v>786</v>
      </c>
      <c r="M217" s="5">
        <v>1610</v>
      </c>
      <c r="N217" s="5">
        <v>2.11</v>
      </c>
      <c r="O217" s="5">
        <v>1610</v>
      </c>
      <c r="P217" s="5">
        <v>2.11</v>
      </c>
      <c r="Q217" s="68">
        <v>45381</v>
      </c>
      <c r="R217" s="68">
        <v>45415</v>
      </c>
      <c r="S217" s="5">
        <v>35</v>
      </c>
      <c r="T217" s="5">
        <v>22</v>
      </c>
      <c r="U217" s="46" t="s">
        <v>49</v>
      </c>
    </row>
    <row r="218" spans="1:21" x14ac:dyDescent="0.3">
      <c r="A218" s="5" t="s">
        <v>268</v>
      </c>
      <c r="B218" s="5" t="s">
        <v>49</v>
      </c>
      <c r="C218" s="5" t="s">
        <v>514</v>
      </c>
      <c r="D218" s="5">
        <v>3</v>
      </c>
      <c r="E218" s="5">
        <v>1</v>
      </c>
      <c r="F218" s="5">
        <v>1</v>
      </c>
      <c r="G218" s="5"/>
      <c r="H218" s="5">
        <v>762</v>
      </c>
      <c r="I218" s="68">
        <v>45491</v>
      </c>
      <c r="J218" s="5"/>
      <c r="K218" s="5">
        <v>15</v>
      </c>
      <c r="L218" s="5" t="s">
        <v>786</v>
      </c>
      <c r="M218" s="5">
        <v>1610</v>
      </c>
      <c r="N218" s="5">
        <v>2.11</v>
      </c>
      <c r="O218" s="5">
        <v>1610</v>
      </c>
      <c r="P218" s="5">
        <v>2.11</v>
      </c>
      <c r="Q218" s="68">
        <v>45422</v>
      </c>
      <c r="R218" s="68">
        <v>45464</v>
      </c>
      <c r="S218" s="5">
        <v>43</v>
      </c>
      <c r="T218" s="5">
        <v>0</v>
      </c>
      <c r="U218" s="46" t="s">
        <v>49</v>
      </c>
    </row>
    <row r="219" spans="1:21" x14ac:dyDescent="0.3">
      <c r="A219" s="5" t="s">
        <v>268</v>
      </c>
      <c r="B219" s="5" t="s">
        <v>49</v>
      </c>
      <c r="C219" s="5" t="s">
        <v>514</v>
      </c>
      <c r="D219" s="5">
        <v>3</v>
      </c>
      <c r="E219" s="5">
        <v>1</v>
      </c>
      <c r="F219" s="5">
        <v>1</v>
      </c>
      <c r="G219" s="5"/>
      <c r="H219" s="5">
        <v>762</v>
      </c>
      <c r="I219" s="68">
        <v>46228</v>
      </c>
      <c r="J219" s="5"/>
      <c r="K219" s="5">
        <v>14</v>
      </c>
      <c r="L219" s="5" t="s">
        <v>786</v>
      </c>
      <c r="M219" s="5">
        <v>1610</v>
      </c>
      <c r="N219" s="5">
        <v>2.11</v>
      </c>
      <c r="O219" s="5">
        <v>1380</v>
      </c>
      <c r="P219" s="5">
        <v>1.81</v>
      </c>
      <c r="Q219" s="68">
        <v>46165</v>
      </c>
      <c r="R219" s="68">
        <v>46170</v>
      </c>
      <c r="S219" s="5">
        <v>6</v>
      </c>
      <c r="T219" s="5">
        <v>0</v>
      </c>
      <c r="U219" s="46" t="s">
        <v>49</v>
      </c>
    </row>
    <row r="220" spans="1:21" x14ac:dyDescent="0.3">
      <c r="A220" s="5" t="s">
        <v>268</v>
      </c>
      <c r="B220" s="5" t="s">
        <v>49</v>
      </c>
      <c r="C220" s="5" t="s">
        <v>528</v>
      </c>
      <c r="D220" s="5">
        <v>1</v>
      </c>
      <c r="E220" s="5">
        <v>1</v>
      </c>
      <c r="F220" s="5">
        <v>1</v>
      </c>
      <c r="G220" s="5"/>
      <c r="H220" s="5">
        <v>762</v>
      </c>
      <c r="I220" s="68">
        <v>45094</v>
      </c>
      <c r="J220" s="5"/>
      <c r="K220" s="5"/>
      <c r="L220" s="5" t="s">
        <v>787</v>
      </c>
      <c r="M220" s="5">
        <v>1635</v>
      </c>
      <c r="N220" s="5">
        <v>2.15</v>
      </c>
      <c r="O220" s="5">
        <v>1363</v>
      </c>
      <c r="P220" s="5">
        <v>1.79</v>
      </c>
      <c r="Q220" s="5"/>
      <c r="R220" s="68">
        <v>45164</v>
      </c>
      <c r="S220" s="5"/>
      <c r="T220" s="5"/>
      <c r="U220" s="46" t="s">
        <v>49</v>
      </c>
    </row>
    <row r="221" spans="1:21" x14ac:dyDescent="0.3">
      <c r="A221" s="5" t="s">
        <v>268</v>
      </c>
      <c r="B221" s="5" t="s">
        <v>49</v>
      </c>
      <c r="C221" s="5" t="s">
        <v>529</v>
      </c>
      <c r="D221" s="5">
        <v>1</v>
      </c>
      <c r="E221" s="5">
        <v>1</v>
      </c>
      <c r="F221" s="5">
        <v>1</v>
      </c>
      <c r="G221" s="5"/>
      <c r="H221" s="5">
        <v>762</v>
      </c>
      <c r="I221" s="68">
        <v>45119</v>
      </c>
      <c r="J221" s="5"/>
      <c r="K221" s="5"/>
      <c r="L221" s="5" t="s">
        <v>787</v>
      </c>
      <c r="M221" s="5">
        <v>1645</v>
      </c>
      <c r="N221" s="5">
        <v>2.16</v>
      </c>
      <c r="O221" s="5">
        <v>1645</v>
      </c>
      <c r="P221" s="5">
        <v>2.16</v>
      </c>
      <c r="Q221" s="68">
        <v>45119</v>
      </c>
      <c r="R221" s="68">
        <v>45415</v>
      </c>
      <c r="S221" s="5">
        <v>297</v>
      </c>
      <c r="T221" s="5">
        <v>297</v>
      </c>
      <c r="U221" s="46" t="s">
        <v>49</v>
      </c>
    </row>
    <row r="222" spans="1:21" x14ac:dyDescent="0.3">
      <c r="A222" s="5" t="s">
        <v>268</v>
      </c>
      <c r="B222" s="5" t="s">
        <v>49</v>
      </c>
      <c r="C222" s="5" t="s">
        <v>529</v>
      </c>
      <c r="D222" s="5">
        <v>1</v>
      </c>
      <c r="E222" s="5">
        <v>1</v>
      </c>
      <c r="F222" s="5">
        <v>1</v>
      </c>
      <c r="G222" s="5"/>
      <c r="H222" s="5">
        <v>762</v>
      </c>
      <c r="I222" s="68">
        <v>45723</v>
      </c>
      <c r="J222" s="5"/>
      <c r="K222" s="5">
        <v>12</v>
      </c>
      <c r="L222" s="5" t="s">
        <v>787</v>
      </c>
      <c r="M222" s="5">
        <v>1645</v>
      </c>
      <c r="N222" s="5">
        <v>2.16</v>
      </c>
      <c r="O222" s="5">
        <v>1392</v>
      </c>
      <c r="P222" s="5">
        <v>1.83</v>
      </c>
      <c r="Q222" s="68">
        <v>45660</v>
      </c>
      <c r="R222" s="68">
        <v>45772</v>
      </c>
      <c r="S222" s="5">
        <v>113</v>
      </c>
      <c r="T222" s="5">
        <v>50</v>
      </c>
      <c r="U222" s="46" t="s">
        <v>49</v>
      </c>
    </row>
    <row r="223" spans="1:21" x14ac:dyDescent="0.3">
      <c r="A223" s="5" t="s">
        <v>268</v>
      </c>
      <c r="B223" s="5" t="s">
        <v>49</v>
      </c>
      <c r="C223" s="5" t="s">
        <v>478</v>
      </c>
      <c r="D223" s="5">
        <v>1</v>
      </c>
      <c r="E223" s="5">
        <v>1</v>
      </c>
      <c r="F223" s="5">
        <v>1</v>
      </c>
      <c r="G223" s="5"/>
      <c r="H223" s="5">
        <v>762</v>
      </c>
      <c r="I223" s="68">
        <v>45094</v>
      </c>
      <c r="J223" s="5"/>
      <c r="K223" s="5"/>
      <c r="L223" s="5" t="s">
        <v>787</v>
      </c>
      <c r="M223" s="5">
        <v>1635</v>
      </c>
      <c r="N223" s="5">
        <v>2.15</v>
      </c>
      <c r="O223" s="5">
        <v>1446</v>
      </c>
      <c r="P223" s="5">
        <v>1.9</v>
      </c>
      <c r="Q223" s="5"/>
      <c r="R223" s="68">
        <v>45124</v>
      </c>
      <c r="S223" s="5"/>
      <c r="T223" s="5"/>
      <c r="U223" s="46" t="s">
        <v>49</v>
      </c>
    </row>
    <row r="224" spans="1:21" x14ac:dyDescent="0.3">
      <c r="A224" s="5" t="s">
        <v>268</v>
      </c>
      <c r="B224" s="5" t="s">
        <v>49</v>
      </c>
      <c r="C224" s="5" t="s">
        <v>478</v>
      </c>
      <c r="D224" s="5">
        <v>1</v>
      </c>
      <c r="E224" s="5">
        <v>1</v>
      </c>
      <c r="F224" s="5">
        <v>1</v>
      </c>
      <c r="G224" s="5"/>
      <c r="H224" s="5">
        <v>762</v>
      </c>
      <c r="I224" s="68">
        <v>45751</v>
      </c>
      <c r="J224" s="5"/>
      <c r="K224" s="5">
        <v>12</v>
      </c>
      <c r="L224" s="5" t="s">
        <v>787</v>
      </c>
      <c r="M224" s="5">
        <v>1645</v>
      </c>
      <c r="N224" s="5">
        <v>2.16</v>
      </c>
      <c r="O224" s="5">
        <v>1392</v>
      </c>
      <c r="P224" s="5">
        <v>1.83</v>
      </c>
      <c r="Q224" s="68">
        <v>45719</v>
      </c>
      <c r="R224" s="68">
        <v>45776</v>
      </c>
      <c r="S224" s="5">
        <v>58</v>
      </c>
      <c r="T224" s="5">
        <v>26</v>
      </c>
      <c r="U224" s="46" t="s">
        <v>49</v>
      </c>
    </row>
    <row r="225" spans="1:21" x14ac:dyDescent="0.3">
      <c r="A225" s="5" t="s">
        <v>268</v>
      </c>
      <c r="B225" s="5" t="s">
        <v>54</v>
      </c>
      <c r="C225" s="5" t="s">
        <v>504</v>
      </c>
      <c r="D225" s="5">
        <v>3</v>
      </c>
      <c r="E225" s="5">
        <v>1</v>
      </c>
      <c r="F225" s="5">
        <v>1</v>
      </c>
      <c r="G225" s="5"/>
      <c r="H225" s="5">
        <v>803</v>
      </c>
      <c r="I225" s="68">
        <v>45124</v>
      </c>
      <c r="J225" s="5"/>
      <c r="K225" s="5"/>
      <c r="L225" s="5" t="s">
        <v>786</v>
      </c>
      <c r="M225" s="5">
        <v>1745</v>
      </c>
      <c r="N225" s="5">
        <v>2.17</v>
      </c>
      <c r="O225" s="5">
        <v>1460</v>
      </c>
      <c r="P225" s="5">
        <v>1.82</v>
      </c>
      <c r="Q225" s="68">
        <v>45124</v>
      </c>
      <c r="R225" s="68">
        <v>45165</v>
      </c>
      <c r="S225" s="5">
        <v>42</v>
      </c>
      <c r="T225" s="5">
        <v>42</v>
      </c>
      <c r="U225" s="46" t="s">
        <v>54</v>
      </c>
    </row>
    <row r="226" spans="1:21" x14ac:dyDescent="0.3">
      <c r="A226" s="5" t="s">
        <v>268</v>
      </c>
      <c r="B226" s="5" t="s">
        <v>54</v>
      </c>
      <c r="C226" s="5" t="s">
        <v>504</v>
      </c>
      <c r="D226" s="5">
        <v>3</v>
      </c>
      <c r="E226" s="5">
        <v>1</v>
      </c>
      <c r="F226" s="5">
        <v>1</v>
      </c>
      <c r="G226" s="5"/>
      <c r="H226" s="5">
        <v>803</v>
      </c>
      <c r="I226" s="68">
        <v>45542</v>
      </c>
      <c r="J226" s="5"/>
      <c r="K226" s="5">
        <v>15</v>
      </c>
      <c r="L226" s="5" t="s">
        <v>786</v>
      </c>
      <c r="M226" s="5">
        <v>1820</v>
      </c>
      <c r="N226" s="5">
        <v>2.27</v>
      </c>
      <c r="O226" s="5">
        <v>1820</v>
      </c>
      <c r="P226" s="5">
        <v>2.27</v>
      </c>
      <c r="Q226" s="68">
        <v>45454</v>
      </c>
      <c r="R226" s="68">
        <v>45541</v>
      </c>
      <c r="S226" s="5">
        <v>88</v>
      </c>
      <c r="T226" s="5">
        <v>0</v>
      </c>
      <c r="U226" s="46" t="s">
        <v>54</v>
      </c>
    </row>
    <row r="227" spans="1:21" x14ac:dyDescent="0.3">
      <c r="A227" s="5" t="s">
        <v>268</v>
      </c>
      <c r="B227" s="5" t="s">
        <v>54</v>
      </c>
      <c r="C227" s="5" t="s">
        <v>504</v>
      </c>
      <c r="D227" s="5">
        <v>3</v>
      </c>
      <c r="E227" s="5">
        <v>1</v>
      </c>
      <c r="F227" s="5">
        <v>1</v>
      </c>
      <c r="G227" s="5"/>
      <c r="H227" s="5">
        <v>803</v>
      </c>
      <c r="I227" s="68">
        <v>46010</v>
      </c>
      <c r="J227" s="5"/>
      <c r="K227" s="5">
        <v>13</v>
      </c>
      <c r="L227" s="5" t="s">
        <v>786</v>
      </c>
      <c r="M227" s="5">
        <v>1510</v>
      </c>
      <c r="N227" s="5">
        <v>1.88</v>
      </c>
      <c r="O227" s="5">
        <v>1220</v>
      </c>
      <c r="P227" s="5">
        <v>1.52</v>
      </c>
      <c r="Q227" s="68">
        <v>45983</v>
      </c>
      <c r="R227" s="68">
        <v>46055</v>
      </c>
      <c r="S227" s="5">
        <v>73</v>
      </c>
      <c r="T227" s="5">
        <v>46</v>
      </c>
      <c r="U227" s="46" t="s">
        <v>54</v>
      </c>
    </row>
    <row r="228" spans="1:21" x14ac:dyDescent="0.3">
      <c r="A228" s="5" t="s">
        <v>268</v>
      </c>
      <c r="B228" s="5" t="s">
        <v>54</v>
      </c>
      <c r="C228" s="5" t="s">
        <v>502</v>
      </c>
      <c r="D228" s="5">
        <v>3</v>
      </c>
      <c r="E228" s="5">
        <v>1</v>
      </c>
      <c r="F228" s="5">
        <v>1</v>
      </c>
      <c r="G228" s="5"/>
      <c r="H228" s="5">
        <v>803</v>
      </c>
      <c r="I228" s="68">
        <v>45946</v>
      </c>
      <c r="J228" s="5"/>
      <c r="K228" s="5">
        <v>14</v>
      </c>
      <c r="L228" s="5" t="s">
        <v>786</v>
      </c>
      <c r="M228" s="5">
        <v>1510</v>
      </c>
      <c r="N228" s="5">
        <v>1.88</v>
      </c>
      <c r="O228" s="5">
        <v>1240</v>
      </c>
      <c r="P228" s="5">
        <v>1.54</v>
      </c>
      <c r="Q228" s="68">
        <v>45888</v>
      </c>
      <c r="R228" s="68">
        <v>46063</v>
      </c>
      <c r="S228" s="5">
        <v>176</v>
      </c>
      <c r="T228" s="5">
        <v>118</v>
      </c>
      <c r="U228" s="46" t="s">
        <v>54</v>
      </c>
    </row>
    <row r="229" spans="1:21" x14ac:dyDescent="0.3">
      <c r="A229" s="5" t="s">
        <v>268</v>
      </c>
      <c r="B229" s="5" t="s">
        <v>54</v>
      </c>
      <c r="C229" s="5" t="s">
        <v>496</v>
      </c>
      <c r="D229" s="5">
        <v>2</v>
      </c>
      <c r="E229" s="5">
        <v>1</v>
      </c>
      <c r="F229" s="5">
        <v>1</v>
      </c>
      <c r="G229" s="5"/>
      <c r="H229" s="5">
        <v>803</v>
      </c>
      <c r="I229" s="68">
        <v>45465</v>
      </c>
      <c r="J229" s="5"/>
      <c r="K229" s="5">
        <v>15</v>
      </c>
      <c r="L229" s="5" t="s">
        <v>786</v>
      </c>
      <c r="M229" s="5">
        <v>1575</v>
      </c>
      <c r="N229" s="5">
        <v>1.96</v>
      </c>
      <c r="O229" s="5">
        <v>1575</v>
      </c>
      <c r="P229" s="5">
        <v>1.96</v>
      </c>
      <c r="Q229" s="68">
        <v>45395</v>
      </c>
      <c r="R229" s="68">
        <v>45521</v>
      </c>
      <c r="S229" s="5">
        <v>127</v>
      </c>
      <c r="T229" s="5">
        <v>57</v>
      </c>
      <c r="U229" s="46" t="s">
        <v>54</v>
      </c>
    </row>
    <row r="230" spans="1:21" x14ac:dyDescent="0.3">
      <c r="A230" s="5" t="s">
        <v>268</v>
      </c>
      <c r="B230" s="5" t="s">
        <v>54</v>
      </c>
      <c r="C230" s="5" t="s">
        <v>593</v>
      </c>
      <c r="D230" s="5">
        <v>1</v>
      </c>
      <c r="E230" s="5">
        <v>1</v>
      </c>
      <c r="F230" s="5">
        <v>1</v>
      </c>
      <c r="G230" s="5"/>
      <c r="H230" s="5">
        <v>803</v>
      </c>
      <c r="I230" s="68">
        <v>45315</v>
      </c>
      <c r="J230" s="5"/>
      <c r="K230" s="5"/>
      <c r="L230" s="5" t="s">
        <v>786</v>
      </c>
      <c r="M230" s="5">
        <v>1680</v>
      </c>
      <c r="N230" s="5">
        <v>2.09</v>
      </c>
      <c r="O230" s="5">
        <v>1680</v>
      </c>
      <c r="P230" s="5">
        <v>2.09</v>
      </c>
      <c r="Q230" s="68">
        <v>45249</v>
      </c>
      <c r="R230" s="68">
        <v>45316</v>
      </c>
      <c r="S230" s="5">
        <v>68</v>
      </c>
      <c r="T230" s="5">
        <v>2</v>
      </c>
      <c r="U230" s="46" t="s">
        <v>54</v>
      </c>
    </row>
    <row r="231" spans="1:21" x14ac:dyDescent="0.3">
      <c r="A231" s="5" t="s">
        <v>268</v>
      </c>
      <c r="B231" s="5" t="s">
        <v>54</v>
      </c>
      <c r="C231" s="5" t="s">
        <v>593</v>
      </c>
      <c r="D231" s="5">
        <v>1</v>
      </c>
      <c r="E231" s="5">
        <v>1</v>
      </c>
      <c r="F231" s="5">
        <v>1</v>
      </c>
      <c r="G231" s="5"/>
      <c r="H231" s="5">
        <v>803</v>
      </c>
      <c r="I231" s="68">
        <v>45546</v>
      </c>
      <c r="J231" s="5"/>
      <c r="K231" s="5">
        <v>12</v>
      </c>
      <c r="L231" s="5" t="s">
        <v>786</v>
      </c>
      <c r="M231" s="5">
        <v>1599</v>
      </c>
      <c r="N231" s="5">
        <v>1.99</v>
      </c>
      <c r="O231" s="5">
        <v>1599</v>
      </c>
      <c r="P231" s="5">
        <v>1.99</v>
      </c>
      <c r="Q231" s="68">
        <v>45540</v>
      </c>
      <c r="R231" s="68">
        <v>45607</v>
      </c>
      <c r="S231" s="5">
        <v>68</v>
      </c>
      <c r="T231" s="5">
        <v>62</v>
      </c>
      <c r="U231" s="46" t="s">
        <v>54</v>
      </c>
    </row>
    <row r="232" spans="1:21" x14ac:dyDescent="0.3">
      <c r="A232" s="5" t="s">
        <v>268</v>
      </c>
      <c r="B232" s="5" t="s">
        <v>54</v>
      </c>
      <c r="C232" s="5" t="s">
        <v>485</v>
      </c>
      <c r="D232" s="5">
        <v>2</v>
      </c>
      <c r="E232" s="5">
        <v>1</v>
      </c>
      <c r="F232" s="5">
        <v>1</v>
      </c>
      <c r="G232" s="5"/>
      <c r="H232" s="5">
        <v>803</v>
      </c>
      <c r="I232" s="68">
        <v>46047</v>
      </c>
      <c r="J232" s="5"/>
      <c r="K232" s="5">
        <v>14</v>
      </c>
      <c r="L232" s="5" t="s">
        <v>786</v>
      </c>
      <c r="M232" s="5">
        <v>1599</v>
      </c>
      <c r="N232" s="5">
        <v>1.99</v>
      </c>
      <c r="O232" s="5">
        <v>1599</v>
      </c>
      <c r="P232" s="5">
        <v>1.99</v>
      </c>
      <c r="Q232" s="68">
        <v>45967</v>
      </c>
      <c r="R232" s="68">
        <v>46093</v>
      </c>
      <c r="S232" s="5">
        <v>127</v>
      </c>
      <c r="T232" s="5">
        <v>47</v>
      </c>
      <c r="U232" s="46" t="s">
        <v>54</v>
      </c>
    </row>
    <row r="233" spans="1:21" x14ac:dyDescent="0.3">
      <c r="A233" s="5" t="s">
        <v>268</v>
      </c>
      <c r="B233" s="5" t="s">
        <v>54</v>
      </c>
      <c r="C233" s="5" t="s">
        <v>606</v>
      </c>
      <c r="D233" s="5">
        <v>2</v>
      </c>
      <c r="E233" s="5">
        <v>1</v>
      </c>
      <c r="F233" s="5">
        <v>1</v>
      </c>
      <c r="G233" s="5"/>
      <c r="H233" s="5">
        <v>803</v>
      </c>
      <c r="I233" s="68">
        <v>46119</v>
      </c>
      <c r="J233" s="5"/>
      <c r="K233" s="5">
        <v>14</v>
      </c>
      <c r="L233" s="5" t="s">
        <v>786</v>
      </c>
      <c r="M233" s="5">
        <v>1600</v>
      </c>
      <c r="N233" s="5">
        <v>1.99</v>
      </c>
      <c r="O233" s="5">
        <v>1371</v>
      </c>
      <c r="P233" s="5">
        <v>1.71</v>
      </c>
      <c r="Q233" s="68">
        <v>46073</v>
      </c>
      <c r="R233" s="68">
        <v>46164</v>
      </c>
      <c r="S233" s="5">
        <v>92</v>
      </c>
      <c r="T233" s="5">
        <v>46</v>
      </c>
      <c r="U233" s="46" t="s">
        <v>54</v>
      </c>
    </row>
    <row r="234" spans="1:21" x14ac:dyDescent="0.3">
      <c r="A234" s="5" t="s">
        <v>268</v>
      </c>
      <c r="B234" s="5" t="s">
        <v>54</v>
      </c>
      <c r="C234" s="5" t="s">
        <v>426</v>
      </c>
      <c r="D234" s="5">
        <v>3</v>
      </c>
      <c r="E234" s="5">
        <v>1</v>
      </c>
      <c r="F234" s="5">
        <v>1</v>
      </c>
      <c r="G234" s="5"/>
      <c r="H234" s="5">
        <v>803</v>
      </c>
      <c r="I234" s="68">
        <v>45535</v>
      </c>
      <c r="J234" s="5"/>
      <c r="K234" s="5">
        <v>15</v>
      </c>
      <c r="L234" s="5" t="s">
        <v>787</v>
      </c>
      <c r="M234" s="5">
        <v>1645</v>
      </c>
      <c r="N234" s="5">
        <v>2.0499999999999998</v>
      </c>
      <c r="O234" s="5">
        <v>1645</v>
      </c>
      <c r="P234" s="5">
        <v>2.0499999999999998</v>
      </c>
      <c r="Q234" s="68">
        <v>45466</v>
      </c>
      <c r="R234" s="68">
        <v>45512</v>
      </c>
      <c r="S234" s="5">
        <v>47</v>
      </c>
      <c r="T234" s="5">
        <v>0</v>
      </c>
      <c r="U234" s="46" t="s">
        <v>54</v>
      </c>
    </row>
    <row r="235" spans="1:21" x14ac:dyDescent="0.3">
      <c r="A235" s="5" t="s">
        <v>268</v>
      </c>
      <c r="B235" s="5" t="s">
        <v>54</v>
      </c>
      <c r="C235" s="5" t="s">
        <v>624</v>
      </c>
      <c r="D235" s="5">
        <v>3</v>
      </c>
      <c r="E235" s="5">
        <v>1</v>
      </c>
      <c r="F235" s="5">
        <v>1</v>
      </c>
      <c r="G235" s="5"/>
      <c r="H235" s="5">
        <v>803</v>
      </c>
      <c r="I235" s="68">
        <v>45332</v>
      </c>
      <c r="J235" s="5"/>
      <c r="K235" s="5"/>
      <c r="L235" s="5" t="s">
        <v>787</v>
      </c>
      <c r="M235" s="5">
        <v>1645</v>
      </c>
      <c r="N235" s="5">
        <v>2.0499999999999998</v>
      </c>
      <c r="O235" s="5">
        <v>1645</v>
      </c>
      <c r="P235" s="5">
        <v>2.0499999999999998</v>
      </c>
      <c r="Q235" s="68">
        <v>45267</v>
      </c>
      <c r="R235" s="68">
        <v>45349</v>
      </c>
      <c r="S235" s="5">
        <v>83</v>
      </c>
      <c r="T235" s="5">
        <v>18</v>
      </c>
      <c r="U235" s="46" t="s">
        <v>54</v>
      </c>
    </row>
    <row r="236" spans="1:21" x14ac:dyDescent="0.3">
      <c r="A236" s="5" t="s">
        <v>268</v>
      </c>
      <c r="B236" s="5" t="s">
        <v>54</v>
      </c>
      <c r="C236" s="5" t="s">
        <v>594</v>
      </c>
      <c r="D236" s="5">
        <v>1</v>
      </c>
      <c r="E236" s="5">
        <v>1</v>
      </c>
      <c r="F236" s="5">
        <v>1</v>
      </c>
      <c r="G236" s="5"/>
      <c r="H236" s="5">
        <v>803</v>
      </c>
      <c r="I236" s="68">
        <v>45709</v>
      </c>
      <c r="J236" s="5"/>
      <c r="K236" s="5">
        <v>12</v>
      </c>
      <c r="L236" s="5" t="s">
        <v>787</v>
      </c>
      <c r="M236" s="5">
        <v>1680</v>
      </c>
      <c r="N236" s="5">
        <v>2.09</v>
      </c>
      <c r="O236" s="5">
        <v>1338</v>
      </c>
      <c r="P236" s="5">
        <v>1.67</v>
      </c>
      <c r="Q236" s="68">
        <v>45643</v>
      </c>
      <c r="R236" s="68">
        <v>45736</v>
      </c>
      <c r="S236" s="5">
        <v>94</v>
      </c>
      <c r="T236" s="5">
        <v>28</v>
      </c>
      <c r="U236" s="46" t="s">
        <v>54</v>
      </c>
    </row>
    <row r="237" spans="1:21" x14ac:dyDescent="0.3">
      <c r="A237" s="5" t="s">
        <v>268</v>
      </c>
      <c r="B237" s="5" t="s">
        <v>54</v>
      </c>
      <c r="C237" s="5" t="s">
        <v>494</v>
      </c>
      <c r="D237" s="5">
        <v>2</v>
      </c>
      <c r="E237" s="5">
        <v>1</v>
      </c>
      <c r="F237" s="5">
        <v>1</v>
      </c>
      <c r="G237" s="5"/>
      <c r="H237" s="5">
        <v>803</v>
      </c>
      <c r="I237" s="68">
        <v>45636</v>
      </c>
      <c r="J237" s="5"/>
      <c r="K237" s="5">
        <v>12</v>
      </c>
      <c r="L237" s="5" t="s">
        <v>787</v>
      </c>
      <c r="M237" s="5">
        <v>1699</v>
      </c>
      <c r="N237" s="5">
        <v>2.12</v>
      </c>
      <c r="O237" s="5">
        <v>1699</v>
      </c>
      <c r="P237" s="5">
        <v>2.12</v>
      </c>
      <c r="Q237" s="68">
        <v>45569</v>
      </c>
      <c r="R237" s="68">
        <v>45682</v>
      </c>
      <c r="S237" s="5">
        <v>114</v>
      </c>
      <c r="T237" s="5">
        <v>47</v>
      </c>
      <c r="U237" s="46" t="s">
        <v>54</v>
      </c>
    </row>
    <row r="238" spans="1:21" x14ac:dyDescent="0.3">
      <c r="A238" s="5" t="s">
        <v>268</v>
      </c>
      <c r="B238" s="5" t="s">
        <v>54</v>
      </c>
      <c r="C238" s="5" t="s">
        <v>494</v>
      </c>
      <c r="D238" s="5">
        <v>2</v>
      </c>
      <c r="E238" s="5">
        <v>1</v>
      </c>
      <c r="F238" s="5">
        <v>1</v>
      </c>
      <c r="G238" s="5"/>
      <c r="H238" s="5">
        <v>803</v>
      </c>
      <c r="I238" s="68">
        <v>45928</v>
      </c>
      <c r="J238" s="5"/>
      <c r="K238" s="5">
        <v>12</v>
      </c>
      <c r="L238" s="5" t="s">
        <v>787</v>
      </c>
      <c r="M238" s="5">
        <v>1775</v>
      </c>
      <c r="N238" s="5">
        <v>2.21</v>
      </c>
      <c r="O238" s="5">
        <v>1570</v>
      </c>
      <c r="P238" s="5">
        <v>1.96</v>
      </c>
      <c r="Q238" s="68">
        <v>45862</v>
      </c>
      <c r="R238" s="68">
        <v>45864</v>
      </c>
      <c r="S238" s="5">
        <v>3</v>
      </c>
      <c r="T238" s="5">
        <v>0</v>
      </c>
      <c r="U238" s="46" t="s">
        <v>54</v>
      </c>
    </row>
    <row r="239" spans="1:21" x14ac:dyDescent="0.3">
      <c r="A239" s="5" t="s">
        <v>268</v>
      </c>
      <c r="B239" s="5" t="s">
        <v>54</v>
      </c>
      <c r="C239" s="5" t="s">
        <v>494</v>
      </c>
      <c r="D239" s="5">
        <v>2</v>
      </c>
      <c r="E239" s="5">
        <v>1</v>
      </c>
      <c r="F239" s="5">
        <v>1</v>
      </c>
      <c r="G239" s="5"/>
      <c r="H239" s="5">
        <v>803</v>
      </c>
      <c r="I239" s="68">
        <v>46066</v>
      </c>
      <c r="J239" s="5"/>
      <c r="K239" s="5">
        <v>14</v>
      </c>
      <c r="L239" s="5" t="s">
        <v>787</v>
      </c>
      <c r="M239" s="5">
        <v>1775</v>
      </c>
      <c r="N239" s="5">
        <v>2.21</v>
      </c>
      <c r="O239" s="5">
        <v>1521</v>
      </c>
      <c r="P239" s="5">
        <v>1.89</v>
      </c>
      <c r="Q239" s="68">
        <v>45968</v>
      </c>
      <c r="R239" s="68">
        <v>46166</v>
      </c>
      <c r="S239" s="5">
        <v>199</v>
      </c>
      <c r="T239" s="5">
        <v>101</v>
      </c>
      <c r="U239" s="46" t="s">
        <v>54</v>
      </c>
    </row>
    <row r="240" spans="1:21" x14ac:dyDescent="0.3">
      <c r="A240" s="5" t="s">
        <v>268</v>
      </c>
      <c r="B240" s="5" t="s">
        <v>54</v>
      </c>
      <c r="C240" s="5" t="s">
        <v>545</v>
      </c>
      <c r="D240" s="5">
        <v>2</v>
      </c>
      <c r="E240" s="5">
        <v>1</v>
      </c>
      <c r="F240" s="5">
        <v>1</v>
      </c>
      <c r="G240" s="5"/>
      <c r="H240" s="5">
        <v>803</v>
      </c>
      <c r="I240" s="68">
        <v>45546</v>
      </c>
      <c r="J240" s="5"/>
      <c r="K240" s="5">
        <v>12</v>
      </c>
      <c r="L240" s="5" t="s">
        <v>787</v>
      </c>
      <c r="M240" s="5">
        <v>1599</v>
      </c>
      <c r="N240" s="5">
        <v>1.99</v>
      </c>
      <c r="O240" s="5">
        <v>1414</v>
      </c>
      <c r="P240" s="5">
        <v>1.76</v>
      </c>
      <c r="Q240" s="68">
        <v>45514</v>
      </c>
      <c r="R240" s="68">
        <v>45574</v>
      </c>
      <c r="S240" s="5">
        <v>61</v>
      </c>
      <c r="T240" s="5">
        <v>29</v>
      </c>
      <c r="U240" s="46" t="s">
        <v>54</v>
      </c>
    </row>
    <row r="241" spans="1:21" x14ac:dyDescent="0.3">
      <c r="A241" s="5" t="s">
        <v>268</v>
      </c>
      <c r="B241" s="5" t="s">
        <v>54</v>
      </c>
      <c r="C241" s="5" t="s">
        <v>545</v>
      </c>
      <c r="D241" s="5">
        <v>2</v>
      </c>
      <c r="E241" s="5">
        <v>1</v>
      </c>
      <c r="F241" s="5">
        <v>1</v>
      </c>
      <c r="G241" s="5"/>
      <c r="H241" s="5">
        <v>803</v>
      </c>
      <c r="I241" s="68">
        <v>45907</v>
      </c>
      <c r="J241" s="5"/>
      <c r="K241" s="5">
        <v>12</v>
      </c>
      <c r="L241" s="5" t="s">
        <v>787</v>
      </c>
      <c r="M241" s="5">
        <v>1775</v>
      </c>
      <c r="N241" s="5">
        <v>2.21</v>
      </c>
      <c r="O241" s="5">
        <v>1502</v>
      </c>
      <c r="P241" s="5">
        <v>1.87</v>
      </c>
      <c r="Q241" s="68">
        <v>45881</v>
      </c>
      <c r="R241" s="68">
        <v>45938</v>
      </c>
      <c r="S241" s="5">
        <v>58</v>
      </c>
      <c r="T241" s="5">
        <v>32</v>
      </c>
      <c r="U241" s="46" t="s">
        <v>54</v>
      </c>
    </row>
    <row r="242" spans="1:21" x14ac:dyDescent="0.3">
      <c r="A242" s="5" t="s">
        <v>268</v>
      </c>
      <c r="B242" s="5" t="s">
        <v>54</v>
      </c>
      <c r="C242" s="5" t="s">
        <v>536</v>
      </c>
      <c r="D242" s="5">
        <v>2</v>
      </c>
      <c r="E242" s="5">
        <v>1</v>
      </c>
      <c r="F242" s="5">
        <v>1</v>
      </c>
      <c r="G242" s="5"/>
      <c r="H242" s="5">
        <v>803</v>
      </c>
      <c r="I242" s="68">
        <v>45954</v>
      </c>
      <c r="J242" s="5"/>
      <c r="K242" s="5">
        <v>12</v>
      </c>
      <c r="L242" s="5" t="s">
        <v>787</v>
      </c>
      <c r="M242" s="5">
        <v>1775</v>
      </c>
      <c r="N242" s="5">
        <v>2.21</v>
      </c>
      <c r="O242" s="5">
        <v>1502</v>
      </c>
      <c r="P242" s="5">
        <v>1.87</v>
      </c>
      <c r="Q242" s="68">
        <v>45888</v>
      </c>
      <c r="R242" s="68">
        <v>45923</v>
      </c>
      <c r="S242" s="5">
        <v>36</v>
      </c>
      <c r="T242" s="5">
        <v>0</v>
      </c>
      <c r="U242" s="46" t="s">
        <v>54</v>
      </c>
    </row>
    <row r="243" spans="1:21" x14ac:dyDescent="0.3">
      <c r="A243" s="5" t="s">
        <v>268</v>
      </c>
      <c r="B243" s="5" t="s">
        <v>54</v>
      </c>
      <c r="C243" s="5" t="s">
        <v>406</v>
      </c>
      <c r="D243" s="5">
        <v>2</v>
      </c>
      <c r="E243" s="5">
        <v>1</v>
      </c>
      <c r="F243" s="5">
        <v>1</v>
      </c>
      <c r="G243" s="5"/>
      <c r="H243" s="5">
        <v>803</v>
      </c>
      <c r="I243" s="68">
        <v>45878</v>
      </c>
      <c r="J243" s="5"/>
      <c r="K243" s="5">
        <v>12</v>
      </c>
      <c r="L243" s="5" t="s">
        <v>787</v>
      </c>
      <c r="M243" s="5">
        <v>1775</v>
      </c>
      <c r="N243" s="5">
        <v>2.21</v>
      </c>
      <c r="O243" s="5">
        <v>1570</v>
      </c>
      <c r="P243" s="5">
        <v>1.96</v>
      </c>
      <c r="Q243" s="68">
        <v>45860</v>
      </c>
      <c r="R243" s="68">
        <v>45880</v>
      </c>
      <c r="S243" s="5">
        <v>21</v>
      </c>
      <c r="T243" s="5">
        <v>3</v>
      </c>
      <c r="U243" s="46" t="s">
        <v>54</v>
      </c>
    </row>
    <row r="244" spans="1:21" x14ac:dyDescent="0.3">
      <c r="A244" s="5" t="s">
        <v>268</v>
      </c>
      <c r="B244" s="5" t="s">
        <v>54</v>
      </c>
      <c r="C244" s="5" t="s">
        <v>408</v>
      </c>
      <c r="D244" s="5">
        <v>2</v>
      </c>
      <c r="E244" s="5">
        <v>1</v>
      </c>
      <c r="F244" s="5">
        <v>1</v>
      </c>
      <c r="G244" s="5"/>
      <c r="H244" s="5">
        <v>803</v>
      </c>
      <c r="I244" s="68">
        <v>45880</v>
      </c>
      <c r="J244" s="5"/>
      <c r="K244" s="5">
        <v>12</v>
      </c>
      <c r="L244" s="5" t="s">
        <v>787</v>
      </c>
      <c r="M244" s="5">
        <v>1775</v>
      </c>
      <c r="N244" s="5">
        <v>2.21</v>
      </c>
      <c r="O244" s="5">
        <v>1570</v>
      </c>
      <c r="P244" s="5">
        <v>1.96</v>
      </c>
      <c r="Q244" s="68">
        <v>45812</v>
      </c>
      <c r="R244" s="68">
        <v>45823</v>
      </c>
      <c r="S244" s="5">
        <v>12</v>
      </c>
      <c r="T244" s="5">
        <v>0</v>
      </c>
      <c r="U244" s="46" t="s">
        <v>54</v>
      </c>
    </row>
    <row r="245" spans="1:21" x14ac:dyDescent="0.3">
      <c r="A245" s="5" t="s">
        <v>268</v>
      </c>
      <c r="B245" s="5" t="s">
        <v>54</v>
      </c>
      <c r="C245" s="5" t="s">
        <v>483</v>
      </c>
      <c r="D245" s="5">
        <v>2</v>
      </c>
      <c r="E245" s="5">
        <v>1</v>
      </c>
      <c r="F245" s="5">
        <v>1</v>
      </c>
      <c r="G245" s="5"/>
      <c r="H245" s="5">
        <v>803</v>
      </c>
      <c r="I245" s="68">
        <v>45298</v>
      </c>
      <c r="J245" s="5"/>
      <c r="K245" s="5"/>
      <c r="L245" s="5" t="s">
        <v>787</v>
      </c>
      <c r="M245" s="5">
        <v>1760</v>
      </c>
      <c r="N245" s="5">
        <v>2.19</v>
      </c>
      <c r="O245" s="5">
        <v>1473</v>
      </c>
      <c r="P245" s="5">
        <v>1.83</v>
      </c>
      <c r="Q245" s="68">
        <v>45235</v>
      </c>
      <c r="R245" s="68">
        <v>45282</v>
      </c>
      <c r="S245" s="5">
        <v>48</v>
      </c>
      <c r="T245" s="5">
        <v>0</v>
      </c>
      <c r="U245" s="46" t="s">
        <v>54</v>
      </c>
    </row>
    <row r="246" spans="1:21" x14ac:dyDescent="0.3">
      <c r="A246" s="5" t="s">
        <v>268</v>
      </c>
      <c r="B246" s="5" t="s">
        <v>54</v>
      </c>
      <c r="C246" s="5" t="s">
        <v>483</v>
      </c>
      <c r="D246" s="5">
        <v>2</v>
      </c>
      <c r="E246" s="5">
        <v>1</v>
      </c>
      <c r="F246" s="5">
        <v>1</v>
      </c>
      <c r="G246" s="5"/>
      <c r="H246" s="5">
        <v>803</v>
      </c>
      <c r="I246" s="68">
        <v>45698</v>
      </c>
      <c r="J246" s="5"/>
      <c r="K246" s="5">
        <v>12</v>
      </c>
      <c r="L246" s="5" t="s">
        <v>787</v>
      </c>
      <c r="M246" s="5">
        <v>1775</v>
      </c>
      <c r="N246" s="5">
        <v>2.21</v>
      </c>
      <c r="O246" s="5">
        <v>1775</v>
      </c>
      <c r="P246" s="5">
        <v>2.21</v>
      </c>
      <c r="Q246" s="68">
        <v>45692</v>
      </c>
      <c r="R246" s="68">
        <v>45701</v>
      </c>
      <c r="S246" s="5">
        <v>10</v>
      </c>
      <c r="T246" s="5">
        <v>4</v>
      </c>
      <c r="U246" s="46" t="s">
        <v>54</v>
      </c>
    </row>
    <row r="247" spans="1:21" x14ac:dyDescent="0.3">
      <c r="A247" s="5" t="s">
        <v>268</v>
      </c>
      <c r="B247" s="5" t="s">
        <v>54</v>
      </c>
      <c r="C247" s="5" t="s">
        <v>534</v>
      </c>
      <c r="D247" s="5">
        <v>2</v>
      </c>
      <c r="E247" s="5">
        <v>1</v>
      </c>
      <c r="F247" s="5">
        <v>1</v>
      </c>
      <c r="G247" s="5"/>
      <c r="H247" s="5">
        <v>803</v>
      </c>
      <c r="I247" s="68">
        <v>45535</v>
      </c>
      <c r="J247" s="5"/>
      <c r="K247" s="5">
        <v>15</v>
      </c>
      <c r="L247" s="5" t="s">
        <v>787</v>
      </c>
      <c r="M247" s="5">
        <v>1775</v>
      </c>
      <c r="N247" s="5">
        <v>2.21</v>
      </c>
      <c r="O247" s="5">
        <v>1775</v>
      </c>
      <c r="P247" s="5">
        <v>2.21</v>
      </c>
      <c r="Q247" s="68">
        <v>45460</v>
      </c>
      <c r="R247" s="68">
        <v>45520</v>
      </c>
      <c r="S247" s="5">
        <v>61</v>
      </c>
      <c r="T247" s="5">
        <v>0</v>
      </c>
      <c r="U247" s="46" t="s">
        <v>54</v>
      </c>
    </row>
    <row r="248" spans="1:21" x14ac:dyDescent="0.3">
      <c r="A248" s="5" t="s">
        <v>268</v>
      </c>
      <c r="B248" s="5" t="s">
        <v>54</v>
      </c>
      <c r="C248" s="5" t="s">
        <v>547</v>
      </c>
      <c r="D248" s="5">
        <v>2</v>
      </c>
      <c r="E248" s="5">
        <v>1</v>
      </c>
      <c r="F248" s="5">
        <v>1</v>
      </c>
      <c r="G248" s="5"/>
      <c r="H248" s="5">
        <v>803</v>
      </c>
      <c r="I248" s="68">
        <v>45398</v>
      </c>
      <c r="J248" s="5"/>
      <c r="K248" s="5"/>
      <c r="L248" s="5" t="s">
        <v>787</v>
      </c>
      <c r="M248" s="5">
        <v>1775</v>
      </c>
      <c r="N248" s="5">
        <v>2.21</v>
      </c>
      <c r="O248" s="5">
        <v>1775</v>
      </c>
      <c r="P248" s="5">
        <v>2.21</v>
      </c>
      <c r="Q248" s="68">
        <v>45331</v>
      </c>
      <c r="R248" s="68">
        <v>45339</v>
      </c>
      <c r="S248" s="5">
        <v>9</v>
      </c>
      <c r="T248" s="5">
        <v>0</v>
      </c>
      <c r="U248" s="46" t="s">
        <v>54</v>
      </c>
    </row>
    <row r="249" spans="1:21" x14ac:dyDescent="0.3">
      <c r="A249" s="5" t="s">
        <v>268</v>
      </c>
      <c r="B249" s="5" t="s">
        <v>54</v>
      </c>
      <c r="C249" s="5" t="s">
        <v>566</v>
      </c>
      <c r="D249" s="5">
        <v>3</v>
      </c>
      <c r="E249" s="5">
        <v>1</v>
      </c>
      <c r="F249" s="5">
        <v>1</v>
      </c>
      <c r="G249" s="5"/>
      <c r="H249" s="5">
        <v>803</v>
      </c>
      <c r="I249" s="68">
        <v>45774</v>
      </c>
      <c r="J249" s="5"/>
      <c r="K249" s="5">
        <v>12</v>
      </c>
      <c r="L249" s="5" t="s">
        <v>787</v>
      </c>
      <c r="M249" s="5">
        <v>1820</v>
      </c>
      <c r="N249" s="5">
        <v>2.27</v>
      </c>
      <c r="O249" s="5">
        <v>1820</v>
      </c>
      <c r="P249" s="5">
        <v>2.27</v>
      </c>
      <c r="Q249" s="68">
        <v>45696</v>
      </c>
      <c r="R249" s="68">
        <v>45701</v>
      </c>
      <c r="S249" s="5">
        <v>6</v>
      </c>
      <c r="T249" s="5">
        <v>0</v>
      </c>
      <c r="U249" s="46" t="s">
        <v>54</v>
      </c>
    </row>
    <row r="250" spans="1:21" x14ac:dyDescent="0.3">
      <c r="A250" s="5" t="s">
        <v>268</v>
      </c>
      <c r="B250" s="5" t="s">
        <v>54</v>
      </c>
      <c r="C250" s="5" t="s">
        <v>513</v>
      </c>
      <c r="D250" s="5">
        <v>3</v>
      </c>
      <c r="E250" s="5">
        <v>1</v>
      </c>
      <c r="F250" s="5">
        <v>1</v>
      </c>
      <c r="G250" s="5"/>
      <c r="H250" s="5">
        <v>803</v>
      </c>
      <c r="I250" s="68">
        <v>45094</v>
      </c>
      <c r="J250" s="5"/>
      <c r="K250" s="5"/>
      <c r="L250" s="5" t="s">
        <v>787</v>
      </c>
      <c r="M250" s="5">
        <v>1745</v>
      </c>
      <c r="N250" s="5">
        <v>2.17</v>
      </c>
      <c r="O250" s="5">
        <v>1460</v>
      </c>
      <c r="P250" s="5">
        <v>1.82</v>
      </c>
      <c r="Q250" s="5"/>
      <c r="R250" s="68">
        <v>45168</v>
      </c>
      <c r="S250" s="5"/>
      <c r="T250" s="5"/>
      <c r="U250" s="46" t="s">
        <v>54</v>
      </c>
    </row>
    <row r="251" spans="1:21" x14ac:dyDescent="0.3">
      <c r="A251" s="5" t="s">
        <v>268</v>
      </c>
      <c r="B251" s="5" t="s">
        <v>54</v>
      </c>
      <c r="C251" s="5" t="s">
        <v>513</v>
      </c>
      <c r="D251" s="5">
        <v>3</v>
      </c>
      <c r="E251" s="5">
        <v>1</v>
      </c>
      <c r="F251" s="5">
        <v>1</v>
      </c>
      <c r="G251" s="5"/>
      <c r="H251" s="5">
        <v>803</v>
      </c>
      <c r="I251" s="68">
        <v>45586</v>
      </c>
      <c r="J251" s="5"/>
      <c r="K251" s="5">
        <v>12</v>
      </c>
      <c r="L251" s="5" t="s">
        <v>787</v>
      </c>
      <c r="M251" s="5">
        <v>1820</v>
      </c>
      <c r="N251" s="5">
        <v>2.27</v>
      </c>
      <c r="O251" s="5">
        <v>1820</v>
      </c>
      <c r="P251" s="5">
        <v>2.27</v>
      </c>
      <c r="Q251" s="68">
        <v>45580</v>
      </c>
      <c r="R251" s="68">
        <v>45636</v>
      </c>
      <c r="S251" s="5">
        <v>57</v>
      </c>
      <c r="T251" s="5">
        <v>51</v>
      </c>
      <c r="U251" s="46" t="s">
        <v>54</v>
      </c>
    </row>
    <row r="252" spans="1:21" x14ac:dyDescent="0.3">
      <c r="A252" s="5" t="s">
        <v>268</v>
      </c>
      <c r="B252" s="5" t="s">
        <v>54</v>
      </c>
      <c r="C252" s="5" t="s">
        <v>555</v>
      </c>
      <c r="D252" s="5">
        <v>3</v>
      </c>
      <c r="E252" s="5">
        <v>1</v>
      </c>
      <c r="F252" s="5">
        <v>1</v>
      </c>
      <c r="G252" s="5"/>
      <c r="H252" s="5">
        <v>803</v>
      </c>
      <c r="I252" s="68">
        <v>45439</v>
      </c>
      <c r="J252" s="5"/>
      <c r="K252" s="5">
        <v>15</v>
      </c>
      <c r="L252" s="5" t="s">
        <v>787</v>
      </c>
      <c r="M252" s="5">
        <v>1820</v>
      </c>
      <c r="N252" s="5">
        <v>2.27</v>
      </c>
      <c r="O252" s="5">
        <v>1820</v>
      </c>
      <c r="P252" s="5">
        <v>2.27</v>
      </c>
      <c r="Q252" s="68">
        <v>45391</v>
      </c>
      <c r="R252" s="68">
        <v>45474</v>
      </c>
      <c r="S252" s="5">
        <v>84</v>
      </c>
      <c r="T252" s="5">
        <v>36</v>
      </c>
      <c r="U252" s="46" t="s">
        <v>54</v>
      </c>
    </row>
    <row r="253" spans="1:21" x14ac:dyDescent="0.3">
      <c r="A253" s="5" t="s">
        <v>268</v>
      </c>
      <c r="B253" s="5" t="s">
        <v>54</v>
      </c>
      <c r="C253" s="5" t="s">
        <v>555</v>
      </c>
      <c r="D253" s="5">
        <v>3</v>
      </c>
      <c r="E253" s="5">
        <v>1</v>
      </c>
      <c r="F253" s="5">
        <v>1</v>
      </c>
      <c r="G253" s="5"/>
      <c r="H253" s="5">
        <v>803</v>
      </c>
      <c r="I253" s="68">
        <v>46119</v>
      </c>
      <c r="J253" s="5"/>
      <c r="K253" s="5">
        <v>14</v>
      </c>
      <c r="L253" s="5" t="s">
        <v>787</v>
      </c>
      <c r="M253" s="5">
        <v>1820</v>
      </c>
      <c r="N253" s="5">
        <v>2.27</v>
      </c>
      <c r="O253" s="5">
        <v>1560</v>
      </c>
      <c r="P253" s="5">
        <v>1.94</v>
      </c>
      <c r="Q253" s="68">
        <v>46058</v>
      </c>
      <c r="R253" s="68">
        <v>46170</v>
      </c>
      <c r="S253" s="5">
        <v>113</v>
      </c>
      <c r="T253" s="5">
        <v>52</v>
      </c>
      <c r="U253" s="46" t="s">
        <v>54</v>
      </c>
    </row>
    <row r="254" spans="1:21" x14ac:dyDescent="0.3">
      <c r="A254" s="5" t="s">
        <v>268</v>
      </c>
      <c r="B254" s="5" t="s">
        <v>54</v>
      </c>
      <c r="C254" s="5" t="s">
        <v>553</v>
      </c>
      <c r="D254" s="5">
        <v>3</v>
      </c>
      <c r="E254" s="5">
        <v>1</v>
      </c>
      <c r="F254" s="5">
        <v>1</v>
      </c>
      <c r="G254" s="5"/>
      <c r="H254" s="5">
        <v>803</v>
      </c>
      <c r="I254" s="68">
        <v>45603</v>
      </c>
      <c r="J254" s="5"/>
      <c r="K254" s="5">
        <v>12</v>
      </c>
      <c r="L254" s="5" t="s">
        <v>787</v>
      </c>
      <c r="M254" s="5">
        <v>1650</v>
      </c>
      <c r="N254" s="5">
        <v>2.0499999999999998</v>
      </c>
      <c r="O254" s="5">
        <v>1650</v>
      </c>
      <c r="P254" s="5">
        <v>2.0499999999999998</v>
      </c>
      <c r="Q254" s="68">
        <v>45514</v>
      </c>
      <c r="R254" s="68">
        <v>45626</v>
      </c>
      <c r="S254" s="5">
        <v>113</v>
      </c>
      <c r="T254" s="5">
        <v>24</v>
      </c>
      <c r="U254" s="46" t="s">
        <v>54</v>
      </c>
    </row>
    <row r="255" spans="1:21" x14ac:dyDescent="0.3">
      <c r="A255" s="5" t="s">
        <v>268</v>
      </c>
      <c r="B255" s="5" t="s">
        <v>54</v>
      </c>
      <c r="C255" s="5" t="s">
        <v>553</v>
      </c>
      <c r="D255" s="5">
        <v>3</v>
      </c>
      <c r="E255" s="5">
        <v>1</v>
      </c>
      <c r="F255" s="5">
        <v>1</v>
      </c>
      <c r="G255" s="5"/>
      <c r="H255" s="5">
        <v>803</v>
      </c>
      <c r="I255" s="68">
        <v>45972</v>
      </c>
      <c r="J255" s="5"/>
      <c r="K255" s="5">
        <v>12</v>
      </c>
      <c r="L255" s="5" t="s">
        <v>787</v>
      </c>
      <c r="M255" s="5">
        <v>1820</v>
      </c>
      <c r="N255" s="5">
        <v>2.27</v>
      </c>
      <c r="O255" s="5">
        <v>1470</v>
      </c>
      <c r="P255" s="5">
        <v>1.83</v>
      </c>
      <c r="Q255" s="68">
        <v>45905</v>
      </c>
      <c r="R255" s="68">
        <v>45987</v>
      </c>
      <c r="S255" s="5">
        <v>83</v>
      </c>
      <c r="T255" s="5">
        <v>16</v>
      </c>
      <c r="U255" s="46" t="s">
        <v>54</v>
      </c>
    </row>
    <row r="256" spans="1:21" x14ac:dyDescent="0.3">
      <c r="A256" s="5" t="s">
        <v>268</v>
      </c>
      <c r="B256" s="5" t="s">
        <v>54</v>
      </c>
      <c r="C256" s="5" t="s">
        <v>515</v>
      </c>
      <c r="D256" s="5">
        <v>3</v>
      </c>
      <c r="E256" s="5">
        <v>1</v>
      </c>
      <c r="F256" s="5">
        <v>1</v>
      </c>
      <c r="G256" s="5"/>
      <c r="H256" s="5">
        <v>803</v>
      </c>
      <c r="I256" s="68">
        <v>45514</v>
      </c>
      <c r="J256" s="5"/>
      <c r="K256" s="5">
        <v>15</v>
      </c>
      <c r="L256" s="5" t="s">
        <v>787</v>
      </c>
      <c r="M256" s="5">
        <v>1820</v>
      </c>
      <c r="N256" s="5">
        <v>2.27</v>
      </c>
      <c r="O256" s="5">
        <v>1820</v>
      </c>
      <c r="P256" s="5">
        <v>2.27</v>
      </c>
      <c r="Q256" s="68">
        <v>45448</v>
      </c>
      <c r="R256" s="68">
        <v>45494</v>
      </c>
      <c r="S256" s="5">
        <v>47</v>
      </c>
      <c r="T256" s="5">
        <v>0</v>
      </c>
      <c r="U256" s="46" t="s">
        <v>54</v>
      </c>
    </row>
    <row r="257" spans="1:21" x14ac:dyDescent="0.3">
      <c r="A257" s="5" t="s">
        <v>268</v>
      </c>
      <c r="B257" s="5" t="s">
        <v>54</v>
      </c>
      <c r="C257" s="5" t="s">
        <v>515</v>
      </c>
      <c r="D257" s="5">
        <v>3</v>
      </c>
      <c r="E257" s="5">
        <v>1</v>
      </c>
      <c r="F257" s="5">
        <v>1</v>
      </c>
      <c r="G257" s="5"/>
      <c r="H257" s="5">
        <v>803</v>
      </c>
      <c r="I257" s="68">
        <v>45979</v>
      </c>
      <c r="J257" s="5"/>
      <c r="K257" s="5">
        <v>12</v>
      </c>
      <c r="L257" s="5" t="s">
        <v>787</v>
      </c>
      <c r="M257" s="5">
        <v>1820</v>
      </c>
      <c r="N257" s="5">
        <v>2.27</v>
      </c>
      <c r="O257" s="5">
        <v>1470</v>
      </c>
      <c r="P257" s="5">
        <v>1.83</v>
      </c>
      <c r="Q257" s="68">
        <v>45899</v>
      </c>
      <c r="R257" s="68">
        <v>46000</v>
      </c>
      <c r="S257" s="5">
        <v>102</v>
      </c>
      <c r="T257" s="5">
        <v>22</v>
      </c>
      <c r="U257" s="46" t="s">
        <v>54</v>
      </c>
    </row>
    <row r="258" spans="1:21" x14ac:dyDescent="0.3">
      <c r="A258" s="5" t="s">
        <v>268</v>
      </c>
      <c r="B258" s="5" t="s">
        <v>54</v>
      </c>
      <c r="C258" s="5" t="s">
        <v>564</v>
      </c>
      <c r="D258" s="5">
        <v>3</v>
      </c>
      <c r="E258" s="5">
        <v>1</v>
      </c>
      <c r="F258" s="5">
        <v>1</v>
      </c>
      <c r="G258" s="5"/>
      <c r="H258" s="5">
        <v>803</v>
      </c>
      <c r="I258" s="68">
        <v>45424</v>
      </c>
      <c r="J258" s="5"/>
      <c r="K258" s="5"/>
      <c r="L258" s="5" t="s">
        <v>787</v>
      </c>
      <c r="M258" s="5">
        <v>1820</v>
      </c>
      <c r="N258" s="5">
        <v>2.27</v>
      </c>
      <c r="O258" s="5">
        <v>1820</v>
      </c>
      <c r="P258" s="5">
        <v>2.27</v>
      </c>
      <c r="Q258" s="68">
        <v>45367</v>
      </c>
      <c r="R258" s="68">
        <v>45405</v>
      </c>
      <c r="S258" s="5">
        <v>39</v>
      </c>
      <c r="T258" s="5">
        <v>0</v>
      </c>
      <c r="U258" s="46" t="s">
        <v>54</v>
      </c>
    </row>
    <row r="259" spans="1:21" x14ac:dyDescent="0.3">
      <c r="A259" s="5" t="s">
        <v>268</v>
      </c>
      <c r="B259" s="5" t="s">
        <v>54</v>
      </c>
      <c r="C259" s="5" t="s">
        <v>564</v>
      </c>
      <c r="D259" s="5">
        <v>3</v>
      </c>
      <c r="E259" s="5">
        <v>1</v>
      </c>
      <c r="F259" s="5">
        <v>1</v>
      </c>
      <c r="G259" s="5"/>
      <c r="H259" s="5">
        <v>803</v>
      </c>
      <c r="I259" s="68">
        <v>45847</v>
      </c>
      <c r="J259" s="5"/>
      <c r="K259" s="5">
        <v>12</v>
      </c>
      <c r="L259" s="5" t="s">
        <v>787</v>
      </c>
      <c r="M259" s="5">
        <v>1820</v>
      </c>
      <c r="N259" s="5">
        <v>2.27</v>
      </c>
      <c r="O259" s="5">
        <v>1820</v>
      </c>
      <c r="P259" s="5">
        <v>2.27</v>
      </c>
      <c r="Q259" s="68">
        <v>45752</v>
      </c>
      <c r="R259" s="68">
        <v>45811</v>
      </c>
      <c r="S259" s="5">
        <v>60</v>
      </c>
      <c r="T259" s="5">
        <v>0</v>
      </c>
      <c r="U259" s="46" t="s">
        <v>54</v>
      </c>
    </row>
    <row r="260" spans="1:21" x14ac:dyDescent="0.3">
      <c r="A260" s="5" t="s">
        <v>268</v>
      </c>
      <c r="B260" s="5" t="s">
        <v>57</v>
      </c>
      <c r="C260" s="5" t="s">
        <v>540</v>
      </c>
      <c r="D260" s="5">
        <v>2</v>
      </c>
      <c r="E260" s="5">
        <v>1</v>
      </c>
      <c r="F260" s="5">
        <v>1</v>
      </c>
      <c r="G260" s="5"/>
      <c r="H260" s="5">
        <v>941</v>
      </c>
      <c r="I260" s="68">
        <v>45495</v>
      </c>
      <c r="J260" s="5"/>
      <c r="K260" s="5">
        <v>15</v>
      </c>
      <c r="L260" s="5" t="s">
        <v>787</v>
      </c>
      <c r="M260" s="5">
        <v>1755</v>
      </c>
      <c r="N260" s="5">
        <v>1.87</v>
      </c>
      <c r="O260" s="5">
        <v>1755</v>
      </c>
      <c r="P260" s="5">
        <v>1.87</v>
      </c>
      <c r="Q260" s="68">
        <v>45461</v>
      </c>
      <c r="R260" s="68">
        <v>45532</v>
      </c>
      <c r="S260" s="5">
        <v>72</v>
      </c>
      <c r="T260" s="5">
        <v>38</v>
      </c>
      <c r="U260" s="46" t="s">
        <v>57</v>
      </c>
    </row>
    <row r="261" spans="1:21" x14ac:dyDescent="0.3">
      <c r="A261" s="5" t="s">
        <v>268</v>
      </c>
      <c r="B261" s="5" t="s">
        <v>57</v>
      </c>
      <c r="C261" s="5" t="s">
        <v>540</v>
      </c>
      <c r="D261" s="5">
        <v>2</v>
      </c>
      <c r="E261" s="5">
        <v>1</v>
      </c>
      <c r="F261" s="5">
        <v>1</v>
      </c>
      <c r="G261" s="5"/>
      <c r="H261" s="5">
        <v>941</v>
      </c>
      <c r="I261" s="68">
        <v>45937</v>
      </c>
      <c r="J261" s="5"/>
      <c r="K261" s="5">
        <v>12</v>
      </c>
      <c r="L261" s="5" t="s">
        <v>787</v>
      </c>
      <c r="M261" s="5">
        <v>1650</v>
      </c>
      <c r="N261" s="5">
        <v>1.75</v>
      </c>
      <c r="O261" s="5">
        <v>1332</v>
      </c>
      <c r="P261" s="5">
        <v>1.42</v>
      </c>
      <c r="Q261" s="68">
        <v>45839</v>
      </c>
      <c r="R261" s="68">
        <v>45969</v>
      </c>
      <c r="S261" s="5">
        <v>131</v>
      </c>
      <c r="T261" s="5">
        <v>33</v>
      </c>
      <c r="U261" s="46" t="s">
        <v>57</v>
      </c>
    </row>
    <row r="262" spans="1:21" x14ac:dyDescent="0.3">
      <c r="A262" s="5" t="s">
        <v>268</v>
      </c>
      <c r="B262" s="5" t="s">
        <v>57</v>
      </c>
      <c r="C262" s="5" t="s">
        <v>489</v>
      </c>
      <c r="D262" s="5">
        <v>2</v>
      </c>
      <c r="E262" s="5">
        <v>1</v>
      </c>
      <c r="F262" s="5">
        <v>1</v>
      </c>
      <c r="G262" s="5"/>
      <c r="H262" s="5">
        <v>941</v>
      </c>
      <c r="I262" s="68">
        <v>45467</v>
      </c>
      <c r="J262" s="5"/>
      <c r="K262" s="5">
        <v>15</v>
      </c>
      <c r="L262" s="5" t="s">
        <v>787</v>
      </c>
      <c r="M262" s="5">
        <v>1775</v>
      </c>
      <c r="N262" s="5">
        <v>1.89</v>
      </c>
      <c r="O262" s="5">
        <v>1775</v>
      </c>
      <c r="P262" s="5">
        <v>1.89</v>
      </c>
      <c r="Q262" s="68">
        <v>45418</v>
      </c>
      <c r="R262" s="68">
        <v>45508</v>
      </c>
      <c r="S262" s="5">
        <v>91</v>
      </c>
      <c r="T262" s="5">
        <v>42</v>
      </c>
      <c r="U262" s="46" t="s">
        <v>57</v>
      </c>
    </row>
    <row r="263" spans="1:21" x14ac:dyDescent="0.3">
      <c r="A263" s="5" t="s">
        <v>268</v>
      </c>
      <c r="B263" s="5" t="s">
        <v>57</v>
      </c>
      <c r="C263" s="5" t="s">
        <v>489</v>
      </c>
      <c r="D263" s="5">
        <v>2</v>
      </c>
      <c r="E263" s="5">
        <v>1</v>
      </c>
      <c r="F263" s="5">
        <v>1</v>
      </c>
      <c r="G263" s="5"/>
      <c r="H263" s="5">
        <v>941</v>
      </c>
      <c r="I263" s="68">
        <v>46011</v>
      </c>
      <c r="J263" s="5"/>
      <c r="K263" s="5">
        <v>13</v>
      </c>
      <c r="L263" s="5" t="s">
        <v>787</v>
      </c>
      <c r="M263" s="5">
        <v>1769</v>
      </c>
      <c r="N263" s="5">
        <v>1.88</v>
      </c>
      <c r="O263" s="5">
        <v>1429</v>
      </c>
      <c r="P263" s="5">
        <v>1.52</v>
      </c>
      <c r="Q263" s="68">
        <v>45941</v>
      </c>
      <c r="R263" s="68">
        <v>46043</v>
      </c>
      <c r="S263" s="5">
        <v>103</v>
      </c>
      <c r="T263" s="5">
        <v>33</v>
      </c>
      <c r="U263" s="46" t="s">
        <v>57</v>
      </c>
    </row>
    <row r="264" spans="1:21" x14ac:dyDescent="0.3">
      <c r="A264" s="5" t="s">
        <v>268</v>
      </c>
      <c r="B264" s="5" t="s">
        <v>57</v>
      </c>
      <c r="C264" s="5" t="s">
        <v>649</v>
      </c>
      <c r="D264" s="5">
        <v>2</v>
      </c>
      <c r="E264" s="5">
        <v>1</v>
      </c>
      <c r="F264" s="5">
        <v>1</v>
      </c>
      <c r="G264" s="5"/>
      <c r="H264" s="5">
        <v>941</v>
      </c>
      <c r="I264" s="68">
        <v>45145</v>
      </c>
      <c r="J264" s="5"/>
      <c r="K264" s="5"/>
      <c r="L264" s="5" t="s">
        <v>787</v>
      </c>
      <c r="M264" s="5">
        <v>1815</v>
      </c>
      <c r="N264" s="5">
        <v>1.93</v>
      </c>
      <c r="O264" s="5">
        <v>1815</v>
      </c>
      <c r="P264" s="5">
        <v>1.93</v>
      </c>
      <c r="Q264" s="68">
        <v>45129</v>
      </c>
      <c r="R264" s="68">
        <v>45321</v>
      </c>
      <c r="S264" s="5">
        <v>193</v>
      </c>
      <c r="T264" s="5">
        <v>177</v>
      </c>
      <c r="U264" s="46" t="s">
        <v>57</v>
      </c>
    </row>
    <row r="265" spans="1:21" x14ac:dyDescent="0.3">
      <c r="A265" s="5" t="s">
        <v>268</v>
      </c>
      <c r="B265" s="5" t="s">
        <v>57</v>
      </c>
      <c r="C265" s="5" t="s">
        <v>538</v>
      </c>
      <c r="D265" s="5">
        <v>2</v>
      </c>
      <c r="E265" s="5">
        <v>1</v>
      </c>
      <c r="F265" s="5">
        <v>1</v>
      </c>
      <c r="G265" s="5"/>
      <c r="H265" s="5">
        <v>941</v>
      </c>
      <c r="I265" s="68">
        <v>45745</v>
      </c>
      <c r="J265" s="5"/>
      <c r="K265" s="5">
        <v>12</v>
      </c>
      <c r="L265" s="5" t="s">
        <v>787</v>
      </c>
      <c r="M265" s="5">
        <v>1815</v>
      </c>
      <c r="N265" s="5">
        <v>1.93</v>
      </c>
      <c r="O265" s="5">
        <v>1536</v>
      </c>
      <c r="P265" s="5">
        <v>1.63</v>
      </c>
      <c r="Q265" s="68">
        <v>45679</v>
      </c>
      <c r="R265" s="68">
        <v>45786</v>
      </c>
      <c r="S265" s="5">
        <v>108</v>
      </c>
      <c r="T265" s="5">
        <v>42</v>
      </c>
      <c r="U265" s="46" t="s">
        <v>57</v>
      </c>
    </row>
    <row r="266" spans="1:21" x14ac:dyDescent="0.3">
      <c r="A266" s="5" t="s">
        <v>268</v>
      </c>
      <c r="B266" s="5" t="s">
        <v>57</v>
      </c>
      <c r="C266" s="5" t="s">
        <v>487</v>
      </c>
      <c r="D266" s="5">
        <v>2</v>
      </c>
      <c r="E266" s="5">
        <v>1</v>
      </c>
      <c r="F266" s="5">
        <v>1</v>
      </c>
      <c r="G266" s="5"/>
      <c r="H266" s="5">
        <v>941</v>
      </c>
      <c r="I266" s="68">
        <v>45578</v>
      </c>
      <c r="J266" s="5"/>
      <c r="K266" s="5">
        <v>12</v>
      </c>
      <c r="L266" s="5" t="s">
        <v>787</v>
      </c>
      <c r="M266" s="5">
        <v>1700</v>
      </c>
      <c r="N266" s="5">
        <v>1.81</v>
      </c>
      <c r="O266" s="5">
        <v>1504</v>
      </c>
      <c r="P266" s="5">
        <v>1.6</v>
      </c>
      <c r="Q266" s="68">
        <v>45511</v>
      </c>
      <c r="R266" s="68">
        <v>45566</v>
      </c>
      <c r="S266" s="5">
        <v>56</v>
      </c>
      <c r="T266" s="5">
        <v>0</v>
      </c>
      <c r="U266" s="46" t="s">
        <v>57</v>
      </c>
    </row>
    <row r="267" spans="1:21" x14ac:dyDescent="0.3">
      <c r="A267" s="5" t="s">
        <v>268</v>
      </c>
      <c r="B267" s="5" t="s">
        <v>57</v>
      </c>
      <c r="C267" s="5" t="s">
        <v>487</v>
      </c>
      <c r="D267" s="5">
        <v>2</v>
      </c>
      <c r="E267" s="5">
        <v>1</v>
      </c>
      <c r="F267" s="5">
        <v>1</v>
      </c>
      <c r="G267" s="5"/>
      <c r="H267" s="5">
        <v>941</v>
      </c>
      <c r="I267" s="68">
        <v>45998</v>
      </c>
      <c r="J267" s="5"/>
      <c r="K267" s="5">
        <v>12</v>
      </c>
      <c r="L267" s="5" t="s">
        <v>787</v>
      </c>
      <c r="M267" s="5">
        <v>1815</v>
      </c>
      <c r="N267" s="5">
        <v>1.93</v>
      </c>
      <c r="O267" s="5">
        <v>1466</v>
      </c>
      <c r="P267" s="5">
        <v>1.56</v>
      </c>
      <c r="Q267" s="68">
        <v>45963</v>
      </c>
      <c r="R267" s="68">
        <v>45992</v>
      </c>
      <c r="S267" s="5">
        <v>30</v>
      </c>
      <c r="T267" s="5">
        <v>0</v>
      </c>
      <c r="U267" s="46" t="s">
        <v>57</v>
      </c>
    </row>
    <row r="268" spans="1:21" x14ac:dyDescent="0.3">
      <c r="A268" s="5" t="s">
        <v>268</v>
      </c>
      <c r="B268" s="5" t="s">
        <v>57</v>
      </c>
      <c r="C268" s="5" t="s">
        <v>665</v>
      </c>
      <c r="D268" s="5">
        <v>3</v>
      </c>
      <c r="E268" s="5">
        <v>1</v>
      </c>
      <c r="F268" s="5">
        <v>1</v>
      </c>
      <c r="G268" s="5"/>
      <c r="H268" s="5">
        <v>941</v>
      </c>
      <c r="I268" s="68">
        <v>45587</v>
      </c>
      <c r="J268" s="5"/>
      <c r="K268" s="5">
        <v>12</v>
      </c>
      <c r="L268" s="5" t="s">
        <v>787</v>
      </c>
      <c r="M268" s="5">
        <v>1860</v>
      </c>
      <c r="N268" s="5">
        <v>1.98</v>
      </c>
      <c r="O268" s="5">
        <v>1860</v>
      </c>
      <c r="P268" s="5">
        <v>1.98</v>
      </c>
      <c r="Q268" s="68">
        <v>45553</v>
      </c>
      <c r="R268" s="68">
        <v>45638</v>
      </c>
      <c r="S268" s="5">
        <v>86</v>
      </c>
      <c r="T268" s="5">
        <v>52</v>
      </c>
      <c r="U268" s="46" t="s">
        <v>57</v>
      </c>
    </row>
    <row r="269" spans="1:21" x14ac:dyDescent="0.3">
      <c r="A269" s="5" t="s">
        <v>268</v>
      </c>
      <c r="B269" s="5" t="s">
        <v>57</v>
      </c>
      <c r="C269" s="5" t="s">
        <v>665</v>
      </c>
      <c r="D269" s="5">
        <v>3</v>
      </c>
      <c r="E269" s="5">
        <v>1</v>
      </c>
      <c r="F269" s="5">
        <v>1</v>
      </c>
      <c r="G269" s="5"/>
      <c r="H269" s="5">
        <v>941</v>
      </c>
      <c r="I269" s="68">
        <v>46041</v>
      </c>
      <c r="J269" s="5"/>
      <c r="K269" s="5">
        <v>14</v>
      </c>
      <c r="L269" s="5" t="s">
        <v>787</v>
      </c>
      <c r="M269" s="5">
        <v>1860</v>
      </c>
      <c r="N269" s="5">
        <v>1.98</v>
      </c>
      <c r="O269" s="5">
        <v>1860</v>
      </c>
      <c r="P269" s="5">
        <v>1.98</v>
      </c>
      <c r="Q269" s="68">
        <v>45959</v>
      </c>
      <c r="R269" s="68">
        <v>46108</v>
      </c>
      <c r="S269" s="5">
        <v>150</v>
      </c>
      <c r="T269" s="5">
        <v>68</v>
      </c>
      <c r="U269" s="46" t="s">
        <v>57</v>
      </c>
    </row>
    <row r="270" spans="1:21" x14ac:dyDescent="0.3">
      <c r="A270" s="5" t="s">
        <v>268</v>
      </c>
      <c r="B270" s="5" t="s">
        <v>57</v>
      </c>
      <c r="C270" s="5" t="s">
        <v>559</v>
      </c>
      <c r="D270" s="5">
        <v>3</v>
      </c>
      <c r="E270" s="5">
        <v>1</v>
      </c>
      <c r="F270" s="5">
        <v>1</v>
      </c>
      <c r="G270" s="5"/>
      <c r="H270" s="5">
        <v>941</v>
      </c>
      <c r="I270" s="68">
        <v>45656</v>
      </c>
      <c r="J270" s="5"/>
      <c r="K270" s="5">
        <v>12</v>
      </c>
      <c r="L270" s="5" t="s">
        <v>787</v>
      </c>
      <c r="M270" s="5">
        <v>1845</v>
      </c>
      <c r="N270" s="5">
        <v>1.96</v>
      </c>
      <c r="O270" s="5">
        <v>1845</v>
      </c>
      <c r="P270" s="5">
        <v>1.96</v>
      </c>
      <c r="Q270" s="68">
        <v>45568</v>
      </c>
      <c r="R270" s="68">
        <v>45811</v>
      </c>
      <c r="S270" s="5">
        <v>244</v>
      </c>
      <c r="T270" s="5">
        <v>156</v>
      </c>
      <c r="U270" s="46" t="s">
        <v>57</v>
      </c>
    </row>
    <row r="271" spans="1:21" x14ac:dyDescent="0.3">
      <c r="A271" s="5" t="s">
        <v>268</v>
      </c>
      <c r="B271" s="5" t="s">
        <v>57</v>
      </c>
      <c r="C271" s="5" t="s">
        <v>508</v>
      </c>
      <c r="D271" s="5">
        <v>3</v>
      </c>
      <c r="E271" s="5">
        <v>1</v>
      </c>
      <c r="F271" s="5">
        <v>1</v>
      </c>
      <c r="G271" s="5"/>
      <c r="H271" s="5">
        <v>941</v>
      </c>
      <c r="I271" s="68">
        <v>45555</v>
      </c>
      <c r="J271" s="5"/>
      <c r="K271" s="5">
        <v>12</v>
      </c>
      <c r="L271" s="5" t="s">
        <v>787</v>
      </c>
      <c r="M271" s="5">
        <v>1765</v>
      </c>
      <c r="N271" s="5">
        <v>1.88</v>
      </c>
      <c r="O271" s="5">
        <v>1765</v>
      </c>
      <c r="P271" s="5">
        <v>1.88</v>
      </c>
      <c r="Q271" s="68">
        <v>45490</v>
      </c>
      <c r="R271" s="68">
        <v>45596</v>
      </c>
      <c r="S271" s="5">
        <v>107</v>
      </c>
      <c r="T271" s="5">
        <v>42</v>
      </c>
      <c r="U271" s="46" t="s">
        <v>57</v>
      </c>
    </row>
    <row r="272" spans="1:21" x14ac:dyDescent="0.3">
      <c r="A272" s="5" t="s">
        <v>268</v>
      </c>
      <c r="B272" s="5" t="s">
        <v>57</v>
      </c>
      <c r="C272" s="5" t="s">
        <v>508</v>
      </c>
      <c r="D272" s="5">
        <v>3</v>
      </c>
      <c r="E272" s="5">
        <v>1</v>
      </c>
      <c r="F272" s="5">
        <v>1</v>
      </c>
      <c r="G272" s="5"/>
      <c r="H272" s="5">
        <v>941</v>
      </c>
      <c r="I272" s="68">
        <v>45784</v>
      </c>
      <c r="J272" s="5"/>
      <c r="K272" s="5">
        <v>12</v>
      </c>
      <c r="L272" s="5" t="s">
        <v>787</v>
      </c>
      <c r="M272" s="5">
        <v>1765</v>
      </c>
      <c r="N272" s="5">
        <v>1.88</v>
      </c>
      <c r="O272" s="5">
        <v>1765</v>
      </c>
      <c r="P272" s="5">
        <v>1.88</v>
      </c>
      <c r="Q272" s="68">
        <v>45701</v>
      </c>
      <c r="R272" s="68">
        <v>45715</v>
      </c>
      <c r="S272" s="5">
        <v>15</v>
      </c>
      <c r="T272" s="5">
        <v>0</v>
      </c>
      <c r="U272" s="46" t="s">
        <v>57</v>
      </c>
    </row>
    <row r="273" spans="1:21" x14ac:dyDescent="0.3">
      <c r="A273" s="5" t="s">
        <v>268</v>
      </c>
      <c r="B273" s="5" t="s">
        <v>57</v>
      </c>
      <c r="C273" s="5" t="s">
        <v>508</v>
      </c>
      <c r="D273" s="5">
        <v>3</v>
      </c>
      <c r="E273" s="5">
        <v>1</v>
      </c>
      <c r="F273" s="5">
        <v>1</v>
      </c>
      <c r="G273" s="5"/>
      <c r="H273" s="5">
        <v>941</v>
      </c>
      <c r="I273" s="68">
        <v>46158</v>
      </c>
      <c r="J273" s="5"/>
      <c r="K273" s="5">
        <v>14</v>
      </c>
      <c r="L273" s="5" t="s">
        <v>787</v>
      </c>
      <c r="M273" s="5">
        <v>1860</v>
      </c>
      <c r="N273" s="5">
        <v>1.98</v>
      </c>
      <c r="O273" s="5">
        <v>1594</v>
      </c>
      <c r="P273" s="5">
        <v>1.69</v>
      </c>
      <c r="Q273" s="68">
        <v>46092</v>
      </c>
      <c r="R273" s="68">
        <v>46170</v>
      </c>
      <c r="S273" s="5">
        <v>79</v>
      </c>
      <c r="T273" s="5">
        <v>13</v>
      </c>
      <c r="U273" s="46" t="s">
        <v>57</v>
      </c>
    </row>
    <row r="274" spans="1:21" x14ac:dyDescent="0.3">
      <c r="A274" s="5" t="s">
        <v>268</v>
      </c>
      <c r="B274" s="5" t="s">
        <v>57</v>
      </c>
      <c r="C274" s="5" t="s">
        <v>506</v>
      </c>
      <c r="D274" s="5">
        <v>3</v>
      </c>
      <c r="E274" s="5">
        <v>1</v>
      </c>
      <c r="F274" s="5">
        <v>1</v>
      </c>
      <c r="G274" s="5"/>
      <c r="H274" s="5">
        <v>941</v>
      </c>
      <c r="I274" s="68">
        <v>45415</v>
      </c>
      <c r="J274" s="5"/>
      <c r="K274" s="5"/>
      <c r="L274" s="5" t="s">
        <v>787</v>
      </c>
      <c r="M274" s="5">
        <v>1860</v>
      </c>
      <c r="N274" s="5">
        <v>1.98</v>
      </c>
      <c r="O274" s="5">
        <v>1860</v>
      </c>
      <c r="P274" s="5">
        <v>1.98</v>
      </c>
      <c r="Q274" s="68">
        <v>45365</v>
      </c>
      <c r="R274" s="68">
        <v>45378</v>
      </c>
      <c r="S274" s="5">
        <v>14</v>
      </c>
      <c r="T274" s="5">
        <v>0</v>
      </c>
      <c r="U274" s="46" t="s">
        <v>57</v>
      </c>
    </row>
    <row r="275" spans="1:21" x14ac:dyDescent="0.3">
      <c r="A275" s="5" t="s">
        <v>268</v>
      </c>
      <c r="B275" s="5" t="s">
        <v>57</v>
      </c>
      <c r="C275" s="5" t="s">
        <v>557</v>
      </c>
      <c r="D275" s="5">
        <v>3</v>
      </c>
      <c r="E275" s="5">
        <v>1</v>
      </c>
      <c r="F275" s="5">
        <v>1</v>
      </c>
      <c r="G275" s="5"/>
      <c r="H275" s="5">
        <v>941</v>
      </c>
      <c r="I275" s="68">
        <v>45373</v>
      </c>
      <c r="J275" s="5"/>
      <c r="K275" s="5"/>
      <c r="L275" s="5" t="s">
        <v>787</v>
      </c>
      <c r="M275" s="5">
        <v>1860</v>
      </c>
      <c r="N275" s="5">
        <v>1.98</v>
      </c>
      <c r="O275" s="5">
        <v>1860</v>
      </c>
      <c r="P275" s="5">
        <v>1.98</v>
      </c>
      <c r="Q275" s="68">
        <v>45303</v>
      </c>
      <c r="R275" s="68">
        <v>45344</v>
      </c>
      <c r="S275" s="5">
        <v>42</v>
      </c>
      <c r="T275" s="5">
        <v>0</v>
      </c>
      <c r="U275" s="46" t="s">
        <v>57</v>
      </c>
    </row>
    <row r="276" spans="1:21" x14ac:dyDescent="0.3">
      <c r="A276" s="5" t="s">
        <v>268</v>
      </c>
      <c r="B276" s="5" t="s">
        <v>57</v>
      </c>
      <c r="C276" s="5" t="s">
        <v>557</v>
      </c>
      <c r="D276" s="5">
        <v>3</v>
      </c>
      <c r="E276" s="5">
        <v>1</v>
      </c>
      <c r="F276" s="5">
        <v>1</v>
      </c>
      <c r="G276" s="5"/>
      <c r="H276" s="5">
        <v>941</v>
      </c>
      <c r="I276" s="68">
        <v>45784</v>
      </c>
      <c r="J276" s="5"/>
      <c r="K276" s="5">
        <v>12</v>
      </c>
      <c r="L276" s="5" t="s">
        <v>787</v>
      </c>
      <c r="M276" s="5">
        <v>1860</v>
      </c>
      <c r="N276" s="5">
        <v>1.98</v>
      </c>
      <c r="O276" s="5">
        <v>1860</v>
      </c>
      <c r="P276" s="5">
        <v>1.98</v>
      </c>
      <c r="Q276" s="68">
        <v>45665</v>
      </c>
      <c r="R276" s="68">
        <v>45818</v>
      </c>
      <c r="S276" s="5">
        <v>154</v>
      </c>
      <c r="T276" s="5">
        <v>35</v>
      </c>
      <c r="U276" s="46" t="s">
        <v>57</v>
      </c>
    </row>
    <row r="277" spans="1:21" x14ac:dyDescent="0.3">
      <c r="A277" s="5" t="s">
        <v>268</v>
      </c>
      <c r="B277" s="5" t="s">
        <v>57</v>
      </c>
      <c r="C277" s="5" t="s">
        <v>667</v>
      </c>
      <c r="D277" s="5">
        <v>3</v>
      </c>
      <c r="E277" s="5">
        <v>1</v>
      </c>
      <c r="F277" s="5">
        <v>1</v>
      </c>
      <c r="G277" s="5"/>
      <c r="H277" s="5">
        <v>941</v>
      </c>
      <c r="I277" s="68">
        <v>45677</v>
      </c>
      <c r="J277" s="5"/>
      <c r="K277" s="5">
        <v>12</v>
      </c>
      <c r="L277" s="5" t="s">
        <v>787</v>
      </c>
      <c r="M277" s="5">
        <v>1860</v>
      </c>
      <c r="N277" s="5">
        <v>1.98</v>
      </c>
      <c r="O277" s="5">
        <v>1645</v>
      </c>
      <c r="P277" s="5">
        <v>1.75</v>
      </c>
      <c r="Q277" s="68">
        <v>45671</v>
      </c>
      <c r="R277" s="68">
        <v>45839</v>
      </c>
      <c r="S277" s="5">
        <v>169</v>
      </c>
      <c r="T277" s="5">
        <v>163</v>
      </c>
      <c r="U277" s="46" t="s">
        <v>57</v>
      </c>
    </row>
    <row r="278" spans="1:21" x14ac:dyDescent="0.3">
      <c r="A278" s="5" t="s">
        <v>268</v>
      </c>
      <c r="B278" s="5" t="s">
        <v>57</v>
      </c>
      <c r="C278" s="5" t="s">
        <v>635</v>
      </c>
      <c r="D278" s="5">
        <v>1</v>
      </c>
      <c r="E278" s="5">
        <v>1</v>
      </c>
      <c r="F278" s="5">
        <v>1</v>
      </c>
      <c r="G278" s="5"/>
      <c r="H278" s="5">
        <v>941</v>
      </c>
      <c r="I278" s="68">
        <v>45250</v>
      </c>
      <c r="J278" s="5"/>
      <c r="K278" s="5"/>
      <c r="L278" s="5" t="s">
        <v>787</v>
      </c>
      <c r="M278" s="5">
        <v>1895</v>
      </c>
      <c r="N278" s="5">
        <v>2.0099999999999998</v>
      </c>
      <c r="O278" s="5">
        <v>1676</v>
      </c>
      <c r="P278" s="5">
        <v>1.78</v>
      </c>
      <c r="Q278" s="68">
        <v>45199</v>
      </c>
      <c r="R278" s="68">
        <v>45215</v>
      </c>
      <c r="S278" s="5">
        <v>17</v>
      </c>
      <c r="T278" s="5">
        <v>0</v>
      </c>
      <c r="U278" s="46" t="s">
        <v>57</v>
      </c>
    </row>
    <row r="279" spans="1:21" x14ac:dyDescent="0.3">
      <c r="A279" s="5" t="s">
        <v>268</v>
      </c>
      <c r="B279" s="5" t="s">
        <v>57</v>
      </c>
      <c r="C279" s="5" t="s">
        <v>635</v>
      </c>
      <c r="D279" s="5">
        <v>1</v>
      </c>
      <c r="E279" s="5">
        <v>1</v>
      </c>
      <c r="F279" s="5">
        <v>1</v>
      </c>
      <c r="G279" s="5"/>
      <c r="H279" s="5">
        <v>941</v>
      </c>
      <c r="I279" s="68">
        <v>45754</v>
      </c>
      <c r="J279" s="5"/>
      <c r="K279" s="5">
        <v>12</v>
      </c>
      <c r="L279" s="5" t="s">
        <v>787</v>
      </c>
      <c r="M279" s="5">
        <v>1895</v>
      </c>
      <c r="N279" s="5">
        <v>2.0099999999999998</v>
      </c>
      <c r="O279" s="5">
        <v>1603</v>
      </c>
      <c r="P279" s="5">
        <v>1.7</v>
      </c>
      <c r="Q279" s="68">
        <v>45664</v>
      </c>
      <c r="R279" s="68">
        <v>45766</v>
      </c>
      <c r="S279" s="5">
        <v>103</v>
      </c>
      <c r="T279" s="5">
        <v>13</v>
      </c>
      <c r="U279" s="46" t="s">
        <v>57</v>
      </c>
    </row>
    <row r="280" spans="1:21" x14ac:dyDescent="0.3">
      <c r="A280" s="5" t="s">
        <v>268</v>
      </c>
      <c r="B280" s="5" t="s">
        <v>57</v>
      </c>
      <c r="C280" s="5" t="s">
        <v>471</v>
      </c>
      <c r="D280" s="5">
        <v>1</v>
      </c>
      <c r="E280" s="5">
        <v>1</v>
      </c>
      <c r="F280" s="5">
        <v>1</v>
      </c>
      <c r="G280" s="5"/>
      <c r="H280" s="5">
        <v>941</v>
      </c>
      <c r="I280" s="68">
        <v>45176</v>
      </c>
      <c r="J280" s="5"/>
      <c r="K280" s="5"/>
      <c r="L280" s="5" t="s">
        <v>787</v>
      </c>
      <c r="M280" s="5">
        <v>1895</v>
      </c>
      <c r="N280" s="5">
        <v>2.0099999999999998</v>
      </c>
      <c r="O280" s="5">
        <v>1676</v>
      </c>
      <c r="P280" s="5">
        <v>1.78</v>
      </c>
      <c r="Q280" s="68">
        <v>45168</v>
      </c>
      <c r="R280" s="68">
        <v>45219</v>
      </c>
      <c r="S280" s="5">
        <v>52</v>
      </c>
      <c r="T280" s="5">
        <v>44</v>
      </c>
      <c r="U280" s="46" t="s">
        <v>57</v>
      </c>
    </row>
    <row r="281" spans="1:21" x14ac:dyDescent="0.3">
      <c r="A281" s="5" t="s">
        <v>268</v>
      </c>
      <c r="B281" s="5" t="s">
        <v>57</v>
      </c>
      <c r="C281" s="5" t="s">
        <v>471</v>
      </c>
      <c r="D281" s="5">
        <v>1</v>
      </c>
      <c r="E281" s="5">
        <v>1</v>
      </c>
      <c r="F281" s="5">
        <v>1</v>
      </c>
      <c r="G281" s="5"/>
      <c r="H281" s="5">
        <v>941</v>
      </c>
      <c r="I281" s="68">
        <v>45723</v>
      </c>
      <c r="J281" s="5"/>
      <c r="K281" s="5">
        <v>12</v>
      </c>
      <c r="L281" s="5" t="s">
        <v>787</v>
      </c>
      <c r="M281" s="5">
        <v>1895</v>
      </c>
      <c r="N281" s="5">
        <v>2.0099999999999998</v>
      </c>
      <c r="O281" s="5">
        <v>1895</v>
      </c>
      <c r="P281" s="5">
        <v>2.0099999999999998</v>
      </c>
      <c r="Q281" s="68">
        <v>45657</v>
      </c>
      <c r="R281" s="68">
        <v>45691</v>
      </c>
      <c r="S281" s="5">
        <v>35</v>
      </c>
      <c r="T281" s="5">
        <v>0</v>
      </c>
      <c r="U281" s="46" t="s">
        <v>57</v>
      </c>
    </row>
    <row r="282" spans="1:21" x14ac:dyDescent="0.3">
      <c r="A282" s="5" t="s">
        <v>268</v>
      </c>
      <c r="B282" s="5" t="s">
        <v>57</v>
      </c>
      <c r="C282" s="5" t="s">
        <v>471</v>
      </c>
      <c r="D282" s="5">
        <v>1</v>
      </c>
      <c r="E282" s="5">
        <v>1</v>
      </c>
      <c r="F282" s="5">
        <v>1</v>
      </c>
      <c r="G282" s="5"/>
      <c r="H282" s="5">
        <v>941</v>
      </c>
      <c r="I282" s="68">
        <v>46132</v>
      </c>
      <c r="J282" s="5"/>
      <c r="K282" s="5">
        <v>14</v>
      </c>
      <c r="L282" s="5" t="s">
        <v>787</v>
      </c>
      <c r="M282" s="5">
        <v>1895</v>
      </c>
      <c r="N282" s="5">
        <v>2.0099999999999998</v>
      </c>
      <c r="O282" s="5">
        <v>1624</v>
      </c>
      <c r="P282" s="5">
        <v>1.73</v>
      </c>
      <c r="Q282" s="68">
        <v>46093</v>
      </c>
      <c r="R282" s="68">
        <v>46098</v>
      </c>
      <c r="S282" s="5">
        <v>6</v>
      </c>
      <c r="T282" s="5">
        <v>0</v>
      </c>
      <c r="U282" s="46" t="s">
        <v>57</v>
      </c>
    </row>
    <row r="283" spans="1:21" x14ac:dyDescent="0.3">
      <c r="A283" s="5" t="s">
        <v>268</v>
      </c>
      <c r="B283" s="5" t="s">
        <v>57</v>
      </c>
      <c r="C283" s="5" t="s">
        <v>473</v>
      </c>
      <c r="D283" s="5">
        <v>1</v>
      </c>
      <c r="E283" s="5">
        <v>1</v>
      </c>
      <c r="F283" s="5">
        <v>1</v>
      </c>
      <c r="G283" s="5"/>
      <c r="H283" s="5">
        <v>941</v>
      </c>
      <c r="I283" s="68">
        <v>45206</v>
      </c>
      <c r="J283" s="5"/>
      <c r="K283" s="5"/>
      <c r="L283" s="5" t="s">
        <v>787</v>
      </c>
      <c r="M283" s="5">
        <v>1895</v>
      </c>
      <c r="N283" s="5">
        <v>2.0099999999999998</v>
      </c>
      <c r="O283" s="5">
        <v>1676</v>
      </c>
      <c r="P283" s="5">
        <v>1.78</v>
      </c>
      <c r="Q283" s="68">
        <v>45182</v>
      </c>
      <c r="R283" s="68">
        <v>45216</v>
      </c>
      <c r="S283" s="5">
        <v>35</v>
      </c>
      <c r="T283" s="5">
        <v>11</v>
      </c>
      <c r="U283" s="46" t="s">
        <v>57</v>
      </c>
    </row>
    <row r="284" spans="1:21" x14ac:dyDescent="0.3">
      <c r="A284" s="5" t="s">
        <v>268</v>
      </c>
      <c r="B284" s="5" t="s">
        <v>57</v>
      </c>
      <c r="C284" s="5" t="s">
        <v>473</v>
      </c>
      <c r="D284" s="5">
        <v>1</v>
      </c>
      <c r="E284" s="5">
        <v>1</v>
      </c>
      <c r="F284" s="5">
        <v>1</v>
      </c>
      <c r="G284" s="5"/>
      <c r="H284" s="5">
        <v>941</v>
      </c>
      <c r="I284" s="68">
        <v>45426</v>
      </c>
      <c r="J284" s="5"/>
      <c r="K284" s="5"/>
      <c r="L284" s="5" t="s">
        <v>787</v>
      </c>
      <c r="M284" s="5">
        <v>1895</v>
      </c>
      <c r="N284" s="5">
        <v>2.0099999999999998</v>
      </c>
      <c r="O284" s="5">
        <v>1895</v>
      </c>
      <c r="P284" s="5">
        <v>2.0099999999999998</v>
      </c>
      <c r="Q284" s="68">
        <v>45399</v>
      </c>
      <c r="R284" s="68">
        <v>45413</v>
      </c>
      <c r="S284" s="5">
        <v>15</v>
      </c>
      <c r="T284" s="5">
        <v>0</v>
      </c>
      <c r="U284" s="46" t="s">
        <v>57</v>
      </c>
    </row>
    <row r="285" spans="1:21" x14ac:dyDescent="0.3">
      <c r="A285" s="5" t="s">
        <v>268</v>
      </c>
      <c r="B285" s="5" t="s">
        <v>57</v>
      </c>
      <c r="C285" s="5" t="s">
        <v>473</v>
      </c>
      <c r="D285" s="5">
        <v>1</v>
      </c>
      <c r="E285" s="5">
        <v>1</v>
      </c>
      <c r="F285" s="5">
        <v>1</v>
      </c>
      <c r="G285" s="5"/>
      <c r="H285" s="5">
        <v>941</v>
      </c>
      <c r="I285" s="68">
        <v>45552</v>
      </c>
      <c r="J285" s="5"/>
      <c r="K285" s="5">
        <v>15</v>
      </c>
      <c r="L285" s="5" t="s">
        <v>787</v>
      </c>
      <c r="M285" s="5">
        <v>1895</v>
      </c>
      <c r="N285" s="5">
        <v>2.0099999999999998</v>
      </c>
      <c r="O285" s="5">
        <v>1720</v>
      </c>
      <c r="P285" s="5">
        <v>1.83</v>
      </c>
      <c r="Q285" s="68">
        <v>45514</v>
      </c>
      <c r="R285" s="68">
        <v>45565</v>
      </c>
      <c r="S285" s="5">
        <v>52</v>
      </c>
      <c r="T285" s="5">
        <v>14</v>
      </c>
      <c r="U285" s="46" t="s">
        <v>57</v>
      </c>
    </row>
    <row r="286" spans="1:21" x14ac:dyDescent="0.3">
      <c r="A286" s="5" t="s">
        <v>268</v>
      </c>
      <c r="B286" s="5" t="s">
        <v>57</v>
      </c>
      <c r="C286" s="5" t="s">
        <v>522</v>
      </c>
      <c r="D286" s="5">
        <v>1</v>
      </c>
      <c r="E286" s="5">
        <v>1</v>
      </c>
      <c r="F286" s="5">
        <v>1</v>
      </c>
      <c r="G286" s="5"/>
      <c r="H286" s="5">
        <v>941</v>
      </c>
      <c r="I286" s="68">
        <v>45539</v>
      </c>
      <c r="J286" s="5"/>
      <c r="K286" s="5">
        <v>12</v>
      </c>
      <c r="L286" s="5" t="s">
        <v>787</v>
      </c>
      <c r="M286" s="5">
        <v>1710</v>
      </c>
      <c r="N286" s="5">
        <v>1.82</v>
      </c>
      <c r="O286" s="5">
        <v>1710</v>
      </c>
      <c r="P286" s="5">
        <v>1.82</v>
      </c>
      <c r="Q286" s="68">
        <v>45533</v>
      </c>
      <c r="R286" s="68">
        <v>45592</v>
      </c>
      <c r="S286" s="5">
        <v>60</v>
      </c>
      <c r="T286" s="5">
        <v>54</v>
      </c>
      <c r="U286" s="46" t="s">
        <v>57</v>
      </c>
    </row>
    <row r="287" spans="1:21" x14ac:dyDescent="0.3">
      <c r="A287" s="5" t="s">
        <v>268</v>
      </c>
      <c r="B287" s="5" t="s">
        <v>57</v>
      </c>
      <c r="C287" s="5" t="s">
        <v>522</v>
      </c>
      <c r="D287" s="5">
        <v>1</v>
      </c>
      <c r="E287" s="5">
        <v>1</v>
      </c>
      <c r="F287" s="5">
        <v>1</v>
      </c>
      <c r="G287" s="5"/>
      <c r="H287" s="5">
        <v>941</v>
      </c>
      <c r="I287" s="68">
        <v>46011</v>
      </c>
      <c r="J287" s="5"/>
      <c r="K287" s="5">
        <v>13</v>
      </c>
      <c r="L287" s="5" t="s">
        <v>787</v>
      </c>
      <c r="M287" s="5">
        <v>1895</v>
      </c>
      <c r="N287" s="5">
        <v>2.0099999999999998</v>
      </c>
      <c r="O287" s="5">
        <v>1895</v>
      </c>
      <c r="P287" s="5">
        <v>2.0099999999999998</v>
      </c>
      <c r="Q287" s="68">
        <v>45932</v>
      </c>
      <c r="R287" s="68">
        <v>46030</v>
      </c>
      <c r="S287" s="5">
        <v>99</v>
      </c>
      <c r="T287" s="5">
        <v>20</v>
      </c>
      <c r="U287" s="46" t="s">
        <v>57</v>
      </c>
    </row>
    <row r="288" spans="1:21" x14ac:dyDescent="0.3">
      <c r="A288" s="5" t="s">
        <v>268</v>
      </c>
      <c r="B288" s="5" t="s">
        <v>57</v>
      </c>
      <c r="C288" s="5" t="s">
        <v>524</v>
      </c>
      <c r="D288" s="5">
        <v>1</v>
      </c>
      <c r="E288" s="5">
        <v>1</v>
      </c>
      <c r="F288" s="5">
        <v>1</v>
      </c>
      <c r="G288" s="5"/>
      <c r="H288" s="5">
        <v>941</v>
      </c>
      <c r="I288" s="68">
        <v>45865</v>
      </c>
      <c r="J288" s="5"/>
      <c r="K288" s="5">
        <v>12</v>
      </c>
      <c r="L288" s="5" t="s">
        <v>787</v>
      </c>
      <c r="M288" s="5">
        <v>1895</v>
      </c>
      <c r="N288" s="5">
        <v>2.0099999999999998</v>
      </c>
      <c r="O288" s="5">
        <v>1676</v>
      </c>
      <c r="P288" s="5">
        <v>1.78</v>
      </c>
      <c r="Q288" s="68">
        <v>45789</v>
      </c>
      <c r="R288" s="68">
        <v>45881</v>
      </c>
      <c r="S288" s="5">
        <v>93</v>
      </c>
      <c r="T288" s="5">
        <v>17</v>
      </c>
      <c r="U288" s="46" t="s">
        <v>57</v>
      </c>
    </row>
    <row r="289" spans="1:21" x14ac:dyDescent="0.3">
      <c r="A289" s="5" t="s">
        <v>268</v>
      </c>
      <c r="B289" s="5" t="s">
        <v>57</v>
      </c>
      <c r="C289" s="5" t="s">
        <v>634</v>
      </c>
      <c r="D289" s="5">
        <v>1</v>
      </c>
      <c r="E289" s="5">
        <v>1</v>
      </c>
      <c r="F289" s="5">
        <v>1</v>
      </c>
      <c r="G289" s="5"/>
      <c r="H289" s="5">
        <v>941</v>
      </c>
      <c r="I289" s="68">
        <v>45297</v>
      </c>
      <c r="J289" s="5"/>
      <c r="K289" s="5"/>
      <c r="L289" s="5" t="s">
        <v>787</v>
      </c>
      <c r="M289" s="5">
        <v>1895</v>
      </c>
      <c r="N289" s="5">
        <v>2.0099999999999998</v>
      </c>
      <c r="O289" s="5">
        <v>1812</v>
      </c>
      <c r="P289" s="5">
        <v>1.93</v>
      </c>
      <c r="Q289" s="68">
        <v>45168</v>
      </c>
      <c r="R289" s="68">
        <v>45305</v>
      </c>
      <c r="S289" s="5">
        <v>138</v>
      </c>
      <c r="T289" s="5">
        <v>9</v>
      </c>
      <c r="U289" s="46" t="s">
        <v>57</v>
      </c>
    </row>
    <row r="290" spans="1:21" x14ac:dyDescent="0.3">
      <c r="A290" s="5" t="s">
        <v>268</v>
      </c>
      <c r="B290" s="5" t="s">
        <v>72</v>
      </c>
      <c r="C290" s="5" t="s">
        <v>679</v>
      </c>
      <c r="D290" s="5">
        <v>1</v>
      </c>
      <c r="E290" s="5">
        <v>2</v>
      </c>
      <c r="F290" s="5">
        <v>2</v>
      </c>
      <c r="G290" s="5">
        <v>1</v>
      </c>
      <c r="H290" s="5">
        <v>1381</v>
      </c>
      <c r="I290" s="68">
        <v>45314</v>
      </c>
      <c r="J290" s="5"/>
      <c r="K290" s="5">
        <v>12</v>
      </c>
      <c r="L290" s="5" t="s">
        <v>788</v>
      </c>
      <c r="M290" s="5">
        <v>2595</v>
      </c>
      <c r="N290" s="5">
        <v>1.88</v>
      </c>
      <c r="O290" s="5">
        <v>2595</v>
      </c>
      <c r="P290" s="5">
        <v>1.88</v>
      </c>
      <c r="Q290" s="68">
        <v>45249</v>
      </c>
      <c r="R290" s="68">
        <v>45687</v>
      </c>
      <c r="S290" s="5">
        <v>439</v>
      </c>
      <c r="T290" s="5">
        <v>374</v>
      </c>
      <c r="U290" s="46" t="s">
        <v>72</v>
      </c>
    </row>
    <row r="291" spans="1:21" x14ac:dyDescent="0.3">
      <c r="A291" s="5" t="s">
        <v>268</v>
      </c>
      <c r="B291" s="5" t="s">
        <v>72</v>
      </c>
      <c r="C291" s="5" t="s">
        <v>679</v>
      </c>
      <c r="D291" s="5">
        <v>1</v>
      </c>
      <c r="E291" s="5">
        <v>2</v>
      </c>
      <c r="F291" s="5">
        <v>2</v>
      </c>
      <c r="G291" s="5">
        <v>1</v>
      </c>
      <c r="H291" s="5">
        <v>1381</v>
      </c>
      <c r="I291" s="68">
        <v>46209</v>
      </c>
      <c r="J291" s="5"/>
      <c r="K291" s="5">
        <v>14</v>
      </c>
      <c r="L291" s="5" t="s">
        <v>788</v>
      </c>
      <c r="M291" s="5">
        <v>3410</v>
      </c>
      <c r="N291" s="5">
        <v>2.4700000000000002</v>
      </c>
      <c r="O291" s="5">
        <v>2923</v>
      </c>
      <c r="P291" s="5">
        <v>2.12</v>
      </c>
      <c r="Q291" s="68">
        <v>46141</v>
      </c>
      <c r="R291" s="68">
        <v>46153</v>
      </c>
      <c r="S291" s="5">
        <v>13</v>
      </c>
      <c r="T291" s="5">
        <v>0</v>
      </c>
      <c r="U291" s="46" t="s">
        <v>72</v>
      </c>
    </row>
    <row r="292" spans="1:21" x14ac:dyDescent="0.3">
      <c r="A292" s="5" t="s">
        <v>268</v>
      </c>
      <c r="B292" s="5" t="s">
        <v>72</v>
      </c>
      <c r="C292" s="5" t="s">
        <v>680</v>
      </c>
      <c r="D292" s="5">
        <v>1</v>
      </c>
      <c r="E292" s="5">
        <v>2</v>
      </c>
      <c r="F292" s="5">
        <v>2</v>
      </c>
      <c r="G292" s="5">
        <v>1</v>
      </c>
      <c r="H292" s="5">
        <v>1381</v>
      </c>
      <c r="I292" s="68">
        <v>45372</v>
      </c>
      <c r="J292" s="5"/>
      <c r="K292" s="5"/>
      <c r="L292" s="5" t="s">
        <v>788</v>
      </c>
      <c r="M292" s="5">
        <v>3410</v>
      </c>
      <c r="N292" s="5">
        <v>2.4700000000000002</v>
      </c>
      <c r="O292" s="5">
        <v>3410</v>
      </c>
      <c r="P292" s="5">
        <v>2.4700000000000002</v>
      </c>
      <c r="Q292" s="68">
        <v>45364</v>
      </c>
      <c r="R292" s="68">
        <v>45385</v>
      </c>
      <c r="S292" s="5">
        <v>22</v>
      </c>
      <c r="T292" s="5">
        <v>14</v>
      </c>
      <c r="U292" s="46" t="s">
        <v>72</v>
      </c>
    </row>
    <row r="293" spans="1:21" x14ac:dyDescent="0.3">
      <c r="A293" s="5" t="s">
        <v>268</v>
      </c>
      <c r="B293" s="5" t="s">
        <v>72</v>
      </c>
      <c r="C293" s="5" t="s">
        <v>680</v>
      </c>
      <c r="D293" s="5">
        <v>1</v>
      </c>
      <c r="E293" s="5">
        <v>2</v>
      </c>
      <c r="F293" s="5">
        <v>2</v>
      </c>
      <c r="G293" s="5">
        <v>1</v>
      </c>
      <c r="H293" s="5">
        <v>1381</v>
      </c>
      <c r="I293" s="68">
        <v>45754</v>
      </c>
      <c r="J293" s="5"/>
      <c r="K293" s="5">
        <v>12</v>
      </c>
      <c r="L293" s="5" t="s">
        <v>788</v>
      </c>
      <c r="M293" s="5">
        <v>3410</v>
      </c>
      <c r="N293" s="5">
        <v>2.4700000000000002</v>
      </c>
      <c r="O293" s="5">
        <v>2885</v>
      </c>
      <c r="P293" s="5">
        <v>2.09</v>
      </c>
      <c r="Q293" s="68">
        <v>45722</v>
      </c>
      <c r="R293" s="68">
        <v>45794</v>
      </c>
      <c r="S293" s="5">
        <v>73</v>
      </c>
      <c r="T293" s="5">
        <v>41</v>
      </c>
      <c r="U293" s="46" t="s">
        <v>72</v>
      </c>
    </row>
    <row r="294" spans="1:21" x14ac:dyDescent="0.3">
      <c r="A294" s="5" t="s">
        <v>268</v>
      </c>
      <c r="B294" s="5" t="s">
        <v>72</v>
      </c>
      <c r="C294" s="5" t="s">
        <v>680</v>
      </c>
      <c r="D294" s="5">
        <v>1</v>
      </c>
      <c r="E294" s="5">
        <v>2</v>
      </c>
      <c r="F294" s="5">
        <v>2</v>
      </c>
      <c r="G294" s="5">
        <v>1</v>
      </c>
      <c r="H294" s="5">
        <v>1381</v>
      </c>
      <c r="I294" s="68">
        <v>45965</v>
      </c>
      <c r="J294" s="5"/>
      <c r="K294" s="5">
        <v>12</v>
      </c>
      <c r="L294" s="5" t="s">
        <v>788</v>
      </c>
      <c r="M294" s="5">
        <v>3410</v>
      </c>
      <c r="N294" s="5">
        <v>2.4700000000000002</v>
      </c>
      <c r="O294" s="5">
        <v>2885</v>
      </c>
      <c r="P294" s="5">
        <v>2.09</v>
      </c>
      <c r="Q294" s="68">
        <v>45920</v>
      </c>
      <c r="R294" s="68">
        <v>45923</v>
      </c>
      <c r="S294" s="5">
        <v>4</v>
      </c>
      <c r="T294" s="5">
        <v>0</v>
      </c>
      <c r="U294" s="46" t="s">
        <v>72</v>
      </c>
    </row>
    <row r="295" spans="1:21" x14ac:dyDescent="0.3">
      <c r="A295" s="5" t="s">
        <v>268</v>
      </c>
      <c r="B295" s="5" t="s">
        <v>72</v>
      </c>
      <c r="C295" s="5" t="s">
        <v>678</v>
      </c>
      <c r="D295" s="5">
        <v>1</v>
      </c>
      <c r="E295" s="5">
        <v>2</v>
      </c>
      <c r="F295" s="5">
        <v>2</v>
      </c>
      <c r="G295" s="5">
        <v>1</v>
      </c>
      <c r="H295" s="5">
        <v>1461</v>
      </c>
      <c r="I295" s="68">
        <v>45094</v>
      </c>
      <c r="J295" s="5"/>
      <c r="K295" s="5"/>
      <c r="L295" s="5" t="s">
        <v>788</v>
      </c>
      <c r="M295" s="5">
        <v>3099</v>
      </c>
      <c r="N295" s="5">
        <v>2.12</v>
      </c>
      <c r="O295" s="5">
        <v>3016</v>
      </c>
      <c r="P295" s="5">
        <v>2.06</v>
      </c>
      <c r="Q295" s="5"/>
      <c r="R295" s="68">
        <v>45303</v>
      </c>
      <c r="S295" s="5"/>
      <c r="T295" s="5"/>
      <c r="U295" s="46" t="s">
        <v>72</v>
      </c>
    </row>
    <row r="296" spans="1:21" x14ac:dyDescent="0.3">
      <c r="A296" s="5" t="s">
        <v>268</v>
      </c>
      <c r="B296" s="5" t="s">
        <v>72</v>
      </c>
      <c r="C296" s="5" t="s">
        <v>678</v>
      </c>
      <c r="D296" s="5">
        <v>1</v>
      </c>
      <c r="E296" s="5">
        <v>2</v>
      </c>
      <c r="F296" s="5">
        <v>2</v>
      </c>
      <c r="G296" s="5">
        <v>1</v>
      </c>
      <c r="H296" s="5">
        <v>1461</v>
      </c>
      <c r="I296" s="68">
        <v>45513</v>
      </c>
      <c r="J296" s="5"/>
      <c r="K296" s="5">
        <v>12</v>
      </c>
      <c r="L296" s="5" t="s">
        <v>788</v>
      </c>
      <c r="M296" s="5">
        <v>2695</v>
      </c>
      <c r="N296" s="5">
        <v>1.84</v>
      </c>
      <c r="O296" s="5">
        <v>2197</v>
      </c>
      <c r="P296" s="5">
        <v>1.5</v>
      </c>
      <c r="Q296" s="68">
        <v>45476</v>
      </c>
      <c r="R296" s="68">
        <v>45737</v>
      </c>
      <c r="S296" s="5">
        <v>262</v>
      </c>
      <c r="T296" s="5">
        <v>225</v>
      </c>
      <c r="U296" s="46" t="s">
        <v>72</v>
      </c>
    </row>
    <row r="297" spans="1:21" x14ac:dyDescent="0.3">
      <c r="A297" s="5" t="s">
        <v>268</v>
      </c>
      <c r="B297" s="5" t="s">
        <v>65</v>
      </c>
      <c r="C297" s="5" t="s">
        <v>561</v>
      </c>
      <c r="D297" s="5">
        <v>3</v>
      </c>
      <c r="E297" s="5">
        <v>2</v>
      </c>
      <c r="F297" s="5">
        <v>2</v>
      </c>
      <c r="G297" s="5"/>
      <c r="H297" s="5">
        <v>1109</v>
      </c>
      <c r="I297" s="68">
        <v>45974</v>
      </c>
      <c r="J297" s="5"/>
      <c r="K297" s="5">
        <v>13</v>
      </c>
      <c r="L297" s="5" t="s">
        <v>786</v>
      </c>
      <c r="M297" s="5">
        <v>1605</v>
      </c>
      <c r="N297" s="5">
        <v>1.45</v>
      </c>
      <c r="O297" s="5">
        <v>1605</v>
      </c>
      <c r="P297" s="5">
        <v>1.45</v>
      </c>
      <c r="Q297" s="68">
        <v>45909</v>
      </c>
      <c r="R297" s="68">
        <v>46025</v>
      </c>
      <c r="S297" s="5">
        <v>117</v>
      </c>
      <c r="T297" s="5">
        <v>52</v>
      </c>
      <c r="U297" s="46" t="s">
        <v>65</v>
      </c>
    </row>
    <row r="298" spans="1:21" x14ac:dyDescent="0.3">
      <c r="A298" s="5" t="s">
        <v>268</v>
      </c>
      <c r="B298" s="5" t="s">
        <v>65</v>
      </c>
      <c r="C298" s="5" t="s">
        <v>636</v>
      </c>
      <c r="D298" s="5">
        <v>1</v>
      </c>
      <c r="E298" s="5">
        <v>2</v>
      </c>
      <c r="F298" s="5">
        <v>2</v>
      </c>
      <c r="G298" s="5"/>
      <c r="H298" s="5">
        <v>1109</v>
      </c>
      <c r="I298" s="68">
        <v>45454</v>
      </c>
      <c r="J298" s="5"/>
      <c r="K298" s="5">
        <v>15</v>
      </c>
      <c r="L298" s="5" t="s">
        <v>787</v>
      </c>
      <c r="M298" s="5">
        <v>2115</v>
      </c>
      <c r="N298" s="5">
        <v>1.91</v>
      </c>
      <c r="O298" s="5">
        <v>2115</v>
      </c>
      <c r="P298" s="5">
        <v>1.91</v>
      </c>
      <c r="Q298" s="68">
        <v>45392</v>
      </c>
      <c r="R298" s="68">
        <v>45478</v>
      </c>
      <c r="S298" s="5">
        <v>87</v>
      </c>
      <c r="T298" s="5">
        <v>25</v>
      </c>
      <c r="U298" s="46" t="s">
        <v>65</v>
      </c>
    </row>
    <row r="299" spans="1:21" x14ac:dyDescent="0.3">
      <c r="A299" s="5" t="s">
        <v>268</v>
      </c>
      <c r="B299" s="5" t="s">
        <v>65</v>
      </c>
      <c r="C299" s="5" t="s">
        <v>636</v>
      </c>
      <c r="D299" s="5">
        <v>1</v>
      </c>
      <c r="E299" s="5">
        <v>2</v>
      </c>
      <c r="F299" s="5">
        <v>2</v>
      </c>
      <c r="G299" s="5"/>
      <c r="H299" s="5">
        <v>1109</v>
      </c>
      <c r="I299" s="68">
        <v>46135</v>
      </c>
      <c r="J299" s="5"/>
      <c r="K299" s="5">
        <v>14</v>
      </c>
      <c r="L299" s="5" t="s">
        <v>787</v>
      </c>
      <c r="M299" s="5">
        <v>2115</v>
      </c>
      <c r="N299" s="5">
        <v>1.91</v>
      </c>
      <c r="O299" s="5">
        <v>2115</v>
      </c>
      <c r="P299" s="5">
        <v>1.91</v>
      </c>
      <c r="Q299" s="68">
        <v>45910</v>
      </c>
      <c r="R299" s="68">
        <v>46085</v>
      </c>
      <c r="S299" s="5">
        <v>176</v>
      </c>
      <c r="T299" s="5">
        <v>0</v>
      </c>
      <c r="U299" s="46" t="s">
        <v>65</v>
      </c>
    </row>
    <row r="300" spans="1:21" x14ac:dyDescent="0.3">
      <c r="A300" s="5" t="s">
        <v>268</v>
      </c>
      <c r="B300" s="5" t="s">
        <v>60</v>
      </c>
      <c r="C300" s="5" t="s">
        <v>533</v>
      </c>
      <c r="D300" s="5">
        <v>2</v>
      </c>
      <c r="E300" s="5">
        <v>2</v>
      </c>
      <c r="F300" s="5">
        <v>2</v>
      </c>
      <c r="G300" s="5"/>
      <c r="H300" s="5">
        <v>1082</v>
      </c>
      <c r="I300" s="68">
        <v>45968</v>
      </c>
      <c r="J300" s="5"/>
      <c r="K300" s="5">
        <v>13</v>
      </c>
      <c r="L300" s="5" t="s">
        <v>786</v>
      </c>
      <c r="M300" s="5">
        <v>1605</v>
      </c>
      <c r="N300" s="5">
        <v>1.48</v>
      </c>
      <c r="O300" s="5">
        <v>1296</v>
      </c>
      <c r="P300" s="5">
        <v>1.2</v>
      </c>
      <c r="Q300" s="68">
        <v>45888</v>
      </c>
      <c r="R300" s="68">
        <v>46015</v>
      </c>
      <c r="S300" s="5">
        <v>128</v>
      </c>
      <c r="T300" s="5">
        <v>48</v>
      </c>
      <c r="U300" s="46" t="s">
        <v>60</v>
      </c>
    </row>
    <row r="301" spans="1:21" x14ac:dyDescent="0.3">
      <c r="A301" s="5" t="s">
        <v>268</v>
      </c>
      <c r="B301" s="5" t="s">
        <v>60</v>
      </c>
      <c r="C301" s="5" t="s">
        <v>660</v>
      </c>
      <c r="D301" s="5">
        <v>3</v>
      </c>
      <c r="E301" s="5">
        <v>2</v>
      </c>
      <c r="F301" s="5">
        <v>2</v>
      </c>
      <c r="G301" s="5"/>
      <c r="H301" s="5">
        <v>1082</v>
      </c>
      <c r="I301" s="68">
        <v>45934</v>
      </c>
      <c r="J301" s="5"/>
      <c r="K301" s="5">
        <v>12</v>
      </c>
      <c r="L301" s="5" t="s">
        <v>786</v>
      </c>
      <c r="M301" s="5">
        <v>1699</v>
      </c>
      <c r="N301" s="5">
        <v>1.57</v>
      </c>
      <c r="O301" s="5">
        <v>1372</v>
      </c>
      <c r="P301" s="5">
        <v>1.27</v>
      </c>
      <c r="Q301" s="68">
        <v>45897</v>
      </c>
      <c r="R301" s="68">
        <v>45971</v>
      </c>
      <c r="S301" s="5">
        <v>75</v>
      </c>
      <c r="T301" s="5">
        <v>38</v>
      </c>
      <c r="U301" s="46" t="s">
        <v>60</v>
      </c>
    </row>
    <row r="302" spans="1:21" x14ac:dyDescent="0.3">
      <c r="A302" s="5" t="s">
        <v>268</v>
      </c>
      <c r="B302" s="5" t="s">
        <v>60</v>
      </c>
      <c r="C302" s="5" t="s">
        <v>499</v>
      </c>
      <c r="D302" s="5">
        <v>2</v>
      </c>
      <c r="E302" s="5">
        <v>2</v>
      </c>
      <c r="F302" s="5">
        <v>2</v>
      </c>
      <c r="G302" s="5"/>
      <c r="H302" s="5">
        <v>1082</v>
      </c>
      <c r="I302" s="68">
        <v>45937</v>
      </c>
      <c r="J302" s="5"/>
      <c r="K302" s="5">
        <v>12</v>
      </c>
      <c r="L302" s="5" t="s">
        <v>786</v>
      </c>
      <c r="M302" s="5">
        <v>1699</v>
      </c>
      <c r="N302" s="5">
        <v>1.57</v>
      </c>
      <c r="O302" s="5">
        <v>1372</v>
      </c>
      <c r="P302" s="5">
        <v>1.27</v>
      </c>
      <c r="Q302" s="68">
        <v>45905</v>
      </c>
      <c r="R302" s="68">
        <v>45969</v>
      </c>
      <c r="S302" s="5">
        <v>65</v>
      </c>
      <c r="T302" s="5">
        <v>33</v>
      </c>
      <c r="U302" s="46" t="s">
        <v>60</v>
      </c>
    </row>
    <row r="303" spans="1:21" x14ac:dyDescent="0.3">
      <c r="A303" s="5" t="s">
        <v>268</v>
      </c>
      <c r="B303" s="5" t="s">
        <v>60</v>
      </c>
      <c r="C303" s="5" t="s">
        <v>442</v>
      </c>
      <c r="D303" s="5">
        <v>3</v>
      </c>
      <c r="E303" s="5">
        <v>2</v>
      </c>
      <c r="F303" s="5">
        <v>2</v>
      </c>
      <c r="G303" s="5"/>
      <c r="H303" s="5">
        <v>1082</v>
      </c>
      <c r="I303" s="68">
        <v>45094</v>
      </c>
      <c r="J303" s="5"/>
      <c r="K303" s="5"/>
      <c r="L303" s="5" t="s">
        <v>787</v>
      </c>
      <c r="M303" s="5">
        <v>1985</v>
      </c>
      <c r="N303" s="5">
        <v>1.83</v>
      </c>
      <c r="O303" s="5">
        <v>1756</v>
      </c>
      <c r="P303" s="5">
        <v>1.62</v>
      </c>
      <c r="Q303" s="5"/>
      <c r="R303" s="68">
        <v>45175</v>
      </c>
      <c r="S303" s="5"/>
      <c r="T303" s="5"/>
      <c r="U303" s="46" t="s">
        <v>60</v>
      </c>
    </row>
    <row r="304" spans="1:21" x14ac:dyDescent="0.3">
      <c r="A304" s="5" t="s">
        <v>268</v>
      </c>
      <c r="B304" s="5" t="s">
        <v>60</v>
      </c>
      <c r="C304" s="5" t="s">
        <v>442</v>
      </c>
      <c r="D304" s="5">
        <v>3</v>
      </c>
      <c r="E304" s="5">
        <v>2</v>
      </c>
      <c r="F304" s="5">
        <v>2</v>
      </c>
      <c r="G304" s="5"/>
      <c r="H304" s="5">
        <v>1082</v>
      </c>
      <c r="I304" s="68">
        <v>45627</v>
      </c>
      <c r="J304" s="5"/>
      <c r="K304" s="5">
        <v>12</v>
      </c>
      <c r="L304" s="5" t="s">
        <v>787</v>
      </c>
      <c r="M304" s="5">
        <v>1840</v>
      </c>
      <c r="N304" s="5">
        <v>1.7</v>
      </c>
      <c r="O304" s="5">
        <v>1840</v>
      </c>
      <c r="P304" s="5">
        <v>1.7</v>
      </c>
      <c r="Q304" s="68">
        <v>45553</v>
      </c>
      <c r="R304" s="68">
        <v>45676</v>
      </c>
      <c r="S304" s="5">
        <v>124</v>
      </c>
      <c r="T304" s="5">
        <v>50</v>
      </c>
      <c r="U304" s="46" t="s">
        <v>60</v>
      </c>
    </row>
    <row r="305" spans="1:21" x14ac:dyDescent="0.3">
      <c r="A305" s="5" t="s">
        <v>268</v>
      </c>
      <c r="B305" s="5" t="s">
        <v>60</v>
      </c>
      <c r="C305" s="5" t="s">
        <v>613</v>
      </c>
      <c r="D305" s="5">
        <v>2</v>
      </c>
      <c r="E305" s="5">
        <v>2</v>
      </c>
      <c r="F305" s="5">
        <v>2</v>
      </c>
      <c r="G305" s="5"/>
      <c r="H305" s="5">
        <v>1082</v>
      </c>
      <c r="I305" s="68">
        <v>45292</v>
      </c>
      <c r="J305" s="5"/>
      <c r="K305" s="5">
        <v>15</v>
      </c>
      <c r="L305" s="5" t="s">
        <v>787</v>
      </c>
      <c r="M305" s="5">
        <v>2125</v>
      </c>
      <c r="N305" s="5">
        <v>1.96</v>
      </c>
      <c r="O305" s="5">
        <v>2125</v>
      </c>
      <c r="P305" s="5">
        <v>1.96</v>
      </c>
      <c r="Q305" s="68">
        <v>45228</v>
      </c>
      <c r="R305" s="68">
        <v>45449</v>
      </c>
      <c r="S305" s="5">
        <v>222</v>
      </c>
      <c r="T305" s="5">
        <v>158</v>
      </c>
      <c r="U305" s="46" t="s">
        <v>60</v>
      </c>
    </row>
    <row r="306" spans="1:21" x14ac:dyDescent="0.3">
      <c r="A306" s="5" t="s">
        <v>268</v>
      </c>
      <c r="B306" s="5" t="s">
        <v>60</v>
      </c>
      <c r="C306" s="5" t="s">
        <v>613</v>
      </c>
      <c r="D306" s="5">
        <v>2</v>
      </c>
      <c r="E306" s="5">
        <v>2</v>
      </c>
      <c r="F306" s="5">
        <v>2</v>
      </c>
      <c r="G306" s="5"/>
      <c r="H306" s="5">
        <v>1082</v>
      </c>
      <c r="I306" s="68">
        <v>46007</v>
      </c>
      <c r="J306" s="5"/>
      <c r="K306" s="5">
        <v>13</v>
      </c>
      <c r="L306" s="5" t="s">
        <v>787</v>
      </c>
      <c r="M306" s="5">
        <v>1875</v>
      </c>
      <c r="N306" s="5">
        <v>1.73</v>
      </c>
      <c r="O306" s="5">
        <v>1514</v>
      </c>
      <c r="P306" s="5">
        <v>1.4</v>
      </c>
      <c r="Q306" s="68">
        <v>45938</v>
      </c>
      <c r="R306" s="68">
        <v>46035</v>
      </c>
      <c r="S306" s="5">
        <v>98</v>
      </c>
      <c r="T306" s="5">
        <v>29</v>
      </c>
      <c r="U306" s="46" t="s">
        <v>60</v>
      </c>
    </row>
    <row r="307" spans="1:21" x14ac:dyDescent="0.3">
      <c r="A307" s="5" t="s">
        <v>268</v>
      </c>
      <c r="B307" s="5" t="s">
        <v>60</v>
      </c>
      <c r="C307" s="5" t="s">
        <v>500</v>
      </c>
      <c r="D307" s="5">
        <v>3</v>
      </c>
      <c r="E307" s="5">
        <v>2</v>
      </c>
      <c r="F307" s="5">
        <v>2</v>
      </c>
      <c r="G307" s="5"/>
      <c r="H307" s="5">
        <v>1082</v>
      </c>
      <c r="I307" s="68">
        <v>45463</v>
      </c>
      <c r="J307" s="5"/>
      <c r="K307" s="5">
        <v>15</v>
      </c>
      <c r="L307" s="5" t="s">
        <v>787</v>
      </c>
      <c r="M307" s="5">
        <v>2305</v>
      </c>
      <c r="N307" s="5">
        <v>2.13</v>
      </c>
      <c r="O307" s="5">
        <v>2305</v>
      </c>
      <c r="P307" s="5">
        <v>2.13</v>
      </c>
      <c r="Q307" s="68">
        <v>45428</v>
      </c>
      <c r="R307" s="68">
        <v>45476</v>
      </c>
      <c r="S307" s="5">
        <v>49</v>
      </c>
      <c r="T307" s="5">
        <v>14</v>
      </c>
      <c r="U307" s="46" t="s">
        <v>60</v>
      </c>
    </row>
    <row r="308" spans="1:21" x14ac:dyDescent="0.3">
      <c r="A308" s="5" t="s">
        <v>268</v>
      </c>
      <c r="B308" s="5" t="s">
        <v>60</v>
      </c>
      <c r="C308" s="5" t="s">
        <v>500</v>
      </c>
      <c r="D308" s="5">
        <v>3</v>
      </c>
      <c r="E308" s="5">
        <v>2</v>
      </c>
      <c r="F308" s="5">
        <v>2</v>
      </c>
      <c r="G308" s="5"/>
      <c r="H308" s="5">
        <v>1082</v>
      </c>
      <c r="I308" s="68">
        <v>45723</v>
      </c>
      <c r="J308" s="5"/>
      <c r="K308" s="5">
        <v>12</v>
      </c>
      <c r="L308" s="5" t="s">
        <v>787</v>
      </c>
      <c r="M308" s="5">
        <v>1879</v>
      </c>
      <c r="N308" s="5">
        <v>1.74</v>
      </c>
      <c r="O308" s="5">
        <v>1879</v>
      </c>
      <c r="P308" s="5">
        <v>1.74</v>
      </c>
      <c r="Q308" s="68">
        <v>45571</v>
      </c>
      <c r="R308" s="68">
        <v>45693</v>
      </c>
      <c r="S308" s="5">
        <v>123</v>
      </c>
      <c r="T308" s="5">
        <v>0</v>
      </c>
      <c r="U308" s="46" t="s">
        <v>60</v>
      </c>
    </row>
    <row r="309" spans="1:21" x14ac:dyDescent="0.3">
      <c r="A309" s="5" t="s">
        <v>268</v>
      </c>
      <c r="B309" s="5" t="s">
        <v>60</v>
      </c>
      <c r="C309" s="5" t="s">
        <v>519</v>
      </c>
      <c r="D309" s="5">
        <v>1</v>
      </c>
      <c r="E309" s="5">
        <v>2</v>
      </c>
      <c r="F309" s="5">
        <v>2</v>
      </c>
      <c r="G309" s="5"/>
      <c r="H309" s="5">
        <v>1082</v>
      </c>
      <c r="I309" s="68">
        <v>45558</v>
      </c>
      <c r="J309" s="5"/>
      <c r="K309" s="5">
        <v>12</v>
      </c>
      <c r="L309" s="5" t="s">
        <v>787</v>
      </c>
      <c r="M309" s="5">
        <v>1895</v>
      </c>
      <c r="N309" s="5">
        <v>1.75</v>
      </c>
      <c r="O309" s="5">
        <v>1895</v>
      </c>
      <c r="P309" s="5">
        <v>1.75</v>
      </c>
      <c r="Q309" s="68">
        <v>45526</v>
      </c>
      <c r="R309" s="68">
        <v>45703</v>
      </c>
      <c r="S309" s="5">
        <v>178</v>
      </c>
      <c r="T309" s="5">
        <v>146</v>
      </c>
      <c r="U309" s="46" t="s">
        <v>60</v>
      </c>
    </row>
    <row r="310" spans="1:21" x14ac:dyDescent="0.3">
      <c r="A310" s="5" t="s">
        <v>268</v>
      </c>
      <c r="B310" s="5" t="s">
        <v>60</v>
      </c>
      <c r="C310" s="5" t="s">
        <v>631</v>
      </c>
      <c r="D310" s="5">
        <v>1</v>
      </c>
      <c r="E310" s="5">
        <v>2</v>
      </c>
      <c r="F310" s="5">
        <v>2</v>
      </c>
      <c r="G310" s="5"/>
      <c r="H310" s="5">
        <v>1082</v>
      </c>
      <c r="I310" s="68">
        <v>45251</v>
      </c>
      <c r="J310" s="5"/>
      <c r="K310" s="5"/>
      <c r="L310" s="5" t="s">
        <v>787</v>
      </c>
      <c r="M310" s="5">
        <v>2285</v>
      </c>
      <c r="N310" s="5">
        <v>2.11</v>
      </c>
      <c r="O310" s="5">
        <v>2285</v>
      </c>
      <c r="P310" s="5">
        <v>2.11</v>
      </c>
      <c r="Q310" s="68">
        <v>45232</v>
      </c>
      <c r="R310" s="68">
        <v>45316</v>
      </c>
      <c r="S310" s="5">
        <v>85</v>
      </c>
      <c r="T310" s="5">
        <v>66</v>
      </c>
      <c r="U310" s="46" t="s">
        <v>60</v>
      </c>
    </row>
    <row r="311" spans="1:21" x14ac:dyDescent="0.3">
      <c r="A311" s="5" t="s">
        <v>268</v>
      </c>
      <c r="B311" s="5" t="s">
        <v>60</v>
      </c>
      <c r="C311" s="5" t="s">
        <v>631</v>
      </c>
      <c r="D311" s="5">
        <v>1</v>
      </c>
      <c r="E311" s="5">
        <v>2</v>
      </c>
      <c r="F311" s="5">
        <v>2</v>
      </c>
      <c r="G311" s="5"/>
      <c r="H311" s="5">
        <v>1082</v>
      </c>
      <c r="I311" s="68">
        <v>45511</v>
      </c>
      <c r="J311" s="5"/>
      <c r="K311" s="5">
        <v>12</v>
      </c>
      <c r="L311" s="5" t="s">
        <v>787</v>
      </c>
      <c r="M311" s="5">
        <v>1950</v>
      </c>
      <c r="N311" s="5">
        <v>1.8</v>
      </c>
      <c r="O311" s="5">
        <v>1950</v>
      </c>
      <c r="P311" s="5">
        <v>1.8</v>
      </c>
      <c r="Q311" s="68">
        <v>45506</v>
      </c>
      <c r="R311" s="68">
        <v>45600</v>
      </c>
      <c r="S311" s="5">
        <v>95</v>
      </c>
      <c r="T311" s="5">
        <v>90</v>
      </c>
      <c r="U311" s="46" t="s">
        <v>60</v>
      </c>
    </row>
    <row r="312" spans="1:21" x14ac:dyDescent="0.3">
      <c r="A312" s="5" t="s">
        <v>268</v>
      </c>
      <c r="B312" s="5" t="s">
        <v>60</v>
      </c>
      <c r="C312" s="5" t="s">
        <v>631</v>
      </c>
      <c r="D312" s="5">
        <v>1</v>
      </c>
      <c r="E312" s="5">
        <v>2</v>
      </c>
      <c r="F312" s="5">
        <v>2</v>
      </c>
      <c r="G312" s="5"/>
      <c r="H312" s="5">
        <v>1082</v>
      </c>
      <c r="I312" s="68">
        <v>45973</v>
      </c>
      <c r="J312" s="5"/>
      <c r="K312" s="5">
        <v>13</v>
      </c>
      <c r="L312" s="5" t="s">
        <v>787</v>
      </c>
      <c r="M312" s="5">
        <v>1899</v>
      </c>
      <c r="N312" s="5">
        <v>1.76</v>
      </c>
      <c r="O312" s="5">
        <v>1534</v>
      </c>
      <c r="P312" s="5">
        <v>1.42</v>
      </c>
      <c r="Q312" s="68">
        <v>45906</v>
      </c>
      <c r="R312" s="68">
        <v>46039</v>
      </c>
      <c r="S312" s="5">
        <v>134</v>
      </c>
      <c r="T312" s="5">
        <v>67</v>
      </c>
      <c r="U312" s="46" t="s">
        <v>60</v>
      </c>
    </row>
    <row r="313" spans="1:21" x14ac:dyDescent="0.3">
      <c r="A313" s="5" t="s">
        <v>268</v>
      </c>
      <c r="B313" s="5" t="s">
        <v>60</v>
      </c>
      <c r="C313" s="5" t="s">
        <v>449</v>
      </c>
      <c r="D313" s="5">
        <v>2</v>
      </c>
      <c r="E313" s="5">
        <v>2</v>
      </c>
      <c r="F313" s="5">
        <v>2</v>
      </c>
      <c r="G313" s="5"/>
      <c r="H313" s="5">
        <v>1082</v>
      </c>
      <c r="I313" s="68">
        <v>45451</v>
      </c>
      <c r="J313" s="5"/>
      <c r="K313" s="5">
        <v>15</v>
      </c>
      <c r="L313" s="5" t="s">
        <v>787</v>
      </c>
      <c r="M313" s="5">
        <v>1899</v>
      </c>
      <c r="N313" s="5">
        <v>1.76</v>
      </c>
      <c r="O313" s="5">
        <v>1724</v>
      </c>
      <c r="P313" s="5">
        <v>1.59</v>
      </c>
      <c r="Q313" s="68">
        <v>45385</v>
      </c>
      <c r="R313" s="68">
        <v>45563</v>
      </c>
      <c r="S313" s="5">
        <v>179</v>
      </c>
      <c r="T313" s="5">
        <v>113</v>
      </c>
      <c r="U313" s="46" t="s">
        <v>60</v>
      </c>
    </row>
    <row r="314" spans="1:21" x14ac:dyDescent="0.3">
      <c r="A314" s="5" t="s">
        <v>268</v>
      </c>
      <c r="B314" s="5" t="s">
        <v>60</v>
      </c>
      <c r="C314" s="5" t="s">
        <v>616</v>
      </c>
      <c r="D314" s="5">
        <v>3</v>
      </c>
      <c r="E314" s="5">
        <v>2</v>
      </c>
      <c r="F314" s="5">
        <v>2</v>
      </c>
      <c r="G314" s="5"/>
      <c r="H314" s="5">
        <v>1082</v>
      </c>
      <c r="I314" s="68">
        <v>45389</v>
      </c>
      <c r="J314" s="5"/>
      <c r="K314" s="5">
        <v>15</v>
      </c>
      <c r="L314" s="5" t="s">
        <v>787</v>
      </c>
      <c r="M314" s="5">
        <v>2155</v>
      </c>
      <c r="N314" s="5">
        <v>1.99</v>
      </c>
      <c r="O314" s="5">
        <v>2155</v>
      </c>
      <c r="P314" s="5">
        <v>1.99</v>
      </c>
      <c r="Q314" s="68">
        <v>45355</v>
      </c>
      <c r="R314" s="68">
        <v>45494</v>
      </c>
      <c r="S314" s="5">
        <v>140</v>
      </c>
      <c r="T314" s="5">
        <v>106</v>
      </c>
      <c r="U314" s="46" t="s">
        <v>60</v>
      </c>
    </row>
    <row r="315" spans="1:21" x14ac:dyDescent="0.3">
      <c r="A315" s="5" t="s">
        <v>268</v>
      </c>
      <c r="B315" s="5" t="s">
        <v>60</v>
      </c>
      <c r="C315" s="5" t="s">
        <v>616</v>
      </c>
      <c r="D315" s="5">
        <v>3</v>
      </c>
      <c r="E315" s="5">
        <v>2</v>
      </c>
      <c r="F315" s="5">
        <v>2</v>
      </c>
      <c r="G315" s="5"/>
      <c r="H315" s="5">
        <v>1082</v>
      </c>
      <c r="I315" s="68">
        <v>45992</v>
      </c>
      <c r="J315" s="5"/>
      <c r="K315" s="5">
        <v>13</v>
      </c>
      <c r="L315" s="5" t="s">
        <v>787</v>
      </c>
      <c r="M315" s="5">
        <v>1909</v>
      </c>
      <c r="N315" s="5">
        <v>1.76</v>
      </c>
      <c r="O315" s="5">
        <v>1542</v>
      </c>
      <c r="P315" s="5">
        <v>1.43</v>
      </c>
      <c r="Q315" s="68">
        <v>45963</v>
      </c>
      <c r="R315" s="68">
        <v>46036</v>
      </c>
      <c r="S315" s="5">
        <v>74</v>
      </c>
      <c r="T315" s="5">
        <v>45</v>
      </c>
      <c r="U315" s="46" t="s">
        <v>60</v>
      </c>
    </row>
    <row r="316" spans="1:21" x14ac:dyDescent="0.3">
      <c r="A316" s="5" t="s">
        <v>268</v>
      </c>
      <c r="B316" s="5" t="s">
        <v>60</v>
      </c>
      <c r="C316" s="5" t="s">
        <v>422</v>
      </c>
      <c r="D316" s="5">
        <v>2</v>
      </c>
      <c r="E316" s="5">
        <v>2</v>
      </c>
      <c r="F316" s="5">
        <v>2</v>
      </c>
      <c r="G316" s="5"/>
      <c r="H316" s="5">
        <v>1082</v>
      </c>
      <c r="I316" s="68">
        <v>45542</v>
      </c>
      <c r="J316" s="5"/>
      <c r="K316" s="5">
        <v>12</v>
      </c>
      <c r="L316" s="5" t="s">
        <v>787</v>
      </c>
      <c r="M316" s="5">
        <v>1880</v>
      </c>
      <c r="N316" s="5">
        <v>1.74</v>
      </c>
      <c r="O316" s="5">
        <v>1880</v>
      </c>
      <c r="P316" s="5">
        <v>1.74</v>
      </c>
      <c r="Q316" s="68">
        <v>45509</v>
      </c>
      <c r="R316" s="68">
        <v>45638</v>
      </c>
      <c r="S316" s="5">
        <v>130</v>
      </c>
      <c r="T316" s="5">
        <v>97</v>
      </c>
      <c r="U316" s="46" t="s">
        <v>60</v>
      </c>
    </row>
    <row r="317" spans="1:21" x14ac:dyDescent="0.3">
      <c r="A317" s="5" t="s">
        <v>268</v>
      </c>
      <c r="B317" s="5" t="s">
        <v>60</v>
      </c>
      <c r="C317" s="5" t="s">
        <v>422</v>
      </c>
      <c r="D317" s="5">
        <v>2</v>
      </c>
      <c r="E317" s="5">
        <v>2</v>
      </c>
      <c r="F317" s="5">
        <v>2</v>
      </c>
      <c r="G317" s="5"/>
      <c r="H317" s="5">
        <v>1082</v>
      </c>
      <c r="I317" s="68">
        <v>45784</v>
      </c>
      <c r="J317" s="5"/>
      <c r="K317" s="5">
        <v>12</v>
      </c>
      <c r="L317" s="5" t="s">
        <v>787</v>
      </c>
      <c r="M317" s="5">
        <v>1915</v>
      </c>
      <c r="N317" s="5">
        <v>1.77</v>
      </c>
      <c r="O317" s="5">
        <v>1915</v>
      </c>
      <c r="P317" s="5">
        <v>1.77</v>
      </c>
      <c r="Q317" s="68">
        <v>45749</v>
      </c>
      <c r="R317" s="68">
        <v>45808</v>
      </c>
      <c r="S317" s="5">
        <v>60</v>
      </c>
      <c r="T317" s="5">
        <v>25</v>
      </c>
      <c r="U317" s="46" t="s">
        <v>60</v>
      </c>
    </row>
    <row r="318" spans="1:21" x14ac:dyDescent="0.3">
      <c r="A318" s="5" t="s">
        <v>268</v>
      </c>
      <c r="B318" s="5" t="s">
        <v>60</v>
      </c>
      <c r="C318" s="5" t="s">
        <v>457</v>
      </c>
      <c r="D318" s="5">
        <v>2</v>
      </c>
      <c r="E318" s="5">
        <v>2</v>
      </c>
      <c r="F318" s="5">
        <v>2</v>
      </c>
      <c r="G318" s="5"/>
      <c r="H318" s="5">
        <v>1082</v>
      </c>
      <c r="I318" s="68">
        <v>45094</v>
      </c>
      <c r="J318" s="5"/>
      <c r="K318" s="5"/>
      <c r="L318" s="5" t="s">
        <v>787</v>
      </c>
      <c r="M318" s="5">
        <v>2260</v>
      </c>
      <c r="N318" s="5">
        <v>2.09</v>
      </c>
      <c r="O318" s="5">
        <v>1999</v>
      </c>
      <c r="P318" s="5">
        <v>1.85</v>
      </c>
      <c r="Q318" s="5"/>
      <c r="R318" s="68">
        <v>45227</v>
      </c>
      <c r="S318" s="5"/>
      <c r="T318" s="5"/>
      <c r="U318" s="46" t="s">
        <v>60</v>
      </c>
    </row>
    <row r="319" spans="1:21" x14ac:dyDescent="0.3">
      <c r="A319" s="5" t="s">
        <v>268</v>
      </c>
      <c r="B319" s="5" t="s">
        <v>60</v>
      </c>
      <c r="C319" s="5" t="s">
        <v>457</v>
      </c>
      <c r="D319" s="5">
        <v>2</v>
      </c>
      <c r="E319" s="5">
        <v>2</v>
      </c>
      <c r="F319" s="5">
        <v>2</v>
      </c>
      <c r="G319" s="5"/>
      <c r="H319" s="5">
        <v>1082</v>
      </c>
      <c r="I319" s="68">
        <v>45601</v>
      </c>
      <c r="J319" s="5"/>
      <c r="K319" s="5">
        <v>12</v>
      </c>
      <c r="L319" s="5" t="s">
        <v>787</v>
      </c>
      <c r="M319" s="5">
        <v>1920</v>
      </c>
      <c r="N319" s="5">
        <v>1.77</v>
      </c>
      <c r="O319" s="5">
        <v>1920</v>
      </c>
      <c r="P319" s="5">
        <v>1.77</v>
      </c>
      <c r="Q319" s="68">
        <v>45514</v>
      </c>
      <c r="R319" s="68">
        <v>45649</v>
      </c>
      <c r="S319" s="5">
        <v>136</v>
      </c>
      <c r="T319" s="5">
        <v>49</v>
      </c>
      <c r="U319" s="46" t="s">
        <v>60</v>
      </c>
    </row>
    <row r="320" spans="1:21" x14ac:dyDescent="0.3">
      <c r="A320" s="5" t="s">
        <v>268</v>
      </c>
      <c r="B320" s="5" t="s">
        <v>60</v>
      </c>
      <c r="C320" s="5" t="s">
        <v>552</v>
      </c>
      <c r="D320" s="5">
        <v>3</v>
      </c>
      <c r="E320" s="5">
        <v>2</v>
      </c>
      <c r="F320" s="5">
        <v>2</v>
      </c>
      <c r="G320" s="5"/>
      <c r="H320" s="5">
        <v>1082</v>
      </c>
      <c r="I320" s="68">
        <v>45297</v>
      </c>
      <c r="J320" s="5"/>
      <c r="K320" s="5"/>
      <c r="L320" s="5" t="s">
        <v>787</v>
      </c>
      <c r="M320" s="5">
        <v>2010</v>
      </c>
      <c r="N320" s="5">
        <v>1.86</v>
      </c>
      <c r="O320" s="5">
        <v>2010</v>
      </c>
      <c r="P320" s="5">
        <v>1.86</v>
      </c>
      <c r="Q320" s="68">
        <v>45234</v>
      </c>
      <c r="R320" s="68">
        <v>45322</v>
      </c>
      <c r="S320" s="5">
        <v>89</v>
      </c>
      <c r="T320" s="5">
        <v>26</v>
      </c>
      <c r="U320" s="46" t="s">
        <v>60</v>
      </c>
    </row>
    <row r="321" spans="1:21" x14ac:dyDescent="0.3">
      <c r="A321" s="5" t="s">
        <v>268</v>
      </c>
      <c r="B321" s="5" t="s">
        <v>60</v>
      </c>
      <c r="C321" s="5" t="s">
        <v>552</v>
      </c>
      <c r="D321" s="5">
        <v>3</v>
      </c>
      <c r="E321" s="5">
        <v>2</v>
      </c>
      <c r="F321" s="5">
        <v>2</v>
      </c>
      <c r="G321" s="5"/>
      <c r="H321" s="5">
        <v>1082</v>
      </c>
      <c r="I321" s="68">
        <v>45587</v>
      </c>
      <c r="J321" s="5"/>
      <c r="K321" s="5">
        <v>12</v>
      </c>
      <c r="L321" s="5" t="s">
        <v>787</v>
      </c>
      <c r="M321" s="5">
        <v>1920</v>
      </c>
      <c r="N321" s="5">
        <v>1.77</v>
      </c>
      <c r="O321" s="5">
        <v>1920</v>
      </c>
      <c r="P321" s="5">
        <v>1.77</v>
      </c>
      <c r="Q321" s="68">
        <v>45561</v>
      </c>
      <c r="R321" s="68">
        <v>45707</v>
      </c>
      <c r="S321" s="5">
        <v>147</v>
      </c>
      <c r="T321" s="5">
        <v>121</v>
      </c>
      <c r="U321" s="46" t="s">
        <v>60</v>
      </c>
    </row>
    <row r="322" spans="1:21" x14ac:dyDescent="0.3">
      <c r="A322" s="5" t="s">
        <v>268</v>
      </c>
      <c r="B322" s="5" t="s">
        <v>60</v>
      </c>
      <c r="C322" s="5" t="s">
        <v>403</v>
      </c>
      <c r="D322" s="5">
        <v>1</v>
      </c>
      <c r="E322" s="5">
        <v>2</v>
      </c>
      <c r="F322" s="5">
        <v>2</v>
      </c>
      <c r="G322" s="5"/>
      <c r="H322" s="5">
        <v>1082</v>
      </c>
      <c r="I322" s="68">
        <v>45388</v>
      </c>
      <c r="J322" s="5"/>
      <c r="K322" s="5">
        <v>15</v>
      </c>
      <c r="L322" s="5" t="s">
        <v>787</v>
      </c>
      <c r="M322" s="5">
        <v>1945</v>
      </c>
      <c r="N322" s="5">
        <v>1.8</v>
      </c>
      <c r="O322" s="5">
        <v>1945</v>
      </c>
      <c r="P322" s="5">
        <v>1.8</v>
      </c>
      <c r="Q322" s="68">
        <v>45331</v>
      </c>
      <c r="R322" s="68">
        <v>45524</v>
      </c>
      <c r="S322" s="5">
        <v>194</v>
      </c>
      <c r="T322" s="5">
        <v>137</v>
      </c>
      <c r="U322" s="46" t="s">
        <v>60</v>
      </c>
    </row>
    <row r="323" spans="1:21" x14ac:dyDescent="0.3">
      <c r="A323" s="5" t="s">
        <v>268</v>
      </c>
      <c r="B323" s="5" t="s">
        <v>60</v>
      </c>
      <c r="C323" s="5" t="s">
        <v>574</v>
      </c>
      <c r="D323" s="5">
        <v>2</v>
      </c>
      <c r="E323" s="5">
        <v>2</v>
      </c>
      <c r="F323" s="5">
        <v>2</v>
      </c>
      <c r="G323" s="5"/>
      <c r="H323" s="5">
        <v>1082</v>
      </c>
      <c r="I323" s="68">
        <v>45094</v>
      </c>
      <c r="J323" s="5"/>
      <c r="K323" s="5"/>
      <c r="L323" s="5" t="s">
        <v>787</v>
      </c>
      <c r="M323" s="5">
        <v>2355</v>
      </c>
      <c r="N323" s="5">
        <v>2.1800000000000002</v>
      </c>
      <c r="O323" s="5">
        <v>2000</v>
      </c>
      <c r="P323" s="5">
        <v>1.85</v>
      </c>
      <c r="Q323" s="5"/>
      <c r="R323" s="68">
        <v>45270</v>
      </c>
      <c r="S323" s="5"/>
      <c r="T323" s="5"/>
      <c r="U323" s="46" t="s">
        <v>60</v>
      </c>
    </row>
    <row r="324" spans="1:21" x14ac:dyDescent="0.3">
      <c r="A324" s="5" t="s">
        <v>268</v>
      </c>
      <c r="B324" s="5" t="s">
        <v>60</v>
      </c>
      <c r="C324" s="5" t="s">
        <v>574</v>
      </c>
      <c r="D324" s="5">
        <v>2</v>
      </c>
      <c r="E324" s="5">
        <v>2</v>
      </c>
      <c r="F324" s="5">
        <v>2</v>
      </c>
      <c r="G324" s="5"/>
      <c r="H324" s="5">
        <v>1082</v>
      </c>
      <c r="I324" s="68">
        <v>45511</v>
      </c>
      <c r="J324" s="5"/>
      <c r="K324" s="5">
        <v>12</v>
      </c>
      <c r="L324" s="5" t="s">
        <v>787</v>
      </c>
      <c r="M324" s="5">
        <v>1905</v>
      </c>
      <c r="N324" s="5">
        <v>1.76</v>
      </c>
      <c r="O324" s="5">
        <v>1905</v>
      </c>
      <c r="P324" s="5">
        <v>1.76</v>
      </c>
      <c r="Q324" s="68">
        <v>45472</v>
      </c>
      <c r="R324" s="68">
        <v>45602</v>
      </c>
      <c r="S324" s="5">
        <v>131</v>
      </c>
      <c r="T324" s="5">
        <v>92</v>
      </c>
      <c r="U324" s="46" t="s">
        <v>60</v>
      </c>
    </row>
    <row r="325" spans="1:21" x14ac:dyDescent="0.3">
      <c r="A325" s="5" t="s">
        <v>268</v>
      </c>
      <c r="B325" s="5" t="s">
        <v>60</v>
      </c>
      <c r="C325" s="5" t="s">
        <v>574</v>
      </c>
      <c r="D325" s="5">
        <v>2</v>
      </c>
      <c r="E325" s="5">
        <v>2</v>
      </c>
      <c r="F325" s="5">
        <v>2</v>
      </c>
      <c r="G325" s="5"/>
      <c r="H325" s="5">
        <v>1082</v>
      </c>
      <c r="I325" s="68">
        <v>45754</v>
      </c>
      <c r="J325" s="5"/>
      <c r="K325" s="5">
        <v>12</v>
      </c>
      <c r="L325" s="5" t="s">
        <v>787</v>
      </c>
      <c r="M325" s="5">
        <v>1955</v>
      </c>
      <c r="N325" s="5">
        <v>1.81</v>
      </c>
      <c r="O325" s="5">
        <v>1654</v>
      </c>
      <c r="P325" s="5">
        <v>1.53</v>
      </c>
      <c r="Q325" s="68">
        <v>45722</v>
      </c>
      <c r="R325" s="68">
        <v>45805</v>
      </c>
      <c r="S325" s="5">
        <v>84</v>
      </c>
      <c r="T325" s="5">
        <v>52</v>
      </c>
      <c r="U325" s="46" t="s">
        <v>60</v>
      </c>
    </row>
    <row r="326" spans="1:21" x14ac:dyDescent="0.3">
      <c r="A326" s="5" t="s">
        <v>268</v>
      </c>
      <c r="B326" s="5" t="s">
        <v>60</v>
      </c>
      <c r="C326" s="5" t="s">
        <v>677</v>
      </c>
      <c r="D326" s="5">
        <v>3</v>
      </c>
      <c r="E326" s="5">
        <v>2</v>
      </c>
      <c r="F326" s="5">
        <v>2</v>
      </c>
      <c r="G326" s="5"/>
      <c r="H326" s="5">
        <v>1082</v>
      </c>
      <c r="I326" s="68">
        <v>45511</v>
      </c>
      <c r="J326" s="5"/>
      <c r="K326" s="5">
        <v>15</v>
      </c>
      <c r="L326" s="5" t="s">
        <v>787</v>
      </c>
      <c r="M326" s="5">
        <v>1995</v>
      </c>
      <c r="N326" s="5">
        <v>1.84</v>
      </c>
      <c r="O326" s="5">
        <v>1995</v>
      </c>
      <c r="P326" s="5">
        <v>1.84</v>
      </c>
      <c r="Q326" s="68">
        <v>45408</v>
      </c>
      <c r="R326" s="68">
        <v>45501</v>
      </c>
      <c r="S326" s="5">
        <v>94</v>
      </c>
      <c r="T326" s="5">
        <v>0</v>
      </c>
      <c r="U326" s="46" t="s">
        <v>60</v>
      </c>
    </row>
    <row r="327" spans="1:21" x14ac:dyDescent="0.3">
      <c r="A327" s="5" t="s">
        <v>268</v>
      </c>
      <c r="B327" s="5" t="s">
        <v>60</v>
      </c>
      <c r="C327" s="5" t="s">
        <v>501</v>
      </c>
      <c r="D327" s="5">
        <v>3</v>
      </c>
      <c r="E327" s="5">
        <v>2</v>
      </c>
      <c r="F327" s="5">
        <v>2</v>
      </c>
      <c r="G327" s="5"/>
      <c r="H327" s="5">
        <v>1082</v>
      </c>
      <c r="I327" s="68">
        <v>45252</v>
      </c>
      <c r="J327" s="5"/>
      <c r="K327" s="5"/>
      <c r="L327" s="5" t="s">
        <v>787</v>
      </c>
      <c r="M327" s="5">
        <v>2130</v>
      </c>
      <c r="N327" s="5">
        <v>1.97</v>
      </c>
      <c r="O327" s="5">
        <v>2130</v>
      </c>
      <c r="P327" s="5">
        <v>1.97</v>
      </c>
      <c r="Q327" s="68">
        <v>45205</v>
      </c>
      <c r="R327" s="68">
        <v>45372</v>
      </c>
      <c r="S327" s="5">
        <v>168</v>
      </c>
      <c r="T327" s="5">
        <v>121</v>
      </c>
      <c r="U327" s="46" t="s">
        <v>60</v>
      </c>
    </row>
    <row r="328" spans="1:21" x14ac:dyDescent="0.3">
      <c r="A328" s="5" t="s">
        <v>268</v>
      </c>
      <c r="B328" s="5" t="s">
        <v>60</v>
      </c>
      <c r="C328" s="5" t="s">
        <v>501</v>
      </c>
      <c r="D328" s="5">
        <v>3</v>
      </c>
      <c r="E328" s="5">
        <v>2</v>
      </c>
      <c r="F328" s="5">
        <v>2</v>
      </c>
      <c r="G328" s="5"/>
      <c r="H328" s="5">
        <v>1082</v>
      </c>
      <c r="I328" s="68">
        <v>45496</v>
      </c>
      <c r="J328" s="5"/>
      <c r="K328" s="5">
        <v>15</v>
      </c>
      <c r="L328" s="5" t="s">
        <v>787</v>
      </c>
      <c r="M328" s="5">
        <v>1980</v>
      </c>
      <c r="N328" s="5">
        <v>1.83</v>
      </c>
      <c r="O328" s="5">
        <v>1980</v>
      </c>
      <c r="P328" s="5">
        <v>1.83</v>
      </c>
      <c r="Q328" s="68">
        <v>45490</v>
      </c>
      <c r="R328" s="68">
        <v>45520</v>
      </c>
      <c r="S328" s="5">
        <v>31</v>
      </c>
      <c r="T328" s="5">
        <v>25</v>
      </c>
      <c r="U328" s="46" t="s">
        <v>60</v>
      </c>
    </row>
    <row r="329" spans="1:21" x14ac:dyDescent="0.3">
      <c r="A329" s="5" t="s">
        <v>268</v>
      </c>
      <c r="B329" s="5" t="s">
        <v>60</v>
      </c>
      <c r="C329" s="5" t="s">
        <v>501</v>
      </c>
      <c r="D329" s="5">
        <v>3</v>
      </c>
      <c r="E329" s="5">
        <v>2</v>
      </c>
      <c r="F329" s="5">
        <v>2</v>
      </c>
      <c r="G329" s="5"/>
      <c r="H329" s="5">
        <v>1082</v>
      </c>
      <c r="I329" s="68">
        <v>45900</v>
      </c>
      <c r="J329" s="5"/>
      <c r="K329" s="5">
        <v>12</v>
      </c>
      <c r="L329" s="5" t="s">
        <v>787</v>
      </c>
      <c r="M329" s="5">
        <v>1999</v>
      </c>
      <c r="N329" s="5">
        <v>1.85</v>
      </c>
      <c r="O329" s="5">
        <v>1691</v>
      </c>
      <c r="P329" s="5">
        <v>1.56</v>
      </c>
      <c r="Q329" s="68">
        <v>45821</v>
      </c>
      <c r="R329" s="68">
        <v>45931</v>
      </c>
      <c r="S329" s="5">
        <v>111</v>
      </c>
      <c r="T329" s="5">
        <v>32</v>
      </c>
      <c r="U329" s="46" t="s">
        <v>60</v>
      </c>
    </row>
    <row r="330" spans="1:21" x14ac:dyDescent="0.3">
      <c r="A330" s="5" t="s">
        <v>268</v>
      </c>
      <c r="B330" s="5" t="s">
        <v>60</v>
      </c>
      <c r="C330" s="5" t="s">
        <v>659</v>
      </c>
      <c r="D330" s="5">
        <v>2</v>
      </c>
      <c r="E330" s="5">
        <v>2</v>
      </c>
      <c r="F330" s="5">
        <v>2</v>
      </c>
      <c r="G330" s="5"/>
      <c r="H330" s="5">
        <v>1082</v>
      </c>
      <c r="I330" s="68">
        <v>45384</v>
      </c>
      <c r="J330" s="5"/>
      <c r="K330" s="5"/>
      <c r="L330" s="5" t="s">
        <v>787</v>
      </c>
      <c r="M330" s="5">
        <v>2085</v>
      </c>
      <c r="N330" s="5">
        <v>1.93</v>
      </c>
      <c r="O330" s="5">
        <v>2085</v>
      </c>
      <c r="P330" s="5">
        <v>1.93</v>
      </c>
      <c r="Q330" s="68">
        <v>45316</v>
      </c>
      <c r="R330" s="68">
        <v>45354</v>
      </c>
      <c r="S330" s="5">
        <v>39</v>
      </c>
      <c r="T330" s="5">
        <v>0</v>
      </c>
      <c r="U330" s="46" t="s">
        <v>60</v>
      </c>
    </row>
    <row r="331" spans="1:21" x14ac:dyDescent="0.3">
      <c r="A331" s="5" t="s">
        <v>268</v>
      </c>
      <c r="B331" s="5" t="s">
        <v>60</v>
      </c>
      <c r="C331" s="5" t="s">
        <v>659</v>
      </c>
      <c r="D331" s="5">
        <v>2</v>
      </c>
      <c r="E331" s="5">
        <v>2</v>
      </c>
      <c r="F331" s="5">
        <v>2</v>
      </c>
      <c r="G331" s="5"/>
      <c r="H331" s="5">
        <v>1082</v>
      </c>
      <c r="I331" s="68">
        <v>45572</v>
      </c>
      <c r="J331" s="5"/>
      <c r="K331" s="5">
        <v>15</v>
      </c>
      <c r="L331" s="5" t="s">
        <v>787</v>
      </c>
      <c r="M331" s="5">
        <v>2085</v>
      </c>
      <c r="N331" s="5">
        <v>1.93</v>
      </c>
      <c r="O331" s="5">
        <v>2085</v>
      </c>
      <c r="P331" s="5">
        <v>1.93</v>
      </c>
      <c r="Q331" s="68">
        <v>45520</v>
      </c>
      <c r="R331" s="68">
        <v>45522</v>
      </c>
      <c r="S331" s="5">
        <v>3</v>
      </c>
      <c r="T331" s="5">
        <v>0</v>
      </c>
      <c r="U331" s="46" t="s">
        <v>60</v>
      </c>
    </row>
    <row r="332" spans="1:21" x14ac:dyDescent="0.3">
      <c r="A332" s="5" t="s">
        <v>268</v>
      </c>
      <c r="B332" s="5" t="s">
        <v>60</v>
      </c>
      <c r="C332" s="5" t="s">
        <v>657</v>
      </c>
      <c r="D332" s="5">
        <v>2</v>
      </c>
      <c r="E332" s="5">
        <v>2</v>
      </c>
      <c r="F332" s="5">
        <v>2</v>
      </c>
      <c r="G332" s="5"/>
      <c r="H332" s="5">
        <v>1082</v>
      </c>
      <c r="I332" s="68">
        <v>45382</v>
      </c>
      <c r="J332" s="5"/>
      <c r="K332" s="5"/>
      <c r="L332" s="5" t="s">
        <v>787</v>
      </c>
      <c r="M332" s="5">
        <v>2085</v>
      </c>
      <c r="N332" s="5">
        <v>1.93</v>
      </c>
      <c r="O332" s="5">
        <v>2085</v>
      </c>
      <c r="P332" s="5">
        <v>1.93</v>
      </c>
      <c r="Q332" s="68">
        <v>45302</v>
      </c>
      <c r="R332" s="68">
        <v>45369</v>
      </c>
      <c r="S332" s="5">
        <v>68</v>
      </c>
      <c r="T332" s="5">
        <v>0</v>
      </c>
      <c r="U332" s="46" t="s">
        <v>60</v>
      </c>
    </row>
    <row r="333" spans="1:21" x14ac:dyDescent="0.3">
      <c r="A333" s="5" t="s">
        <v>268</v>
      </c>
      <c r="B333" s="5" t="s">
        <v>60</v>
      </c>
      <c r="C333" s="5" t="s">
        <v>482</v>
      </c>
      <c r="D333" s="5">
        <v>2</v>
      </c>
      <c r="E333" s="5">
        <v>2</v>
      </c>
      <c r="F333" s="5">
        <v>2</v>
      </c>
      <c r="G333" s="5"/>
      <c r="H333" s="5">
        <v>1082</v>
      </c>
      <c r="I333" s="68">
        <v>45480</v>
      </c>
      <c r="J333" s="5"/>
      <c r="K333" s="5">
        <v>12</v>
      </c>
      <c r="L333" s="5" t="s">
        <v>787</v>
      </c>
      <c r="M333" s="5">
        <v>1895</v>
      </c>
      <c r="N333" s="5">
        <v>1.75</v>
      </c>
      <c r="O333" s="5">
        <v>1895</v>
      </c>
      <c r="P333" s="5">
        <v>1.75</v>
      </c>
      <c r="Q333" s="68">
        <v>45418</v>
      </c>
      <c r="R333" s="68">
        <v>45616</v>
      </c>
      <c r="S333" s="5">
        <v>199</v>
      </c>
      <c r="T333" s="5">
        <v>137</v>
      </c>
      <c r="U333" s="46" t="s">
        <v>60</v>
      </c>
    </row>
    <row r="334" spans="1:21" x14ac:dyDescent="0.3">
      <c r="A334" s="5" t="s">
        <v>268</v>
      </c>
      <c r="B334" s="5" t="s">
        <v>60</v>
      </c>
      <c r="C334" s="5" t="s">
        <v>482</v>
      </c>
      <c r="D334" s="5">
        <v>2</v>
      </c>
      <c r="E334" s="5">
        <v>2</v>
      </c>
      <c r="F334" s="5">
        <v>2</v>
      </c>
      <c r="G334" s="5"/>
      <c r="H334" s="5">
        <v>1082</v>
      </c>
      <c r="I334" s="68">
        <v>46074</v>
      </c>
      <c r="J334" s="5"/>
      <c r="K334" s="5">
        <v>14</v>
      </c>
      <c r="L334" s="5" t="s">
        <v>787</v>
      </c>
      <c r="M334" s="5">
        <v>2085</v>
      </c>
      <c r="N334" s="5">
        <v>1.93</v>
      </c>
      <c r="O334" s="5">
        <v>1787</v>
      </c>
      <c r="P334" s="5">
        <v>1.65</v>
      </c>
      <c r="Q334" s="68">
        <v>46008</v>
      </c>
      <c r="R334" s="68">
        <v>46128</v>
      </c>
      <c r="S334" s="5">
        <v>121</v>
      </c>
      <c r="T334" s="5">
        <v>55</v>
      </c>
      <c r="U334" s="46" t="s">
        <v>60</v>
      </c>
    </row>
    <row r="335" spans="1:21" x14ac:dyDescent="0.3">
      <c r="A335" s="5" t="s">
        <v>268</v>
      </c>
      <c r="B335" s="5" t="s">
        <v>60</v>
      </c>
      <c r="C335" s="5" t="s">
        <v>443</v>
      </c>
      <c r="D335" s="5">
        <v>3</v>
      </c>
      <c r="E335" s="5">
        <v>2</v>
      </c>
      <c r="F335" s="5">
        <v>2</v>
      </c>
      <c r="G335" s="5"/>
      <c r="H335" s="5">
        <v>1082</v>
      </c>
      <c r="I335" s="68">
        <v>45292</v>
      </c>
      <c r="J335" s="5"/>
      <c r="K335" s="5"/>
      <c r="L335" s="5" t="s">
        <v>787</v>
      </c>
      <c r="M335" s="5">
        <v>2090</v>
      </c>
      <c r="N335" s="5">
        <v>1.93</v>
      </c>
      <c r="O335" s="5">
        <v>1765</v>
      </c>
      <c r="P335" s="5">
        <v>1.63</v>
      </c>
      <c r="Q335" s="68">
        <v>45247</v>
      </c>
      <c r="R335" s="68">
        <v>45272</v>
      </c>
      <c r="S335" s="5">
        <v>26</v>
      </c>
      <c r="T335" s="5">
        <v>0</v>
      </c>
      <c r="U335" s="46" t="s">
        <v>60</v>
      </c>
    </row>
    <row r="336" spans="1:21" x14ac:dyDescent="0.3">
      <c r="A336" s="5" t="s">
        <v>268</v>
      </c>
      <c r="B336" s="5" t="s">
        <v>60</v>
      </c>
      <c r="C336" s="5" t="s">
        <v>642</v>
      </c>
      <c r="D336" s="5">
        <v>2</v>
      </c>
      <c r="E336" s="5">
        <v>2</v>
      </c>
      <c r="F336" s="5">
        <v>2</v>
      </c>
      <c r="G336" s="5"/>
      <c r="H336" s="5">
        <v>1082</v>
      </c>
      <c r="I336" s="68">
        <v>45094</v>
      </c>
      <c r="J336" s="5"/>
      <c r="K336" s="5">
        <v>15</v>
      </c>
      <c r="L336" s="5" t="s">
        <v>787</v>
      </c>
      <c r="M336" s="5">
        <v>2095</v>
      </c>
      <c r="N336" s="5">
        <v>1.94</v>
      </c>
      <c r="O336" s="5">
        <v>2095</v>
      </c>
      <c r="P336" s="5">
        <v>1.94</v>
      </c>
      <c r="Q336" s="5"/>
      <c r="R336" s="68">
        <v>45441</v>
      </c>
      <c r="S336" s="5"/>
      <c r="T336" s="5"/>
      <c r="U336" s="46" t="s">
        <v>60</v>
      </c>
    </row>
    <row r="337" spans="1:21" x14ac:dyDescent="0.3">
      <c r="A337" s="5" t="s">
        <v>268</v>
      </c>
      <c r="B337" s="5" t="s">
        <v>60</v>
      </c>
      <c r="C337" s="5" t="s">
        <v>404</v>
      </c>
      <c r="D337" s="5">
        <v>2</v>
      </c>
      <c r="E337" s="5">
        <v>2</v>
      </c>
      <c r="F337" s="5">
        <v>2</v>
      </c>
      <c r="G337" s="5"/>
      <c r="H337" s="5">
        <v>1082</v>
      </c>
      <c r="I337" s="68">
        <v>45496</v>
      </c>
      <c r="J337" s="5"/>
      <c r="K337" s="5"/>
      <c r="L337" s="5" t="s">
        <v>787</v>
      </c>
      <c r="M337" s="5">
        <v>2260</v>
      </c>
      <c r="N337" s="5">
        <v>2.09</v>
      </c>
      <c r="O337" s="5">
        <v>1999</v>
      </c>
      <c r="P337" s="5">
        <v>1.85</v>
      </c>
      <c r="Q337" s="68">
        <v>45401</v>
      </c>
      <c r="R337" s="68">
        <v>45514</v>
      </c>
      <c r="S337" s="5">
        <v>114</v>
      </c>
      <c r="T337" s="5">
        <v>19</v>
      </c>
      <c r="U337" s="46" t="s">
        <v>60</v>
      </c>
    </row>
    <row r="338" spans="1:21" x14ac:dyDescent="0.3">
      <c r="A338" s="5" t="s">
        <v>268</v>
      </c>
      <c r="B338" s="5" t="s">
        <v>60</v>
      </c>
      <c r="C338" s="5" t="s">
        <v>404</v>
      </c>
      <c r="D338" s="5">
        <v>2</v>
      </c>
      <c r="E338" s="5">
        <v>2</v>
      </c>
      <c r="F338" s="5">
        <v>2</v>
      </c>
      <c r="G338" s="5"/>
      <c r="H338" s="5">
        <v>1082</v>
      </c>
      <c r="I338" s="68">
        <v>45984</v>
      </c>
      <c r="J338" s="5"/>
      <c r="K338" s="5">
        <v>13</v>
      </c>
      <c r="L338" s="5" t="s">
        <v>787</v>
      </c>
      <c r="M338" s="5">
        <v>2095</v>
      </c>
      <c r="N338" s="5">
        <v>1.94</v>
      </c>
      <c r="O338" s="5">
        <v>2095</v>
      </c>
      <c r="P338" s="5">
        <v>1.94</v>
      </c>
      <c r="Q338" s="68">
        <v>45920</v>
      </c>
      <c r="R338" s="68">
        <v>46031</v>
      </c>
      <c r="S338" s="5">
        <v>112</v>
      </c>
      <c r="T338" s="5">
        <v>48</v>
      </c>
      <c r="U338" s="46" t="s">
        <v>60</v>
      </c>
    </row>
    <row r="339" spans="1:21" x14ac:dyDescent="0.3">
      <c r="A339" s="5" t="s">
        <v>268</v>
      </c>
      <c r="B339" s="5" t="s">
        <v>60</v>
      </c>
      <c r="C339" s="5" t="s">
        <v>675</v>
      </c>
      <c r="D339" s="5">
        <v>3</v>
      </c>
      <c r="E339" s="5">
        <v>2</v>
      </c>
      <c r="F339" s="5">
        <v>2</v>
      </c>
      <c r="G339" s="5"/>
      <c r="H339" s="5">
        <v>1082</v>
      </c>
      <c r="I339" s="68">
        <v>45094</v>
      </c>
      <c r="J339" s="5"/>
      <c r="K339" s="5"/>
      <c r="L339" s="5" t="s">
        <v>787</v>
      </c>
      <c r="M339" s="5">
        <v>2020</v>
      </c>
      <c r="N339" s="5">
        <v>1.87</v>
      </c>
      <c r="O339" s="5">
        <v>1703</v>
      </c>
      <c r="P339" s="5">
        <v>1.57</v>
      </c>
      <c r="Q339" s="5"/>
      <c r="R339" s="68">
        <v>45143</v>
      </c>
      <c r="S339" s="5"/>
      <c r="T339" s="5"/>
      <c r="U339" s="46" t="s">
        <v>60</v>
      </c>
    </row>
    <row r="340" spans="1:21" x14ac:dyDescent="0.3">
      <c r="A340" s="5" t="s">
        <v>268</v>
      </c>
      <c r="B340" s="5" t="s">
        <v>60</v>
      </c>
      <c r="C340" s="5" t="s">
        <v>675</v>
      </c>
      <c r="D340" s="5">
        <v>3</v>
      </c>
      <c r="E340" s="5">
        <v>2</v>
      </c>
      <c r="F340" s="5">
        <v>2</v>
      </c>
      <c r="G340" s="5"/>
      <c r="H340" s="5">
        <v>1082</v>
      </c>
      <c r="I340" s="68">
        <v>46077</v>
      </c>
      <c r="J340" s="5"/>
      <c r="K340" s="5">
        <v>14</v>
      </c>
      <c r="L340" s="5" t="s">
        <v>787</v>
      </c>
      <c r="M340" s="5">
        <v>2130</v>
      </c>
      <c r="N340" s="5">
        <v>1.97</v>
      </c>
      <c r="O340" s="5">
        <v>2130</v>
      </c>
      <c r="P340" s="5">
        <v>1.97</v>
      </c>
      <c r="Q340" s="68">
        <v>46003</v>
      </c>
      <c r="R340" s="68">
        <v>46087</v>
      </c>
      <c r="S340" s="5">
        <v>85</v>
      </c>
      <c r="T340" s="5">
        <v>11</v>
      </c>
      <c r="U340" s="46" t="s">
        <v>60</v>
      </c>
    </row>
    <row r="341" spans="1:21" x14ac:dyDescent="0.3">
      <c r="A341" s="5" t="s">
        <v>268</v>
      </c>
      <c r="B341" s="5" t="s">
        <v>60</v>
      </c>
      <c r="C341" s="5" t="s">
        <v>531</v>
      </c>
      <c r="D341" s="5">
        <v>1</v>
      </c>
      <c r="E341" s="5">
        <v>2</v>
      </c>
      <c r="F341" s="5">
        <v>2</v>
      </c>
      <c r="G341" s="5"/>
      <c r="H341" s="5">
        <v>1082</v>
      </c>
      <c r="I341" s="68">
        <v>46083</v>
      </c>
      <c r="J341" s="5"/>
      <c r="K341" s="5">
        <v>14</v>
      </c>
      <c r="L341" s="5" t="s">
        <v>787</v>
      </c>
      <c r="M341" s="5">
        <v>2165</v>
      </c>
      <c r="N341" s="5">
        <v>2</v>
      </c>
      <c r="O341" s="5">
        <v>2165</v>
      </c>
      <c r="P341" s="5">
        <v>2</v>
      </c>
      <c r="Q341" s="68">
        <v>46008</v>
      </c>
      <c r="R341" s="68">
        <v>46093</v>
      </c>
      <c r="S341" s="5">
        <v>86</v>
      </c>
      <c r="T341" s="5">
        <v>11</v>
      </c>
      <c r="U341" s="46" t="s">
        <v>60</v>
      </c>
    </row>
    <row r="342" spans="1:21" x14ac:dyDescent="0.3">
      <c r="A342" s="5" t="s">
        <v>268</v>
      </c>
      <c r="B342" s="5" t="s">
        <v>60</v>
      </c>
      <c r="C342" s="5" t="s">
        <v>639</v>
      </c>
      <c r="D342" s="5">
        <v>1</v>
      </c>
      <c r="E342" s="5">
        <v>2</v>
      </c>
      <c r="F342" s="5">
        <v>2</v>
      </c>
      <c r="G342" s="5"/>
      <c r="H342" s="5">
        <v>1082</v>
      </c>
      <c r="I342" s="68">
        <v>45867</v>
      </c>
      <c r="J342" s="5"/>
      <c r="K342" s="5">
        <v>12</v>
      </c>
      <c r="L342" s="5" t="s">
        <v>787</v>
      </c>
      <c r="M342" s="5">
        <v>2165</v>
      </c>
      <c r="N342" s="5">
        <v>2</v>
      </c>
      <c r="O342" s="5">
        <v>2165</v>
      </c>
      <c r="P342" s="5">
        <v>2</v>
      </c>
      <c r="Q342" s="68">
        <v>45800</v>
      </c>
      <c r="R342" s="68">
        <v>45819</v>
      </c>
      <c r="S342" s="5">
        <v>20</v>
      </c>
      <c r="T342" s="5">
        <v>0</v>
      </c>
      <c r="U342" s="46" t="s">
        <v>60</v>
      </c>
    </row>
    <row r="343" spans="1:21" x14ac:dyDescent="0.3">
      <c r="A343" s="5" t="s">
        <v>268</v>
      </c>
      <c r="B343" s="5" t="s">
        <v>60</v>
      </c>
      <c r="C343" s="5" t="s">
        <v>639</v>
      </c>
      <c r="D343" s="5">
        <v>1</v>
      </c>
      <c r="E343" s="5">
        <v>2</v>
      </c>
      <c r="F343" s="5">
        <v>2</v>
      </c>
      <c r="G343" s="5"/>
      <c r="H343" s="5">
        <v>1082</v>
      </c>
      <c r="I343" s="68">
        <v>46241</v>
      </c>
      <c r="J343" s="5"/>
      <c r="K343" s="5">
        <v>14</v>
      </c>
      <c r="L343" s="5" t="s">
        <v>787</v>
      </c>
      <c r="M343" s="5">
        <v>2165</v>
      </c>
      <c r="N343" s="5">
        <v>2</v>
      </c>
      <c r="O343" s="5">
        <v>1856</v>
      </c>
      <c r="P343" s="5">
        <v>1.72</v>
      </c>
      <c r="Q343" s="68">
        <v>46156</v>
      </c>
      <c r="R343" s="68">
        <v>46170</v>
      </c>
      <c r="S343" s="5">
        <v>15</v>
      </c>
      <c r="T343" s="5">
        <v>0</v>
      </c>
      <c r="U343" s="46" t="s">
        <v>60</v>
      </c>
    </row>
    <row r="344" spans="1:21" x14ac:dyDescent="0.3">
      <c r="A344" s="5" t="s">
        <v>268</v>
      </c>
      <c r="B344" s="5" t="s">
        <v>60</v>
      </c>
      <c r="C344" s="5" t="s">
        <v>641</v>
      </c>
      <c r="D344" s="5">
        <v>1</v>
      </c>
      <c r="E344" s="5">
        <v>2</v>
      </c>
      <c r="F344" s="5">
        <v>2</v>
      </c>
      <c r="G344" s="5"/>
      <c r="H344" s="5">
        <v>1082</v>
      </c>
      <c r="I344" s="68">
        <v>45454</v>
      </c>
      <c r="J344" s="5"/>
      <c r="K344" s="5"/>
      <c r="L344" s="5" t="s">
        <v>787</v>
      </c>
      <c r="M344" s="5">
        <v>2165</v>
      </c>
      <c r="N344" s="5">
        <v>2</v>
      </c>
      <c r="O344" s="5">
        <v>2165</v>
      </c>
      <c r="P344" s="5">
        <v>2</v>
      </c>
      <c r="Q344" s="68">
        <v>45384</v>
      </c>
      <c r="R344" s="68">
        <v>45390</v>
      </c>
      <c r="S344" s="5">
        <v>7</v>
      </c>
      <c r="T344" s="5">
        <v>0</v>
      </c>
      <c r="U344" s="46" t="s">
        <v>60</v>
      </c>
    </row>
    <row r="345" spans="1:21" x14ac:dyDescent="0.3">
      <c r="A345" s="5" t="s">
        <v>268</v>
      </c>
      <c r="B345" s="5" t="s">
        <v>60</v>
      </c>
      <c r="C345" s="5" t="s">
        <v>590</v>
      </c>
      <c r="D345" s="5">
        <v>1</v>
      </c>
      <c r="E345" s="5">
        <v>2</v>
      </c>
      <c r="F345" s="5">
        <v>2</v>
      </c>
      <c r="G345" s="5"/>
      <c r="H345" s="5">
        <v>1082</v>
      </c>
      <c r="I345" s="68">
        <v>45237</v>
      </c>
      <c r="J345" s="5"/>
      <c r="K345" s="5"/>
      <c r="L345" s="5" t="s">
        <v>787</v>
      </c>
      <c r="M345" s="5">
        <v>2085</v>
      </c>
      <c r="N345" s="5">
        <v>1.93</v>
      </c>
      <c r="O345" s="5">
        <v>1761</v>
      </c>
      <c r="P345" s="5">
        <v>1.63</v>
      </c>
      <c r="Q345" s="68">
        <v>45225</v>
      </c>
      <c r="R345" s="68">
        <v>45268</v>
      </c>
      <c r="S345" s="5">
        <v>44</v>
      </c>
      <c r="T345" s="5">
        <v>32</v>
      </c>
      <c r="U345" s="46" t="s">
        <v>60</v>
      </c>
    </row>
    <row r="346" spans="1:21" x14ac:dyDescent="0.3">
      <c r="A346" s="5" t="s">
        <v>268</v>
      </c>
      <c r="B346" s="5" t="s">
        <v>60</v>
      </c>
      <c r="C346" s="5" t="s">
        <v>590</v>
      </c>
      <c r="D346" s="5">
        <v>1</v>
      </c>
      <c r="E346" s="5">
        <v>2</v>
      </c>
      <c r="F346" s="5">
        <v>2</v>
      </c>
      <c r="G346" s="5"/>
      <c r="H346" s="5">
        <v>1082</v>
      </c>
      <c r="I346" s="68">
        <v>45860</v>
      </c>
      <c r="J346" s="5"/>
      <c r="K346" s="5">
        <v>12</v>
      </c>
      <c r="L346" s="5" t="s">
        <v>787</v>
      </c>
      <c r="M346" s="5">
        <v>2190</v>
      </c>
      <c r="N346" s="5">
        <v>2.02</v>
      </c>
      <c r="O346" s="5">
        <v>1853</v>
      </c>
      <c r="P346" s="5">
        <v>1.71</v>
      </c>
      <c r="Q346" s="68">
        <v>45790</v>
      </c>
      <c r="R346" s="68">
        <v>45791</v>
      </c>
      <c r="S346" s="5">
        <v>2</v>
      </c>
      <c r="T346" s="5">
        <v>0</v>
      </c>
      <c r="U346" s="46" t="s">
        <v>60</v>
      </c>
    </row>
    <row r="347" spans="1:21" x14ac:dyDescent="0.3">
      <c r="A347" s="5" t="s">
        <v>268</v>
      </c>
      <c r="B347" s="5" t="s">
        <v>60</v>
      </c>
      <c r="C347" s="5" t="s">
        <v>599</v>
      </c>
      <c r="D347" s="5">
        <v>2</v>
      </c>
      <c r="E347" s="5">
        <v>2</v>
      </c>
      <c r="F347" s="5">
        <v>2</v>
      </c>
      <c r="G347" s="5"/>
      <c r="H347" s="5">
        <v>1082</v>
      </c>
      <c r="I347" s="68">
        <v>45594</v>
      </c>
      <c r="J347" s="5"/>
      <c r="K347" s="5">
        <v>12</v>
      </c>
      <c r="L347" s="5" t="s">
        <v>787</v>
      </c>
      <c r="M347" s="5">
        <v>2260</v>
      </c>
      <c r="N347" s="5">
        <v>2.09</v>
      </c>
      <c r="O347" s="5">
        <v>2260</v>
      </c>
      <c r="P347" s="5">
        <v>2.09</v>
      </c>
      <c r="Q347" s="68">
        <v>45581</v>
      </c>
      <c r="R347" s="68">
        <v>45616</v>
      </c>
      <c r="S347" s="5">
        <v>36</v>
      </c>
      <c r="T347" s="5">
        <v>23</v>
      </c>
      <c r="U347" s="46" t="s">
        <v>60</v>
      </c>
    </row>
    <row r="348" spans="1:21" x14ac:dyDescent="0.3">
      <c r="A348" s="5" t="s">
        <v>268</v>
      </c>
      <c r="B348" s="5" t="s">
        <v>60</v>
      </c>
      <c r="C348" s="5" t="s">
        <v>599</v>
      </c>
      <c r="D348" s="5">
        <v>2</v>
      </c>
      <c r="E348" s="5">
        <v>2</v>
      </c>
      <c r="F348" s="5">
        <v>2</v>
      </c>
      <c r="G348" s="5"/>
      <c r="H348" s="5">
        <v>1082</v>
      </c>
      <c r="I348" s="68">
        <v>46138</v>
      </c>
      <c r="J348" s="5"/>
      <c r="K348" s="5">
        <v>14</v>
      </c>
      <c r="L348" s="5" t="s">
        <v>787</v>
      </c>
      <c r="M348" s="5">
        <v>2260</v>
      </c>
      <c r="N348" s="5">
        <v>2.09</v>
      </c>
      <c r="O348" s="5">
        <v>2260</v>
      </c>
      <c r="P348" s="5">
        <v>2.09</v>
      </c>
      <c r="Q348" s="68">
        <v>46086</v>
      </c>
      <c r="R348" s="68">
        <v>46125</v>
      </c>
      <c r="S348" s="5">
        <v>40</v>
      </c>
      <c r="T348" s="5">
        <v>0</v>
      </c>
      <c r="U348" s="46" t="s">
        <v>60</v>
      </c>
    </row>
    <row r="349" spans="1:21" x14ac:dyDescent="0.3">
      <c r="A349" s="5" t="s">
        <v>268</v>
      </c>
      <c r="B349" s="5" t="s">
        <v>60</v>
      </c>
      <c r="C349" s="5" t="s">
        <v>481</v>
      </c>
      <c r="D349" s="5">
        <v>2</v>
      </c>
      <c r="E349" s="5">
        <v>2</v>
      </c>
      <c r="F349" s="5">
        <v>2</v>
      </c>
      <c r="G349" s="5"/>
      <c r="H349" s="5">
        <v>1082</v>
      </c>
      <c r="I349" s="68">
        <v>45344</v>
      </c>
      <c r="J349" s="5"/>
      <c r="K349" s="5"/>
      <c r="L349" s="5" t="s">
        <v>787</v>
      </c>
      <c r="M349" s="5">
        <v>2260</v>
      </c>
      <c r="N349" s="5">
        <v>2.09</v>
      </c>
      <c r="O349" s="5">
        <v>2260</v>
      </c>
      <c r="P349" s="5">
        <v>2.09</v>
      </c>
      <c r="Q349" s="68">
        <v>45331</v>
      </c>
      <c r="R349" s="68">
        <v>45369</v>
      </c>
      <c r="S349" s="5">
        <v>39</v>
      </c>
      <c r="T349" s="5">
        <v>26</v>
      </c>
      <c r="U349" s="46" t="s">
        <v>60</v>
      </c>
    </row>
    <row r="350" spans="1:21" x14ac:dyDescent="0.3">
      <c r="A350" s="5" t="s">
        <v>268</v>
      </c>
      <c r="B350" s="5" t="s">
        <v>60</v>
      </c>
      <c r="C350" s="5" t="s">
        <v>481</v>
      </c>
      <c r="D350" s="5">
        <v>2</v>
      </c>
      <c r="E350" s="5">
        <v>2</v>
      </c>
      <c r="F350" s="5">
        <v>2</v>
      </c>
      <c r="G350" s="5"/>
      <c r="H350" s="5">
        <v>1082</v>
      </c>
      <c r="I350" s="68">
        <v>46229</v>
      </c>
      <c r="J350" s="5"/>
      <c r="K350" s="5">
        <v>14</v>
      </c>
      <c r="L350" s="5" t="s">
        <v>787</v>
      </c>
      <c r="M350" s="5">
        <v>2260</v>
      </c>
      <c r="N350" s="5">
        <v>2.09</v>
      </c>
      <c r="O350" s="5">
        <v>1937</v>
      </c>
      <c r="P350" s="5">
        <v>1.79</v>
      </c>
      <c r="Q350" s="68">
        <v>46165</v>
      </c>
      <c r="R350" s="68">
        <v>46166</v>
      </c>
      <c r="S350" s="5">
        <v>2</v>
      </c>
      <c r="T350" s="5">
        <v>0</v>
      </c>
      <c r="U350" s="46" t="s">
        <v>60</v>
      </c>
    </row>
    <row r="351" spans="1:21" x14ac:dyDescent="0.3">
      <c r="A351" s="5" t="s">
        <v>268</v>
      </c>
      <c r="B351" s="5" t="s">
        <v>60</v>
      </c>
      <c r="C351" s="5" t="s">
        <v>550</v>
      </c>
      <c r="D351" s="5">
        <v>2</v>
      </c>
      <c r="E351" s="5">
        <v>2</v>
      </c>
      <c r="F351" s="5">
        <v>2</v>
      </c>
      <c r="G351" s="5"/>
      <c r="H351" s="5">
        <v>1082</v>
      </c>
      <c r="I351" s="68">
        <v>45094</v>
      </c>
      <c r="J351" s="5"/>
      <c r="K351" s="5"/>
      <c r="L351" s="5" t="s">
        <v>787</v>
      </c>
      <c r="M351" s="5">
        <v>1995</v>
      </c>
      <c r="N351" s="5">
        <v>1.84</v>
      </c>
      <c r="O351" s="5">
        <v>1765</v>
      </c>
      <c r="P351" s="5">
        <v>1.63</v>
      </c>
      <c r="Q351" s="5"/>
      <c r="R351" s="68">
        <v>45211</v>
      </c>
      <c r="S351" s="5"/>
      <c r="T351" s="5"/>
      <c r="U351" s="46" t="s">
        <v>60</v>
      </c>
    </row>
    <row r="352" spans="1:21" x14ac:dyDescent="0.3">
      <c r="A352" s="5" t="s">
        <v>268</v>
      </c>
      <c r="B352" s="5" t="s">
        <v>60</v>
      </c>
      <c r="C352" s="5" t="s">
        <v>550</v>
      </c>
      <c r="D352" s="5">
        <v>2</v>
      </c>
      <c r="E352" s="5">
        <v>2</v>
      </c>
      <c r="F352" s="5">
        <v>2</v>
      </c>
      <c r="G352" s="5"/>
      <c r="H352" s="5">
        <v>1082</v>
      </c>
      <c r="I352" s="68">
        <v>45650</v>
      </c>
      <c r="J352" s="5"/>
      <c r="K352" s="5">
        <v>12</v>
      </c>
      <c r="L352" s="5" t="s">
        <v>787</v>
      </c>
      <c r="M352" s="5">
        <v>2260</v>
      </c>
      <c r="N352" s="5">
        <v>2.09</v>
      </c>
      <c r="O352" s="5">
        <v>2260</v>
      </c>
      <c r="P352" s="5">
        <v>2.09</v>
      </c>
      <c r="Q352" s="68">
        <v>45604</v>
      </c>
      <c r="R352" s="68">
        <v>45810</v>
      </c>
      <c r="S352" s="5">
        <v>207</v>
      </c>
      <c r="T352" s="5">
        <v>161</v>
      </c>
      <c r="U352" s="46" t="s">
        <v>60</v>
      </c>
    </row>
    <row r="353" spans="1:21" x14ac:dyDescent="0.3">
      <c r="A353" s="5" t="s">
        <v>268</v>
      </c>
      <c r="B353" s="5" t="s">
        <v>60</v>
      </c>
      <c r="C353" s="5" t="s">
        <v>600</v>
      </c>
      <c r="D353" s="5">
        <v>2</v>
      </c>
      <c r="E353" s="5">
        <v>2</v>
      </c>
      <c r="F353" s="5">
        <v>2</v>
      </c>
      <c r="G353" s="5"/>
      <c r="H353" s="5">
        <v>1082</v>
      </c>
      <c r="I353" s="68">
        <v>45094</v>
      </c>
      <c r="J353" s="5"/>
      <c r="K353" s="5"/>
      <c r="L353" s="5" t="s">
        <v>787</v>
      </c>
      <c r="M353" s="5">
        <v>2260</v>
      </c>
      <c r="N353" s="5">
        <v>2.09</v>
      </c>
      <c r="O353" s="5">
        <v>1916</v>
      </c>
      <c r="P353" s="5">
        <v>1.77</v>
      </c>
      <c r="Q353" s="5"/>
      <c r="R353" s="68">
        <v>45147</v>
      </c>
      <c r="S353" s="5"/>
      <c r="T353" s="5"/>
      <c r="U353" s="46" t="s">
        <v>60</v>
      </c>
    </row>
    <row r="354" spans="1:21" x14ac:dyDescent="0.3">
      <c r="A354" s="5" t="s">
        <v>268</v>
      </c>
      <c r="B354" s="5" t="s">
        <v>60</v>
      </c>
      <c r="C354" s="5" t="s">
        <v>600</v>
      </c>
      <c r="D354" s="5">
        <v>2</v>
      </c>
      <c r="E354" s="5">
        <v>2</v>
      </c>
      <c r="F354" s="5">
        <v>2</v>
      </c>
      <c r="G354" s="5"/>
      <c r="H354" s="5">
        <v>1082</v>
      </c>
      <c r="I354" s="68">
        <v>45603</v>
      </c>
      <c r="J354" s="5"/>
      <c r="K354" s="5">
        <v>12</v>
      </c>
      <c r="L354" s="5" t="s">
        <v>787</v>
      </c>
      <c r="M354" s="5">
        <v>2260</v>
      </c>
      <c r="N354" s="5">
        <v>2.09</v>
      </c>
      <c r="O354" s="5">
        <v>2260</v>
      </c>
      <c r="P354" s="5">
        <v>2.09</v>
      </c>
      <c r="Q354" s="68">
        <v>45514</v>
      </c>
      <c r="R354" s="68">
        <v>45645</v>
      </c>
      <c r="S354" s="5">
        <v>132</v>
      </c>
      <c r="T354" s="5">
        <v>43</v>
      </c>
      <c r="U354" s="46" t="s">
        <v>60</v>
      </c>
    </row>
    <row r="355" spans="1:21" x14ac:dyDescent="0.3">
      <c r="A355" s="5" t="s">
        <v>268</v>
      </c>
      <c r="B355" s="5" t="s">
        <v>60</v>
      </c>
      <c r="C355" s="5" t="s">
        <v>600</v>
      </c>
      <c r="D355" s="5">
        <v>2</v>
      </c>
      <c r="E355" s="5">
        <v>2</v>
      </c>
      <c r="F355" s="5">
        <v>2</v>
      </c>
      <c r="G355" s="5"/>
      <c r="H355" s="5">
        <v>1082</v>
      </c>
      <c r="I355" s="68">
        <v>46038</v>
      </c>
      <c r="J355" s="5"/>
      <c r="K355" s="5">
        <v>13</v>
      </c>
      <c r="L355" s="5" t="s">
        <v>787</v>
      </c>
      <c r="M355" s="5">
        <v>2260</v>
      </c>
      <c r="N355" s="5">
        <v>2.09</v>
      </c>
      <c r="O355" s="5">
        <v>1825</v>
      </c>
      <c r="P355" s="5">
        <v>1.69</v>
      </c>
      <c r="Q355" s="68">
        <v>45963</v>
      </c>
      <c r="R355" s="68">
        <v>46051</v>
      </c>
      <c r="S355" s="5">
        <v>89</v>
      </c>
      <c r="T355" s="5">
        <v>14</v>
      </c>
      <c r="U355" s="46" t="s">
        <v>60</v>
      </c>
    </row>
    <row r="356" spans="1:21" x14ac:dyDescent="0.3">
      <c r="A356" s="5" t="s">
        <v>268</v>
      </c>
      <c r="B356" s="5" t="s">
        <v>60</v>
      </c>
      <c r="C356" s="5" t="s">
        <v>423</v>
      </c>
      <c r="D356" s="5">
        <v>2</v>
      </c>
      <c r="E356" s="5">
        <v>2</v>
      </c>
      <c r="F356" s="5">
        <v>2</v>
      </c>
      <c r="G356" s="5"/>
      <c r="H356" s="5">
        <v>1082</v>
      </c>
      <c r="I356" s="68">
        <v>45094</v>
      </c>
      <c r="J356" s="5"/>
      <c r="K356" s="5"/>
      <c r="L356" s="5" t="s">
        <v>787</v>
      </c>
      <c r="M356" s="5">
        <v>1995</v>
      </c>
      <c r="N356" s="5">
        <v>1.84</v>
      </c>
      <c r="O356" s="5">
        <v>1765</v>
      </c>
      <c r="P356" s="5">
        <v>1.63</v>
      </c>
      <c r="Q356" s="5"/>
      <c r="R356" s="68">
        <v>45217</v>
      </c>
      <c r="S356" s="5"/>
      <c r="T356" s="5"/>
      <c r="U356" s="46" t="s">
        <v>60</v>
      </c>
    </row>
    <row r="357" spans="1:21" x14ac:dyDescent="0.3">
      <c r="A357" s="5" t="s">
        <v>268</v>
      </c>
      <c r="B357" s="5" t="s">
        <v>60</v>
      </c>
      <c r="C357" s="5" t="s">
        <v>423</v>
      </c>
      <c r="D357" s="5">
        <v>2</v>
      </c>
      <c r="E357" s="5">
        <v>2</v>
      </c>
      <c r="F357" s="5">
        <v>2</v>
      </c>
      <c r="G357" s="5"/>
      <c r="H357" s="5">
        <v>1082</v>
      </c>
      <c r="I357" s="68">
        <v>45663</v>
      </c>
      <c r="J357" s="5"/>
      <c r="K357" s="5">
        <v>12</v>
      </c>
      <c r="L357" s="5" t="s">
        <v>787</v>
      </c>
      <c r="M357" s="5">
        <v>2260</v>
      </c>
      <c r="N357" s="5">
        <v>2.09</v>
      </c>
      <c r="O357" s="5">
        <v>2260</v>
      </c>
      <c r="P357" s="5">
        <v>2.09</v>
      </c>
      <c r="Q357" s="68">
        <v>45592</v>
      </c>
      <c r="R357" s="68">
        <v>45644</v>
      </c>
      <c r="S357" s="5">
        <v>53</v>
      </c>
      <c r="T357" s="5">
        <v>0</v>
      </c>
      <c r="U357" s="46" t="s">
        <v>60</v>
      </c>
    </row>
    <row r="358" spans="1:21" x14ac:dyDescent="0.3">
      <c r="A358" s="5" t="s">
        <v>268</v>
      </c>
      <c r="B358" s="5" t="s">
        <v>60</v>
      </c>
      <c r="C358" s="5" t="s">
        <v>423</v>
      </c>
      <c r="D358" s="5">
        <v>2</v>
      </c>
      <c r="E358" s="5">
        <v>2</v>
      </c>
      <c r="F358" s="5">
        <v>2</v>
      </c>
      <c r="G358" s="5"/>
      <c r="H358" s="5">
        <v>1082</v>
      </c>
      <c r="I358" s="68">
        <v>46028</v>
      </c>
      <c r="J358" s="5"/>
      <c r="K358" s="5">
        <v>14</v>
      </c>
      <c r="L358" s="5" t="s">
        <v>787</v>
      </c>
      <c r="M358" s="5">
        <v>2260</v>
      </c>
      <c r="N358" s="5">
        <v>2.09</v>
      </c>
      <c r="O358" s="5">
        <v>1856</v>
      </c>
      <c r="P358" s="5">
        <v>1.72</v>
      </c>
      <c r="Q358" s="68">
        <v>45951</v>
      </c>
      <c r="R358" s="68">
        <v>46072</v>
      </c>
      <c r="S358" s="5">
        <v>122</v>
      </c>
      <c r="T358" s="5">
        <v>45</v>
      </c>
      <c r="U358" s="46" t="s">
        <v>60</v>
      </c>
    </row>
    <row r="359" spans="1:21" x14ac:dyDescent="0.3">
      <c r="A359" s="5" t="s">
        <v>268</v>
      </c>
      <c r="B359" s="5" t="s">
        <v>60</v>
      </c>
      <c r="C359" s="5" t="s">
        <v>532</v>
      </c>
      <c r="D359" s="5">
        <v>2</v>
      </c>
      <c r="E359" s="5">
        <v>2</v>
      </c>
      <c r="F359" s="5">
        <v>2</v>
      </c>
      <c r="G359" s="5"/>
      <c r="H359" s="5">
        <v>1082</v>
      </c>
      <c r="I359" s="68">
        <v>45094</v>
      </c>
      <c r="J359" s="5"/>
      <c r="K359" s="5"/>
      <c r="L359" s="5" t="s">
        <v>787</v>
      </c>
      <c r="M359" s="5">
        <v>2260</v>
      </c>
      <c r="N359" s="5">
        <v>2.09</v>
      </c>
      <c r="O359" s="5">
        <v>1999</v>
      </c>
      <c r="P359" s="5">
        <v>1.85</v>
      </c>
      <c r="Q359" s="5"/>
      <c r="R359" s="68">
        <v>45116</v>
      </c>
      <c r="S359" s="5"/>
      <c r="T359" s="5"/>
      <c r="U359" s="46" t="s">
        <v>60</v>
      </c>
    </row>
    <row r="360" spans="1:21" x14ac:dyDescent="0.3">
      <c r="A360" s="5" t="s">
        <v>268</v>
      </c>
      <c r="B360" s="5" t="s">
        <v>60</v>
      </c>
      <c r="C360" s="5" t="s">
        <v>532</v>
      </c>
      <c r="D360" s="5">
        <v>2</v>
      </c>
      <c r="E360" s="5">
        <v>2</v>
      </c>
      <c r="F360" s="5">
        <v>2</v>
      </c>
      <c r="G360" s="5"/>
      <c r="H360" s="5">
        <v>1082</v>
      </c>
      <c r="I360" s="68">
        <v>45500</v>
      </c>
      <c r="J360" s="5"/>
      <c r="K360" s="5">
        <v>15</v>
      </c>
      <c r="L360" s="5" t="s">
        <v>787</v>
      </c>
      <c r="M360" s="5">
        <v>2260</v>
      </c>
      <c r="N360" s="5">
        <v>2.09</v>
      </c>
      <c r="O360" s="5">
        <v>2260</v>
      </c>
      <c r="P360" s="5">
        <v>2.09</v>
      </c>
      <c r="Q360" s="68">
        <v>45413</v>
      </c>
      <c r="R360" s="68">
        <v>45447</v>
      </c>
      <c r="S360" s="5">
        <v>35</v>
      </c>
      <c r="T360" s="5">
        <v>0</v>
      </c>
      <c r="U360" s="46" t="s">
        <v>60</v>
      </c>
    </row>
    <row r="361" spans="1:21" x14ac:dyDescent="0.3">
      <c r="A361" s="5" t="s">
        <v>268</v>
      </c>
      <c r="B361" s="5" t="s">
        <v>60</v>
      </c>
      <c r="C361" s="5" t="s">
        <v>615</v>
      </c>
      <c r="D361" s="5">
        <v>3</v>
      </c>
      <c r="E361" s="5">
        <v>2</v>
      </c>
      <c r="F361" s="5">
        <v>2</v>
      </c>
      <c r="G361" s="5"/>
      <c r="H361" s="5">
        <v>1082</v>
      </c>
      <c r="I361" s="68">
        <v>45382</v>
      </c>
      <c r="J361" s="5"/>
      <c r="K361" s="5"/>
      <c r="L361" s="5" t="s">
        <v>787</v>
      </c>
      <c r="M361" s="5">
        <v>2305</v>
      </c>
      <c r="N361" s="5">
        <v>2.13</v>
      </c>
      <c r="O361" s="5">
        <v>2305</v>
      </c>
      <c r="P361" s="5">
        <v>2.13</v>
      </c>
      <c r="Q361" s="68">
        <v>45316</v>
      </c>
      <c r="R361" s="68">
        <v>45343</v>
      </c>
      <c r="S361" s="5">
        <v>28</v>
      </c>
      <c r="T361" s="5">
        <v>0</v>
      </c>
      <c r="U361" s="46" t="s">
        <v>60</v>
      </c>
    </row>
    <row r="362" spans="1:21" x14ac:dyDescent="0.3">
      <c r="A362" s="5" t="s">
        <v>268</v>
      </c>
      <c r="B362" s="5" t="s">
        <v>60</v>
      </c>
      <c r="C362" s="5" t="s">
        <v>467</v>
      </c>
      <c r="D362" s="5">
        <v>3</v>
      </c>
      <c r="E362" s="5">
        <v>2</v>
      </c>
      <c r="F362" s="5">
        <v>2</v>
      </c>
      <c r="G362" s="5"/>
      <c r="H362" s="5">
        <v>1082</v>
      </c>
      <c r="I362" s="68">
        <v>45094</v>
      </c>
      <c r="J362" s="5"/>
      <c r="K362" s="5"/>
      <c r="L362" s="5" t="s">
        <v>787</v>
      </c>
      <c r="M362" s="5">
        <v>2305</v>
      </c>
      <c r="N362" s="5">
        <v>2.13</v>
      </c>
      <c r="O362" s="5">
        <v>2039</v>
      </c>
      <c r="P362" s="5">
        <v>1.88</v>
      </c>
      <c r="Q362" s="5"/>
      <c r="R362" s="68">
        <v>45097</v>
      </c>
      <c r="S362" s="5"/>
      <c r="T362" s="5"/>
      <c r="U362" s="46" t="s">
        <v>60</v>
      </c>
    </row>
    <row r="363" spans="1:21" x14ac:dyDescent="0.3">
      <c r="A363" s="5" t="s">
        <v>268</v>
      </c>
      <c r="B363" s="5" t="s">
        <v>60</v>
      </c>
      <c r="C363" s="5" t="s">
        <v>467</v>
      </c>
      <c r="D363" s="5">
        <v>3</v>
      </c>
      <c r="E363" s="5">
        <v>2</v>
      </c>
      <c r="F363" s="5">
        <v>2</v>
      </c>
      <c r="G363" s="5"/>
      <c r="H363" s="5">
        <v>1082</v>
      </c>
      <c r="I363" s="68">
        <v>45499</v>
      </c>
      <c r="J363" s="5"/>
      <c r="K363" s="5">
        <v>15</v>
      </c>
      <c r="L363" s="5" t="s">
        <v>787</v>
      </c>
      <c r="M363" s="5">
        <v>2305</v>
      </c>
      <c r="N363" s="5">
        <v>2.13</v>
      </c>
      <c r="O363" s="5">
        <v>2305</v>
      </c>
      <c r="P363" s="5">
        <v>2.13</v>
      </c>
      <c r="Q363" s="68">
        <v>45407</v>
      </c>
      <c r="R363" s="68">
        <v>45469</v>
      </c>
      <c r="S363" s="5">
        <v>63</v>
      </c>
      <c r="T363" s="5">
        <v>0</v>
      </c>
      <c r="U363" s="46" t="s">
        <v>60</v>
      </c>
    </row>
    <row r="364" spans="1:21" x14ac:dyDescent="0.3">
      <c r="A364" s="5" t="s">
        <v>268</v>
      </c>
      <c r="B364" s="5" t="s">
        <v>60</v>
      </c>
      <c r="C364" s="5" t="s">
        <v>629</v>
      </c>
      <c r="D364" s="5">
        <v>3</v>
      </c>
      <c r="E364" s="5">
        <v>2</v>
      </c>
      <c r="F364" s="5">
        <v>2</v>
      </c>
      <c r="G364" s="5"/>
      <c r="H364" s="5">
        <v>1082</v>
      </c>
      <c r="I364" s="68">
        <v>45585</v>
      </c>
      <c r="J364" s="5"/>
      <c r="K364" s="5">
        <v>12</v>
      </c>
      <c r="L364" s="5" t="s">
        <v>787</v>
      </c>
      <c r="M364" s="5">
        <v>2150</v>
      </c>
      <c r="N364" s="5">
        <v>1.99</v>
      </c>
      <c r="O364" s="5">
        <v>1902</v>
      </c>
      <c r="P364" s="5">
        <v>1.76</v>
      </c>
      <c r="Q364" s="68">
        <v>45532</v>
      </c>
      <c r="R364" s="68">
        <v>45585</v>
      </c>
      <c r="S364" s="5">
        <v>54</v>
      </c>
      <c r="T364" s="5">
        <v>1</v>
      </c>
      <c r="U364" s="46" t="s">
        <v>60</v>
      </c>
    </row>
    <row r="365" spans="1:21" x14ac:dyDescent="0.3">
      <c r="A365" s="5" t="s">
        <v>268</v>
      </c>
      <c r="B365" s="5" t="s">
        <v>60</v>
      </c>
      <c r="C365" s="5" t="s">
        <v>629</v>
      </c>
      <c r="D365" s="5">
        <v>3</v>
      </c>
      <c r="E365" s="5">
        <v>2</v>
      </c>
      <c r="F365" s="5">
        <v>2</v>
      </c>
      <c r="G365" s="5"/>
      <c r="H365" s="5">
        <v>1082</v>
      </c>
      <c r="I365" s="68">
        <v>46075</v>
      </c>
      <c r="J365" s="5"/>
      <c r="K365" s="5">
        <v>14</v>
      </c>
      <c r="L365" s="5" t="s">
        <v>787</v>
      </c>
      <c r="M365" s="5">
        <v>2305</v>
      </c>
      <c r="N365" s="5">
        <v>2.13</v>
      </c>
      <c r="O365" s="5">
        <v>2305</v>
      </c>
      <c r="P365" s="5">
        <v>2.13</v>
      </c>
      <c r="Q365" s="68">
        <v>45999</v>
      </c>
      <c r="R365" s="68">
        <v>46107</v>
      </c>
      <c r="S365" s="5">
        <v>109</v>
      </c>
      <c r="T365" s="5">
        <v>33</v>
      </c>
      <c r="U365" s="46" t="s">
        <v>60</v>
      </c>
    </row>
    <row r="366" spans="1:21" x14ac:dyDescent="0.3">
      <c r="A366" s="5" t="s">
        <v>268</v>
      </c>
      <c r="B366" s="5" t="s">
        <v>60</v>
      </c>
      <c r="C366" s="5" t="s">
        <v>569</v>
      </c>
      <c r="D366" s="5">
        <v>3</v>
      </c>
      <c r="E366" s="5">
        <v>2</v>
      </c>
      <c r="F366" s="5">
        <v>2</v>
      </c>
      <c r="G366" s="5"/>
      <c r="H366" s="5">
        <v>1082</v>
      </c>
      <c r="I366" s="68">
        <v>45094</v>
      </c>
      <c r="J366" s="5"/>
      <c r="K366" s="5"/>
      <c r="L366" s="5" t="s">
        <v>787</v>
      </c>
      <c r="M366" s="5">
        <v>2305</v>
      </c>
      <c r="N366" s="5">
        <v>2.13</v>
      </c>
      <c r="O366" s="5">
        <v>2039</v>
      </c>
      <c r="P366" s="5">
        <v>1.88</v>
      </c>
      <c r="Q366" s="5"/>
      <c r="R366" s="68">
        <v>45121</v>
      </c>
      <c r="S366" s="5"/>
      <c r="T366" s="5"/>
      <c r="U366" s="46" t="s">
        <v>60</v>
      </c>
    </row>
    <row r="367" spans="1:21" x14ac:dyDescent="0.3">
      <c r="A367" s="5" t="s">
        <v>268</v>
      </c>
      <c r="B367" s="5" t="s">
        <v>60</v>
      </c>
      <c r="C367" s="5" t="s">
        <v>569</v>
      </c>
      <c r="D367" s="5">
        <v>3</v>
      </c>
      <c r="E367" s="5">
        <v>2</v>
      </c>
      <c r="F367" s="5">
        <v>2</v>
      </c>
      <c r="G367" s="5"/>
      <c r="H367" s="5">
        <v>1082</v>
      </c>
      <c r="I367" s="68">
        <v>45730</v>
      </c>
      <c r="J367" s="5"/>
      <c r="K367" s="5">
        <v>12</v>
      </c>
      <c r="L367" s="5" t="s">
        <v>787</v>
      </c>
      <c r="M367" s="5">
        <v>2305</v>
      </c>
      <c r="N367" s="5">
        <v>2.13</v>
      </c>
      <c r="O367" s="5">
        <v>1867</v>
      </c>
      <c r="P367" s="5">
        <v>1.73</v>
      </c>
      <c r="Q367" s="68">
        <v>45657</v>
      </c>
      <c r="R367" s="68">
        <v>45756</v>
      </c>
      <c r="S367" s="5">
        <v>100</v>
      </c>
      <c r="T367" s="5">
        <v>27</v>
      </c>
      <c r="U367" s="46" t="s">
        <v>60</v>
      </c>
    </row>
    <row r="368" spans="1:21" x14ac:dyDescent="0.3">
      <c r="A368" s="5" t="s">
        <v>268</v>
      </c>
      <c r="B368" s="5" t="s">
        <v>60</v>
      </c>
      <c r="C368" s="5" t="s">
        <v>551</v>
      </c>
      <c r="D368" s="5">
        <v>3</v>
      </c>
      <c r="E368" s="5">
        <v>2</v>
      </c>
      <c r="F368" s="5">
        <v>2</v>
      </c>
      <c r="G368" s="5"/>
      <c r="H368" s="5">
        <v>1082</v>
      </c>
      <c r="I368" s="68">
        <v>45958</v>
      </c>
      <c r="J368" s="5"/>
      <c r="K368" s="5">
        <v>12</v>
      </c>
      <c r="L368" s="5" t="s">
        <v>787</v>
      </c>
      <c r="M368" s="5">
        <v>2305</v>
      </c>
      <c r="N368" s="5">
        <v>2.13</v>
      </c>
      <c r="O368" s="5">
        <v>1950</v>
      </c>
      <c r="P368" s="5">
        <v>1.8</v>
      </c>
      <c r="Q368" s="68">
        <v>45875</v>
      </c>
      <c r="R368" s="68">
        <v>45927</v>
      </c>
      <c r="S368" s="5">
        <v>53</v>
      </c>
      <c r="T368" s="5">
        <v>0</v>
      </c>
      <c r="U368" s="46" t="s">
        <v>60</v>
      </c>
    </row>
    <row r="369" spans="1:21" x14ac:dyDescent="0.3">
      <c r="A369" s="5" t="s">
        <v>268</v>
      </c>
      <c r="B369" s="5" t="s">
        <v>60</v>
      </c>
      <c r="C369" s="5" t="s">
        <v>459</v>
      </c>
      <c r="D369" s="5">
        <v>3</v>
      </c>
      <c r="E369" s="5">
        <v>2</v>
      </c>
      <c r="F369" s="5">
        <v>2</v>
      </c>
      <c r="G369" s="5"/>
      <c r="H369" s="5">
        <v>1082</v>
      </c>
      <c r="I369" s="68">
        <v>45094</v>
      </c>
      <c r="J369" s="5"/>
      <c r="K369" s="5"/>
      <c r="L369" s="5" t="s">
        <v>787</v>
      </c>
      <c r="M369" s="5">
        <v>2090</v>
      </c>
      <c r="N369" s="5">
        <v>1.93</v>
      </c>
      <c r="O369" s="5">
        <v>1849</v>
      </c>
      <c r="P369" s="5">
        <v>1.71</v>
      </c>
      <c r="Q369" s="5"/>
      <c r="R369" s="68">
        <v>45267</v>
      </c>
      <c r="S369" s="5"/>
      <c r="T369" s="5"/>
      <c r="U369" s="46" t="s">
        <v>60</v>
      </c>
    </row>
    <row r="370" spans="1:21" x14ac:dyDescent="0.3">
      <c r="A370" s="5" t="s">
        <v>268</v>
      </c>
      <c r="B370" s="5" t="s">
        <v>60</v>
      </c>
      <c r="C370" s="5" t="s">
        <v>459</v>
      </c>
      <c r="D370" s="5">
        <v>3</v>
      </c>
      <c r="E370" s="5">
        <v>2</v>
      </c>
      <c r="F370" s="5">
        <v>2</v>
      </c>
      <c r="G370" s="5"/>
      <c r="H370" s="5">
        <v>1082</v>
      </c>
      <c r="I370" s="68">
        <v>45668</v>
      </c>
      <c r="J370" s="5"/>
      <c r="K370" s="5">
        <v>12</v>
      </c>
      <c r="L370" s="5" t="s">
        <v>787</v>
      </c>
      <c r="M370" s="5">
        <v>1920</v>
      </c>
      <c r="N370" s="5">
        <v>1.77</v>
      </c>
      <c r="O370" s="5">
        <v>1562</v>
      </c>
      <c r="P370" s="5">
        <v>1.44</v>
      </c>
      <c r="Q370" s="68">
        <v>45611</v>
      </c>
      <c r="R370" s="68">
        <v>45660</v>
      </c>
      <c r="S370" s="5">
        <v>50</v>
      </c>
      <c r="T370" s="5">
        <v>0</v>
      </c>
      <c r="U370" s="46" t="s">
        <v>60</v>
      </c>
    </row>
    <row r="371" spans="1:21" x14ac:dyDescent="0.3">
      <c r="A371" s="5" t="s">
        <v>268</v>
      </c>
      <c r="B371" s="5" t="s">
        <v>60</v>
      </c>
      <c r="C371" s="5" t="s">
        <v>459</v>
      </c>
      <c r="D371" s="5">
        <v>3</v>
      </c>
      <c r="E371" s="5">
        <v>2</v>
      </c>
      <c r="F371" s="5">
        <v>2</v>
      </c>
      <c r="G371" s="5"/>
      <c r="H371" s="5">
        <v>1082</v>
      </c>
      <c r="I371" s="68">
        <v>45907</v>
      </c>
      <c r="J371" s="5"/>
      <c r="K371" s="5">
        <v>12</v>
      </c>
      <c r="L371" s="5" t="s">
        <v>787</v>
      </c>
      <c r="M371" s="5">
        <v>2305</v>
      </c>
      <c r="N371" s="5">
        <v>2.13</v>
      </c>
      <c r="O371" s="5">
        <v>1950</v>
      </c>
      <c r="P371" s="5">
        <v>1.8</v>
      </c>
      <c r="Q371" s="68">
        <v>45889</v>
      </c>
      <c r="R371" s="68">
        <v>45896</v>
      </c>
      <c r="S371" s="5">
        <v>8</v>
      </c>
      <c r="T371" s="5">
        <v>0</v>
      </c>
      <c r="U371" s="46" t="s">
        <v>60</v>
      </c>
    </row>
    <row r="372" spans="1:21" x14ac:dyDescent="0.3">
      <c r="A372" s="5" t="s">
        <v>268</v>
      </c>
      <c r="B372" s="5" t="s">
        <v>60</v>
      </c>
      <c r="C372" s="5" t="s">
        <v>518</v>
      </c>
      <c r="D372" s="5">
        <v>3</v>
      </c>
      <c r="E372" s="5">
        <v>2</v>
      </c>
      <c r="F372" s="5">
        <v>2</v>
      </c>
      <c r="G372" s="5"/>
      <c r="H372" s="5">
        <v>1082</v>
      </c>
      <c r="I372" s="68">
        <v>45455</v>
      </c>
      <c r="J372" s="5"/>
      <c r="K372" s="5"/>
      <c r="L372" s="5" t="s">
        <v>787</v>
      </c>
      <c r="M372" s="5">
        <v>2305</v>
      </c>
      <c r="N372" s="5">
        <v>2.13</v>
      </c>
      <c r="O372" s="5">
        <v>2305</v>
      </c>
      <c r="P372" s="5">
        <v>2.13</v>
      </c>
      <c r="Q372" s="68">
        <v>45385</v>
      </c>
      <c r="R372" s="68">
        <v>45426</v>
      </c>
      <c r="S372" s="5">
        <v>42</v>
      </c>
      <c r="T372" s="5">
        <v>0</v>
      </c>
      <c r="U372" s="46" t="s">
        <v>60</v>
      </c>
    </row>
    <row r="373" spans="1:21" x14ac:dyDescent="0.3">
      <c r="A373" s="5" t="s">
        <v>268</v>
      </c>
      <c r="B373" s="5" t="s">
        <v>60</v>
      </c>
      <c r="C373" s="5" t="s">
        <v>518</v>
      </c>
      <c r="D373" s="5">
        <v>3</v>
      </c>
      <c r="E373" s="5">
        <v>2</v>
      </c>
      <c r="F373" s="5">
        <v>2</v>
      </c>
      <c r="G373" s="5"/>
      <c r="H373" s="5">
        <v>1082</v>
      </c>
      <c r="I373" s="68">
        <v>45826</v>
      </c>
      <c r="J373" s="5"/>
      <c r="K373" s="5">
        <v>12</v>
      </c>
      <c r="L373" s="5" t="s">
        <v>787</v>
      </c>
      <c r="M373" s="5">
        <v>2305</v>
      </c>
      <c r="N373" s="5">
        <v>2.13</v>
      </c>
      <c r="O373" s="5">
        <v>2039</v>
      </c>
      <c r="P373" s="5">
        <v>1.88</v>
      </c>
      <c r="Q373" s="68">
        <v>45759</v>
      </c>
      <c r="R373" s="68">
        <v>45842</v>
      </c>
      <c r="S373" s="5">
        <v>84</v>
      </c>
      <c r="T373" s="5">
        <v>17</v>
      </c>
      <c r="U373" s="46" t="s">
        <v>60</v>
      </c>
    </row>
    <row r="374" spans="1:21" x14ac:dyDescent="0.3">
      <c r="A374" s="5" t="s">
        <v>268</v>
      </c>
      <c r="B374" s="5" t="s">
        <v>60</v>
      </c>
      <c r="C374" s="5" t="s">
        <v>582</v>
      </c>
      <c r="D374" s="5">
        <v>3</v>
      </c>
      <c r="E374" s="5">
        <v>2</v>
      </c>
      <c r="F374" s="5">
        <v>2</v>
      </c>
      <c r="G374" s="5"/>
      <c r="H374" s="5">
        <v>1082</v>
      </c>
      <c r="I374" s="68">
        <v>45314</v>
      </c>
      <c r="J374" s="5"/>
      <c r="K374" s="5"/>
      <c r="L374" s="5" t="s">
        <v>787</v>
      </c>
      <c r="M374" s="5">
        <v>2355</v>
      </c>
      <c r="N374" s="5">
        <v>2.1800000000000002</v>
      </c>
      <c r="O374" s="5">
        <v>2272</v>
      </c>
      <c r="P374" s="5">
        <v>2.1</v>
      </c>
      <c r="Q374" s="68">
        <v>45248</v>
      </c>
      <c r="R374" s="68">
        <v>45303</v>
      </c>
      <c r="S374" s="5">
        <v>56</v>
      </c>
      <c r="T374" s="5">
        <v>0</v>
      </c>
      <c r="U374" s="46" t="s">
        <v>60</v>
      </c>
    </row>
    <row r="375" spans="1:21" x14ac:dyDescent="0.3">
      <c r="A375" s="5" t="s">
        <v>268</v>
      </c>
      <c r="B375" s="5" t="s">
        <v>60</v>
      </c>
      <c r="C375" s="5" t="s">
        <v>582</v>
      </c>
      <c r="D375" s="5">
        <v>3</v>
      </c>
      <c r="E375" s="5">
        <v>2</v>
      </c>
      <c r="F375" s="5">
        <v>2</v>
      </c>
      <c r="G375" s="5"/>
      <c r="H375" s="5">
        <v>1082</v>
      </c>
      <c r="I375" s="68">
        <v>45720</v>
      </c>
      <c r="J375" s="5"/>
      <c r="K375" s="5">
        <v>12</v>
      </c>
      <c r="L375" s="5" t="s">
        <v>787</v>
      </c>
      <c r="M375" s="5">
        <v>2355</v>
      </c>
      <c r="N375" s="5">
        <v>2.1800000000000002</v>
      </c>
      <c r="O375" s="5">
        <v>2355</v>
      </c>
      <c r="P375" s="5">
        <v>2.1800000000000002</v>
      </c>
      <c r="Q375" s="68">
        <v>45706</v>
      </c>
      <c r="R375" s="68">
        <v>45722</v>
      </c>
      <c r="S375" s="5">
        <v>17</v>
      </c>
      <c r="T375" s="5">
        <v>3</v>
      </c>
      <c r="U375" s="46" t="s">
        <v>60</v>
      </c>
    </row>
    <row r="376" spans="1:21" x14ac:dyDescent="0.3">
      <c r="A376" s="5" t="s">
        <v>268</v>
      </c>
      <c r="B376" s="5" t="s">
        <v>60</v>
      </c>
      <c r="C376" s="5" t="s">
        <v>658</v>
      </c>
      <c r="D376" s="5">
        <v>2</v>
      </c>
      <c r="E376" s="5">
        <v>2</v>
      </c>
      <c r="F376" s="5">
        <v>2</v>
      </c>
      <c r="G376" s="5"/>
      <c r="H376" s="5">
        <v>1082</v>
      </c>
      <c r="I376" s="68">
        <v>45965</v>
      </c>
      <c r="J376" s="5"/>
      <c r="K376" s="5">
        <v>12</v>
      </c>
      <c r="L376" s="5" t="s">
        <v>787</v>
      </c>
      <c r="M376" s="5">
        <v>2355</v>
      </c>
      <c r="N376" s="5">
        <v>2.1800000000000002</v>
      </c>
      <c r="O376" s="5">
        <v>1992</v>
      </c>
      <c r="P376" s="5">
        <v>1.84</v>
      </c>
      <c r="Q376" s="68">
        <v>45898</v>
      </c>
      <c r="R376" s="68">
        <v>45905</v>
      </c>
      <c r="S376" s="5">
        <v>8</v>
      </c>
      <c r="T376" s="5">
        <v>0</v>
      </c>
      <c r="U376" s="46" t="s">
        <v>60</v>
      </c>
    </row>
    <row r="377" spans="1:21" x14ac:dyDescent="0.3">
      <c r="A377" s="5" t="s">
        <v>268</v>
      </c>
      <c r="B377" s="5" t="s">
        <v>60</v>
      </c>
      <c r="C377" s="5" t="s">
        <v>588</v>
      </c>
      <c r="D377" s="5">
        <v>3</v>
      </c>
      <c r="E377" s="5">
        <v>2</v>
      </c>
      <c r="F377" s="5">
        <v>2</v>
      </c>
      <c r="G377" s="5"/>
      <c r="H377" s="5">
        <v>1082</v>
      </c>
      <c r="I377" s="68">
        <v>45267</v>
      </c>
      <c r="J377" s="5"/>
      <c r="K377" s="5"/>
      <c r="L377" s="5" t="s">
        <v>787</v>
      </c>
      <c r="M377" s="5">
        <v>2400</v>
      </c>
      <c r="N377" s="5">
        <v>2.2200000000000002</v>
      </c>
      <c r="O377" s="5">
        <v>2400</v>
      </c>
      <c r="P377" s="5">
        <v>2.2200000000000002</v>
      </c>
      <c r="Q377" s="68">
        <v>45197</v>
      </c>
      <c r="R377" s="68">
        <v>45346</v>
      </c>
      <c r="S377" s="5">
        <v>150</v>
      </c>
      <c r="T377" s="5">
        <v>80</v>
      </c>
      <c r="U377" s="46" t="s">
        <v>60</v>
      </c>
    </row>
    <row r="378" spans="1:21" x14ac:dyDescent="0.3">
      <c r="A378" s="5" t="s">
        <v>268</v>
      </c>
      <c r="B378" s="5" t="s">
        <v>60</v>
      </c>
      <c r="C378" s="5" t="s">
        <v>588</v>
      </c>
      <c r="D378" s="5">
        <v>3</v>
      </c>
      <c r="E378" s="5">
        <v>2</v>
      </c>
      <c r="F378" s="5">
        <v>2</v>
      </c>
      <c r="G378" s="5"/>
      <c r="H378" s="5">
        <v>1082</v>
      </c>
      <c r="I378" s="68">
        <v>45822</v>
      </c>
      <c r="J378" s="5"/>
      <c r="K378" s="5">
        <v>12</v>
      </c>
      <c r="L378" s="5" t="s">
        <v>787</v>
      </c>
      <c r="M378" s="5">
        <v>2400</v>
      </c>
      <c r="N378" s="5">
        <v>2.2200000000000002</v>
      </c>
      <c r="O378" s="5">
        <v>2030</v>
      </c>
      <c r="P378" s="5">
        <v>1.88</v>
      </c>
      <c r="Q378" s="68">
        <v>45763</v>
      </c>
      <c r="R378" s="68">
        <v>45773</v>
      </c>
      <c r="S378" s="5">
        <v>11</v>
      </c>
      <c r="T378" s="5">
        <v>0</v>
      </c>
      <c r="U378" s="46" t="s">
        <v>60</v>
      </c>
    </row>
    <row r="379" spans="1:21" x14ac:dyDescent="0.3">
      <c r="A379" s="5" t="s">
        <v>268</v>
      </c>
      <c r="B379" s="5" t="s">
        <v>60</v>
      </c>
      <c r="C379" s="5" t="s">
        <v>640</v>
      </c>
      <c r="D379" s="5">
        <v>1</v>
      </c>
      <c r="E379" s="5">
        <v>2</v>
      </c>
      <c r="F379" s="5">
        <v>2</v>
      </c>
      <c r="G379" s="5"/>
      <c r="H379" s="5">
        <v>1082</v>
      </c>
      <c r="I379" s="68">
        <v>46057</v>
      </c>
      <c r="J379" s="5"/>
      <c r="K379" s="5">
        <v>12</v>
      </c>
      <c r="L379" s="5" t="s">
        <v>787</v>
      </c>
      <c r="M379" s="5">
        <v>2435</v>
      </c>
      <c r="N379" s="5">
        <v>2.25</v>
      </c>
      <c r="O379" s="5">
        <v>2060</v>
      </c>
      <c r="P379" s="5">
        <v>1.9</v>
      </c>
      <c r="Q379" s="68">
        <v>45959</v>
      </c>
      <c r="R379" s="68">
        <v>45960</v>
      </c>
      <c r="S379" s="5">
        <v>2</v>
      </c>
      <c r="T379" s="5">
        <v>0</v>
      </c>
      <c r="U379" s="46" t="s">
        <v>60</v>
      </c>
    </row>
    <row r="380" spans="1:21" x14ac:dyDescent="0.3">
      <c r="A380" s="5" t="s">
        <v>268</v>
      </c>
      <c r="B380" s="5" t="s">
        <v>65</v>
      </c>
      <c r="C380" s="5" t="s">
        <v>413</v>
      </c>
      <c r="D380" s="5">
        <v>2</v>
      </c>
      <c r="E380" s="5">
        <v>2</v>
      </c>
      <c r="F380" s="5">
        <v>2</v>
      </c>
      <c r="G380" s="5"/>
      <c r="H380" s="5">
        <v>1109</v>
      </c>
      <c r="I380" s="68">
        <v>45094</v>
      </c>
      <c r="J380" s="5"/>
      <c r="K380" s="5"/>
      <c r="L380" s="5" t="s">
        <v>787</v>
      </c>
      <c r="M380" s="5">
        <v>2030</v>
      </c>
      <c r="N380" s="5">
        <v>1.83</v>
      </c>
      <c r="O380" s="5">
        <v>1796</v>
      </c>
      <c r="P380" s="5">
        <v>1.62</v>
      </c>
      <c r="Q380" s="5"/>
      <c r="R380" s="68">
        <v>45116</v>
      </c>
      <c r="S380" s="5"/>
      <c r="T380" s="5"/>
      <c r="U380" s="46" t="s">
        <v>65</v>
      </c>
    </row>
    <row r="381" spans="1:21" x14ac:dyDescent="0.3">
      <c r="A381" s="5" t="s">
        <v>268</v>
      </c>
      <c r="B381" s="5" t="s">
        <v>65</v>
      </c>
      <c r="C381" s="5" t="s">
        <v>413</v>
      </c>
      <c r="D381" s="5">
        <v>2</v>
      </c>
      <c r="E381" s="5">
        <v>2</v>
      </c>
      <c r="F381" s="5">
        <v>2</v>
      </c>
      <c r="G381" s="5"/>
      <c r="H381" s="5">
        <v>1109</v>
      </c>
      <c r="I381" s="68">
        <v>45623</v>
      </c>
      <c r="J381" s="5"/>
      <c r="K381" s="5">
        <v>12</v>
      </c>
      <c r="L381" s="5" t="s">
        <v>787</v>
      </c>
      <c r="M381" s="5">
        <v>1879</v>
      </c>
      <c r="N381" s="5">
        <v>1.69</v>
      </c>
      <c r="O381" s="5">
        <v>1879</v>
      </c>
      <c r="P381" s="5">
        <v>1.69</v>
      </c>
      <c r="Q381" s="68">
        <v>45546</v>
      </c>
      <c r="R381" s="68">
        <v>45688</v>
      </c>
      <c r="S381" s="5">
        <v>143</v>
      </c>
      <c r="T381" s="5">
        <v>66</v>
      </c>
      <c r="U381" s="46" t="s">
        <v>65</v>
      </c>
    </row>
    <row r="382" spans="1:21" x14ac:dyDescent="0.3">
      <c r="A382" s="5" t="s">
        <v>268</v>
      </c>
      <c r="B382" s="5" t="s">
        <v>65</v>
      </c>
      <c r="C382" s="5" t="s">
        <v>418</v>
      </c>
      <c r="D382" s="5">
        <v>2</v>
      </c>
      <c r="E382" s="5">
        <v>2</v>
      </c>
      <c r="F382" s="5">
        <v>2</v>
      </c>
      <c r="G382" s="5"/>
      <c r="H382" s="5">
        <v>1109</v>
      </c>
      <c r="I382" s="68">
        <v>45094</v>
      </c>
      <c r="J382" s="5"/>
      <c r="K382" s="5"/>
      <c r="L382" s="5" t="s">
        <v>787</v>
      </c>
      <c r="M382" s="5">
        <v>1980</v>
      </c>
      <c r="N382" s="5">
        <v>1.79</v>
      </c>
      <c r="O382" s="5">
        <v>1751</v>
      </c>
      <c r="P382" s="5">
        <v>1.58</v>
      </c>
      <c r="Q382" s="5"/>
      <c r="R382" s="68">
        <v>45098</v>
      </c>
      <c r="S382" s="5"/>
      <c r="T382" s="5"/>
      <c r="U382" s="46" t="s">
        <v>65</v>
      </c>
    </row>
    <row r="383" spans="1:21" x14ac:dyDescent="0.3">
      <c r="A383" s="5" t="s">
        <v>268</v>
      </c>
      <c r="B383" s="5" t="s">
        <v>65</v>
      </c>
      <c r="C383" s="5" t="s">
        <v>431</v>
      </c>
      <c r="D383" s="5">
        <v>3</v>
      </c>
      <c r="E383" s="5">
        <v>2</v>
      </c>
      <c r="F383" s="5">
        <v>2</v>
      </c>
      <c r="G383" s="5"/>
      <c r="H383" s="5">
        <v>1109</v>
      </c>
      <c r="I383" s="68">
        <v>45094</v>
      </c>
      <c r="J383" s="5"/>
      <c r="K383" s="5"/>
      <c r="L383" s="5" t="s">
        <v>787</v>
      </c>
      <c r="M383" s="5">
        <v>1980</v>
      </c>
      <c r="N383" s="5">
        <v>1.79</v>
      </c>
      <c r="O383" s="5">
        <v>1751</v>
      </c>
      <c r="P383" s="5">
        <v>1.58</v>
      </c>
      <c r="Q383" s="5"/>
      <c r="R383" s="68">
        <v>45189</v>
      </c>
      <c r="S383" s="5"/>
      <c r="T383" s="5"/>
      <c r="U383" s="46" t="s">
        <v>65</v>
      </c>
    </row>
    <row r="384" spans="1:21" x14ac:dyDescent="0.3">
      <c r="A384" s="5" t="s">
        <v>268</v>
      </c>
      <c r="B384" s="5" t="s">
        <v>65</v>
      </c>
      <c r="C384" s="5" t="s">
        <v>542</v>
      </c>
      <c r="D384" s="5">
        <v>2</v>
      </c>
      <c r="E384" s="5">
        <v>2</v>
      </c>
      <c r="F384" s="5">
        <v>2</v>
      </c>
      <c r="G384" s="5"/>
      <c r="H384" s="5">
        <v>1109</v>
      </c>
      <c r="I384" s="68">
        <v>45598</v>
      </c>
      <c r="J384" s="5"/>
      <c r="K384" s="5">
        <v>12</v>
      </c>
      <c r="L384" s="5" t="s">
        <v>787</v>
      </c>
      <c r="M384" s="5">
        <v>1989</v>
      </c>
      <c r="N384" s="5">
        <v>1.79</v>
      </c>
      <c r="O384" s="5">
        <v>1683</v>
      </c>
      <c r="P384" s="5">
        <v>1.52</v>
      </c>
      <c r="Q384" s="68">
        <v>45521</v>
      </c>
      <c r="R384" s="68">
        <v>45906</v>
      </c>
      <c r="S384" s="5">
        <v>386</v>
      </c>
      <c r="T384" s="5">
        <v>309</v>
      </c>
      <c r="U384" s="46" t="s">
        <v>65</v>
      </c>
    </row>
    <row r="385" spans="1:21" x14ac:dyDescent="0.3">
      <c r="A385" s="5" t="s">
        <v>268</v>
      </c>
      <c r="B385" s="5" t="s">
        <v>65</v>
      </c>
      <c r="C385" s="5" t="s">
        <v>510</v>
      </c>
      <c r="D385" s="5">
        <v>3</v>
      </c>
      <c r="E385" s="5">
        <v>2</v>
      </c>
      <c r="F385" s="5">
        <v>2</v>
      </c>
      <c r="G385" s="5"/>
      <c r="H385" s="5">
        <v>1109</v>
      </c>
      <c r="I385" s="68">
        <v>45418</v>
      </c>
      <c r="J385" s="5"/>
      <c r="K385" s="5"/>
      <c r="L385" s="5" t="s">
        <v>787</v>
      </c>
      <c r="M385" s="5">
        <v>1990</v>
      </c>
      <c r="N385" s="5">
        <v>1.79</v>
      </c>
      <c r="O385" s="5">
        <v>1990</v>
      </c>
      <c r="P385" s="5">
        <v>1.79</v>
      </c>
      <c r="Q385" s="68">
        <v>45386</v>
      </c>
      <c r="R385" s="68">
        <v>45389</v>
      </c>
      <c r="S385" s="5">
        <v>4</v>
      </c>
      <c r="T385" s="5">
        <v>0</v>
      </c>
      <c r="U385" s="46" t="s">
        <v>65</v>
      </c>
    </row>
    <row r="386" spans="1:21" x14ac:dyDescent="0.3">
      <c r="A386" s="5" t="s">
        <v>268</v>
      </c>
      <c r="B386" s="5" t="s">
        <v>65</v>
      </c>
      <c r="C386" s="5" t="s">
        <v>440</v>
      </c>
      <c r="D386" s="5">
        <v>3</v>
      </c>
      <c r="E386" s="5">
        <v>2</v>
      </c>
      <c r="F386" s="5">
        <v>2</v>
      </c>
      <c r="G386" s="5"/>
      <c r="H386" s="5">
        <v>1109</v>
      </c>
      <c r="I386" s="68">
        <v>45094</v>
      </c>
      <c r="J386" s="5"/>
      <c r="K386" s="5"/>
      <c r="L386" s="5" t="s">
        <v>787</v>
      </c>
      <c r="M386" s="5">
        <v>2000</v>
      </c>
      <c r="N386" s="5">
        <v>1.8</v>
      </c>
      <c r="O386" s="5">
        <v>2000</v>
      </c>
      <c r="P386" s="5">
        <v>1.8</v>
      </c>
      <c r="Q386" s="5"/>
      <c r="R386" s="68">
        <v>45364</v>
      </c>
      <c r="S386" s="5"/>
      <c r="T386" s="5"/>
      <c r="U386" s="46" t="s">
        <v>65</v>
      </c>
    </row>
    <row r="387" spans="1:21" x14ac:dyDescent="0.3">
      <c r="A387" s="5" t="s">
        <v>268</v>
      </c>
      <c r="B387" s="5" t="s">
        <v>65</v>
      </c>
      <c r="C387" s="5" t="s">
        <v>411</v>
      </c>
      <c r="D387" s="5">
        <v>2</v>
      </c>
      <c r="E387" s="5">
        <v>2</v>
      </c>
      <c r="F387" s="5">
        <v>2</v>
      </c>
      <c r="G387" s="5"/>
      <c r="H387" s="5">
        <v>1109</v>
      </c>
      <c r="I387" s="68">
        <v>46102</v>
      </c>
      <c r="J387" s="5"/>
      <c r="K387" s="5">
        <v>14</v>
      </c>
      <c r="L387" s="5" t="s">
        <v>787</v>
      </c>
      <c r="M387" s="5">
        <v>2035</v>
      </c>
      <c r="N387" s="5">
        <v>1.83</v>
      </c>
      <c r="O387" s="5">
        <v>1744</v>
      </c>
      <c r="P387" s="5">
        <v>1.57</v>
      </c>
      <c r="Q387" s="68">
        <v>46053</v>
      </c>
      <c r="R387" s="68">
        <v>46160</v>
      </c>
      <c r="S387" s="5">
        <v>108</v>
      </c>
      <c r="T387" s="5">
        <v>59</v>
      </c>
      <c r="U387" s="46" t="s">
        <v>65</v>
      </c>
    </row>
    <row r="388" spans="1:21" x14ac:dyDescent="0.3">
      <c r="A388" s="5" t="s">
        <v>268</v>
      </c>
      <c r="B388" s="5" t="s">
        <v>65</v>
      </c>
      <c r="C388" s="5" t="s">
        <v>420</v>
      </c>
      <c r="D388" s="5">
        <v>2</v>
      </c>
      <c r="E388" s="5">
        <v>2</v>
      </c>
      <c r="F388" s="5">
        <v>2</v>
      </c>
      <c r="G388" s="5"/>
      <c r="H388" s="5">
        <v>1109</v>
      </c>
      <c r="I388" s="68">
        <v>45094</v>
      </c>
      <c r="J388" s="5"/>
      <c r="K388" s="5"/>
      <c r="L388" s="5" t="s">
        <v>787</v>
      </c>
      <c r="M388" s="5">
        <v>2030</v>
      </c>
      <c r="N388" s="5">
        <v>1.83</v>
      </c>
      <c r="O388" s="5">
        <v>1796</v>
      </c>
      <c r="P388" s="5">
        <v>1.62</v>
      </c>
      <c r="Q388" s="5"/>
      <c r="R388" s="68">
        <v>45118</v>
      </c>
      <c r="S388" s="5"/>
      <c r="T388" s="5"/>
      <c r="U388" s="46" t="s">
        <v>65</v>
      </c>
    </row>
    <row r="389" spans="1:21" x14ac:dyDescent="0.3">
      <c r="A389" s="5" t="s">
        <v>268</v>
      </c>
      <c r="B389" s="5" t="s">
        <v>65</v>
      </c>
      <c r="C389" s="5" t="s">
        <v>420</v>
      </c>
      <c r="D389" s="5">
        <v>2</v>
      </c>
      <c r="E389" s="5">
        <v>2</v>
      </c>
      <c r="F389" s="5">
        <v>2</v>
      </c>
      <c r="G389" s="5"/>
      <c r="H389" s="5">
        <v>1109</v>
      </c>
      <c r="I389" s="68">
        <v>45603</v>
      </c>
      <c r="J389" s="5"/>
      <c r="K389" s="5">
        <v>12</v>
      </c>
      <c r="L389" s="5" t="s">
        <v>787</v>
      </c>
      <c r="M389" s="5">
        <v>1935</v>
      </c>
      <c r="N389" s="5">
        <v>1.74</v>
      </c>
      <c r="O389" s="5">
        <v>1935</v>
      </c>
      <c r="P389" s="5">
        <v>1.74</v>
      </c>
      <c r="Q389" s="68">
        <v>45570</v>
      </c>
      <c r="R389" s="68">
        <v>45719</v>
      </c>
      <c r="S389" s="5">
        <v>150</v>
      </c>
      <c r="T389" s="5">
        <v>117</v>
      </c>
      <c r="U389" s="46" t="s">
        <v>65</v>
      </c>
    </row>
    <row r="390" spans="1:21" x14ac:dyDescent="0.3">
      <c r="A390" s="5" t="s">
        <v>268</v>
      </c>
      <c r="B390" s="5" t="s">
        <v>65</v>
      </c>
      <c r="C390" s="5" t="s">
        <v>420</v>
      </c>
      <c r="D390" s="5">
        <v>2</v>
      </c>
      <c r="E390" s="5">
        <v>2</v>
      </c>
      <c r="F390" s="5">
        <v>2</v>
      </c>
      <c r="G390" s="5"/>
      <c r="H390" s="5">
        <v>1109</v>
      </c>
      <c r="I390" s="68">
        <v>46061</v>
      </c>
      <c r="J390" s="5"/>
      <c r="K390" s="5">
        <v>14</v>
      </c>
      <c r="L390" s="5" t="s">
        <v>787</v>
      </c>
      <c r="M390" s="5">
        <v>2035</v>
      </c>
      <c r="N390" s="5">
        <v>1.83</v>
      </c>
      <c r="O390" s="5">
        <v>1672</v>
      </c>
      <c r="P390" s="5">
        <v>1.51</v>
      </c>
      <c r="Q390" s="68">
        <v>46039</v>
      </c>
      <c r="R390" s="68">
        <v>46076</v>
      </c>
      <c r="S390" s="5">
        <v>38</v>
      </c>
      <c r="T390" s="5">
        <v>16</v>
      </c>
      <c r="U390" s="46" t="s">
        <v>65</v>
      </c>
    </row>
    <row r="391" spans="1:21" x14ac:dyDescent="0.3">
      <c r="A391" s="5" t="s">
        <v>268</v>
      </c>
      <c r="B391" s="5" t="s">
        <v>65</v>
      </c>
      <c r="C391" s="5" t="s">
        <v>491</v>
      </c>
      <c r="D391" s="5">
        <v>2</v>
      </c>
      <c r="E391" s="5">
        <v>2</v>
      </c>
      <c r="F391" s="5">
        <v>2</v>
      </c>
      <c r="G391" s="5"/>
      <c r="H391" s="5">
        <v>1109</v>
      </c>
      <c r="I391" s="68">
        <v>45833</v>
      </c>
      <c r="J391" s="5"/>
      <c r="K391" s="5">
        <v>12</v>
      </c>
      <c r="L391" s="5" t="s">
        <v>787</v>
      </c>
      <c r="M391" s="5">
        <v>2035</v>
      </c>
      <c r="N391" s="5">
        <v>1.83</v>
      </c>
      <c r="O391" s="5">
        <v>1800</v>
      </c>
      <c r="P391" s="5">
        <v>1.62</v>
      </c>
      <c r="Q391" s="68">
        <v>45765</v>
      </c>
      <c r="R391" s="68">
        <v>45852</v>
      </c>
      <c r="S391" s="5">
        <v>88</v>
      </c>
      <c r="T391" s="5">
        <v>20</v>
      </c>
      <c r="U391" s="46" t="s">
        <v>65</v>
      </c>
    </row>
    <row r="392" spans="1:21" x14ac:dyDescent="0.3">
      <c r="A392" s="5" t="s">
        <v>268</v>
      </c>
      <c r="B392" s="5" t="s">
        <v>65</v>
      </c>
      <c r="C392" s="5" t="s">
        <v>438</v>
      </c>
      <c r="D392" s="5">
        <v>3</v>
      </c>
      <c r="E392" s="5">
        <v>2</v>
      </c>
      <c r="F392" s="5">
        <v>2</v>
      </c>
      <c r="G392" s="5"/>
      <c r="H392" s="5">
        <v>1109</v>
      </c>
      <c r="I392" s="68">
        <v>45389</v>
      </c>
      <c r="J392" s="5"/>
      <c r="K392" s="5">
        <v>15</v>
      </c>
      <c r="L392" s="5" t="s">
        <v>787</v>
      </c>
      <c r="M392" s="5">
        <v>1995</v>
      </c>
      <c r="N392" s="5">
        <v>1.8</v>
      </c>
      <c r="O392" s="5">
        <v>1995</v>
      </c>
      <c r="P392" s="5">
        <v>1.8</v>
      </c>
      <c r="Q392" s="68">
        <v>45382</v>
      </c>
      <c r="R392" s="68">
        <v>45490</v>
      </c>
      <c r="S392" s="5">
        <v>109</v>
      </c>
      <c r="T392" s="5">
        <v>102</v>
      </c>
      <c r="U392" s="46" t="s">
        <v>65</v>
      </c>
    </row>
    <row r="393" spans="1:21" x14ac:dyDescent="0.3">
      <c r="A393" s="5" t="s">
        <v>268</v>
      </c>
      <c r="B393" s="5" t="s">
        <v>65</v>
      </c>
      <c r="C393" s="5" t="s">
        <v>438</v>
      </c>
      <c r="D393" s="5">
        <v>3</v>
      </c>
      <c r="E393" s="5">
        <v>2</v>
      </c>
      <c r="F393" s="5">
        <v>2</v>
      </c>
      <c r="G393" s="5"/>
      <c r="H393" s="5">
        <v>1109</v>
      </c>
      <c r="I393" s="68">
        <v>46044</v>
      </c>
      <c r="J393" s="5"/>
      <c r="K393" s="5">
        <v>14</v>
      </c>
      <c r="L393" s="5" t="s">
        <v>787</v>
      </c>
      <c r="M393" s="5">
        <v>2080</v>
      </c>
      <c r="N393" s="5">
        <v>1.88</v>
      </c>
      <c r="O393" s="5">
        <v>1783</v>
      </c>
      <c r="P393" s="5">
        <v>1.61</v>
      </c>
      <c r="Q393" s="68">
        <v>45996</v>
      </c>
      <c r="R393" s="68">
        <v>46098</v>
      </c>
      <c r="S393" s="5">
        <v>103</v>
      </c>
      <c r="T393" s="5">
        <v>55</v>
      </c>
      <c r="U393" s="46" t="s">
        <v>65</v>
      </c>
    </row>
    <row r="394" spans="1:21" x14ac:dyDescent="0.3">
      <c r="A394" s="5" t="s">
        <v>268</v>
      </c>
      <c r="B394" s="5" t="s">
        <v>65</v>
      </c>
      <c r="C394" s="5" t="s">
        <v>433</v>
      </c>
      <c r="D394" s="5">
        <v>3</v>
      </c>
      <c r="E394" s="5">
        <v>2</v>
      </c>
      <c r="F394" s="5">
        <v>2</v>
      </c>
      <c r="G394" s="5"/>
      <c r="H394" s="5">
        <v>1109</v>
      </c>
      <c r="I394" s="68">
        <v>45094</v>
      </c>
      <c r="J394" s="5"/>
      <c r="K394" s="5"/>
      <c r="L394" s="5" t="s">
        <v>787</v>
      </c>
      <c r="M394" s="5">
        <v>1995</v>
      </c>
      <c r="N394" s="5">
        <v>1.8</v>
      </c>
      <c r="O394" s="5">
        <v>1765</v>
      </c>
      <c r="P394" s="5">
        <v>1.59</v>
      </c>
      <c r="Q394" s="5"/>
      <c r="R394" s="68">
        <v>45177</v>
      </c>
      <c r="S394" s="5"/>
      <c r="T394" s="5"/>
      <c r="U394" s="46" t="s">
        <v>65</v>
      </c>
    </row>
    <row r="395" spans="1:21" x14ac:dyDescent="0.3">
      <c r="A395" s="5" t="s">
        <v>268</v>
      </c>
      <c r="B395" s="5" t="s">
        <v>65</v>
      </c>
      <c r="C395" s="5" t="s">
        <v>433</v>
      </c>
      <c r="D395" s="5">
        <v>3</v>
      </c>
      <c r="E395" s="5">
        <v>2</v>
      </c>
      <c r="F395" s="5">
        <v>2</v>
      </c>
      <c r="G395" s="5"/>
      <c r="H395" s="5">
        <v>1109</v>
      </c>
      <c r="I395" s="68">
        <v>45615</v>
      </c>
      <c r="J395" s="5"/>
      <c r="K395" s="5">
        <v>12</v>
      </c>
      <c r="L395" s="5" t="s">
        <v>787</v>
      </c>
      <c r="M395" s="5">
        <v>2080</v>
      </c>
      <c r="N395" s="5">
        <v>1.88</v>
      </c>
      <c r="O395" s="5">
        <v>2080</v>
      </c>
      <c r="P395" s="5">
        <v>1.88</v>
      </c>
      <c r="Q395" s="68">
        <v>45548</v>
      </c>
      <c r="R395" s="68">
        <v>45695</v>
      </c>
      <c r="S395" s="5">
        <v>148</v>
      </c>
      <c r="T395" s="5">
        <v>81</v>
      </c>
      <c r="U395" s="46" t="s">
        <v>65</v>
      </c>
    </row>
    <row r="396" spans="1:21" x14ac:dyDescent="0.3">
      <c r="A396" s="5" t="s">
        <v>268</v>
      </c>
      <c r="B396" s="5" t="s">
        <v>65</v>
      </c>
      <c r="C396" s="5" t="s">
        <v>396</v>
      </c>
      <c r="D396" s="5">
        <v>1</v>
      </c>
      <c r="E396" s="5">
        <v>2</v>
      </c>
      <c r="F396" s="5">
        <v>2</v>
      </c>
      <c r="G396" s="5"/>
      <c r="H396" s="5">
        <v>1109</v>
      </c>
      <c r="I396" s="68">
        <v>45094</v>
      </c>
      <c r="J396" s="5"/>
      <c r="K396" s="5"/>
      <c r="L396" s="5" t="s">
        <v>787</v>
      </c>
      <c r="M396" s="5">
        <v>2110</v>
      </c>
      <c r="N396" s="5">
        <v>1.9</v>
      </c>
      <c r="O396" s="5">
        <v>1866</v>
      </c>
      <c r="P396" s="5">
        <v>1.68</v>
      </c>
      <c r="Q396" s="5"/>
      <c r="R396" s="68">
        <v>45123</v>
      </c>
      <c r="S396" s="5"/>
      <c r="T396" s="5"/>
      <c r="U396" s="46" t="s">
        <v>65</v>
      </c>
    </row>
    <row r="397" spans="1:21" x14ac:dyDescent="0.3">
      <c r="A397" s="5" t="s">
        <v>268</v>
      </c>
      <c r="B397" s="5" t="s">
        <v>65</v>
      </c>
      <c r="C397" s="5" t="s">
        <v>396</v>
      </c>
      <c r="D397" s="5">
        <v>1</v>
      </c>
      <c r="E397" s="5">
        <v>2</v>
      </c>
      <c r="F397" s="5">
        <v>2</v>
      </c>
      <c r="G397" s="5"/>
      <c r="H397" s="5">
        <v>1109</v>
      </c>
      <c r="I397" s="68">
        <v>45829</v>
      </c>
      <c r="J397" s="5"/>
      <c r="K397" s="5">
        <v>12</v>
      </c>
      <c r="L397" s="5" t="s">
        <v>787</v>
      </c>
      <c r="M397" s="5">
        <v>2115</v>
      </c>
      <c r="N397" s="5">
        <v>1.91</v>
      </c>
      <c r="O397" s="5">
        <v>1789</v>
      </c>
      <c r="P397" s="5">
        <v>1.61</v>
      </c>
      <c r="Q397" s="68">
        <v>45756</v>
      </c>
      <c r="R397" s="68">
        <v>45914</v>
      </c>
      <c r="S397" s="5">
        <v>159</v>
      </c>
      <c r="T397" s="5">
        <v>86</v>
      </c>
      <c r="U397" s="46" t="s">
        <v>65</v>
      </c>
    </row>
    <row r="398" spans="1:21" x14ac:dyDescent="0.3">
      <c r="A398" s="5" t="s">
        <v>268</v>
      </c>
      <c r="B398" s="5" t="s">
        <v>65</v>
      </c>
      <c r="C398" s="5" t="s">
        <v>396</v>
      </c>
      <c r="D398" s="5">
        <v>1</v>
      </c>
      <c r="E398" s="5">
        <v>2</v>
      </c>
      <c r="F398" s="5">
        <v>2</v>
      </c>
      <c r="G398" s="5"/>
      <c r="H398" s="5">
        <v>1109</v>
      </c>
      <c r="I398" s="68">
        <v>46144</v>
      </c>
      <c r="J398" s="5"/>
      <c r="K398" s="5">
        <v>14</v>
      </c>
      <c r="L398" s="5" t="s">
        <v>787</v>
      </c>
      <c r="M398" s="5">
        <v>2115</v>
      </c>
      <c r="N398" s="5">
        <v>1.91</v>
      </c>
      <c r="O398" s="5">
        <v>1813</v>
      </c>
      <c r="P398" s="5">
        <v>1.63</v>
      </c>
      <c r="Q398" s="68">
        <v>46127</v>
      </c>
      <c r="R398" s="68">
        <v>46170</v>
      </c>
      <c r="S398" s="5">
        <v>44</v>
      </c>
      <c r="T398" s="5">
        <v>27</v>
      </c>
      <c r="U398" s="46" t="s">
        <v>65</v>
      </c>
    </row>
    <row r="399" spans="1:21" x14ac:dyDescent="0.3">
      <c r="A399" s="5" t="s">
        <v>268</v>
      </c>
      <c r="B399" s="5" t="s">
        <v>65</v>
      </c>
      <c r="C399" s="5" t="s">
        <v>394</v>
      </c>
      <c r="D399" s="5">
        <v>1</v>
      </c>
      <c r="E399" s="5">
        <v>2</v>
      </c>
      <c r="F399" s="5">
        <v>2</v>
      </c>
      <c r="G399" s="5"/>
      <c r="H399" s="5">
        <v>1109</v>
      </c>
      <c r="I399" s="68">
        <v>45293</v>
      </c>
      <c r="J399" s="5"/>
      <c r="K399" s="5"/>
      <c r="L399" s="5" t="s">
        <v>787</v>
      </c>
      <c r="M399" s="5">
        <v>2115</v>
      </c>
      <c r="N399" s="5">
        <v>1.91</v>
      </c>
      <c r="O399" s="5">
        <v>2115</v>
      </c>
      <c r="P399" s="5">
        <v>1.91</v>
      </c>
      <c r="Q399" s="68">
        <v>45227</v>
      </c>
      <c r="R399" s="68">
        <v>45403</v>
      </c>
      <c r="S399" s="5">
        <v>177</v>
      </c>
      <c r="T399" s="5">
        <v>111</v>
      </c>
      <c r="U399" s="46" t="s">
        <v>65</v>
      </c>
    </row>
    <row r="400" spans="1:21" x14ac:dyDescent="0.3">
      <c r="A400" s="5" t="s">
        <v>268</v>
      </c>
      <c r="B400" s="5" t="s">
        <v>65</v>
      </c>
      <c r="C400" s="5" t="s">
        <v>498</v>
      </c>
      <c r="D400" s="5">
        <v>2</v>
      </c>
      <c r="E400" s="5">
        <v>2</v>
      </c>
      <c r="F400" s="5">
        <v>2</v>
      </c>
      <c r="G400" s="5"/>
      <c r="H400" s="5">
        <v>1109</v>
      </c>
      <c r="I400" s="68">
        <v>45464</v>
      </c>
      <c r="J400" s="5"/>
      <c r="K400" s="5">
        <v>15</v>
      </c>
      <c r="L400" s="5" t="s">
        <v>787</v>
      </c>
      <c r="M400" s="5">
        <v>2145</v>
      </c>
      <c r="N400" s="5">
        <v>1.93</v>
      </c>
      <c r="O400" s="5">
        <v>2145</v>
      </c>
      <c r="P400" s="5">
        <v>1.93</v>
      </c>
      <c r="Q400" s="68">
        <v>45396</v>
      </c>
      <c r="R400" s="68">
        <v>45494</v>
      </c>
      <c r="S400" s="5">
        <v>99</v>
      </c>
      <c r="T400" s="5">
        <v>31</v>
      </c>
      <c r="U400" s="46" t="s">
        <v>65</v>
      </c>
    </row>
    <row r="401" spans="1:21" x14ac:dyDescent="0.3">
      <c r="A401" s="5" t="s">
        <v>268</v>
      </c>
      <c r="B401" s="5" t="s">
        <v>65</v>
      </c>
      <c r="C401" s="5" t="s">
        <v>549</v>
      </c>
      <c r="D401" s="5">
        <v>2</v>
      </c>
      <c r="E401" s="5">
        <v>2</v>
      </c>
      <c r="F401" s="5">
        <v>2</v>
      </c>
      <c r="G401" s="5"/>
      <c r="H401" s="5">
        <v>1109</v>
      </c>
      <c r="I401" s="68">
        <v>45815</v>
      </c>
      <c r="J401" s="5"/>
      <c r="K401" s="5">
        <v>12</v>
      </c>
      <c r="L401" s="5" t="s">
        <v>787</v>
      </c>
      <c r="M401" s="5">
        <v>2210</v>
      </c>
      <c r="N401" s="5">
        <v>1.99</v>
      </c>
      <c r="O401" s="5">
        <v>1870</v>
      </c>
      <c r="P401" s="5">
        <v>1.69</v>
      </c>
      <c r="Q401" s="68">
        <v>45777</v>
      </c>
      <c r="R401" s="68">
        <v>45787</v>
      </c>
      <c r="S401" s="5">
        <v>11</v>
      </c>
      <c r="T401" s="5">
        <v>0</v>
      </c>
      <c r="U401" s="46" t="s">
        <v>65</v>
      </c>
    </row>
    <row r="402" spans="1:21" x14ac:dyDescent="0.3">
      <c r="A402" s="5" t="s">
        <v>268</v>
      </c>
      <c r="B402" s="5" t="s">
        <v>65</v>
      </c>
      <c r="C402" s="5" t="s">
        <v>549</v>
      </c>
      <c r="D402" s="5">
        <v>2</v>
      </c>
      <c r="E402" s="5">
        <v>2</v>
      </c>
      <c r="F402" s="5">
        <v>2</v>
      </c>
      <c r="G402" s="5"/>
      <c r="H402" s="5">
        <v>1109</v>
      </c>
      <c r="I402" s="68">
        <v>46210</v>
      </c>
      <c r="J402" s="5"/>
      <c r="K402" s="5"/>
      <c r="L402" s="5" t="s">
        <v>787</v>
      </c>
      <c r="M402" s="5">
        <v>2210</v>
      </c>
      <c r="N402" s="5">
        <v>1.99</v>
      </c>
      <c r="O402" s="5">
        <v>1934</v>
      </c>
      <c r="P402" s="5">
        <v>1.74</v>
      </c>
      <c r="Q402" s="68">
        <v>46176</v>
      </c>
      <c r="R402" s="68">
        <v>46191</v>
      </c>
      <c r="S402" s="5">
        <v>16</v>
      </c>
      <c r="T402" s="5">
        <v>0</v>
      </c>
      <c r="U402" s="46" t="s">
        <v>65</v>
      </c>
    </row>
    <row r="403" spans="1:21" x14ac:dyDescent="0.3">
      <c r="A403" s="5" t="s">
        <v>268</v>
      </c>
      <c r="B403" s="5" t="s">
        <v>65</v>
      </c>
      <c r="C403" s="5" t="s">
        <v>410</v>
      </c>
      <c r="D403" s="5">
        <v>2</v>
      </c>
      <c r="E403" s="5">
        <v>2</v>
      </c>
      <c r="F403" s="5">
        <v>2</v>
      </c>
      <c r="G403" s="5"/>
      <c r="H403" s="5">
        <v>1109</v>
      </c>
      <c r="I403" s="68">
        <v>45917</v>
      </c>
      <c r="J403" s="5"/>
      <c r="K403" s="5">
        <v>12</v>
      </c>
      <c r="L403" s="5" t="s">
        <v>787</v>
      </c>
      <c r="M403" s="5">
        <v>2210</v>
      </c>
      <c r="N403" s="5">
        <v>1.99</v>
      </c>
      <c r="O403" s="5">
        <v>1955</v>
      </c>
      <c r="P403" s="5">
        <v>1.76</v>
      </c>
      <c r="Q403" s="68">
        <v>45834</v>
      </c>
      <c r="R403" s="68">
        <v>45871</v>
      </c>
      <c r="S403" s="5">
        <v>38</v>
      </c>
      <c r="T403" s="5">
        <v>0</v>
      </c>
      <c r="U403" s="46" t="s">
        <v>65</v>
      </c>
    </row>
    <row r="404" spans="1:21" x14ac:dyDescent="0.3">
      <c r="A404" s="5" t="s">
        <v>268</v>
      </c>
      <c r="B404" s="5" t="s">
        <v>65</v>
      </c>
      <c r="C404" s="5" t="s">
        <v>517</v>
      </c>
      <c r="D404" s="5">
        <v>3</v>
      </c>
      <c r="E404" s="5">
        <v>2</v>
      </c>
      <c r="F404" s="5">
        <v>2</v>
      </c>
      <c r="G404" s="5"/>
      <c r="H404" s="5">
        <v>1109</v>
      </c>
      <c r="I404" s="68">
        <v>45152</v>
      </c>
      <c r="J404" s="5"/>
      <c r="K404" s="5"/>
      <c r="L404" s="5" t="s">
        <v>787</v>
      </c>
      <c r="M404" s="5">
        <v>2170</v>
      </c>
      <c r="N404" s="5">
        <v>1.96</v>
      </c>
      <c r="O404" s="5">
        <v>1919</v>
      </c>
      <c r="P404" s="5">
        <v>1.73</v>
      </c>
      <c r="Q404" s="68">
        <v>45147</v>
      </c>
      <c r="R404" s="68">
        <v>45237</v>
      </c>
      <c r="S404" s="5">
        <v>91</v>
      </c>
      <c r="T404" s="5">
        <v>86</v>
      </c>
      <c r="U404" s="46" t="s">
        <v>65</v>
      </c>
    </row>
    <row r="405" spans="1:21" x14ac:dyDescent="0.3">
      <c r="A405" s="5" t="s">
        <v>268</v>
      </c>
      <c r="B405" s="5" t="s">
        <v>65</v>
      </c>
      <c r="C405" s="5" t="s">
        <v>517</v>
      </c>
      <c r="D405" s="5">
        <v>3</v>
      </c>
      <c r="E405" s="5">
        <v>2</v>
      </c>
      <c r="F405" s="5">
        <v>2</v>
      </c>
      <c r="G405" s="5"/>
      <c r="H405" s="5">
        <v>1109</v>
      </c>
      <c r="I405" s="68">
        <v>45758</v>
      </c>
      <c r="J405" s="5"/>
      <c r="K405" s="5">
        <v>12</v>
      </c>
      <c r="L405" s="5" t="s">
        <v>787</v>
      </c>
      <c r="M405" s="5">
        <v>2255</v>
      </c>
      <c r="N405" s="5">
        <v>2.0299999999999998</v>
      </c>
      <c r="O405" s="5">
        <v>1908</v>
      </c>
      <c r="P405" s="5">
        <v>1.72</v>
      </c>
      <c r="Q405" s="68">
        <v>45693</v>
      </c>
      <c r="R405" s="68">
        <v>45791</v>
      </c>
      <c r="S405" s="5">
        <v>99</v>
      </c>
      <c r="T405" s="5">
        <v>34</v>
      </c>
      <c r="U405" s="46" t="s">
        <v>65</v>
      </c>
    </row>
    <row r="406" spans="1:21" x14ac:dyDescent="0.3">
      <c r="A406" s="5" t="s">
        <v>268</v>
      </c>
      <c r="B406" s="5" t="s">
        <v>65</v>
      </c>
      <c r="C406" s="5" t="s">
        <v>568</v>
      </c>
      <c r="D406" s="5">
        <v>3</v>
      </c>
      <c r="E406" s="5">
        <v>2</v>
      </c>
      <c r="F406" s="5">
        <v>2</v>
      </c>
      <c r="G406" s="5"/>
      <c r="H406" s="5">
        <v>1109</v>
      </c>
      <c r="I406" s="68">
        <v>45537</v>
      </c>
      <c r="J406" s="5"/>
      <c r="K406" s="5">
        <v>15</v>
      </c>
      <c r="L406" s="5" t="s">
        <v>787</v>
      </c>
      <c r="M406" s="5">
        <v>2255</v>
      </c>
      <c r="N406" s="5">
        <v>2.0299999999999998</v>
      </c>
      <c r="O406" s="5">
        <v>2255</v>
      </c>
      <c r="P406" s="5">
        <v>2.0299999999999998</v>
      </c>
      <c r="Q406" s="68">
        <v>45450</v>
      </c>
      <c r="R406" s="68">
        <v>45463</v>
      </c>
      <c r="S406" s="5">
        <v>14</v>
      </c>
      <c r="T406" s="5">
        <v>0</v>
      </c>
      <c r="U406" s="46" t="s">
        <v>65</v>
      </c>
    </row>
    <row r="407" spans="1:21" x14ac:dyDescent="0.3">
      <c r="A407" s="5" t="s">
        <v>268</v>
      </c>
      <c r="B407" s="5" t="s">
        <v>65</v>
      </c>
      <c r="C407" s="5" t="s">
        <v>654</v>
      </c>
      <c r="D407" s="5">
        <v>2</v>
      </c>
      <c r="E407" s="5">
        <v>2</v>
      </c>
      <c r="F407" s="5">
        <v>2</v>
      </c>
      <c r="G407" s="5"/>
      <c r="H407" s="5">
        <v>1109</v>
      </c>
      <c r="I407" s="68">
        <v>45339</v>
      </c>
      <c r="J407" s="5"/>
      <c r="K407" s="5"/>
      <c r="L407" s="5" t="s">
        <v>787</v>
      </c>
      <c r="M407" s="5">
        <v>2145</v>
      </c>
      <c r="N407" s="5">
        <v>1.93</v>
      </c>
      <c r="O407" s="5">
        <v>2145</v>
      </c>
      <c r="P407" s="5">
        <v>1.93</v>
      </c>
      <c r="Q407" s="68">
        <v>45315</v>
      </c>
      <c r="R407" s="68">
        <v>45327</v>
      </c>
      <c r="S407" s="5">
        <v>13</v>
      </c>
      <c r="T407" s="5">
        <v>0</v>
      </c>
      <c r="U407" s="46" t="s">
        <v>65</v>
      </c>
    </row>
    <row r="408" spans="1:21" x14ac:dyDescent="0.3">
      <c r="A408" s="5" t="s">
        <v>268</v>
      </c>
      <c r="B408" s="5" t="s">
        <v>65</v>
      </c>
      <c r="C408" s="5" t="s">
        <v>654</v>
      </c>
      <c r="D408" s="5">
        <v>2</v>
      </c>
      <c r="E408" s="5">
        <v>2</v>
      </c>
      <c r="F408" s="5">
        <v>2</v>
      </c>
      <c r="G408" s="5"/>
      <c r="H408" s="5">
        <v>1109</v>
      </c>
      <c r="I408" s="68">
        <v>45801</v>
      </c>
      <c r="J408" s="5"/>
      <c r="K408" s="5">
        <v>12</v>
      </c>
      <c r="L408" s="5" t="s">
        <v>787</v>
      </c>
      <c r="M408" s="5">
        <v>2305</v>
      </c>
      <c r="N408" s="5">
        <v>2.08</v>
      </c>
      <c r="O408" s="5">
        <v>1867</v>
      </c>
      <c r="P408" s="5">
        <v>1.68</v>
      </c>
      <c r="Q408" s="68">
        <v>45722</v>
      </c>
      <c r="R408" s="68">
        <v>45750</v>
      </c>
      <c r="S408" s="5">
        <v>29</v>
      </c>
      <c r="T408" s="5">
        <v>0</v>
      </c>
      <c r="U408" s="46" t="s">
        <v>65</v>
      </c>
    </row>
    <row r="409" spans="1:21" x14ac:dyDescent="0.3">
      <c r="A409" s="5" t="s">
        <v>268</v>
      </c>
      <c r="B409" s="5" t="s">
        <v>65</v>
      </c>
      <c r="C409" s="5" t="s">
        <v>672</v>
      </c>
      <c r="D409" s="5">
        <v>3</v>
      </c>
      <c r="E409" s="5">
        <v>2</v>
      </c>
      <c r="F409" s="5">
        <v>2</v>
      </c>
      <c r="G409" s="5"/>
      <c r="H409" s="5">
        <v>1109</v>
      </c>
      <c r="I409" s="68">
        <v>45403</v>
      </c>
      <c r="J409" s="5"/>
      <c r="K409" s="5"/>
      <c r="L409" s="5" t="s">
        <v>787</v>
      </c>
      <c r="M409" s="5">
        <v>2165</v>
      </c>
      <c r="N409" s="5">
        <v>1.95</v>
      </c>
      <c r="O409" s="5">
        <v>2165</v>
      </c>
      <c r="P409" s="5">
        <v>1.95</v>
      </c>
      <c r="Q409" s="68">
        <v>45344</v>
      </c>
      <c r="R409" s="68">
        <v>45346</v>
      </c>
      <c r="S409" s="5">
        <v>3</v>
      </c>
      <c r="T409" s="5">
        <v>0</v>
      </c>
      <c r="U409" s="46" t="s">
        <v>65</v>
      </c>
    </row>
    <row r="410" spans="1:21" x14ac:dyDescent="0.3">
      <c r="A410" s="5" t="s">
        <v>268</v>
      </c>
      <c r="B410" s="5" t="s">
        <v>65</v>
      </c>
      <c r="C410" s="5" t="s">
        <v>672</v>
      </c>
      <c r="D410" s="5">
        <v>3</v>
      </c>
      <c r="E410" s="5">
        <v>2</v>
      </c>
      <c r="F410" s="5">
        <v>2</v>
      </c>
      <c r="G410" s="5"/>
      <c r="H410" s="5">
        <v>1109</v>
      </c>
      <c r="I410" s="68">
        <v>45865</v>
      </c>
      <c r="J410" s="5"/>
      <c r="K410" s="5">
        <v>12</v>
      </c>
      <c r="L410" s="5" t="s">
        <v>787</v>
      </c>
      <c r="M410" s="5">
        <v>2350</v>
      </c>
      <c r="N410" s="5">
        <v>2.12</v>
      </c>
      <c r="O410" s="5">
        <v>2350</v>
      </c>
      <c r="P410" s="5">
        <v>2.12</v>
      </c>
      <c r="Q410" s="68">
        <v>45800</v>
      </c>
      <c r="R410" s="68">
        <v>45818</v>
      </c>
      <c r="S410" s="5">
        <v>19</v>
      </c>
      <c r="T410" s="5">
        <v>0</v>
      </c>
      <c r="U410" s="46" t="s">
        <v>65</v>
      </c>
    </row>
    <row r="411" spans="1:21" x14ac:dyDescent="0.3">
      <c r="A411" s="5" t="s">
        <v>268</v>
      </c>
      <c r="B411" s="5" t="s">
        <v>65</v>
      </c>
      <c r="C411" s="5" t="s">
        <v>672</v>
      </c>
      <c r="D411" s="5">
        <v>3</v>
      </c>
      <c r="E411" s="5">
        <v>2</v>
      </c>
      <c r="F411" s="5">
        <v>2</v>
      </c>
      <c r="G411" s="5"/>
      <c r="H411" s="5">
        <v>1109</v>
      </c>
      <c r="I411" s="68">
        <v>46029</v>
      </c>
      <c r="J411" s="5"/>
      <c r="K411" s="5">
        <v>13</v>
      </c>
      <c r="L411" s="5" t="s">
        <v>787</v>
      </c>
      <c r="M411" s="5">
        <v>2350</v>
      </c>
      <c r="N411" s="5">
        <v>2.12</v>
      </c>
      <c r="O411" s="5">
        <v>2350</v>
      </c>
      <c r="P411" s="5">
        <v>2.12</v>
      </c>
      <c r="Q411" s="68">
        <v>46009</v>
      </c>
      <c r="R411" s="68">
        <v>46022</v>
      </c>
      <c r="S411" s="5">
        <v>14</v>
      </c>
      <c r="T411" s="5">
        <v>0</v>
      </c>
      <c r="U411" s="46" t="s">
        <v>65</v>
      </c>
    </row>
    <row r="412" spans="1:21" x14ac:dyDescent="0.3">
      <c r="A412" s="5" t="s">
        <v>268</v>
      </c>
      <c r="B412" s="5" t="s">
        <v>65</v>
      </c>
      <c r="C412" s="5" t="s">
        <v>674</v>
      </c>
      <c r="D412" s="5">
        <v>3</v>
      </c>
      <c r="E412" s="5">
        <v>2</v>
      </c>
      <c r="F412" s="5">
        <v>2</v>
      </c>
      <c r="G412" s="5"/>
      <c r="H412" s="5">
        <v>1155</v>
      </c>
      <c r="I412" s="68">
        <v>45845</v>
      </c>
      <c r="J412" s="5"/>
      <c r="K412" s="5">
        <v>12</v>
      </c>
      <c r="L412" s="5" t="s">
        <v>787</v>
      </c>
      <c r="M412" s="5">
        <v>2350</v>
      </c>
      <c r="N412" s="5">
        <v>2.0299999999999998</v>
      </c>
      <c r="O412" s="5">
        <v>1988</v>
      </c>
      <c r="P412" s="5">
        <v>1.72</v>
      </c>
      <c r="Q412" s="68">
        <v>45777</v>
      </c>
      <c r="R412" s="68">
        <v>45901</v>
      </c>
      <c r="S412" s="5">
        <v>125</v>
      </c>
      <c r="T412" s="5">
        <v>57</v>
      </c>
      <c r="U412" s="46" t="s">
        <v>65</v>
      </c>
    </row>
    <row r="413" spans="1:21" x14ac:dyDescent="0.3">
      <c r="A413" s="5" t="s">
        <v>268</v>
      </c>
      <c r="B413" s="5" t="s">
        <v>69</v>
      </c>
      <c r="C413" s="5" t="s">
        <v>614</v>
      </c>
      <c r="D413" s="5">
        <v>2</v>
      </c>
      <c r="E413" s="5">
        <v>2</v>
      </c>
      <c r="F413" s="5">
        <v>2</v>
      </c>
      <c r="G413" s="5"/>
      <c r="H413" s="5">
        <v>1213</v>
      </c>
      <c r="I413" s="68">
        <v>45426</v>
      </c>
      <c r="J413" s="5"/>
      <c r="K413" s="5">
        <v>15</v>
      </c>
      <c r="L413" s="5" t="s">
        <v>787</v>
      </c>
      <c r="M413" s="5">
        <v>2100</v>
      </c>
      <c r="N413" s="5">
        <v>1.73</v>
      </c>
      <c r="O413" s="5">
        <v>2100</v>
      </c>
      <c r="P413" s="5">
        <v>1.73</v>
      </c>
      <c r="Q413" s="68">
        <v>45367</v>
      </c>
      <c r="R413" s="68">
        <v>45436</v>
      </c>
      <c r="S413" s="5">
        <v>70</v>
      </c>
      <c r="T413" s="5">
        <v>11</v>
      </c>
      <c r="U413" s="46" t="s">
        <v>69</v>
      </c>
    </row>
    <row r="414" spans="1:21" x14ac:dyDescent="0.3">
      <c r="A414" s="5" t="s">
        <v>268</v>
      </c>
      <c r="B414" s="5" t="s">
        <v>69</v>
      </c>
      <c r="C414" s="5" t="s">
        <v>614</v>
      </c>
      <c r="D414" s="5">
        <v>2</v>
      </c>
      <c r="E414" s="5">
        <v>2</v>
      </c>
      <c r="F414" s="5">
        <v>2</v>
      </c>
      <c r="G414" s="5"/>
      <c r="H414" s="5">
        <v>1213</v>
      </c>
      <c r="I414" s="68">
        <v>45905</v>
      </c>
      <c r="J414" s="5"/>
      <c r="K414" s="5">
        <v>12</v>
      </c>
      <c r="L414" s="5" t="s">
        <v>787</v>
      </c>
      <c r="M414" s="5">
        <v>1999</v>
      </c>
      <c r="N414" s="5">
        <v>1.65</v>
      </c>
      <c r="O414" s="5">
        <v>1691</v>
      </c>
      <c r="P414" s="5">
        <v>1.39</v>
      </c>
      <c r="Q414" s="68">
        <v>45811</v>
      </c>
      <c r="R414" s="68">
        <v>45962</v>
      </c>
      <c r="S414" s="5">
        <v>152</v>
      </c>
      <c r="T414" s="5">
        <v>58</v>
      </c>
      <c r="U414" s="46" t="s">
        <v>69</v>
      </c>
    </row>
    <row r="415" spans="1:21" x14ac:dyDescent="0.3">
      <c r="A415" s="5" t="s">
        <v>268</v>
      </c>
      <c r="B415" s="5" t="s">
        <v>69</v>
      </c>
      <c r="C415" s="5" t="s">
        <v>632</v>
      </c>
      <c r="D415" s="5">
        <v>1</v>
      </c>
      <c r="E415" s="5">
        <v>2</v>
      </c>
      <c r="F415" s="5">
        <v>2</v>
      </c>
      <c r="G415" s="5"/>
      <c r="H415" s="5">
        <v>1213</v>
      </c>
      <c r="I415" s="68">
        <v>45218</v>
      </c>
      <c r="J415" s="5"/>
      <c r="K415" s="5"/>
      <c r="L415" s="5" t="s">
        <v>787</v>
      </c>
      <c r="M415" s="5">
        <v>2205</v>
      </c>
      <c r="N415" s="5">
        <v>1.82</v>
      </c>
      <c r="O415" s="5">
        <v>1950</v>
      </c>
      <c r="P415" s="5">
        <v>1.61</v>
      </c>
      <c r="Q415" s="68">
        <v>45218</v>
      </c>
      <c r="R415" s="68">
        <v>45232</v>
      </c>
      <c r="S415" s="5">
        <v>15</v>
      </c>
      <c r="T415" s="5">
        <v>15</v>
      </c>
      <c r="U415" s="46" t="s">
        <v>69</v>
      </c>
    </row>
    <row r="416" spans="1:21" x14ac:dyDescent="0.3">
      <c r="A416" s="5" t="s">
        <v>268</v>
      </c>
      <c r="B416" s="5" t="s">
        <v>69</v>
      </c>
      <c r="C416" s="5" t="s">
        <v>632</v>
      </c>
      <c r="D416" s="5">
        <v>1</v>
      </c>
      <c r="E416" s="5">
        <v>2</v>
      </c>
      <c r="F416" s="5">
        <v>2</v>
      </c>
      <c r="G416" s="5"/>
      <c r="H416" s="5">
        <v>1213</v>
      </c>
      <c r="I416" s="68">
        <v>45713</v>
      </c>
      <c r="J416" s="5"/>
      <c r="K416" s="5">
        <v>12</v>
      </c>
      <c r="L416" s="5" t="s">
        <v>787</v>
      </c>
      <c r="M416" s="5">
        <v>1999</v>
      </c>
      <c r="N416" s="5">
        <v>1.65</v>
      </c>
      <c r="O416" s="5">
        <v>1999</v>
      </c>
      <c r="P416" s="5">
        <v>1.65</v>
      </c>
      <c r="Q416" s="68">
        <v>45657</v>
      </c>
      <c r="R416" s="68">
        <v>45677</v>
      </c>
      <c r="S416" s="5">
        <v>21</v>
      </c>
      <c r="T416" s="5">
        <v>0</v>
      </c>
      <c r="U416" s="46" t="s">
        <v>69</v>
      </c>
    </row>
    <row r="417" spans="1:21" x14ac:dyDescent="0.3">
      <c r="A417" s="5" t="s">
        <v>268</v>
      </c>
      <c r="B417" s="5" t="s">
        <v>69</v>
      </c>
      <c r="C417" s="5" t="s">
        <v>444</v>
      </c>
      <c r="D417" s="5">
        <v>1</v>
      </c>
      <c r="E417" s="5">
        <v>2</v>
      </c>
      <c r="F417" s="5">
        <v>2</v>
      </c>
      <c r="G417" s="5"/>
      <c r="H417" s="5">
        <v>1213</v>
      </c>
      <c r="I417" s="68">
        <v>45094</v>
      </c>
      <c r="J417" s="5"/>
      <c r="K417" s="5"/>
      <c r="L417" s="5" t="s">
        <v>787</v>
      </c>
      <c r="M417" s="5">
        <v>2205</v>
      </c>
      <c r="N417" s="5">
        <v>1.82</v>
      </c>
      <c r="O417" s="5">
        <v>1950</v>
      </c>
      <c r="P417" s="5">
        <v>1.61</v>
      </c>
      <c r="Q417" s="5"/>
      <c r="R417" s="68">
        <v>45107</v>
      </c>
      <c r="S417" s="5"/>
      <c r="T417" s="5"/>
      <c r="U417" s="46" t="s">
        <v>69</v>
      </c>
    </row>
    <row r="418" spans="1:21" x14ac:dyDescent="0.3">
      <c r="A418" s="5" t="s">
        <v>268</v>
      </c>
      <c r="B418" s="5" t="s">
        <v>69</v>
      </c>
      <c r="C418" s="5" t="s">
        <v>444</v>
      </c>
      <c r="D418" s="5">
        <v>1</v>
      </c>
      <c r="E418" s="5">
        <v>2</v>
      </c>
      <c r="F418" s="5">
        <v>2</v>
      </c>
      <c r="G418" s="5"/>
      <c r="H418" s="5">
        <v>1213</v>
      </c>
      <c r="I418" s="68">
        <v>45618</v>
      </c>
      <c r="J418" s="5"/>
      <c r="K418" s="5">
        <v>12</v>
      </c>
      <c r="L418" s="5" t="s">
        <v>787</v>
      </c>
      <c r="M418" s="5">
        <v>2058</v>
      </c>
      <c r="N418" s="5">
        <v>1.7</v>
      </c>
      <c r="O418" s="5">
        <v>2058</v>
      </c>
      <c r="P418" s="5">
        <v>1.7</v>
      </c>
      <c r="Q418" s="68">
        <v>45608</v>
      </c>
      <c r="R418" s="68">
        <v>45707</v>
      </c>
      <c r="S418" s="5">
        <v>100</v>
      </c>
      <c r="T418" s="5">
        <v>90</v>
      </c>
      <c r="U418" s="46" t="s">
        <v>69</v>
      </c>
    </row>
    <row r="419" spans="1:21" x14ac:dyDescent="0.3">
      <c r="A419" s="5" t="s">
        <v>268</v>
      </c>
      <c r="B419" s="5" t="s">
        <v>69</v>
      </c>
      <c r="C419" s="5" t="s">
        <v>458</v>
      </c>
      <c r="D419" s="5">
        <v>2</v>
      </c>
      <c r="E419" s="5">
        <v>2</v>
      </c>
      <c r="F419" s="5">
        <v>2</v>
      </c>
      <c r="G419" s="5"/>
      <c r="H419" s="5">
        <v>1213</v>
      </c>
      <c r="I419" s="68">
        <v>45951</v>
      </c>
      <c r="J419" s="5"/>
      <c r="K419" s="5">
        <v>12</v>
      </c>
      <c r="L419" s="5" t="s">
        <v>787</v>
      </c>
      <c r="M419" s="5">
        <v>2099</v>
      </c>
      <c r="N419" s="5">
        <v>1.73</v>
      </c>
      <c r="O419" s="5">
        <v>1695</v>
      </c>
      <c r="P419" s="5">
        <v>1.4</v>
      </c>
      <c r="Q419" s="68">
        <v>45881</v>
      </c>
      <c r="R419" s="68">
        <v>45990</v>
      </c>
      <c r="S419" s="5">
        <v>110</v>
      </c>
      <c r="T419" s="5">
        <v>40</v>
      </c>
      <c r="U419" s="46" t="s">
        <v>69</v>
      </c>
    </row>
    <row r="420" spans="1:21" x14ac:dyDescent="0.3">
      <c r="A420" s="5" t="s">
        <v>268</v>
      </c>
      <c r="B420" s="5" t="s">
        <v>69</v>
      </c>
      <c r="C420" s="5" t="s">
        <v>468</v>
      </c>
      <c r="D420" s="5">
        <v>3</v>
      </c>
      <c r="E420" s="5">
        <v>2</v>
      </c>
      <c r="F420" s="5">
        <v>2</v>
      </c>
      <c r="G420" s="5"/>
      <c r="H420" s="5">
        <v>1213</v>
      </c>
      <c r="I420" s="68">
        <v>45572</v>
      </c>
      <c r="J420" s="5"/>
      <c r="K420" s="5">
        <v>12</v>
      </c>
      <c r="L420" s="5" t="s">
        <v>787</v>
      </c>
      <c r="M420" s="5">
        <v>2110</v>
      </c>
      <c r="N420" s="5">
        <v>1.74</v>
      </c>
      <c r="O420" s="5">
        <v>2110</v>
      </c>
      <c r="P420" s="5">
        <v>1.74</v>
      </c>
      <c r="Q420" s="68">
        <v>45496</v>
      </c>
      <c r="R420" s="68">
        <v>45591</v>
      </c>
      <c r="S420" s="5">
        <v>96</v>
      </c>
      <c r="T420" s="5">
        <v>20</v>
      </c>
      <c r="U420" s="46" t="s">
        <v>69</v>
      </c>
    </row>
    <row r="421" spans="1:21" x14ac:dyDescent="0.3">
      <c r="A421" s="5" t="s">
        <v>268</v>
      </c>
      <c r="B421" s="5" t="s">
        <v>69</v>
      </c>
      <c r="C421" s="5" t="s">
        <v>575</v>
      </c>
      <c r="D421" s="5">
        <v>2</v>
      </c>
      <c r="E421" s="5">
        <v>2</v>
      </c>
      <c r="F421" s="5">
        <v>2</v>
      </c>
      <c r="G421" s="5"/>
      <c r="H421" s="5">
        <v>1213</v>
      </c>
      <c r="I421" s="68">
        <v>45094</v>
      </c>
      <c r="J421" s="5"/>
      <c r="K421" s="5"/>
      <c r="L421" s="5" t="s">
        <v>787</v>
      </c>
      <c r="M421" s="5">
        <v>2125</v>
      </c>
      <c r="N421" s="5">
        <v>1.75</v>
      </c>
      <c r="O421" s="5">
        <v>1880</v>
      </c>
      <c r="P421" s="5">
        <v>1.55</v>
      </c>
      <c r="Q421" s="5"/>
      <c r="R421" s="68">
        <v>45177</v>
      </c>
      <c r="S421" s="5"/>
      <c r="T421" s="5"/>
      <c r="U421" s="46" t="s">
        <v>69</v>
      </c>
    </row>
    <row r="422" spans="1:21" x14ac:dyDescent="0.3">
      <c r="A422" s="5" t="s">
        <v>268</v>
      </c>
      <c r="B422" s="5" t="s">
        <v>69</v>
      </c>
      <c r="C422" s="5" t="s">
        <v>575</v>
      </c>
      <c r="D422" s="5">
        <v>2</v>
      </c>
      <c r="E422" s="5">
        <v>2</v>
      </c>
      <c r="F422" s="5">
        <v>2</v>
      </c>
      <c r="G422" s="5"/>
      <c r="H422" s="5">
        <v>1213</v>
      </c>
      <c r="I422" s="68">
        <v>45614</v>
      </c>
      <c r="J422" s="5"/>
      <c r="K422" s="5">
        <v>12</v>
      </c>
      <c r="L422" s="5" t="s">
        <v>787</v>
      </c>
      <c r="M422" s="5">
        <v>2130</v>
      </c>
      <c r="N422" s="5">
        <v>1.76</v>
      </c>
      <c r="O422" s="5">
        <v>2130</v>
      </c>
      <c r="P422" s="5">
        <v>1.76</v>
      </c>
      <c r="Q422" s="68">
        <v>45543</v>
      </c>
      <c r="R422" s="68">
        <v>45602</v>
      </c>
      <c r="S422" s="5">
        <v>60</v>
      </c>
      <c r="T422" s="5">
        <v>0</v>
      </c>
      <c r="U422" s="46" t="s">
        <v>69</v>
      </c>
    </row>
    <row r="423" spans="1:21" x14ac:dyDescent="0.3">
      <c r="A423" s="5" t="s">
        <v>268</v>
      </c>
      <c r="B423" s="5" t="s">
        <v>69</v>
      </c>
      <c r="C423" s="5" t="s">
        <v>643</v>
      </c>
      <c r="D423" s="5">
        <v>2</v>
      </c>
      <c r="E423" s="5">
        <v>2</v>
      </c>
      <c r="F423" s="5">
        <v>2</v>
      </c>
      <c r="G423" s="5"/>
      <c r="H423" s="5">
        <v>1213</v>
      </c>
      <c r="I423" s="68">
        <v>45472</v>
      </c>
      <c r="J423" s="5"/>
      <c r="K423" s="5">
        <v>15</v>
      </c>
      <c r="L423" s="5" t="s">
        <v>787</v>
      </c>
      <c r="M423" s="5">
        <v>2130</v>
      </c>
      <c r="N423" s="5">
        <v>1.76</v>
      </c>
      <c r="O423" s="5">
        <v>2130</v>
      </c>
      <c r="P423" s="5">
        <v>1.76</v>
      </c>
      <c r="Q423" s="68">
        <v>45305</v>
      </c>
      <c r="R423" s="68">
        <v>45461</v>
      </c>
      <c r="S423" s="5">
        <v>157</v>
      </c>
      <c r="T423" s="5">
        <v>0</v>
      </c>
      <c r="U423" s="46" t="s">
        <v>69</v>
      </c>
    </row>
    <row r="424" spans="1:21" x14ac:dyDescent="0.3">
      <c r="A424" s="5" t="s">
        <v>268</v>
      </c>
      <c r="B424" s="5" t="s">
        <v>69</v>
      </c>
      <c r="C424" s="5" t="s">
        <v>643</v>
      </c>
      <c r="D424" s="5">
        <v>2</v>
      </c>
      <c r="E424" s="5">
        <v>2</v>
      </c>
      <c r="F424" s="5">
        <v>2</v>
      </c>
      <c r="G424" s="5"/>
      <c r="H424" s="5">
        <v>1213</v>
      </c>
      <c r="I424" s="68">
        <v>46204</v>
      </c>
      <c r="J424" s="5"/>
      <c r="K424" s="5">
        <v>14</v>
      </c>
      <c r="L424" s="5" t="s">
        <v>787</v>
      </c>
      <c r="M424" s="5">
        <v>2130</v>
      </c>
      <c r="N424" s="5">
        <v>1.76</v>
      </c>
      <c r="O424" s="5">
        <v>1826</v>
      </c>
      <c r="P424" s="5">
        <v>1.51</v>
      </c>
      <c r="Q424" s="68">
        <v>46136</v>
      </c>
      <c r="R424" s="68">
        <v>46140</v>
      </c>
      <c r="S424" s="5">
        <v>5</v>
      </c>
      <c r="T424" s="5">
        <v>0</v>
      </c>
      <c r="U424" s="46" t="s">
        <v>69</v>
      </c>
    </row>
    <row r="425" spans="1:21" x14ac:dyDescent="0.3">
      <c r="A425" s="5" t="s">
        <v>268</v>
      </c>
      <c r="B425" s="5" t="s">
        <v>69</v>
      </c>
      <c r="C425" s="5" t="s">
        <v>581</v>
      </c>
      <c r="D425" s="5">
        <v>2</v>
      </c>
      <c r="E425" s="5">
        <v>2</v>
      </c>
      <c r="F425" s="5">
        <v>2</v>
      </c>
      <c r="G425" s="5"/>
      <c r="H425" s="5">
        <v>1213</v>
      </c>
      <c r="I425" s="68">
        <v>45094</v>
      </c>
      <c r="J425" s="5"/>
      <c r="K425" s="5"/>
      <c r="L425" s="5" t="s">
        <v>787</v>
      </c>
      <c r="M425" s="5">
        <v>2125</v>
      </c>
      <c r="N425" s="5">
        <v>1.75</v>
      </c>
      <c r="O425" s="5">
        <v>1880</v>
      </c>
      <c r="P425" s="5">
        <v>1.55</v>
      </c>
      <c r="Q425" s="5"/>
      <c r="R425" s="68">
        <v>45104</v>
      </c>
      <c r="S425" s="5"/>
      <c r="T425" s="5"/>
      <c r="U425" s="46" t="s">
        <v>69</v>
      </c>
    </row>
    <row r="426" spans="1:21" x14ac:dyDescent="0.3">
      <c r="A426" s="5" t="s">
        <v>268</v>
      </c>
      <c r="B426" s="5" t="s">
        <v>69</v>
      </c>
      <c r="C426" s="5" t="s">
        <v>581</v>
      </c>
      <c r="D426" s="5">
        <v>2</v>
      </c>
      <c r="E426" s="5">
        <v>2</v>
      </c>
      <c r="F426" s="5">
        <v>2</v>
      </c>
      <c r="G426" s="5"/>
      <c r="H426" s="5">
        <v>1213</v>
      </c>
      <c r="I426" s="68">
        <v>46021</v>
      </c>
      <c r="J426" s="5"/>
      <c r="K426" s="5">
        <v>13</v>
      </c>
      <c r="L426" s="5" t="s">
        <v>787</v>
      </c>
      <c r="M426" s="5">
        <v>2130</v>
      </c>
      <c r="N426" s="5">
        <v>1.76</v>
      </c>
      <c r="O426" s="5">
        <v>1720</v>
      </c>
      <c r="P426" s="5">
        <v>1.42</v>
      </c>
      <c r="Q426" s="68">
        <v>45968</v>
      </c>
      <c r="R426" s="68">
        <v>46041</v>
      </c>
      <c r="S426" s="5">
        <v>74</v>
      </c>
      <c r="T426" s="5">
        <v>21</v>
      </c>
      <c r="U426" s="46" t="s">
        <v>69</v>
      </c>
    </row>
    <row r="427" spans="1:21" x14ac:dyDescent="0.3">
      <c r="A427" s="5" t="s">
        <v>268</v>
      </c>
      <c r="B427" s="5" t="s">
        <v>69</v>
      </c>
      <c r="C427" s="5" t="s">
        <v>450</v>
      </c>
      <c r="D427" s="5">
        <v>2</v>
      </c>
      <c r="E427" s="5">
        <v>2</v>
      </c>
      <c r="F427" s="5">
        <v>2</v>
      </c>
      <c r="G427" s="5"/>
      <c r="H427" s="5">
        <v>1213</v>
      </c>
      <c r="I427" s="68">
        <v>45094</v>
      </c>
      <c r="J427" s="5"/>
      <c r="K427" s="5"/>
      <c r="L427" s="5" t="s">
        <v>787</v>
      </c>
      <c r="M427" s="5">
        <v>2125</v>
      </c>
      <c r="N427" s="5">
        <v>1.75</v>
      </c>
      <c r="O427" s="5">
        <v>1880</v>
      </c>
      <c r="P427" s="5">
        <v>1.55</v>
      </c>
      <c r="Q427" s="5"/>
      <c r="R427" s="68">
        <v>45118</v>
      </c>
      <c r="S427" s="5"/>
      <c r="T427" s="5"/>
      <c r="U427" s="46" t="s">
        <v>69</v>
      </c>
    </row>
    <row r="428" spans="1:21" x14ac:dyDescent="0.3">
      <c r="A428" s="5" t="s">
        <v>268</v>
      </c>
      <c r="B428" s="5" t="s">
        <v>69</v>
      </c>
      <c r="C428" s="5" t="s">
        <v>450</v>
      </c>
      <c r="D428" s="5">
        <v>2</v>
      </c>
      <c r="E428" s="5">
        <v>2</v>
      </c>
      <c r="F428" s="5">
        <v>2</v>
      </c>
      <c r="G428" s="5"/>
      <c r="H428" s="5">
        <v>1213</v>
      </c>
      <c r="I428" s="68">
        <v>45363</v>
      </c>
      <c r="J428" s="5"/>
      <c r="K428" s="5">
        <v>15</v>
      </c>
      <c r="L428" s="5" t="s">
        <v>787</v>
      </c>
      <c r="M428" s="5">
        <v>2050</v>
      </c>
      <c r="N428" s="5">
        <v>1.69</v>
      </c>
      <c r="O428" s="5">
        <v>2050</v>
      </c>
      <c r="P428" s="5">
        <v>1.69</v>
      </c>
      <c r="Q428" s="68">
        <v>45298</v>
      </c>
      <c r="R428" s="68">
        <v>45508</v>
      </c>
      <c r="S428" s="5">
        <v>211</v>
      </c>
      <c r="T428" s="5">
        <v>146</v>
      </c>
      <c r="U428" s="46" t="s">
        <v>69</v>
      </c>
    </row>
    <row r="429" spans="1:21" x14ac:dyDescent="0.3">
      <c r="A429" s="5" t="s">
        <v>268</v>
      </c>
      <c r="B429" s="5" t="s">
        <v>69</v>
      </c>
      <c r="C429" s="5" t="s">
        <v>450</v>
      </c>
      <c r="D429" s="5">
        <v>2</v>
      </c>
      <c r="E429" s="5">
        <v>2</v>
      </c>
      <c r="F429" s="5">
        <v>2</v>
      </c>
      <c r="G429" s="5"/>
      <c r="H429" s="5">
        <v>1213</v>
      </c>
      <c r="I429" s="68">
        <v>46019</v>
      </c>
      <c r="J429" s="5"/>
      <c r="K429" s="5">
        <v>12</v>
      </c>
      <c r="L429" s="5" t="s">
        <v>787</v>
      </c>
      <c r="M429" s="5">
        <v>2130</v>
      </c>
      <c r="N429" s="5">
        <v>1.76</v>
      </c>
      <c r="O429" s="5">
        <v>1720</v>
      </c>
      <c r="P429" s="5">
        <v>1.42</v>
      </c>
      <c r="Q429" s="68">
        <v>45952</v>
      </c>
      <c r="R429" s="68">
        <v>45998</v>
      </c>
      <c r="S429" s="5">
        <v>47</v>
      </c>
      <c r="T429" s="5">
        <v>0</v>
      </c>
      <c r="U429" s="46" t="s">
        <v>69</v>
      </c>
    </row>
    <row r="430" spans="1:21" x14ac:dyDescent="0.3">
      <c r="A430" s="5" t="s">
        <v>268</v>
      </c>
      <c r="B430" s="5" t="s">
        <v>69</v>
      </c>
      <c r="C430" s="5" t="s">
        <v>573</v>
      </c>
      <c r="D430" s="5">
        <v>1</v>
      </c>
      <c r="E430" s="5">
        <v>2</v>
      </c>
      <c r="F430" s="5">
        <v>2</v>
      </c>
      <c r="G430" s="5"/>
      <c r="H430" s="5">
        <v>1213</v>
      </c>
      <c r="I430" s="68">
        <v>45572</v>
      </c>
      <c r="J430" s="5"/>
      <c r="K430" s="5">
        <v>15</v>
      </c>
      <c r="L430" s="5" t="s">
        <v>787</v>
      </c>
      <c r="M430" s="5">
        <v>2150</v>
      </c>
      <c r="N430" s="5">
        <v>1.77</v>
      </c>
      <c r="O430" s="5">
        <v>2150</v>
      </c>
      <c r="P430" s="5">
        <v>1.77</v>
      </c>
      <c r="Q430" s="68">
        <v>45533</v>
      </c>
      <c r="R430" s="68">
        <v>45551</v>
      </c>
      <c r="S430" s="5">
        <v>19</v>
      </c>
      <c r="T430" s="5">
        <v>0</v>
      </c>
      <c r="U430" s="46" t="s">
        <v>69</v>
      </c>
    </row>
    <row r="431" spans="1:21" x14ac:dyDescent="0.3">
      <c r="A431" s="5" t="s">
        <v>268</v>
      </c>
      <c r="B431" s="5" t="s">
        <v>69</v>
      </c>
      <c r="C431" s="5" t="s">
        <v>583</v>
      </c>
      <c r="D431" s="5">
        <v>3</v>
      </c>
      <c r="E431" s="5">
        <v>2</v>
      </c>
      <c r="F431" s="5">
        <v>2</v>
      </c>
      <c r="G431" s="5"/>
      <c r="H431" s="5">
        <v>1213</v>
      </c>
      <c r="I431" s="68">
        <v>45094</v>
      </c>
      <c r="J431" s="5"/>
      <c r="K431" s="5"/>
      <c r="L431" s="5" t="s">
        <v>787</v>
      </c>
      <c r="M431" s="5">
        <v>2170</v>
      </c>
      <c r="N431" s="5">
        <v>1.79</v>
      </c>
      <c r="O431" s="5">
        <v>1919</v>
      </c>
      <c r="P431" s="5">
        <v>1.58</v>
      </c>
      <c r="Q431" s="5"/>
      <c r="R431" s="68">
        <v>45181</v>
      </c>
      <c r="S431" s="5"/>
      <c r="T431" s="5"/>
      <c r="U431" s="46" t="s">
        <v>69</v>
      </c>
    </row>
    <row r="432" spans="1:21" x14ac:dyDescent="0.3">
      <c r="A432" s="5" t="s">
        <v>268</v>
      </c>
      <c r="B432" s="5" t="s">
        <v>69</v>
      </c>
      <c r="C432" s="5" t="s">
        <v>583</v>
      </c>
      <c r="D432" s="5">
        <v>3</v>
      </c>
      <c r="E432" s="5">
        <v>2</v>
      </c>
      <c r="F432" s="5">
        <v>2</v>
      </c>
      <c r="G432" s="5"/>
      <c r="H432" s="5">
        <v>1213</v>
      </c>
      <c r="I432" s="68">
        <v>45684</v>
      </c>
      <c r="J432" s="5"/>
      <c r="K432" s="5">
        <v>12</v>
      </c>
      <c r="L432" s="5" t="s">
        <v>787</v>
      </c>
      <c r="M432" s="5">
        <v>2175</v>
      </c>
      <c r="N432" s="5">
        <v>1.79</v>
      </c>
      <c r="O432" s="5">
        <v>1840</v>
      </c>
      <c r="P432" s="5">
        <v>1.52</v>
      </c>
      <c r="Q432" s="68">
        <v>45591</v>
      </c>
      <c r="R432" s="68">
        <v>45784</v>
      </c>
      <c r="S432" s="5">
        <v>194</v>
      </c>
      <c r="T432" s="5">
        <v>101</v>
      </c>
      <c r="U432" s="46" t="s">
        <v>69</v>
      </c>
    </row>
    <row r="433" spans="1:21" x14ac:dyDescent="0.3">
      <c r="A433" s="5" t="s">
        <v>268</v>
      </c>
      <c r="B433" s="5" t="s">
        <v>69</v>
      </c>
      <c r="C433" s="5" t="s">
        <v>661</v>
      </c>
      <c r="D433" s="5">
        <v>3</v>
      </c>
      <c r="E433" s="5">
        <v>2</v>
      </c>
      <c r="F433" s="5">
        <v>2</v>
      </c>
      <c r="G433" s="5"/>
      <c r="H433" s="5">
        <v>1213</v>
      </c>
      <c r="I433" s="68">
        <v>45510</v>
      </c>
      <c r="J433" s="5"/>
      <c r="K433" s="5">
        <v>15</v>
      </c>
      <c r="L433" s="5" t="s">
        <v>787</v>
      </c>
      <c r="M433" s="5">
        <v>2175</v>
      </c>
      <c r="N433" s="5">
        <v>1.79</v>
      </c>
      <c r="O433" s="5">
        <v>2175</v>
      </c>
      <c r="P433" s="5">
        <v>1.79</v>
      </c>
      <c r="Q433" s="68">
        <v>45407</v>
      </c>
      <c r="R433" s="68">
        <v>45456</v>
      </c>
      <c r="S433" s="5">
        <v>50</v>
      </c>
      <c r="T433" s="5">
        <v>0</v>
      </c>
      <c r="U433" s="46" t="s">
        <v>69</v>
      </c>
    </row>
    <row r="434" spans="1:21" x14ac:dyDescent="0.3">
      <c r="A434" s="5" t="s">
        <v>268</v>
      </c>
      <c r="B434" s="5" t="s">
        <v>69</v>
      </c>
      <c r="C434" s="5" t="s">
        <v>630</v>
      </c>
      <c r="D434" s="5">
        <v>3</v>
      </c>
      <c r="E434" s="5">
        <v>2</v>
      </c>
      <c r="F434" s="5">
        <v>2</v>
      </c>
      <c r="G434" s="5"/>
      <c r="H434" s="5">
        <v>1213</v>
      </c>
      <c r="I434" s="68">
        <v>46060</v>
      </c>
      <c r="J434" s="5"/>
      <c r="K434" s="5">
        <v>13</v>
      </c>
      <c r="L434" s="5" t="s">
        <v>787</v>
      </c>
      <c r="M434" s="5">
        <v>2175</v>
      </c>
      <c r="N434" s="5">
        <v>1.79</v>
      </c>
      <c r="O434" s="5">
        <v>1757</v>
      </c>
      <c r="P434" s="5">
        <v>1.45</v>
      </c>
      <c r="Q434" s="68">
        <v>45987</v>
      </c>
      <c r="R434" s="68">
        <v>46034</v>
      </c>
      <c r="S434" s="5">
        <v>48</v>
      </c>
      <c r="T434" s="5">
        <v>0</v>
      </c>
      <c r="U434" s="46" t="s">
        <v>69</v>
      </c>
    </row>
    <row r="435" spans="1:21" x14ac:dyDescent="0.3">
      <c r="A435" s="5" t="s">
        <v>268</v>
      </c>
      <c r="B435" s="5" t="s">
        <v>69</v>
      </c>
      <c r="C435" s="5" t="s">
        <v>589</v>
      </c>
      <c r="D435" s="5">
        <v>3</v>
      </c>
      <c r="E435" s="5">
        <v>2</v>
      </c>
      <c r="F435" s="5">
        <v>2</v>
      </c>
      <c r="G435" s="5"/>
      <c r="H435" s="5">
        <v>1213</v>
      </c>
      <c r="I435" s="68">
        <v>45713</v>
      </c>
      <c r="J435" s="5"/>
      <c r="K435" s="5">
        <v>12</v>
      </c>
      <c r="L435" s="5" t="s">
        <v>787</v>
      </c>
      <c r="M435" s="5">
        <v>2105</v>
      </c>
      <c r="N435" s="5">
        <v>1.74</v>
      </c>
      <c r="O435" s="5">
        <v>2105</v>
      </c>
      <c r="P435" s="5">
        <v>1.74</v>
      </c>
      <c r="Q435" s="68">
        <v>45643</v>
      </c>
      <c r="R435" s="68">
        <v>45706</v>
      </c>
      <c r="S435" s="5">
        <v>64</v>
      </c>
      <c r="T435" s="5">
        <v>0</v>
      </c>
      <c r="U435" s="46" t="s">
        <v>69</v>
      </c>
    </row>
    <row r="436" spans="1:21" x14ac:dyDescent="0.3">
      <c r="A436" s="5" t="s">
        <v>268</v>
      </c>
      <c r="B436" s="5" t="s">
        <v>69</v>
      </c>
      <c r="C436" s="5" t="s">
        <v>589</v>
      </c>
      <c r="D436" s="5">
        <v>3</v>
      </c>
      <c r="E436" s="5">
        <v>2</v>
      </c>
      <c r="F436" s="5">
        <v>2</v>
      </c>
      <c r="G436" s="5"/>
      <c r="H436" s="5">
        <v>1213</v>
      </c>
      <c r="I436" s="68">
        <v>46215</v>
      </c>
      <c r="J436" s="5"/>
      <c r="K436" s="5">
        <v>14</v>
      </c>
      <c r="L436" s="5" t="s">
        <v>787</v>
      </c>
      <c r="M436" s="5">
        <v>2175</v>
      </c>
      <c r="N436" s="5">
        <v>1.79</v>
      </c>
      <c r="O436" s="5">
        <v>1864</v>
      </c>
      <c r="P436" s="5">
        <v>1.54</v>
      </c>
      <c r="Q436" s="68">
        <v>46148</v>
      </c>
      <c r="R436" s="68">
        <v>46170</v>
      </c>
      <c r="S436" s="5">
        <v>23</v>
      </c>
      <c r="T436" s="5">
        <v>0</v>
      </c>
      <c r="U436" s="46" t="s">
        <v>69</v>
      </c>
    </row>
    <row r="437" spans="1:21" x14ac:dyDescent="0.3">
      <c r="A437" s="5" t="s">
        <v>268</v>
      </c>
      <c r="B437" s="5" t="s">
        <v>69</v>
      </c>
      <c r="C437" s="5" t="s">
        <v>460</v>
      </c>
      <c r="D437" s="5">
        <v>3</v>
      </c>
      <c r="E437" s="5">
        <v>2</v>
      </c>
      <c r="F437" s="5">
        <v>2</v>
      </c>
      <c r="G437" s="5"/>
      <c r="H437" s="5">
        <v>1213</v>
      </c>
      <c r="I437" s="68">
        <v>45094</v>
      </c>
      <c r="J437" s="5"/>
      <c r="K437" s="5"/>
      <c r="L437" s="5" t="s">
        <v>787</v>
      </c>
      <c r="M437" s="5">
        <v>2170</v>
      </c>
      <c r="N437" s="5">
        <v>1.79</v>
      </c>
      <c r="O437" s="5">
        <v>1836</v>
      </c>
      <c r="P437" s="5">
        <v>1.51</v>
      </c>
      <c r="Q437" s="5"/>
      <c r="R437" s="68">
        <v>45280</v>
      </c>
      <c r="S437" s="5"/>
      <c r="T437" s="5"/>
      <c r="U437" s="46" t="s">
        <v>69</v>
      </c>
    </row>
    <row r="438" spans="1:21" x14ac:dyDescent="0.3">
      <c r="A438" s="5" t="s">
        <v>268</v>
      </c>
      <c r="B438" s="5" t="s">
        <v>69</v>
      </c>
      <c r="C438" s="5" t="s">
        <v>460</v>
      </c>
      <c r="D438" s="5">
        <v>3</v>
      </c>
      <c r="E438" s="5">
        <v>2</v>
      </c>
      <c r="F438" s="5">
        <v>2</v>
      </c>
      <c r="G438" s="5"/>
      <c r="H438" s="5">
        <v>1213</v>
      </c>
      <c r="I438" s="68">
        <v>45743</v>
      </c>
      <c r="J438" s="5"/>
      <c r="K438" s="5">
        <v>12</v>
      </c>
      <c r="L438" s="5" t="s">
        <v>787</v>
      </c>
      <c r="M438" s="5">
        <v>2175</v>
      </c>
      <c r="N438" s="5">
        <v>1.79</v>
      </c>
      <c r="O438" s="5">
        <v>1840</v>
      </c>
      <c r="P438" s="5">
        <v>1.52</v>
      </c>
      <c r="Q438" s="68">
        <v>45671</v>
      </c>
      <c r="R438" s="68">
        <v>45798</v>
      </c>
      <c r="S438" s="5">
        <v>128</v>
      </c>
      <c r="T438" s="5">
        <v>56</v>
      </c>
      <c r="U438" s="46" t="s">
        <v>69</v>
      </c>
    </row>
    <row r="439" spans="1:21" x14ac:dyDescent="0.3">
      <c r="A439" s="5" t="s">
        <v>268</v>
      </c>
      <c r="B439" s="5" t="s">
        <v>69</v>
      </c>
      <c r="C439" s="5" t="s">
        <v>460</v>
      </c>
      <c r="D439" s="5">
        <v>3</v>
      </c>
      <c r="E439" s="5">
        <v>2</v>
      </c>
      <c r="F439" s="5">
        <v>2</v>
      </c>
      <c r="G439" s="5"/>
      <c r="H439" s="5">
        <v>1213</v>
      </c>
      <c r="I439" s="68">
        <v>45999</v>
      </c>
      <c r="J439" s="5"/>
      <c r="K439" s="5">
        <v>14</v>
      </c>
      <c r="L439" s="5" t="s">
        <v>787</v>
      </c>
      <c r="M439" s="5">
        <v>2175</v>
      </c>
      <c r="N439" s="5">
        <v>1.79</v>
      </c>
      <c r="O439" s="5">
        <v>1864</v>
      </c>
      <c r="P439" s="5">
        <v>1.54</v>
      </c>
      <c r="Q439" s="68">
        <v>45981</v>
      </c>
      <c r="R439" s="68">
        <v>46153</v>
      </c>
      <c r="S439" s="5">
        <v>173</v>
      </c>
      <c r="T439" s="5">
        <v>155</v>
      </c>
      <c r="U439" s="46" t="s">
        <v>69</v>
      </c>
    </row>
    <row r="440" spans="1:21" x14ac:dyDescent="0.3">
      <c r="A440" s="5" t="s">
        <v>268</v>
      </c>
      <c r="B440" s="5" t="s">
        <v>69</v>
      </c>
      <c r="C440" s="5" t="s">
        <v>598</v>
      </c>
      <c r="D440" s="5">
        <v>1</v>
      </c>
      <c r="E440" s="5">
        <v>2</v>
      </c>
      <c r="F440" s="5">
        <v>2</v>
      </c>
      <c r="G440" s="5"/>
      <c r="H440" s="5">
        <v>1213</v>
      </c>
      <c r="I440" s="68">
        <v>45584</v>
      </c>
      <c r="J440" s="5"/>
      <c r="K440" s="5">
        <v>15</v>
      </c>
      <c r="L440" s="5" t="s">
        <v>787</v>
      </c>
      <c r="M440" s="5">
        <v>2210</v>
      </c>
      <c r="N440" s="5">
        <v>1.82</v>
      </c>
      <c r="O440" s="5">
        <v>2210</v>
      </c>
      <c r="P440" s="5">
        <v>1.82</v>
      </c>
      <c r="Q440" s="68">
        <v>45518</v>
      </c>
      <c r="R440" s="68">
        <v>45532</v>
      </c>
      <c r="S440" s="5">
        <v>15</v>
      </c>
      <c r="T440" s="5">
        <v>0</v>
      </c>
      <c r="U440" s="46" t="s">
        <v>69</v>
      </c>
    </row>
    <row r="441" spans="1:21" x14ac:dyDescent="0.3">
      <c r="A441" s="5" t="s">
        <v>268</v>
      </c>
      <c r="B441" s="5" t="s">
        <v>69</v>
      </c>
      <c r="C441" s="5" t="s">
        <v>598</v>
      </c>
      <c r="D441" s="5">
        <v>1</v>
      </c>
      <c r="E441" s="5">
        <v>2</v>
      </c>
      <c r="F441" s="5">
        <v>2</v>
      </c>
      <c r="G441" s="5"/>
      <c r="H441" s="5">
        <v>1213</v>
      </c>
      <c r="I441" s="68">
        <v>45624</v>
      </c>
      <c r="J441" s="5"/>
      <c r="K441" s="5">
        <v>12</v>
      </c>
      <c r="L441" s="5" t="s">
        <v>787</v>
      </c>
      <c r="M441" s="5">
        <v>2068</v>
      </c>
      <c r="N441" s="5">
        <v>1.7</v>
      </c>
      <c r="O441" s="5">
        <v>2068</v>
      </c>
      <c r="P441" s="5">
        <v>1.7</v>
      </c>
      <c r="Q441" s="68">
        <v>45623</v>
      </c>
      <c r="R441" s="68">
        <v>45692</v>
      </c>
      <c r="S441" s="5">
        <v>70</v>
      </c>
      <c r="T441" s="5">
        <v>69</v>
      </c>
      <c r="U441" s="46" t="s">
        <v>69</v>
      </c>
    </row>
    <row r="442" spans="1:21" x14ac:dyDescent="0.3">
      <c r="A442" s="5" t="s">
        <v>268</v>
      </c>
      <c r="B442" s="5" t="s">
        <v>69</v>
      </c>
      <c r="C442" s="5" t="s">
        <v>598</v>
      </c>
      <c r="D442" s="5">
        <v>1</v>
      </c>
      <c r="E442" s="5">
        <v>2</v>
      </c>
      <c r="F442" s="5">
        <v>2</v>
      </c>
      <c r="G442" s="5"/>
      <c r="H442" s="5">
        <v>1213</v>
      </c>
      <c r="I442" s="68">
        <v>45913</v>
      </c>
      <c r="J442" s="5"/>
      <c r="K442" s="5">
        <v>12</v>
      </c>
      <c r="L442" s="5" t="s">
        <v>787</v>
      </c>
      <c r="M442" s="5">
        <v>2210</v>
      </c>
      <c r="N442" s="5">
        <v>1.82</v>
      </c>
      <c r="O442" s="5">
        <v>1870</v>
      </c>
      <c r="P442" s="5">
        <v>1.54</v>
      </c>
      <c r="Q442" s="68">
        <v>45882</v>
      </c>
      <c r="R442" s="68">
        <v>45914</v>
      </c>
      <c r="S442" s="5">
        <v>33</v>
      </c>
      <c r="T442" s="5">
        <v>2</v>
      </c>
      <c r="U442" s="46" t="s">
        <v>69</v>
      </c>
    </row>
    <row r="443" spans="1:21" x14ac:dyDescent="0.3">
      <c r="A443" s="5" t="s">
        <v>268</v>
      </c>
      <c r="B443" s="5" t="s">
        <v>69</v>
      </c>
      <c r="C443" s="5" t="s">
        <v>448</v>
      </c>
      <c r="D443" s="5">
        <v>1</v>
      </c>
      <c r="E443" s="5">
        <v>2</v>
      </c>
      <c r="F443" s="5">
        <v>2</v>
      </c>
      <c r="G443" s="5"/>
      <c r="H443" s="5">
        <v>1213</v>
      </c>
      <c r="I443" s="68">
        <v>45511</v>
      </c>
      <c r="J443" s="5"/>
      <c r="K443" s="5">
        <v>15</v>
      </c>
      <c r="L443" s="5" t="s">
        <v>787</v>
      </c>
      <c r="M443" s="5">
        <v>2210</v>
      </c>
      <c r="N443" s="5">
        <v>1.82</v>
      </c>
      <c r="O443" s="5">
        <v>2210</v>
      </c>
      <c r="P443" s="5">
        <v>1.82</v>
      </c>
      <c r="Q443" s="68">
        <v>45422</v>
      </c>
      <c r="R443" s="68">
        <v>45429</v>
      </c>
      <c r="S443" s="5">
        <v>8</v>
      </c>
      <c r="T443" s="5">
        <v>0</v>
      </c>
      <c r="U443" s="46" t="s">
        <v>69</v>
      </c>
    </row>
    <row r="444" spans="1:21" x14ac:dyDescent="0.3">
      <c r="A444" s="5" t="s">
        <v>268</v>
      </c>
      <c r="B444" s="5" t="s">
        <v>69</v>
      </c>
      <c r="C444" s="5" t="s">
        <v>448</v>
      </c>
      <c r="D444" s="5">
        <v>1</v>
      </c>
      <c r="E444" s="5">
        <v>2</v>
      </c>
      <c r="F444" s="5">
        <v>2</v>
      </c>
      <c r="G444" s="5"/>
      <c r="H444" s="5">
        <v>1213</v>
      </c>
      <c r="I444" s="68">
        <v>45940</v>
      </c>
      <c r="J444" s="5"/>
      <c r="K444" s="5">
        <v>12</v>
      </c>
      <c r="L444" s="5" t="s">
        <v>787</v>
      </c>
      <c r="M444" s="5">
        <v>2210</v>
      </c>
      <c r="N444" s="5">
        <v>1.82</v>
      </c>
      <c r="O444" s="5">
        <v>1870</v>
      </c>
      <c r="P444" s="5">
        <v>1.54</v>
      </c>
      <c r="Q444" s="68">
        <v>45882</v>
      </c>
      <c r="R444" s="68">
        <v>45920</v>
      </c>
      <c r="S444" s="5">
        <v>39</v>
      </c>
      <c r="T444" s="5">
        <v>0</v>
      </c>
      <c r="U444" s="46" t="s">
        <v>69</v>
      </c>
    </row>
    <row r="445" spans="1:21" x14ac:dyDescent="0.3">
      <c r="A445" s="5" t="s">
        <v>268</v>
      </c>
      <c r="B445" s="5" t="s">
        <v>69</v>
      </c>
      <c r="C445" s="5" t="s">
        <v>570</v>
      </c>
      <c r="D445" s="5">
        <v>1</v>
      </c>
      <c r="E445" s="5">
        <v>2</v>
      </c>
      <c r="F445" s="5">
        <v>2</v>
      </c>
      <c r="G445" s="5"/>
      <c r="H445" s="5">
        <v>1213</v>
      </c>
      <c r="I445" s="68">
        <v>45480</v>
      </c>
      <c r="J445" s="5"/>
      <c r="K445" s="5">
        <v>15</v>
      </c>
      <c r="L445" s="5" t="s">
        <v>787</v>
      </c>
      <c r="M445" s="5">
        <v>2210</v>
      </c>
      <c r="N445" s="5">
        <v>1.82</v>
      </c>
      <c r="O445" s="5">
        <v>2210</v>
      </c>
      <c r="P445" s="5">
        <v>1.82</v>
      </c>
      <c r="Q445" s="68">
        <v>45450</v>
      </c>
      <c r="R445" s="68">
        <v>45471</v>
      </c>
      <c r="S445" s="5">
        <v>22</v>
      </c>
      <c r="T445" s="5">
        <v>0</v>
      </c>
      <c r="U445" s="46" t="s">
        <v>69</v>
      </c>
    </row>
    <row r="446" spans="1:21" x14ac:dyDescent="0.3">
      <c r="A446" s="5" t="s">
        <v>268</v>
      </c>
      <c r="B446" s="5" t="s">
        <v>69</v>
      </c>
      <c r="C446" s="5" t="s">
        <v>570</v>
      </c>
      <c r="D446" s="5">
        <v>1</v>
      </c>
      <c r="E446" s="5">
        <v>2</v>
      </c>
      <c r="F446" s="5">
        <v>2</v>
      </c>
      <c r="G446" s="5"/>
      <c r="H446" s="5">
        <v>1213</v>
      </c>
      <c r="I446" s="68">
        <v>45678</v>
      </c>
      <c r="J446" s="5"/>
      <c r="K446" s="5">
        <v>12</v>
      </c>
      <c r="L446" s="5" t="s">
        <v>787</v>
      </c>
      <c r="M446" s="5">
        <v>2210</v>
      </c>
      <c r="N446" s="5">
        <v>1.82</v>
      </c>
      <c r="O446" s="5">
        <v>2210</v>
      </c>
      <c r="P446" s="5">
        <v>1.82</v>
      </c>
      <c r="Q446" s="68">
        <v>45589</v>
      </c>
      <c r="R446" s="68">
        <v>45708</v>
      </c>
      <c r="S446" s="5">
        <v>120</v>
      </c>
      <c r="T446" s="5">
        <v>31</v>
      </c>
      <c r="U446" s="46" t="s">
        <v>69</v>
      </c>
    </row>
    <row r="447" spans="1:21" x14ac:dyDescent="0.3">
      <c r="A447" s="5" t="s">
        <v>268</v>
      </c>
      <c r="B447" s="5" t="s">
        <v>75</v>
      </c>
      <c r="C447" s="5" t="s">
        <v>405</v>
      </c>
      <c r="D447" s="5">
        <v>2</v>
      </c>
      <c r="E447" s="5">
        <v>3</v>
      </c>
      <c r="F447" s="5">
        <v>2</v>
      </c>
      <c r="G447" s="5"/>
      <c r="H447" s="5">
        <v>1564</v>
      </c>
      <c r="I447" s="68">
        <v>45094</v>
      </c>
      <c r="J447" s="5"/>
      <c r="K447" s="5"/>
      <c r="L447" s="5" t="s">
        <v>787</v>
      </c>
      <c r="M447" s="5">
        <v>2860</v>
      </c>
      <c r="N447" s="5">
        <v>1.83</v>
      </c>
      <c r="O447" s="5">
        <v>2446</v>
      </c>
      <c r="P447" s="5">
        <v>1.56</v>
      </c>
      <c r="Q447" s="5"/>
      <c r="R447" s="68">
        <v>45164</v>
      </c>
      <c r="S447" s="5"/>
      <c r="T447" s="5"/>
      <c r="U447" s="46" t="s">
        <v>75</v>
      </c>
    </row>
    <row r="448" spans="1:21" x14ac:dyDescent="0.3">
      <c r="A448" s="5" t="s">
        <v>268</v>
      </c>
      <c r="B448" s="5" t="s">
        <v>75</v>
      </c>
      <c r="C448" s="5" t="s">
        <v>405</v>
      </c>
      <c r="D448" s="5">
        <v>2</v>
      </c>
      <c r="E448" s="5">
        <v>3</v>
      </c>
      <c r="F448" s="5">
        <v>2</v>
      </c>
      <c r="G448" s="5"/>
      <c r="H448" s="5">
        <v>1564</v>
      </c>
      <c r="I448" s="68">
        <v>45640</v>
      </c>
      <c r="J448" s="5"/>
      <c r="K448" s="5">
        <v>12</v>
      </c>
      <c r="L448" s="5" t="s">
        <v>787</v>
      </c>
      <c r="M448" s="5">
        <v>2400</v>
      </c>
      <c r="N448" s="5">
        <v>1.53</v>
      </c>
      <c r="O448" s="5">
        <v>2400</v>
      </c>
      <c r="P448" s="5">
        <v>1.53</v>
      </c>
      <c r="Q448" s="68">
        <v>45567</v>
      </c>
      <c r="R448" s="68">
        <v>45626</v>
      </c>
      <c r="S448" s="5">
        <v>60</v>
      </c>
      <c r="T448" s="5">
        <v>0</v>
      </c>
      <c r="U448" s="46" t="s">
        <v>75</v>
      </c>
    </row>
    <row r="449" spans="1:21" x14ac:dyDescent="0.3">
      <c r="A449" s="5" t="s">
        <v>268</v>
      </c>
      <c r="B449" s="5" t="s">
        <v>75</v>
      </c>
      <c r="C449" s="5" t="s">
        <v>541</v>
      </c>
      <c r="D449" s="5">
        <v>2</v>
      </c>
      <c r="E449" s="5">
        <v>3</v>
      </c>
      <c r="F449" s="5">
        <v>2</v>
      </c>
      <c r="G449" s="5"/>
      <c r="H449" s="5">
        <v>1564</v>
      </c>
      <c r="I449" s="68">
        <v>45145</v>
      </c>
      <c r="J449" s="5"/>
      <c r="K449" s="5"/>
      <c r="L449" s="5" t="s">
        <v>787</v>
      </c>
      <c r="M449" s="5">
        <v>2540</v>
      </c>
      <c r="N449" s="5">
        <v>1.62</v>
      </c>
      <c r="O449" s="5">
        <v>2247</v>
      </c>
      <c r="P449" s="5">
        <v>1.44</v>
      </c>
      <c r="Q449" s="68">
        <v>45129</v>
      </c>
      <c r="R449" s="68">
        <v>45230</v>
      </c>
      <c r="S449" s="5">
        <v>102</v>
      </c>
      <c r="T449" s="5">
        <v>86</v>
      </c>
      <c r="U449" s="46" t="s">
        <v>75</v>
      </c>
    </row>
    <row r="450" spans="1:21" x14ac:dyDescent="0.3">
      <c r="A450" s="5" t="s">
        <v>268</v>
      </c>
      <c r="B450" s="5" t="s">
        <v>75</v>
      </c>
      <c r="C450" s="5" t="s">
        <v>541</v>
      </c>
      <c r="D450" s="5">
        <v>2</v>
      </c>
      <c r="E450" s="5">
        <v>3</v>
      </c>
      <c r="F450" s="5">
        <v>2</v>
      </c>
      <c r="G450" s="5"/>
      <c r="H450" s="5">
        <v>1564</v>
      </c>
      <c r="I450" s="68">
        <v>45678</v>
      </c>
      <c r="J450" s="5"/>
      <c r="K450" s="5">
        <v>12</v>
      </c>
      <c r="L450" s="5" t="s">
        <v>787</v>
      </c>
      <c r="M450" s="5">
        <v>2429</v>
      </c>
      <c r="N450" s="5">
        <v>1.55</v>
      </c>
      <c r="O450" s="5">
        <v>2429</v>
      </c>
      <c r="P450" s="5">
        <v>1.55</v>
      </c>
      <c r="Q450" s="68">
        <v>45589</v>
      </c>
      <c r="R450" s="68">
        <v>45692</v>
      </c>
      <c r="S450" s="5">
        <v>104</v>
      </c>
      <c r="T450" s="5">
        <v>15</v>
      </c>
      <c r="U450" s="46" t="s">
        <v>75</v>
      </c>
    </row>
    <row r="451" spans="1:21" x14ac:dyDescent="0.3">
      <c r="A451" s="5" t="s">
        <v>268</v>
      </c>
      <c r="B451" s="5" t="s">
        <v>75</v>
      </c>
      <c r="C451" s="5" t="s">
        <v>490</v>
      </c>
      <c r="D451" s="5">
        <v>2</v>
      </c>
      <c r="E451" s="5">
        <v>3</v>
      </c>
      <c r="F451" s="5">
        <v>2</v>
      </c>
      <c r="G451" s="5"/>
      <c r="H451" s="5">
        <v>1564</v>
      </c>
      <c r="I451" s="68">
        <v>45094</v>
      </c>
      <c r="J451" s="5"/>
      <c r="K451" s="5"/>
      <c r="L451" s="5" t="s">
        <v>787</v>
      </c>
      <c r="M451" s="5">
        <v>2540</v>
      </c>
      <c r="N451" s="5">
        <v>1.62</v>
      </c>
      <c r="O451" s="5">
        <v>2247</v>
      </c>
      <c r="P451" s="5">
        <v>1.44</v>
      </c>
      <c r="Q451" s="5"/>
      <c r="R451" s="68">
        <v>45210</v>
      </c>
      <c r="S451" s="5"/>
      <c r="T451" s="5"/>
      <c r="U451" s="46" t="s">
        <v>75</v>
      </c>
    </row>
    <row r="452" spans="1:21" x14ac:dyDescent="0.3">
      <c r="A452" s="5" t="s">
        <v>268</v>
      </c>
      <c r="B452" s="5" t="s">
        <v>75</v>
      </c>
      <c r="C452" s="5" t="s">
        <v>490</v>
      </c>
      <c r="D452" s="5">
        <v>2</v>
      </c>
      <c r="E452" s="5">
        <v>3</v>
      </c>
      <c r="F452" s="5">
        <v>2</v>
      </c>
      <c r="G452" s="5"/>
      <c r="H452" s="5">
        <v>1564</v>
      </c>
      <c r="I452" s="68">
        <v>45675</v>
      </c>
      <c r="J452" s="5"/>
      <c r="K452" s="5">
        <v>12</v>
      </c>
      <c r="L452" s="5" t="s">
        <v>787</v>
      </c>
      <c r="M452" s="5">
        <v>2429</v>
      </c>
      <c r="N452" s="5">
        <v>1.55</v>
      </c>
      <c r="O452" s="5">
        <v>2429</v>
      </c>
      <c r="P452" s="5">
        <v>1.55</v>
      </c>
      <c r="Q452" s="68">
        <v>45622</v>
      </c>
      <c r="R452" s="68">
        <v>45685</v>
      </c>
      <c r="S452" s="5">
        <v>64</v>
      </c>
      <c r="T452" s="5">
        <v>11</v>
      </c>
      <c r="U452" s="46" t="s">
        <v>75</v>
      </c>
    </row>
    <row r="453" spans="1:21" x14ac:dyDescent="0.3">
      <c r="A453" s="5" t="s">
        <v>268</v>
      </c>
      <c r="B453" s="5" t="s">
        <v>75</v>
      </c>
      <c r="C453" s="5" t="s">
        <v>474</v>
      </c>
      <c r="D453" s="5">
        <v>1</v>
      </c>
      <c r="E453" s="5">
        <v>3</v>
      </c>
      <c r="F453" s="5">
        <v>2</v>
      </c>
      <c r="G453" s="5"/>
      <c r="H453" s="5">
        <v>1564</v>
      </c>
      <c r="I453" s="68">
        <v>45154</v>
      </c>
      <c r="J453" s="5"/>
      <c r="K453" s="5"/>
      <c r="L453" s="5" t="s">
        <v>787</v>
      </c>
      <c r="M453" s="5">
        <v>2835</v>
      </c>
      <c r="N453" s="5">
        <v>1.81</v>
      </c>
      <c r="O453" s="5">
        <v>2508</v>
      </c>
      <c r="P453" s="5">
        <v>1.6</v>
      </c>
      <c r="Q453" s="5"/>
      <c r="R453" s="68">
        <v>45181</v>
      </c>
      <c r="S453" s="5"/>
      <c r="T453" s="5"/>
      <c r="U453" s="46" t="s">
        <v>75</v>
      </c>
    </row>
    <row r="454" spans="1:21" x14ac:dyDescent="0.3">
      <c r="A454" s="5" t="s">
        <v>268</v>
      </c>
      <c r="B454" s="5" t="s">
        <v>75</v>
      </c>
      <c r="C454" s="5" t="s">
        <v>474</v>
      </c>
      <c r="D454" s="5">
        <v>1</v>
      </c>
      <c r="E454" s="5">
        <v>3</v>
      </c>
      <c r="F454" s="5">
        <v>2</v>
      </c>
      <c r="G454" s="5"/>
      <c r="H454" s="5">
        <v>1564</v>
      </c>
      <c r="I454" s="68">
        <v>45510</v>
      </c>
      <c r="J454" s="5"/>
      <c r="K454" s="5">
        <v>12</v>
      </c>
      <c r="L454" s="5" t="s">
        <v>787</v>
      </c>
      <c r="M454" s="5">
        <v>2699</v>
      </c>
      <c r="N454" s="5">
        <v>1.73</v>
      </c>
      <c r="O454" s="5">
        <v>2387</v>
      </c>
      <c r="P454" s="5">
        <v>1.53</v>
      </c>
      <c r="Q454" s="68">
        <v>45498</v>
      </c>
      <c r="R454" s="68">
        <v>45581</v>
      </c>
      <c r="S454" s="5">
        <v>84</v>
      </c>
      <c r="T454" s="5">
        <v>72</v>
      </c>
      <c r="U454" s="46" t="s">
        <v>75</v>
      </c>
    </row>
    <row r="455" spans="1:21" x14ac:dyDescent="0.3">
      <c r="A455" s="5" t="s">
        <v>268</v>
      </c>
      <c r="B455" s="5" t="s">
        <v>75</v>
      </c>
      <c r="C455" s="5" t="s">
        <v>474</v>
      </c>
      <c r="D455" s="5">
        <v>1</v>
      </c>
      <c r="E455" s="5">
        <v>3</v>
      </c>
      <c r="F455" s="5">
        <v>2</v>
      </c>
      <c r="G455" s="5"/>
      <c r="H455" s="5">
        <v>1564</v>
      </c>
      <c r="I455" s="68">
        <v>45876</v>
      </c>
      <c r="J455" s="5"/>
      <c r="K455" s="5">
        <v>12</v>
      </c>
      <c r="L455" s="5" t="s">
        <v>787</v>
      </c>
      <c r="M455" s="5">
        <v>2550</v>
      </c>
      <c r="N455" s="5">
        <v>1.63</v>
      </c>
      <c r="O455" s="5">
        <v>2059</v>
      </c>
      <c r="P455" s="5">
        <v>1.32</v>
      </c>
      <c r="Q455" s="68">
        <v>45822</v>
      </c>
      <c r="R455" s="68">
        <v>45967</v>
      </c>
      <c r="S455" s="5">
        <v>146</v>
      </c>
      <c r="T455" s="5">
        <v>92</v>
      </c>
      <c r="U455" s="46" t="s">
        <v>75</v>
      </c>
    </row>
    <row r="456" spans="1:21" x14ac:dyDescent="0.3">
      <c r="A456" s="5" t="s">
        <v>268</v>
      </c>
      <c r="B456" s="5" t="s">
        <v>75</v>
      </c>
      <c r="C456" s="5" t="s">
        <v>398</v>
      </c>
      <c r="D456" s="5">
        <v>1</v>
      </c>
      <c r="E456" s="5">
        <v>3</v>
      </c>
      <c r="F456" s="5">
        <v>2</v>
      </c>
      <c r="G456" s="5"/>
      <c r="H456" s="5">
        <v>1564</v>
      </c>
      <c r="I456" s="68">
        <v>45094</v>
      </c>
      <c r="J456" s="5"/>
      <c r="K456" s="5"/>
      <c r="L456" s="5" t="s">
        <v>787</v>
      </c>
      <c r="M456" s="5">
        <v>2940</v>
      </c>
      <c r="N456" s="5">
        <v>1.88</v>
      </c>
      <c r="O456" s="5">
        <v>2601</v>
      </c>
      <c r="P456" s="5">
        <v>1.66</v>
      </c>
      <c r="Q456" s="5"/>
      <c r="R456" s="68">
        <v>45129</v>
      </c>
      <c r="S456" s="5"/>
      <c r="T456" s="5"/>
      <c r="U456" s="46" t="s">
        <v>75</v>
      </c>
    </row>
    <row r="457" spans="1:21" x14ac:dyDescent="0.3">
      <c r="A457" s="5" t="s">
        <v>268</v>
      </c>
      <c r="B457" s="5" t="s">
        <v>75</v>
      </c>
      <c r="C457" s="5" t="s">
        <v>398</v>
      </c>
      <c r="D457" s="5">
        <v>1</v>
      </c>
      <c r="E457" s="5">
        <v>3</v>
      </c>
      <c r="F457" s="5">
        <v>2</v>
      </c>
      <c r="G457" s="5"/>
      <c r="H457" s="5">
        <v>1564</v>
      </c>
      <c r="I457" s="68">
        <v>45850</v>
      </c>
      <c r="J457" s="5"/>
      <c r="K457" s="5">
        <v>12</v>
      </c>
      <c r="L457" s="5" t="s">
        <v>787</v>
      </c>
      <c r="M457" s="5">
        <v>2650</v>
      </c>
      <c r="N457" s="5">
        <v>1.69</v>
      </c>
      <c r="O457" s="5">
        <v>2242</v>
      </c>
      <c r="P457" s="5">
        <v>1.43</v>
      </c>
      <c r="Q457" s="68">
        <v>45811</v>
      </c>
      <c r="R457" s="68">
        <v>45920</v>
      </c>
      <c r="S457" s="5">
        <v>110</v>
      </c>
      <c r="T457" s="5">
        <v>71</v>
      </c>
      <c r="U457" s="46" t="s">
        <v>75</v>
      </c>
    </row>
    <row r="458" spans="1:21" x14ac:dyDescent="0.3">
      <c r="A458" s="5" t="s">
        <v>268</v>
      </c>
      <c r="B458" s="5" t="s">
        <v>75</v>
      </c>
      <c r="C458" s="5" t="s">
        <v>434</v>
      </c>
      <c r="D458" s="5">
        <v>3</v>
      </c>
      <c r="E458" s="5">
        <v>3</v>
      </c>
      <c r="F458" s="5">
        <v>2</v>
      </c>
      <c r="G458" s="5"/>
      <c r="H458" s="5">
        <v>1564</v>
      </c>
      <c r="I458" s="68">
        <v>45094</v>
      </c>
      <c r="J458" s="5"/>
      <c r="K458" s="5"/>
      <c r="L458" s="5" t="s">
        <v>787</v>
      </c>
      <c r="M458" s="5">
        <v>2585</v>
      </c>
      <c r="N458" s="5">
        <v>1.65</v>
      </c>
      <c r="O458" s="5">
        <v>2287</v>
      </c>
      <c r="P458" s="5">
        <v>1.46</v>
      </c>
      <c r="Q458" s="5"/>
      <c r="R458" s="68">
        <v>45191</v>
      </c>
      <c r="S458" s="5"/>
      <c r="T458" s="5"/>
      <c r="U458" s="46" t="s">
        <v>75</v>
      </c>
    </row>
    <row r="459" spans="1:21" x14ac:dyDescent="0.3">
      <c r="A459" s="5" t="s">
        <v>268</v>
      </c>
      <c r="B459" s="5" t="s">
        <v>75</v>
      </c>
      <c r="C459" s="5" t="s">
        <v>434</v>
      </c>
      <c r="D459" s="5">
        <v>3</v>
      </c>
      <c r="E459" s="5">
        <v>3</v>
      </c>
      <c r="F459" s="5">
        <v>2</v>
      </c>
      <c r="G459" s="5"/>
      <c r="H459" s="5">
        <v>1564</v>
      </c>
      <c r="I459" s="68">
        <v>45546</v>
      </c>
      <c r="J459" s="5"/>
      <c r="K459" s="5">
        <v>12</v>
      </c>
      <c r="L459" s="5" t="s">
        <v>787</v>
      </c>
      <c r="M459" s="5">
        <v>2550</v>
      </c>
      <c r="N459" s="5">
        <v>1.63</v>
      </c>
      <c r="O459" s="5">
        <v>2550</v>
      </c>
      <c r="P459" s="5">
        <v>1.63</v>
      </c>
      <c r="Q459" s="68">
        <v>45540</v>
      </c>
      <c r="R459" s="68">
        <v>45645</v>
      </c>
      <c r="S459" s="5">
        <v>106</v>
      </c>
      <c r="T459" s="5">
        <v>100</v>
      </c>
      <c r="U459" s="46" t="s">
        <v>75</v>
      </c>
    </row>
    <row r="460" spans="1:21" x14ac:dyDescent="0.3">
      <c r="A460" s="5" t="s">
        <v>268</v>
      </c>
      <c r="B460" s="5" t="s">
        <v>75</v>
      </c>
      <c r="C460" s="5" t="s">
        <v>434</v>
      </c>
      <c r="D460" s="5">
        <v>3</v>
      </c>
      <c r="E460" s="5">
        <v>3</v>
      </c>
      <c r="F460" s="5">
        <v>2</v>
      </c>
      <c r="G460" s="5"/>
      <c r="H460" s="5">
        <v>1564</v>
      </c>
      <c r="I460" s="68">
        <v>46180</v>
      </c>
      <c r="J460" s="5"/>
      <c r="K460" s="5">
        <v>14</v>
      </c>
      <c r="L460" s="5" t="s">
        <v>787</v>
      </c>
      <c r="M460" s="5">
        <v>2905</v>
      </c>
      <c r="N460" s="5">
        <v>1.86</v>
      </c>
      <c r="O460" s="5">
        <v>2386</v>
      </c>
      <c r="P460" s="5">
        <v>1.53</v>
      </c>
      <c r="Q460" s="68">
        <v>45940</v>
      </c>
      <c r="R460" s="68">
        <v>46071</v>
      </c>
      <c r="S460" s="5">
        <v>132</v>
      </c>
      <c r="T460" s="5">
        <v>0</v>
      </c>
      <c r="U460" s="46" t="s">
        <v>75</v>
      </c>
    </row>
    <row r="461" spans="1:21" x14ac:dyDescent="0.3">
      <c r="A461" s="5" t="s">
        <v>268</v>
      </c>
      <c r="B461" s="5" t="s">
        <v>75</v>
      </c>
      <c r="C461" s="5" t="s">
        <v>560</v>
      </c>
      <c r="D461" s="5">
        <v>3</v>
      </c>
      <c r="E461" s="5">
        <v>3</v>
      </c>
      <c r="F461" s="5">
        <v>2</v>
      </c>
      <c r="G461" s="5"/>
      <c r="H461" s="5">
        <v>1564</v>
      </c>
      <c r="I461" s="68">
        <v>45094</v>
      </c>
      <c r="J461" s="5"/>
      <c r="K461" s="5"/>
      <c r="L461" s="5" t="s">
        <v>787</v>
      </c>
      <c r="M461" s="5">
        <v>2905</v>
      </c>
      <c r="N461" s="5">
        <v>1.86</v>
      </c>
      <c r="O461" s="5">
        <v>2905</v>
      </c>
      <c r="P461" s="5">
        <v>1.86</v>
      </c>
      <c r="Q461" s="5"/>
      <c r="R461" s="68">
        <v>45418</v>
      </c>
      <c r="S461" s="5"/>
      <c r="T461" s="5"/>
      <c r="U461" s="46" t="s">
        <v>75</v>
      </c>
    </row>
    <row r="462" spans="1:21" x14ac:dyDescent="0.3">
      <c r="A462" s="5" t="s">
        <v>268</v>
      </c>
      <c r="B462" s="5" t="s">
        <v>75</v>
      </c>
      <c r="C462" s="5" t="s">
        <v>509</v>
      </c>
      <c r="D462" s="5">
        <v>3</v>
      </c>
      <c r="E462" s="5">
        <v>3</v>
      </c>
      <c r="F462" s="5">
        <v>2</v>
      </c>
      <c r="G462" s="5"/>
      <c r="H462" s="5">
        <v>1564</v>
      </c>
      <c r="I462" s="68">
        <v>45121</v>
      </c>
      <c r="J462" s="5"/>
      <c r="K462" s="5"/>
      <c r="L462" s="5" t="s">
        <v>787</v>
      </c>
      <c r="M462" s="5">
        <v>2905</v>
      </c>
      <c r="N462" s="5">
        <v>1.86</v>
      </c>
      <c r="O462" s="5">
        <v>2905</v>
      </c>
      <c r="P462" s="5">
        <v>1.86</v>
      </c>
      <c r="Q462" s="5"/>
      <c r="R462" s="68">
        <v>45375</v>
      </c>
      <c r="S462" s="5"/>
      <c r="T462" s="5"/>
      <c r="U462" s="46" t="s">
        <v>75</v>
      </c>
    </row>
    <row r="463" spans="1:21" x14ac:dyDescent="0.3">
      <c r="A463" s="5" t="s">
        <v>268</v>
      </c>
      <c r="B463" s="5" t="s">
        <v>75</v>
      </c>
      <c r="C463" s="5" t="s">
        <v>525</v>
      </c>
      <c r="D463" s="5">
        <v>1</v>
      </c>
      <c r="E463" s="5">
        <v>3</v>
      </c>
      <c r="F463" s="5">
        <v>2</v>
      </c>
      <c r="G463" s="5"/>
      <c r="H463" s="5">
        <v>1564</v>
      </c>
      <c r="I463" s="68">
        <v>45317</v>
      </c>
      <c r="J463" s="5"/>
      <c r="K463" s="5"/>
      <c r="L463" s="5" t="s">
        <v>787</v>
      </c>
      <c r="M463" s="5">
        <v>2940</v>
      </c>
      <c r="N463" s="5">
        <v>1.88</v>
      </c>
      <c r="O463" s="5">
        <v>2940</v>
      </c>
      <c r="P463" s="5">
        <v>1.88</v>
      </c>
      <c r="Q463" s="68">
        <v>45252</v>
      </c>
      <c r="R463" s="68">
        <v>45339</v>
      </c>
      <c r="S463" s="5">
        <v>88</v>
      </c>
      <c r="T463" s="5">
        <v>23</v>
      </c>
      <c r="U463" s="46" t="s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3"/>
  <sheetViews>
    <sheetView showGridLines="0" workbookViewId="0">
      <selection activeCell="I16" sqref="I16"/>
    </sheetView>
  </sheetViews>
  <sheetFormatPr defaultRowHeight="14.4" x14ac:dyDescent="0.3"/>
  <cols>
    <col min="1" max="1" width="26" customWidth="1"/>
    <col min="2" max="4" width="14" customWidth="1"/>
    <col min="5" max="5" width="16" customWidth="1"/>
    <col min="6" max="6" width="40" customWidth="1"/>
  </cols>
  <sheetData>
    <row r="1" spans="1:6" ht="19.2" x14ac:dyDescent="0.35">
      <c r="A1" s="65" t="s">
        <v>789</v>
      </c>
    </row>
    <row r="2" spans="1:6" x14ac:dyDescent="0.3">
      <c r="A2" s="2" t="s">
        <v>790</v>
      </c>
    </row>
    <row r="4" spans="1:6" x14ac:dyDescent="0.3">
      <c r="A4" s="3" t="s">
        <v>791</v>
      </c>
      <c r="B4" s="4"/>
      <c r="C4" s="4"/>
      <c r="D4" s="4"/>
      <c r="E4" s="4"/>
      <c r="F4" s="4"/>
    </row>
    <row r="5" spans="1:6" ht="26.4" x14ac:dyDescent="0.3">
      <c r="A5" s="7" t="s">
        <v>792</v>
      </c>
      <c r="B5" s="7" t="s">
        <v>793</v>
      </c>
      <c r="C5" s="7" t="s">
        <v>794</v>
      </c>
      <c r="D5" s="7" t="s">
        <v>795</v>
      </c>
      <c r="E5" s="7" t="s">
        <v>796</v>
      </c>
      <c r="F5" s="7" t="s">
        <v>797</v>
      </c>
    </row>
    <row r="6" spans="1:6" ht="79.8" x14ac:dyDescent="0.3">
      <c r="A6" s="9" t="s">
        <v>798</v>
      </c>
      <c r="B6" s="11">
        <v>559150</v>
      </c>
      <c r="C6" s="11">
        <v>559886.66</v>
      </c>
      <c r="D6" s="11">
        <f>B6-C6</f>
        <v>-736.6600000000326</v>
      </c>
      <c r="E6" s="14">
        <f>IF(C6=0,"-",D6/C6)</f>
        <v>-1.3157305801856979E-3</v>
      </c>
      <c r="F6" s="69" t="s">
        <v>799</v>
      </c>
    </row>
    <row r="7" spans="1:6" ht="22.8" x14ac:dyDescent="0.3">
      <c r="A7" s="9" t="s">
        <v>800</v>
      </c>
      <c r="B7" s="11">
        <v>497096.77</v>
      </c>
      <c r="C7" s="11">
        <v>491971.4</v>
      </c>
      <c r="D7" s="11">
        <f>B7-C7</f>
        <v>5125.3699999999953</v>
      </c>
      <c r="E7" s="14">
        <f>IF(C7=0,"-",D7/C7)</f>
        <v>1.0418024299786522E-2</v>
      </c>
      <c r="F7" s="69" t="s">
        <v>801</v>
      </c>
    </row>
    <row r="8" spans="1:6" ht="22.8" x14ac:dyDescent="0.3">
      <c r="A8" s="9" t="s">
        <v>802</v>
      </c>
      <c r="B8" s="11">
        <v>5965161.2400000002</v>
      </c>
      <c r="C8" s="11">
        <v>6375655.9199999999</v>
      </c>
      <c r="D8" s="11">
        <f>B8-C8</f>
        <v>-410494.6799999997</v>
      </c>
      <c r="E8" s="14">
        <f>IF(C8=0,"-",D8/C8)</f>
        <v>-6.438469784925277E-2</v>
      </c>
      <c r="F8" s="69" t="s">
        <v>803</v>
      </c>
    </row>
    <row r="9" spans="1:6" x14ac:dyDescent="0.3">
      <c r="A9" s="9" t="s">
        <v>804</v>
      </c>
      <c r="B9" s="11">
        <v>-8808.5</v>
      </c>
      <c r="C9" s="11">
        <v>57116.12</v>
      </c>
      <c r="D9" s="11">
        <f>B9-C9</f>
        <v>-65924.62</v>
      </c>
      <c r="E9" s="14">
        <f>IF(C9=0,"-",D9/C9)</f>
        <v>-1.1542209099637719</v>
      </c>
      <c r="F9" s="69" t="s">
        <v>805</v>
      </c>
    </row>
    <row r="11" spans="1:6" x14ac:dyDescent="0.3">
      <c r="A11" s="3" t="s">
        <v>806</v>
      </c>
      <c r="B11" s="4"/>
      <c r="C11" s="4"/>
      <c r="D11" s="4"/>
      <c r="E11" s="4"/>
      <c r="F11" s="4"/>
    </row>
    <row r="12" spans="1:6" x14ac:dyDescent="0.3">
      <c r="A12" s="7" t="s">
        <v>792</v>
      </c>
      <c r="B12" s="7" t="s">
        <v>807</v>
      </c>
      <c r="C12" s="7"/>
      <c r="D12" s="7"/>
      <c r="E12" s="7"/>
      <c r="F12" s="7" t="s">
        <v>797</v>
      </c>
    </row>
    <row r="13" spans="1:6" ht="28.05" customHeight="1" x14ac:dyDescent="0.3">
      <c r="A13" s="9" t="s">
        <v>808</v>
      </c>
      <c r="B13" s="11">
        <v>1847.274074074074</v>
      </c>
      <c r="F13" s="69" t="s">
        <v>809</v>
      </c>
    </row>
    <row r="14" spans="1:6" ht="28.05" customHeight="1" x14ac:dyDescent="0.3">
      <c r="A14" s="9" t="s">
        <v>810</v>
      </c>
      <c r="B14" s="11">
        <v>1638.2559523809521</v>
      </c>
      <c r="F14" s="69" t="s">
        <v>811</v>
      </c>
    </row>
    <row r="15" spans="1:6" ht="28.05" customHeight="1" x14ac:dyDescent="0.3">
      <c r="A15" s="9" t="s">
        <v>812</v>
      </c>
      <c r="B15" s="11">
        <v>1823.362368421052</v>
      </c>
      <c r="F15" s="69" t="s">
        <v>813</v>
      </c>
    </row>
    <row r="16" spans="1:6" ht="28.05" customHeight="1" x14ac:dyDescent="0.3">
      <c r="A16" s="9" t="s">
        <v>814</v>
      </c>
      <c r="B16" s="11">
        <v>23.9117056530215</v>
      </c>
      <c r="F16" s="69" t="s">
        <v>815</v>
      </c>
    </row>
    <row r="17" spans="1:6" ht="28.05" customHeight="1" x14ac:dyDescent="0.3">
      <c r="A17" s="9" t="s">
        <v>816</v>
      </c>
      <c r="B17" s="70">
        <v>15</v>
      </c>
      <c r="F17" s="69" t="s">
        <v>817</v>
      </c>
    </row>
    <row r="18" spans="1:6" ht="28.05" customHeight="1" x14ac:dyDescent="0.3">
      <c r="A18" s="9" t="s">
        <v>818</v>
      </c>
      <c r="B18" s="11">
        <v>1832.274074074074</v>
      </c>
      <c r="F18" s="69" t="s">
        <v>819</v>
      </c>
    </row>
    <row r="19" spans="1:6" ht="28.05" customHeight="1" x14ac:dyDescent="0.3">
      <c r="A19" s="9" t="s">
        <v>820</v>
      </c>
      <c r="B19" s="11">
        <v>1623.2559523809521</v>
      </c>
      <c r="F19" s="69" t="s">
        <v>821</v>
      </c>
    </row>
    <row r="20" spans="1:6" ht="30" customHeight="1" x14ac:dyDescent="0.3">
      <c r="A20" s="27" t="s">
        <v>822</v>
      </c>
      <c r="B20" s="82" t="s">
        <v>823</v>
      </c>
      <c r="C20" s="77"/>
      <c r="D20" s="77"/>
      <c r="E20" s="77"/>
      <c r="F20" s="77"/>
    </row>
    <row r="22" spans="1:6" x14ac:dyDescent="0.3">
      <c r="A22" s="3" t="s">
        <v>824</v>
      </c>
      <c r="B22" s="4"/>
      <c r="C22" s="4"/>
      <c r="D22" s="4"/>
      <c r="E22" s="4"/>
      <c r="F22" s="4"/>
    </row>
    <row r="23" spans="1:6" ht="26.4" x14ac:dyDescent="0.3">
      <c r="A23" s="7" t="s">
        <v>825</v>
      </c>
      <c r="B23" s="7" t="s">
        <v>826</v>
      </c>
      <c r="C23" s="7" t="s">
        <v>827</v>
      </c>
      <c r="D23" s="7" t="s">
        <v>828</v>
      </c>
      <c r="E23" s="7" t="s">
        <v>829</v>
      </c>
    </row>
    <row r="24" spans="1:6" x14ac:dyDescent="0.3">
      <c r="A24" s="5" t="s">
        <v>375</v>
      </c>
      <c r="B24" s="45" t="s">
        <v>100</v>
      </c>
      <c r="C24" s="15"/>
      <c r="D24" s="11">
        <v>497096.77</v>
      </c>
      <c r="E24" s="71" t="s">
        <v>830</v>
      </c>
    </row>
    <row r="25" spans="1:6" x14ac:dyDescent="0.3">
      <c r="A25" s="5" t="s">
        <v>376</v>
      </c>
      <c r="B25" s="45" t="s">
        <v>119</v>
      </c>
      <c r="C25" s="15"/>
      <c r="D25" s="11">
        <v>-42182.5</v>
      </c>
      <c r="E25" s="72" t="s">
        <v>831</v>
      </c>
    </row>
    <row r="26" spans="1:6" x14ac:dyDescent="0.3">
      <c r="A26" s="5" t="s">
        <v>377</v>
      </c>
      <c r="B26" s="45" t="s">
        <v>119</v>
      </c>
      <c r="C26" s="15"/>
      <c r="D26" s="11">
        <v>17965</v>
      </c>
      <c r="E26" s="72" t="s">
        <v>831</v>
      </c>
    </row>
    <row r="27" spans="1:6" x14ac:dyDescent="0.3">
      <c r="A27" s="5" t="s">
        <v>378</v>
      </c>
      <c r="B27" s="45" t="s">
        <v>119</v>
      </c>
      <c r="C27" s="15"/>
      <c r="D27" s="11">
        <v>6760</v>
      </c>
      <c r="E27" s="72" t="s">
        <v>831</v>
      </c>
    </row>
    <row r="28" spans="1:6" x14ac:dyDescent="0.3">
      <c r="A28" s="5" t="s">
        <v>379</v>
      </c>
      <c r="B28" s="45" t="s">
        <v>119</v>
      </c>
      <c r="C28" s="15"/>
      <c r="D28" s="11">
        <v>2780</v>
      </c>
      <c r="E28" s="72" t="s">
        <v>831</v>
      </c>
    </row>
    <row r="29" spans="1:6" x14ac:dyDescent="0.3">
      <c r="A29" s="5" t="s">
        <v>380</v>
      </c>
      <c r="B29" s="45" t="s">
        <v>119</v>
      </c>
      <c r="C29" s="15"/>
      <c r="D29" s="11">
        <v>2050</v>
      </c>
      <c r="E29" s="72" t="s">
        <v>831</v>
      </c>
    </row>
    <row r="30" spans="1:6" x14ac:dyDescent="0.3">
      <c r="A30" s="5" t="s">
        <v>381</v>
      </c>
      <c r="B30" s="45" t="s">
        <v>119</v>
      </c>
      <c r="C30" s="15"/>
      <c r="D30" s="11">
        <v>1500</v>
      </c>
      <c r="E30" s="72" t="s">
        <v>831</v>
      </c>
    </row>
    <row r="31" spans="1:6" x14ac:dyDescent="0.3">
      <c r="A31" s="5" t="s">
        <v>382</v>
      </c>
      <c r="B31" s="45" t="s">
        <v>119</v>
      </c>
      <c r="C31" s="15"/>
      <c r="D31" s="11">
        <v>700</v>
      </c>
      <c r="E31" s="72" t="s">
        <v>831</v>
      </c>
    </row>
    <row r="32" spans="1:6" x14ac:dyDescent="0.3">
      <c r="A32" s="5" t="s">
        <v>383</v>
      </c>
      <c r="B32" s="45" t="s">
        <v>119</v>
      </c>
      <c r="C32" s="15"/>
      <c r="D32" s="11">
        <v>650</v>
      </c>
      <c r="E32" s="72" t="s">
        <v>831</v>
      </c>
    </row>
    <row r="33" spans="1:6" x14ac:dyDescent="0.3">
      <c r="A33" s="5" t="s">
        <v>384</v>
      </c>
      <c r="B33" s="45" t="s">
        <v>119</v>
      </c>
      <c r="C33" s="15"/>
      <c r="D33" s="11">
        <v>600</v>
      </c>
      <c r="E33" s="72" t="s">
        <v>831</v>
      </c>
    </row>
    <row r="34" spans="1:6" x14ac:dyDescent="0.3">
      <c r="A34" s="5" t="s">
        <v>385</v>
      </c>
      <c r="B34" s="45" t="s">
        <v>119</v>
      </c>
      <c r="C34" s="15"/>
      <c r="D34" s="11">
        <v>240</v>
      </c>
      <c r="E34" s="72" t="s">
        <v>831</v>
      </c>
    </row>
    <row r="35" spans="1:6" x14ac:dyDescent="0.3">
      <c r="A35" s="5" t="s">
        <v>386</v>
      </c>
      <c r="B35" s="45" t="s">
        <v>119</v>
      </c>
      <c r="C35" s="15"/>
      <c r="D35" s="11">
        <v>75</v>
      </c>
      <c r="E35" s="72" t="s">
        <v>831</v>
      </c>
    </row>
    <row r="36" spans="1:6" x14ac:dyDescent="0.3">
      <c r="A36" s="5" t="s">
        <v>387</v>
      </c>
      <c r="B36" s="45" t="s">
        <v>119</v>
      </c>
      <c r="C36" s="15"/>
      <c r="D36" s="11">
        <v>29</v>
      </c>
      <c r="E36" s="72" t="s">
        <v>831</v>
      </c>
    </row>
    <row r="37" spans="1:6" x14ac:dyDescent="0.3">
      <c r="A37" s="5" t="s">
        <v>388</v>
      </c>
      <c r="B37" s="45" t="s">
        <v>119</v>
      </c>
      <c r="C37" s="15"/>
      <c r="D37" s="11">
        <v>25</v>
      </c>
      <c r="E37" s="72" t="s">
        <v>831</v>
      </c>
    </row>
    <row r="39" spans="1:6" x14ac:dyDescent="0.3">
      <c r="A39" s="3" t="s">
        <v>832</v>
      </c>
      <c r="B39" s="4"/>
      <c r="C39" s="4"/>
      <c r="D39" s="4"/>
      <c r="E39" s="4"/>
      <c r="F39" s="4"/>
    </row>
    <row r="40" spans="1:6" ht="30" customHeight="1" x14ac:dyDescent="0.3">
      <c r="A40" s="83" t="s">
        <v>833</v>
      </c>
      <c r="B40" s="77"/>
      <c r="C40" s="77"/>
      <c r="D40" s="77"/>
      <c r="E40" s="77"/>
      <c r="F40" s="77"/>
    </row>
    <row r="41" spans="1:6" x14ac:dyDescent="0.3">
      <c r="A41" s="7" t="s">
        <v>834</v>
      </c>
      <c r="B41" s="7" t="s">
        <v>835</v>
      </c>
      <c r="C41" s="7" t="s">
        <v>836</v>
      </c>
      <c r="D41" s="7" t="s">
        <v>837</v>
      </c>
      <c r="E41" s="7" t="s">
        <v>838</v>
      </c>
      <c r="F41" s="7" t="s">
        <v>839</v>
      </c>
    </row>
    <row r="42" spans="1:6" ht="30" customHeight="1" x14ac:dyDescent="0.3">
      <c r="A42" s="5" t="s">
        <v>375</v>
      </c>
      <c r="B42" s="11">
        <v>497096.77</v>
      </c>
      <c r="C42" s="73" t="s">
        <v>840</v>
      </c>
      <c r="D42" s="15" t="s">
        <v>841</v>
      </c>
      <c r="E42" s="71" t="s">
        <v>830</v>
      </c>
      <c r="F42" s="69" t="s">
        <v>842</v>
      </c>
    </row>
    <row r="43" spans="1:6" ht="30" customHeight="1" x14ac:dyDescent="0.3">
      <c r="A43" s="5" t="s">
        <v>376</v>
      </c>
      <c r="B43" s="11">
        <v>-42182.5</v>
      </c>
      <c r="C43" s="74" t="s">
        <v>840</v>
      </c>
      <c r="D43" s="15" t="s">
        <v>841</v>
      </c>
      <c r="E43" s="71" t="s">
        <v>830</v>
      </c>
      <c r="F43" s="75" t="s">
        <v>843</v>
      </c>
    </row>
    <row r="44" spans="1:6" ht="30" customHeight="1" x14ac:dyDescent="0.3">
      <c r="A44" s="5" t="s">
        <v>377</v>
      </c>
      <c r="B44" s="11">
        <v>17965</v>
      </c>
      <c r="C44" s="73" t="s">
        <v>844</v>
      </c>
      <c r="D44" s="15" t="s">
        <v>841</v>
      </c>
      <c r="E44" s="72" t="s">
        <v>831</v>
      </c>
      <c r="F44" s="69" t="s">
        <v>845</v>
      </c>
    </row>
    <row r="45" spans="1:6" ht="30" customHeight="1" x14ac:dyDescent="0.3">
      <c r="A45" s="5" t="s">
        <v>378</v>
      </c>
      <c r="B45" s="11">
        <v>6760</v>
      </c>
      <c r="C45" s="73" t="s">
        <v>846</v>
      </c>
      <c r="D45" s="15" t="s">
        <v>841</v>
      </c>
      <c r="E45" s="72" t="s">
        <v>831</v>
      </c>
      <c r="F45" s="69" t="s">
        <v>847</v>
      </c>
    </row>
    <row r="46" spans="1:6" ht="30" customHeight="1" x14ac:dyDescent="0.3">
      <c r="A46" s="5" t="s">
        <v>379</v>
      </c>
      <c r="B46" s="11">
        <v>2780</v>
      </c>
      <c r="C46" s="73" t="s">
        <v>844</v>
      </c>
      <c r="D46" s="15" t="s">
        <v>841</v>
      </c>
      <c r="E46" s="72" t="s">
        <v>831</v>
      </c>
      <c r="F46" s="69" t="s">
        <v>848</v>
      </c>
    </row>
    <row r="47" spans="1:6" ht="30" customHeight="1" x14ac:dyDescent="0.3">
      <c r="A47" s="5" t="s">
        <v>380</v>
      </c>
      <c r="B47" s="11">
        <v>2050</v>
      </c>
      <c r="C47" s="73" t="s">
        <v>844</v>
      </c>
      <c r="D47" s="15" t="s">
        <v>841</v>
      </c>
      <c r="E47" s="72" t="s">
        <v>831</v>
      </c>
      <c r="F47" s="69" t="s">
        <v>849</v>
      </c>
    </row>
    <row r="48" spans="1:6" ht="30" customHeight="1" x14ac:dyDescent="0.3">
      <c r="A48" s="5" t="s">
        <v>381</v>
      </c>
      <c r="B48" s="11">
        <v>1500</v>
      </c>
      <c r="C48" s="73" t="s">
        <v>844</v>
      </c>
      <c r="D48" s="15" t="s">
        <v>850</v>
      </c>
      <c r="E48" s="72" t="s">
        <v>831</v>
      </c>
      <c r="F48" s="69" t="s">
        <v>851</v>
      </c>
    </row>
    <row r="49" spans="1:6" ht="30" customHeight="1" x14ac:dyDescent="0.3">
      <c r="A49" s="5" t="s">
        <v>382</v>
      </c>
      <c r="B49" s="11">
        <v>700</v>
      </c>
      <c r="C49" s="73" t="s">
        <v>844</v>
      </c>
      <c r="D49" s="15" t="s">
        <v>850</v>
      </c>
      <c r="E49" s="72" t="s">
        <v>831</v>
      </c>
      <c r="F49" s="69" t="s">
        <v>852</v>
      </c>
    </row>
    <row r="50" spans="1:6" ht="30" customHeight="1" x14ac:dyDescent="0.3">
      <c r="A50" s="5" t="s">
        <v>383</v>
      </c>
      <c r="B50" s="11">
        <v>650</v>
      </c>
      <c r="C50" s="73" t="s">
        <v>844</v>
      </c>
      <c r="D50" s="15" t="s">
        <v>853</v>
      </c>
      <c r="E50" s="72" t="s">
        <v>831</v>
      </c>
      <c r="F50" s="69" t="s">
        <v>854</v>
      </c>
    </row>
    <row r="51" spans="1:6" ht="30" customHeight="1" x14ac:dyDescent="0.3">
      <c r="A51" s="5" t="s">
        <v>384</v>
      </c>
      <c r="B51" s="11">
        <v>600</v>
      </c>
      <c r="C51" s="73" t="s">
        <v>844</v>
      </c>
      <c r="D51" s="15" t="s">
        <v>853</v>
      </c>
      <c r="E51" s="72" t="s">
        <v>831</v>
      </c>
      <c r="F51" s="69" t="s">
        <v>855</v>
      </c>
    </row>
    <row r="52" spans="1:6" ht="30" customHeight="1" x14ac:dyDescent="0.3">
      <c r="A52" s="5" t="s">
        <v>385</v>
      </c>
      <c r="B52" s="11">
        <v>240</v>
      </c>
      <c r="C52" s="73" t="s">
        <v>844</v>
      </c>
      <c r="D52" s="15" t="s">
        <v>853</v>
      </c>
      <c r="E52" s="72" t="s">
        <v>831</v>
      </c>
      <c r="F52" s="69" t="s">
        <v>856</v>
      </c>
    </row>
    <row r="53" spans="1:6" ht="30" customHeight="1" x14ac:dyDescent="0.3">
      <c r="A53" s="5" t="s">
        <v>386</v>
      </c>
      <c r="B53" s="11">
        <v>75</v>
      </c>
      <c r="C53" s="73" t="s">
        <v>844</v>
      </c>
      <c r="D53" s="15" t="s">
        <v>853</v>
      </c>
      <c r="E53" s="72" t="s">
        <v>831</v>
      </c>
      <c r="F53" s="69" t="s">
        <v>857</v>
      </c>
    </row>
    <row r="54" spans="1:6" ht="30" customHeight="1" x14ac:dyDescent="0.3">
      <c r="A54" s="5" t="s">
        <v>387</v>
      </c>
      <c r="B54" s="11">
        <v>29</v>
      </c>
      <c r="C54" s="73" t="s">
        <v>844</v>
      </c>
      <c r="D54" s="15" t="s">
        <v>853</v>
      </c>
      <c r="E54" s="72" t="s">
        <v>831</v>
      </c>
      <c r="F54" s="69" t="s">
        <v>858</v>
      </c>
    </row>
    <row r="55" spans="1:6" ht="30" customHeight="1" x14ac:dyDescent="0.3">
      <c r="A55" s="5" t="s">
        <v>388</v>
      </c>
      <c r="B55" s="11">
        <v>25</v>
      </c>
      <c r="C55" s="73" t="s">
        <v>844</v>
      </c>
      <c r="D55" s="15" t="s">
        <v>853</v>
      </c>
      <c r="E55" s="72" t="s">
        <v>831</v>
      </c>
      <c r="F55" s="69" t="s">
        <v>859</v>
      </c>
    </row>
    <row r="57" spans="1:6" x14ac:dyDescent="0.3">
      <c r="A57" s="3" t="s">
        <v>860</v>
      </c>
      <c r="B57" s="4"/>
      <c r="C57" s="4"/>
      <c r="D57" s="4"/>
      <c r="E57" s="4"/>
      <c r="F57" s="4"/>
    </row>
    <row r="58" spans="1:6" ht="30" customHeight="1" x14ac:dyDescent="0.3">
      <c r="A58" s="27" t="s">
        <v>861</v>
      </c>
      <c r="B58" s="78" t="s">
        <v>862</v>
      </c>
      <c r="C58" s="77"/>
      <c r="D58" s="77"/>
      <c r="E58" s="77"/>
      <c r="F58" s="77"/>
    </row>
    <row r="59" spans="1:6" ht="30" customHeight="1" x14ac:dyDescent="0.3">
      <c r="A59" s="27" t="s">
        <v>863</v>
      </c>
      <c r="B59" s="78" t="s">
        <v>864</v>
      </c>
      <c r="C59" s="77"/>
      <c r="D59" s="77"/>
      <c r="E59" s="77"/>
      <c r="F59" s="77"/>
    </row>
    <row r="61" spans="1:6" x14ac:dyDescent="0.3">
      <c r="A61" s="3" t="s">
        <v>865</v>
      </c>
      <c r="B61" s="4"/>
      <c r="C61" s="4"/>
      <c r="D61" s="4"/>
      <c r="E61" s="4"/>
      <c r="F61" s="4"/>
    </row>
    <row r="62" spans="1:6" ht="26.4" x14ac:dyDescent="0.3">
      <c r="A62" s="7" t="s">
        <v>866</v>
      </c>
      <c r="B62" s="7" t="s">
        <v>867</v>
      </c>
      <c r="C62" s="7" t="s">
        <v>868</v>
      </c>
      <c r="D62" s="7" t="s">
        <v>869</v>
      </c>
      <c r="E62" s="7" t="s">
        <v>797</v>
      </c>
    </row>
    <row r="63" spans="1:6" ht="28.05" customHeight="1" x14ac:dyDescent="0.3">
      <c r="A63" s="9" t="s">
        <v>870</v>
      </c>
      <c r="B63" s="11">
        <v>3401721</v>
      </c>
      <c r="C63" s="11">
        <v>3401721</v>
      </c>
      <c r="D63" s="13">
        <v>0</v>
      </c>
      <c r="E63" s="69" t="s">
        <v>871</v>
      </c>
    </row>
  </sheetData>
  <mergeCells count="4">
    <mergeCell ref="B20:F20"/>
    <mergeCell ref="A40:F40"/>
    <mergeCell ref="B58:F58"/>
    <mergeCell ref="B59:F5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14" customWidth="1"/>
  </cols>
  <sheetData>
    <row r="1" spans="1:3" ht="19.2" x14ac:dyDescent="0.35">
      <c r="A1" s="65" t="s">
        <v>872</v>
      </c>
    </row>
    <row r="2" spans="1:3" x14ac:dyDescent="0.3">
      <c r="A2" s="2" t="s">
        <v>873</v>
      </c>
    </row>
    <row r="4" spans="1:3" x14ac:dyDescent="0.3">
      <c r="A4" s="41" t="s">
        <v>95</v>
      </c>
      <c r="B4" s="38" t="s">
        <v>96</v>
      </c>
      <c r="C4" s="41" t="s">
        <v>874</v>
      </c>
    </row>
    <row r="5" spans="1:3" x14ac:dyDescent="0.3">
      <c r="A5" s="45" t="s">
        <v>100</v>
      </c>
      <c r="B5" s="5" t="s">
        <v>274</v>
      </c>
      <c r="C5" s="15" t="s">
        <v>875</v>
      </c>
    </row>
    <row r="6" spans="1:3" x14ac:dyDescent="0.3">
      <c r="A6" s="45" t="s">
        <v>119</v>
      </c>
      <c r="B6" s="5" t="s">
        <v>275</v>
      </c>
      <c r="C6" s="15" t="s">
        <v>875</v>
      </c>
    </row>
    <row r="7" spans="1:3" x14ac:dyDescent="0.3">
      <c r="A7" s="45" t="s">
        <v>136</v>
      </c>
      <c r="B7" s="5" t="s">
        <v>276</v>
      </c>
      <c r="C7" s="15" t="s">
        <v>875</v>
      </c>
    </row>
    <row r="8" spans="1:3" x14ac:dyDescent="0.3">
      <c r="A8" s="45" t="s">
        <v>138</v>
      </c>
      <c r="B8" s="5" t="s">
        <v>277</v>
      </c>
      <c r="C8" s="15" t="s">
        <v>875</v>
      </c>
    </row>
    <row r="9" spans="1:3" x14ac:dyDescent="0.3">
      <c r="A9" s="45" t="s">
        <v>134</v>
      </c>
      <c r="B9" s="5" t="s">
        <v>278</v>
      </c>
      <c r="C9" s="15" t="s">
        <v>875</v>
      </c>
    </row>
    <row r="10" spans="1:3" x14ac:dyDescent="0.3">
      <c r="A10" s="45" t="s">
        <v>114</v>
      </c>
      <c r="B10" s="5" t="s">
        <v>279</v>
      </c>
      <c r="C10" s="15" t="s">
        <v>875</v>
      </c>
    </row>
    <row r="11" spans="1:3" x14ac:dyDescent="0.3">
      <c r="A11" s="45" t="s">
        <v>280</v>
      </c>
      <c r="B11" s="5" t="s">
        <v>281</v>
      </c>
      <c r="C11" s="15" t="s">
        <v>875</v>
      </c>
    </row>
    <row r="12" spans="1:3" x14ac:dyDescent="0.3">
      <c r="A12" s="45" t="s">
        <v>282</v>
      </c>
      <c r="B12" s="5" t="s">
        <v>283</v>
      </c>
      <c r="C12" s="15" t="s">
        <v>875</v>
      </c>
    </row>
    <row r="13" spans="1:3" x14ac:dyDescent="0.3">
      <c r="A13" s="45" t="s">
        <v>102</v>
      </c>
      <c r="B13" s="5" t="s">
        <v>284</v>
      </c>
      <c r="C13" s="15" t="s">
        <v>875</v>
      </c>
    </row>
    <row r="14" spans="1:3" x14ac:dyDescent="0.3">
      <c r="A14" s="45" t="s">
        <v>104</v>
      </c>
      <c r="B14" s="5" t="s">
        <v>105</v>
      </c>
      <c r="C14" s="15" t="s">
        <v>875</v>
      </c>
    </row>
    <row r="15" spans="1:3" x14ac:dyDescent="0.3">
      <c r="A15" s="45" t="s">
        <v>111</v>
      </c>
      <c r="B15" s="5" t="s">
        <v>285</v>
      </c>
      <c r="C15" s="15" t="s">
        <v>875</v>
      </c>
    </row>
    <row r="16" spans="1:3" x14ac:dyDescent="0.3">
      <c r="A16" s="45" t="s">
        <v>106</v>
      </c>
      <c r="B16" s="5" t="s">
        <v>286</v>
      </c>
      <c r="C16" s="15" t="s">
        <v>875</v>
      </c>
    </row>
    <row r="17" spans="1:3" x14ac:dyDescent="0.3">
      <c r="A17" s="45" t="s">
        <v>109</v>
      </c>
      <c r="B17" s="5" t="s">
        <v>287</v>
      </c>
      <c r="C17" s="15" t="s">
        <v>875</v>
      </c>
    </row>
    <row r="18" spans="1:3" x14ac:dyDescent="0.3">
      <c r="A18" s="45" t="s">
        <v>143</v>
      </c>
      <c r="B18" s="5" t="s">
        <v>289</v>
      </c>
      <c r="C18" s="15" t="s">
        <v>876</v>
      </c>
    </row>
    <row r="19" spans="1:3" x14ac:dyDescent="0.3">
      <c r="A19" s="45" t="s">
        <v>155</v>
      </c>
      <c r="B19" s="5" t="s">
        <v>290</v>
      </c>
      <c r="C19" s="15" t="s">
        <v>876</v>
      </c>
    </row>
    <row r="20" spans="1:3" x14ac:dyDescent="0.3">
      <c r="A20" s="45" t="s">
        <v>153</v>
      </c>
      <c r="B20" s="5" t="s">
        <v>291</v>
      </c>
      <c r="C20" s="15" t="s">
        <v>876</v>
      </c>
    </row>
    <row r="21" spans="1:3" x14ac:dyDescent="0.3">
      <c r="A21" s="45" t="s">
        <v>215</v>
      </c>
      <c r="B21" s="5" t="s">
        <v>292</v>
      </c>
      <c r="C21" s="15" t="s">
        <v>876</v>
      </c>
    </row>
    <row r="22" spans="1:3" x14ac:dyDescent="0.3">
      <c r="A22" s="45" t="s">
        <v>165</v>
      </c>
      <c r="B22" s="5" t="s">
        <v>293</v>
      </c>
      <c r="C22" s="15" t="s">
        <v>876</v>
      </c>
    </row>
    <row r="23" spans="1:3" x14ac:dyDescent="0.3">
      <c r="A23" s="45" t="s">
        <v>182</v>
      </c>
      <c r="B23" s="5" t="s">
        <v>294</v>
      </c>
      <c r="C23" s="15" t="s">
        <v>876</v>
      </c>
    </row>
    <row r="24" spans="1:3" x14ac:dyDescent="0.3">
      <c r="A24" s="45" t="s">
        <v>192</v>
      </c>
      <c r="B24" s="5" t="s">
        <v>295</v>
      </c>
      <c r="C24" s="15" t="s">
        <v>876</v>
      </c>
    </row>
    <row r="25" spans="1:3" x14ac:dyDescent="0.3">
      <c r="A25" s="45" t="s">
        <v>178</v>
      </c>
      <c r="B25" s="5" t="s">
        <v>296</v>
      </c>
      <c r="C25" s="15" t="s">
        <v>876</v>
      </c>
    </row>
    <row r="26" spans="1:3" x14ac:dyDescent="0.3">
      <c r="A26" s="45" t="s">
        <v>297</v>
      </c>
      <c r="B26" s="5" t="s">
        <v>298</v>
      </c>
      <c r="C26" s="15" t="s">
        <v>876</v>
      </c>
    </row>
    <row r="27" spans="1:3" x14ac:dyDescent="0.3">
      <c r="A27" s="45" t="s">
        <v>299</v>
      </c>
      <c r="B27" s="5" t="s">
        <v>258</v>
      </c>
      <c r="C27" s="15" t="s">
        <v>876</v>
      </c>
    </row>
    <row r="28" spans="1:3" x14ac:dyDescent="0.3">
      <c r="A28" s="45" t="s">
        <v>300</v>
      </c>
      <c r="B28" s="5" t="s">
        <v>301</v>
      </c>
      <c r="C28" s="15" t="s">
        <v>876</v>
      </c>
    </row>
    <row r="29" spans="1:3" x14ac:dyDescent="0.3">
      <c r="A29" s="45" t="s">
        <v>174</v>
      </c>
      <c r="B29" s="5" t="s">
        <v>302</v>
      </c>
      <c r="C29" s="15" t="s">
        <v>876</v>
      </c>
    </row>
    <row r="30" spans="1:3" x14ac:dyDescent="0.3">
      <c r="A30" s="45" t="s">
        <v>170</v>
      </c>
      <c r="B30" s="5" t="s">
        <v>303</v>
      </c>
      <c r="C30" s="15" t="s">
        <v>876</v>
      </c>
    </row>
    <row r="31" spans="1:3" x14ac:dyDescent="0.3">
      <c r="A31" s="45" t="s">
        <v>304</v>
      </c>
      <c r="B31" s="5" t="s">
        <v>305</v>
      </c>
      <c r="C31" s="15" t="s">
        <v>876</v>
      </c>
    </row>
    <row r="32" spans="1:3" x14ac:dyDescent="0.3">
      <c r="A32" s="45" t="s">
        <v>250</v>
      </c>
      <c r="B32" s="5" t="s">
        <v>306</v>
      </c>
      <c r="C32" s="15" t="s">
        <v>876</v>
      </c>
    </row>
    <row r="33" spans="1:3" x14ac:dyDescent="0.3">
      <c r="A33" s="45" t="s">
        <v>252</v>
      </c>
      <c r="B33" s="5" t="s">
        <v>307</v>
      </c>
      <c r="C33" s="15" t="s">
        <v>876</v>
      </c>
    </row>
    <row r="34" spans="1:3" x14ac:dyDescent="0.3">
      <c r="A34" s="45" t="s">
        <v>158</v>
      </c>
      <c r="B34" s="5" t="s">
        <v>308</v>
      </c>
      <c r="C34" s="15" t="s">
        <v>876</v>
      </c>
    </row>
    <row r="35" spans="1:3" x14ac:dyDescent="0.3">
      <c r="A35" s="45" t="s">
        <v>309</v>
      </c>
      <c r="B35" s="5" t="s">
        <v>310</v>
      </c>
      <c r="C35" s="15" t="s">
        <v>876</v>
      </c>
    </row>
    <row r="36" spans="1:3" x14ac:dyDescent="0.3">
      <c r="A36" s="45" t="s">
        <v>311</v>
      </c>
      <c r="B36" s="5" t="s">
        <v>312</v>
      </c>
      <c r="C36" s="15" t="s">
        <v>876</v>
      </c>
    </row>
    <row r="37" spans="1:3" x14ac:dyDescent="0.3">
      <c r="A37" s="45" t="s">
        <v>315</v>
      </c>
      <c r="B37" s="5" t="s">
        <v>316</v>
      </c>
      <c r="C37" s="15" t="s">
        <v>877</v>
      </c>
    </row>
    <row r="38" spans="1:3" x14ac:dyDescent="0.3">
      <c r="A38" s="45" t="s">
        <v>318</v>
      </c>
      <c r="B38" s="5" t="s">
        <v>319</v>
      </c>
      <c r="C38" s="15" t="s">
        <v>878</v>
      </c>
    </row>
    <row r="39" spans="1:3" x14ac:dyDescent="0.3">
      <c r="A39" s="45" t="s">
        <v>320</v>
      </c>
      <c r="B39" s="5" t="s">
        <v>321</v>
      </c>
      <c r="C39" s="15" t="s">
        <v>878</v>
      </c>
    </row>
    <row r="40" spans="1:3" x14ac:dyDescent="0.3">
      <c r="A40" s="45" t="s">
        <v>322</v>
      </c>
      <c r="B40" s="5" t="s">
        <v>323</v>
      </c>
      <c r="C40" s="15" t="s">
        <v>878</v>
      </c>
    </row>
    <row r="41" spans="1:3" x14ac:dyDescent="0.3">
      <c r="A41" s="45" t="s">
        <v>324</v>
      </c>
      <c r="B41" s="5" t="s">
        <v>325</v>
      </c>
      <c r="C41" s="15" t="s">
        <v>878</v>
      </c>
    </row>
    <row r="42" spans="1:3" x14ac:dyDescent="0.3">
      <c r="A42" s="45" t="s">
        <v>326</v>
      </c>
      <c r="B42" s="5" t="s">
        <v>327</v>
      </c>
      <c r="C42" s="15" t="s">
        <v>878</v>
      </c>
    </row>
    <row r="43" spans="1:3" x14ac:dyDescent="0.3">
      <c r="A43" s="45" t="s">
        <v>328</v>
      </c>
      <c r="B43" s="5" t="s">
        <v>329</v>
      </c>
      <c r="C43" s="15" t="s">
        <v>878</v>
      </c>
    </row>
    <row r="44" spans="1:3" x14ac:dyDescent="0.3">
      <c r="A44" s="45" t="s">
        <v>330</v>
      </c>
      <c r="B44" s="5" t="s">
        <v>331</v>
      </c>
      <c r="C44" s="15" t="s">
        <v>878</v>
      </c>
    </row>
    <row r="45" spans="1:3" x14ac:dyDescent="0.3">
      <c r="A45" s="45" t="s">
        <v>332</v>
      </c>
      <c r="B45" s="5" t="s">
        <v>333</v>
      </c>
      <c r="C45" s="15" t="s">
        <v>878</v>
      </c>
    </row>
    <row r="46" spans="1:3" x14ac:dyDescent="0.3">
      <c r="A46" s="45" t="s">
        <v>334</v>
      </c>
      <c r="B46" s="5" t="s">
        <v>335</v>
      </c>
      <c r="C46" s="15" t="s">
        <v>878</v>
      </c>
    </row>
    <row r="47" spans="1:3" x14ac:dyDescent="0.3">
      <c r="A47" s="45" t="s">
        <v>336</v>
      </c>
      <c r="B47" s="5" t="s">
        <v>337</v>
      </c>
      <c r="C47" s="15" t="s">
        <v>878</v>
      </c>
    </row>
    <row r="48" spans="1:3" x14ac:dyDescent="0.3">
      <c r="A48" s="45" t="s">
        <v>338</v>
      </c>
      <c r="B48" s="5" t="s">
        <v>339</v>
      </c>
      <c r="C48" s="15" t="s">
        <v>878</v>
      </c>
    </row>
    <row r="49" spans="1:3" x14ac:dyDescent="0.3">
      <c r="A49" s="45" t="s">
        <v>340</v>
      </c>
      <c r="B49" s="5" t="s">
        <v>341</v>
      </c>
      <c r="C49" s="15" t="s">
        <v>878</v>
      </c>
    </row>
    <row r="50" spans="1:3" x14ac:dyDescent="0.3">
      <c r="A50" s="45" t="s">
        <v>342</v>
      </c>
      <c r="B50" s="5" t="s">
        <v>343</v>
      </c>
      <c r="C50" s="15" t="s">
        <v>878</v>
      </c>
    </row>
    <row r="51" spans="1:3" x14ac:dyDescent="0.3">
      <c r="A51" s="45" t="s">
        <v>344</v>
      </c>
      <c r="B51" s="5" t="s">
        <v>345</v>
      </c>
      <c r="C51" s="15" t="s">
        <v>878</v>
      </c>
    </row>
    <row r="52" spans="1:3" x14ac:dyDescent="0.3">
      <c r="A52" s="45" t="s">
        <v>346</v>
      </c>
      <c r="B52" s="5" t="s">
        <v>347</v>
      </c>
      <c r="C52" s="15" t="s">
        <v>878</v>
      </c>
    </row>
    <row r="53" spans="1:3" x14ac:dyDescent="0.3">
      <c r="A53" s="45" t="s">
        <v>348</v>
      </c>
      <c r="B53" s="5" t="s">
        <v>349</v>
      </c>
      <c r="C53" s="15" t="s">
        <v>878</v>
      </c>
    </row>
    <row r="54" spans="1:3" x14ac:dyDescent="0.3">
      <c r="A54" s="45" t="s">
        <v>350</v>
      </c>
      <c r="B54" s="5" t="s">
        <v>351</v>
      </c>
      <c r="C54" s="15" t="s">
        <v>878</v>
      </c>
    </row>
    <row r="55" spans="1:3" x14ac:dyDescent="0.3">
      <c r="A55" s="45" t="s">
        <v>352</v>
      </c>
      <c r="B55" s="5" t="s">
        <v>353</v>
      </c>
      <c r="C55" s="15" t="s">
        <v>878</v>
      </c>
    </row>
    <row r="56" spans="1:3" x14ac:dyDescent="0.3">
      <c r="A56" s="45" t="s">
        <v>354</v>
      </c>
      <c r="B56" s="5" t="s">
        <v>355</v>
      </c>
      <c r="C56" s="15" t="s">
        <v>878</v>
      </c>
    </row>
    <row r="57" spans="1:3" x14ac:dyDescent="0.3">
      <c r="A57" s="45" t="s">
        <v>356</v>
      </c>
      <c r="B57" s="5" t="s">
        <v>357</v>
      </c>
      <c r="C57" s="15" t="s">
        <v>878</v>
      </c>
    </row>
    <row r="58" spans="1:3" x14ac:dyDescent="0.3">
      <c r="A58" s="45" t="s">
        <v>358</v>
      </c>
      <c r="B58" s="5" t="s">
        <v>359</v>
      </c>
      <c r="C58" s="15" t="s">
        <v>878</v>
      </c>
    </row>
    <row r="59" spans="1:3" x14ac:dyDescent="0.3">
      <c r="A59" s="45" t="s">
        <v>360</v>
      </c>
      <c r="B59" s="5" t="s">
        <v>361</v>
      </c>
      <c r="C59" s="15" t="s">
        <v>878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10B43F0F-C630-468E-8F44-785DCCF25C57}"/>
</file>

<file path=customXml/itemProps2.xml><?xml version="1.0" encoding="utf-8"?>
<ds:datastoreItem xmlns:ds="http://schemas.openxmlformats.org/officeDocument/2006/customXml" ds:itemID="{A3C79DDC-2362-42AB-B0B8-CF12078DACCC}"/>
</file>

<file path=customXml/itemProps3.xml><?xml version="1.0" encoding="utf-8"?>
<ds:datastoreItem xmlns:ds="http://schemas.openxmlformats.org/officeDocument/2006/customXml" ds:itemID="{3E6CF89B-94F8-4D88-B72C-91033B321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T12 Categorized</vt:lpstr>
      <vt:lpstr>OS Summary</vt:lpstr>
      <vt:lpstr>Rent Roll (One-Line) 05-23-26</vt:lpstr>
      <vt:lpstr>Rent Roll (One-Line) 02-26-24</vt:lpstr>
      <vt:lpstr>Lease Trend</vt:lpstr>
      <vt:lpstr>HelloData</vt:lpstr>
      <vt:lpstr>Reconciliation</vt:lpstr>
      <vt:lpstr>Codes</vt:lpstr>
      <vt:lpstr>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Ritter</cp:lastModifiedBy>
  <dcterms:created xsi:type="dcterms:W3CDTF">2026-06-23T19:18:43Z</dcterms:created>
  <dcterms:modified xsi:type="dcterms:W3CDTF">2026-06-23T19:45:08Z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