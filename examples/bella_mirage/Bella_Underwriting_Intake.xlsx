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12 Categorized" sheetId="2" state="visible" r:id="rId2"/>
    <sheet name="OS Summary" sheetId="3" state="visible" r:id="rId3"/>
    <sheet name="Rent Roll (One-Line)" sheetId="4" state="visible" r:id="rId4"/>
    <sheet name="Lease Trend" sheetId="5" state="visible" r:id="rId5"/>
    <sheet name="HelloData" sheetId="6" state="visible" r:id="rId6"/>
    <sheet name="Reconciliation" sheetId="7" state="visible" r:id="rId7"/>
    <sheet name="Codes" sheetId="8" state="visible" r:id="rId8"/>
  </sheets>
  <definedNames>
    <definedName name="CodeList">Codes!$A$5:$A$59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mmm yyyy"/>
    <numFmt numFmtId="166" formatCode="#,##0;(#,##0);&quot;-&quot;"/>
    <numFmt numFmtId="167" formatCode="mm/dd/yyyy"/>
    <numFmt numFmtId="168" formatCode="0.0%;(0.0%);&quot;-&quot;"/>
    <numFmt numFmtId="169" formatCode="#,##0.00;(#,##0.00);&quot;-&quot;"/>
    <numFmt numFmtId="170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808080"/>
      <sz val="9"/>
    </font>
    <font>
      <name val="Arial"/>
      <i val="1"/>
      <color rgb="00808080"/>
      <sz val="8"/>
    </font>
    <font>
      <name val="Arial"/>
      <b val="1"/>
      <color rgb="001F3864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color rgb="00843C0C"/>
      <sz val="10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808080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b val="1"/>
      <color rgb="00C00000"/>
      <sz val="10"/>
    </font>
    <font>
      <name val="Arial"/>
      <b val="1"/>
      <color rgb="001F3864"/>
      <sz val="16"/>
    </font>
    <font>
      <name val="Arial"/>
      <b val="1"/>
      <color rgb="00843C0C"/>
      <sz val="10"/>
    </font>
    <font>
      <name val="Arial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8EAADB"/>
      </patternFill>
    </fill>
    <fill>
      <patternFill patternType="solid">
        <fgColor rgb="00F2F5FB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top style="thin">
        <color rgb="00404040"/>
      </top>
    </border>
    <border>
      <top style="double">
        <color rgb="00404040"/>
      </top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9" fillId="0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5" fillId="0" borderId="0" pivotButton="0" quotePrefix="0" xfId="0"/>
    <xf numFmtId="1" fontId="10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/>
    </xf>
    <xf numFmtId="0" fontId="10" fillId="0" borderId="0" pivotButton="0" quotePrefix="0" xfId="0"/>
    <xf numFmtId="1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166" fontId="20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170" fontId="10" fillId="0" borderId="0" applyAlignment="1" pivotButton="0" quotePrefix="0" xfId="0">
      <alignment horizontal="right" vertical="center"/>
    </xf>
    <xf numFmtId="0" fontId="10" fillId="7" borderId="0" pivotButton="0" quotePrefix="0" xfId="0"/>
    <xf numFmtId="1" fontId="5" fillId="7" borderId="0" applyAlignment="1" pivotButton="0" quotePrefix="0" xfId="0">
      <alignment horizontal="center" vertical="center"/>
    </xf>
    <xf numFmtId="166" fontId="5" fillId="7" borderId="0" applyAlignment="1" pivotButton="0" quotePrefix="0" xfId="0">
      <alignment horizontal="right" vertical="center"/>
    </xf>
    <xf numFmtId="166" fontId="20" fillId="7" borderId="0" applyAlignment="1" pivotButton="0" quotePrefix="0" xfId="0">
      <alignment horizontal="right" vertical="center"/>
    </xf>
    <xf numFmtId="166" fontId="17" fillId="7" borderId="0" applyAlignment="1" pivotButton="0" quotePrefix="0" xfId="0">
      <alignment horizontal="right" vertical="center"/>
    </xf>
    <xf numFmtId="168" fontId="5" fillId="7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left" vertical="center"/>
    </xf>
    <xf numFmtId="166" fontId="10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1" fontId="8" fillId="0" borderId="2" applyAlignment="1" pivotButton="0" quotePrefix="0" xfId="0">
      <alignment horizontal="center" vertical="center"/>
    </xf>
    <xf numFmtId="166" fontId="8" fillId="0" borderId="2" applyAlignment="1" pivotButton="0" quotePrefix="0" xfId="0">
      <alignment horizontal="right" vertical="center"/>
    </xf>
    <xf numFmtId="166" fontId="20" fillId="0" borderId="2" applyAlignment="1" pivotButton="0" quotePrefix="0" xfId="0">
      <alignment horizontal="right" vertical="center"/>
    </xf>
    <xf numFmtId="166" fontId="17" fillId="0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right" vertical="center"/>
    </xf>
    <xf numFmtId="0" fontId="7" fillId="0" borderId="0" pivotButton="0" quotePrefix="0" xfId="0"/>
    <xf numFmtId="0" fontId="3" fillId="8" borderId="0" pivotButton="0" quotePrefix="0" xfId="0"/>
    <xf numFmtId="0" fontId="0" fillId="8" borderId="0" pivotButton="0" quotePrefix="0" xfId="0"/>
    <xf numFmtId="0" fontId="11" fillId="0" borderId="0" applyAlignment="1" pivotButton="0" quotePrefix="0" xfId="0">
      <alignment vertical="center" wrapText="1"/>
    </xf>
    <xf numFmtId="0" fontId="3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8" fillId="4" borderId="0" pivotButton="0" quotePrefix="0" xfId="0"/>
    <xf numFmtId="0" fontId="4" fillId="0" borderId="0" applyAlignment="1" pivotButton="0" quotePrefix="0" xfId="0">
      <alignment horizontal="center" vertical="center"/>
    </xf>
    <xf numFmtId="0" fontId="9" fillId="0" borderId="0" pivotButton="0" quotePrefix="0" xfId="0"/>
    <xf numFmtId="166" fontId="5" fillId="0" borderId="0" pivotButton="0" quotePrefix="0" xfId="0"/>
    <xf numFmtId="166" fontId="10" fillId="0" borderId="0" pivotButton="0" quotePrefix="0" xfId="0"/>
    <xf numFmtId="166" fontId="5" fillId="5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pivotButton="0" quotePrefix="0" xfId="0"/>
    <xf numFmtId="166" fontId="10" fillId="4" borderId="1" pivotButton="0" quotePrefix="0" xfId="0"/>
    <xf numFmtId="0" fontId="16" fillId="2" borderId="0" pivotButton="0" quotePrefix="0" xfId="0"/>
    <xf numFmtId="166" fontId="16" fillId="2" borderId="2" pivotButton="0" quotePrefix="0" xfId="0"/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167" fontId="5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1" fillId="0" borderId="0" pivotButton="0" quotePrefix="0" xfId="0"/>
    <xf numFmtId="1" fontId="5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" customWidth="1" min="3" max="3"/>
    <col width="12" customWidth="1" min="4" max="4"/>
    <col width="5" customWidth="1" min="5" max="5"/>
    <col width="5" customWidth="1" min="6" max="6"/>
    <col width="6" customWidth="1" min="7" max="7"/>
    <col width="5" customWidth="1" min="8" max="8"/>
    <col width="5" customWidth="1" min="9" max="9"/>
    <col width="8" customWidth="1" min="10" max="10"/>
    <col width="11" customWidth="1" min="11" max="11"/>
    <col width="12" customWidth="1" min="12" max="12"/>
    <col width="7" customWidth="1" min="13" max="13"/>
    <col width="7" customWidth="1" min="14" max="14"/>
    <col width="12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9" customWidth="1" min="27" max="27"/>
  </cols>
  <sheetData>
    <row r="1">
      <c r="A1" s="1" t="inlineStr">
        <is>
          <t>Bella Mirage — Underwriting Intake</t>
        </is>
      </c>
    </row>
    <row r="2">
      <c r="A2" s="2" t="inlineStr">
        <is>
          <t>Generated June 19, 2026  ·  RR-T12 Processor intake  ·  Operating period Jan 2023 – Dec 2025 (36 mo, 3 statements stitched)</t>
        </is>
      </c>
    </row>
    <row r="3">
      <c r="A3" s="2" t="inlineStr">
        <is>
          <t>Data vintage  ·  Rent roll as-of 05/23/2026  ·  Latest financial statement thru Dec 2025</t>
        </is>
      </c>
    </row>
    <row r="4">
      <c r="A4" s="3" t="inlineStr">
        <is>
          <t>SNAPSHOT</t>
        </is>
      </c>
      <c r="B4" s="4" t="n"/>
      <c r="D4" s="3" t="inlineStr">
        <is>
          <t>UNIT MIX  —  mix-weighted market-rent indicators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>
      <c r="A5" s="5" t="inlineStr">
        <is>
          <t>Units</t>
        </is>
      </c>
      <c r="B5" s="6" t="n">
        <v>715</v>
      </c>
      <c r="D5" s="7" t="inlineStr">
        <is>
          <t>Floor Plan</t>
        </is>
      </c>
      <c r="E5" s="7" t="inlineStr">
        <is>
          <t>Bed</t>
        </is>
      </c>
      <c r="F5" s="7" t="inlineStr">
        <is>
          <t>Bath</t>
        </is>
      </c>
      <c r="G5" s="7" t="inlineStr">
        <is>
          <t>Units</t>
        </is>
      </c>
      <c r="H5" s="7" t="inlineStr">
        <is>
          <t>Occ</t>
        </is>
      </c>
      <c r="I5" s="7" t="inlineStr">
        <is>
          <t>Vac</t>
        </is>
      </c>
      <c r="J5" s="7" t="inlineStr">
        <is>
          <t>Avg SF</t>
        </is>
      </c>
      <c r="K5" s="7" t="inlineStr">
        <is>
          <t>Avg Market Rent
(per RR — not a
mkt signal)</t>
        </is>
      </c>
      <c r="L5" s="7" t="inlineStr">
        <is>
          <t>Avg Contract
Rent</t>
        </is>
      </c>
      <c r="M5" s="7" t="inlineStr">
        <is>
          <t>New
Leases</t>
        </is>
      </c>
      <c r="N5" s="7" t="inlineStr">
        <is>
          <t>Renew
Leases</t>
        </is>
      </c>
      <c r="O5" s="7" t="inlineStr">
        <is>
          <t>Avg New-Lease
(last 5)</t>
        </is>
      </c>
      <c r="P5" s="7" t="inlineStr">
        <is>
          <t>New #1</t>
        </is>
      </c>
      <c r="Q5" s="7" t="inlineStr">
        <is>
          <t>New #2</t>
        </is>
      </c>
      <c r="R5" s="7" t="inlineStr">
        <is>
          <t>New #3</t>
        </is>
      </c>
      <c r="S5" s="7" t="inlineStr">
        <is>
          <t>New #4</t>
        </is>
      </c>
      <c r="T5" s="7" t="inlineStr">
        <is>
          <t>New #5</t>
        </is>
      </c>
      <c r="U5" s="7" t="inlineStr">
        <is>
          <t>HD T90
Asking</t>
        </is>
      </c>
      <c r="V5" s="7" t="inlineStr">
        <is>
          <t>HD T90
Effective</t>
        </is>
      </c>
      <c r="W5" s="7" t="inlineStr">
        <is>
          <t>HD T365
Asking</t>
        </is>
      </c>
      <c r="X5" s="7" t="inlineStr">
        <is>
          <t>HD T365
Effective</t>
        </is>
      </c>
      <c r="Y5" s="7" t="inlineStr">
        <is>
          <t>HD90 YoY
Asking</t>
        </is>
      </c>
      <c r="Z5" s="7" t="inlineStr">
        <is>
          <t>HD90 YoY
Effective</t>
        </is>
      </c>
      <c r="AA5" s="7" t="inlineStr">
        <is>
          <t>Bed/Bath
Src</t>
        </is>
      </c>
      <c r="AB5" s="7" t="inlineStr">
        <is>
          <t>HD Plan
(website)</t>
        </is>
      </c>
    </row>
    <row r="6">
      <c r="A6" s="5" t="inlineStr">
        <is>
          <t>Occupied / Vacant / Non-Rev</t>
        </is>
      </c>
      <c r="B6" s="8" t="inlineStr">
        <is>
          <t>643 / 72 / 0</t>
        </is>
      </c>
      <c r="D6" s="9" t="inlineStr">
        <is>
          <t>A1</t>
        </is>
      </c>
      <c r="E6" s="10" t="n">
        <v>1</v>
      </c>
      <c r="F6" s="10" t="n">
        <v>1</v>
      </c>
      <c r="G6" s="10" t="n">
        <v>71</v>
      </c>
      <c r="H6" s="10" t="n">
        <v>65</v>
      </c>
      <c r="I6" s="10" t="n">
        <v>6</v>
      </c>
      <c r="J6" s="11" t="n">
        <v>739</v>
      </c>
      <c r="K6" s="11" t="n">
        <v>1153</v>
      </c>
      <c r="L6" s="11" t="n">
        <v>1196</v>
      </c>
      <c r="M6" s="10" t="n">
        <v>34</v>
      </c>
      <c r="N6" s="10" t="n">
        <v>31</v>
      </c>
      <c r="O6" s="12" t="n">
        <v>1088</v>
      </c>
      <c r="P6" s="11" t="n">
        <v>1055</v>
      </c>
      <c r="Q6" s="11" t="n">
        <v>1092</v>
      </c>
      <c r="R6" s="11" t="n">
        <v>1167</v>
      </c>
      <c r="S6" s="11" t="n">
        <v>1119</v>
      </c>
      <c r="T6" s="11" t="n">
        <v>1008</v>
      </c>
      <c r="U6" s="11" t="n">
        <v>1079</v>
      </c>
      <c r="V6" s="13" t="n">
        <v>1079</v>
      </c>
      <c r="W6" s="11" t="n">
        <v>1125</v>
      </c>
      <c r="X6" s="11" t="n">
        <v>1093</v>
      </c>
      <c r="Y6" s="14" t="n">
        <v>-0.1154510584721694</v>
      </c>
      <c r="Z6" s="14" t="n">
        <v>-0.04137843498127824</v>
      </c>
      <c r="AA6" s="15" t="inlineStr">
        <is>
          <t>inferred</t>
        </is>
      </c>
      <c r="AB6" s="16" t="inlineStr">
        <is>
          <t>Brook</t>
        </is>
      </c>
    </row>
    <row r="7">
      <c r="A7" s="5" t="inlineStr">
        <is>
          <t>Occupancy %</t>
        </is>
      </c>
      <c r="B7" s="17" t="n">
        <v>0.8993006993006993</v>
      </c>
      <c r="D7" s="18" t="inlineStr">
        <is>
          <t>A1R</t>
        </is>
      </c>
      <c r="E7" s="19" t="n">
        <v>1</v>
      </c>
      <c r="F7" s="19" t="n">
        <v>1</v>
      </c>
      <c r="G7" s="19" t="n">
        <v>16</v>
      </c>
      <c r="H7" s="19" t="n">
        <v>12</v>
      </c>
      <c r="I7" s="19" t="n">
        <v>4</v>
      </c>
      <c r="J7" s="20" t="n">
        <v>739</v>
      </c>
      <c r="K7" s="20" t="n">
        <v>1290</v>
      </c>
      <c r="L7" s="20" t="n">
        <v>1325</v>
      </c>
      <c r="M7" s="19" t="n">
        <v>5</v>
      </c>
      <c r="N7" s="19" t="n">
        <v>7</v>
      </c>
      <c r="O7" s="21" t="n">
        <v>1215</v>
      </c>
      <c r="P7" s="20" t="n">
        <v>1218</v>
      </c>
      <c r="Q7" s="20" t="n">
        <v>1134</v>
      </c>
      <c r="R7" s="20" t="n">
        <v>1102</v>
      </c>
      <c r="S7" s="20" t="n">
        <v>1408</v>
      </c>
      <c r="T7" s="20" t="n">
        <v>1215</v>
      </c>
      <c r="U7" s="20" t="n">
        <v>1178</v>
      </c>
      <c r="V7" s="22" t="n">
        <v>1178</v>
      </c>
      <c r="W7" s="20" t="n">
        <v>1211</v>
      </c>
      <c r="X7" s="20" t="n">
        <v>1175</v>
      </c>
      <c r="Y7" s="23" t="n">
        <v>-0.1637073863636364</v>
      </c>
      <c r="Z7" s="23" t="n">
        <v>-0.09423076923076923</v>
      </c>
      <c r="AA7" s="24" t="inlineStr">
        <is>
          <t>inferred</t>
        </is>
      </c>
      <c r="AB7" s="25" t="inlineStr">
        <is>
          <t>Brook</t>
        </is>
      </c>
    </row>
    <row r="8">
      <c r="A8" s="5" t="inlineStr">
        <is>
          <t>Total Rentable SF</t>
        </is>
      </c>
      <c r="B8" s="26" t="n">
        <v>677256</v>
      </c>
      <c r="D8" s="9" t="inlineStr">
        <is>
          <t>A2</t>
        </is>
      </c>
      <c r="E8" s="10" t="n">
        <v>1</v>
      </c>
      <c r="F8" s="10" t="n">
        <v>1</v>
      </c>
      <c r="G8" s="10" t="n">
        <v>196</v>
      </c>
      <c r="H8" s="10" t="n">
        <v>179</v>
      </c>
      <c r="I8" s="10" t="n">
        <v>17</v>
      </c>
      <c r="J8" s="11" t="n">
        <v>777</v>
      </c>
      <c r="K8" s="11" t="n">
        <v>1206</v>
      </c>
      <c r="L8" s="11" t="n">
        <v>1246</v>
      </c>
      <c r="M8" s="10" t="n">
        <v>88</v>
      </c>
      <c r="N8" s="10" t="n">
        <v>91</v>
      </c>
      <c r="O8" s="12" t="n">
        <v>1164</v>
      </c>
      <c r="P8" s="11" t="n">
        <v>1066</v>
      </c>
      <c r="Q8" s="11" t="n">
        <v>1180</v>
      </c>
      <c r="R8" s="11" t="n">
        <v>1148</v>
      </c>
      <c r="S8" s="11" t="n">
        <v>1143</v>
      </c>
      <c r="T8" s="11" t="n">
        <v>1281</v>
      </c>
      <c r="U8" s="11" t="n">
        <v>1160</v>
      </c>
      <c r="V8" s="13" t="n">
        <v>1160</v>
      </c>
      <c r="W8" s="11" t="n">
        <v>1162</v>
      </c>
      <c r="X8" s="11" t="n">
        <v>1142</v>
      </c>
      <c r="Y8" s="14" t="n">
        <v>-0.07748101385532835</v>
      </c>
      <c r="Z8" s="14" t="n">
        <v>0.003443803390133837</v>
      </c>
      <c r="AA8" s="15" t="inlineStr">
        <is>
          <t>inferred</t>
        </is>
      </c>
      <c r="AB8" s="16" t="inlineStr">
        <is>
          <t>Cascade</t>
        </is>
      </c>
    </row>
    <row r="9">
      <c r="A9" s="5" t="inlineStr">
        <is>
          <t>New / Renewal leases</t>
        </is>
      </c>
      <c r="B9" s="8" t="inlineStr">
        <is>
          <t>318 / 325</t>
        </is>
      </c>
      <c r="D9" s="18" t="inlineStr">
        <is>
          <t>A2R</t>
        </is>
      </c>
      <c r="E9" s="19" t="n">
        <v>1</v>
      </c>
      <c r="F9" s="19" t="n">
        <v>1</v>
      </c>
      <c r="G9" s="19" t="n">
        <v>50</v>
      </c>
      <c r="H9" s="19" t="n">
        <v>40</v>
      </c>
      <c r="I9" s="19" t="n">
        <v>10</v>
      </c>
      <c r="J9" s="20" t="n">
        <v>777</v>
      </c>
      <c r="K9" s="20" t="n">
        <v>1320</v>
      </c>
      <c r="L9" s="20" t="n">
        <v>1321</v>
      </c>
      <c r="M9" s="19" t="n">
        <v>27</v>
      </c>
      <c r="N9" s="19" t="n">
        <v>13</v>
      </c>
      <c r="O9" s="21" t="n">
        <v>1226</v>
      </c>
      <c r="P9" s="20" t="n">
        <v>1266</v>
      </c>
      <c r="Q9" s="20" t="n">
        <v>1238</v>
      </c>
      <c r="R9" s="20" t="n">
        <v>1249</v>
      </c>
      <c r="S9" s="20" t="n">
        <v>1192</v>
      </c>
      <c r="T9" s="20" t="n">
        <v>1184</v>
      </c>
      <c r="U9" s="20" t="n">
        <v>1234</v>
      </c>
      <c r="V9" s="22" t="n">
        <v>1234</v>
      </c>
      <c r="W9" s="20" t="n">
        <v>1256</v>
      </c>
      <c r="X9" s="20" t="n">
        <v>1223</v>
      </c>
      <c r="Y9" s="23" t="n">
        <v>-0.04894026974951826</v>
      </c>
      <c r="Z9" s="23" t="n">
        <v>0.03177257525083621</v>
      </c>
      <c r="AA9" s="24" t="inlineStr">
        <is>
          <t>inferred</t>
        </is>
      </c>
      <c r="AB9" s="25" t="inlineStr">
        <is>
          <t>Cascade</t>
        </is>
      </c>
    </row>
    <row r="10">
      <c r="A10" s="27" t="inlineStr">
        <is>
          <t>— Market Rent Indicators (true signal) —</t>
        </is>
      </c>
      <c r="D10" s="9" t="inlineStr">
        <is>
          <t>B1</t>
        </is>
      </c>
      <c r="E10" s="10" t="n">
        <v>2</v>
      </c>
      <c r="F10" s="10" t="n">
        <v>2</v>
      </c>
      <c r="G10" s="10" t="n">
        <v>116</v>
      </c>
      <c r="H10" s="10" t="n">
        <v>111</v>
      </c>
      <c r="I10" s="10" t="n">
        <v>5</v>
      </c>
      <c r="J10" s="11" t="n">
        <v>947</v>
      </c>
      <c r="K10" s="11" t="n">
        <v>1418</v>
      </c>
      <c r="L10" s="11" t="n">
        <v>1445</v>
      </c>
      <c r="M10" s="10" t="n">
        <v>53</v>
      </c>
      <c r="N10" s="10" t="n">
        <v>58</v>
      </c>
      <c r="O10" s="12" t="n">
        <v>1347</v>
      </c>
      <c r="P10" s="11" t="n">
        <v>1466</v>
      </c>
      <c r="Q10" s="11" t="n">
        <v>1207</v>
      </c>
      <c r="R10" s="11" t="n">
        <v>1290</v>
      </c>
      <c r="S10" s="11" t="n">
        <v>1333</v>
      </c>
      <c r="T10" s="11" t="n">
        <v>1438</v>
      </c>
      <c r="U10" s="11" t="n">
        <v>1340</v>
      </c>
      <c r="V10" s="13" t="n">
        <v>1340</v>
      </c>
      <c r="W10" s="11" t="n">
        <v>1329</v>
      </c>
      <c r="X10" s="11" t="n">
        <v>1299</v>
      </c>
      <c r="Y10" s="14" t="n">
        <v>-0.03940489349625065</v>
      </c>
      <c r="Z10" s="14" t="n">
        <v>0.04457150282632716</v>
      </c>
      <c r="AA10" s="15" t="inlineStr">
        <is>
          <t>inferred</t>
        </is>
      </c>
      <c r="AB10" s="16" t="inlineStr">
        <is>
          <t>Rain</t>
        </is>
      </c>
    </row>
    <row r="11">
      <c r="A11" s="5" t="inlineStr">
        <is>
          <t>HelloData asking, T90 (mix-wtd)</t>
        </is>
      </c>
      <c r="B11" s="26" t="n">
        <v>1391</v>
      </c>
      <c r="D11" s="18" t="inlineStr">
        <is>
          <t>B1R</t>
        </is>
      </c>
      <c r="E11" s="19" t="n">
        <v>2</v>
      </c>
      <c r="F11" s="19" t="n">
        <v>2</v>
      </c>
      <c r="G11" s="19" t="n">
        <v>34</v>
      </c>
      <c r="H11" s="19" t="n">
        <v>28</v>
      </c>
      <c r="I11" s="19" t="n">
        <v>6</v>
      </c>
      <c r="J11" s="20" t="n">
        <v>947</v>
      </c>
      <c r="K11" s="20" t="n">
        <v>1543</v>
      </c>
      <c r="L11" s="20" t="n">
        <v>1504</v>
      </c>
      <c r="M11" s="19" t="n">
        <v>20</v>
      </c>
      <c r="N11" s="19" t="n">
        <v>8</v>
      </c>
      <c r="O11" s="21" t="n">
        <v>1471</v>
      </c>
      <c r="P11" s="20" t="n">
        <v>1394</v>
      </c>
      <c r="Q11" s="20" t="n">
        <v>1449</v>
      </c>
      <c r="R11" s="20" t="n">
        <v>1606</v>
      </c>
      <c r="S11" s="20" t="n">
        <v>1423</v>
      </c>
      <c r="T11" s="20" t="n">
        <v>1484</v>
      </c>
      <c r="U11" s="20" t="n">
        <v>1383</v>
      </c>
      <c r="V11" s="22" t="n">
        <v>1383</v>
      </c>
      <c r="W11" s="20" t="n">
        <v>1470</v>
      </c>
      <c r="X11" s="20" t="n">
        <v>1438</v>
      </c>
      <c r="Y11" s="23" t="n">
        <v>-0.0632196884172499</v>
      </c>
      <c r="Z11" s="23" t="n">
        <v>0.01724419745014694</v>
      </c>
      <c r="AA11" s="24" t="inlineStr">
        <is>
          <t>inferred</t>
        </is>
      </c>
      <c r="AB11" s="25" t="inlineStr">
        <is>
          <t>Rain</t>
        </is>
      </c>
    </row>
    <row r="12">
      <c r="A12" s="5" t="inlineStr">
        <is>
          <t>HelloData effective, T90 (mix-wtd)</t>
        </is>
      </c>
      <c r="B12" s="26" t="n">
        <v>1391</v>
      </c>
      <c r="D12" s="9" t="inlineStr">
        <is>
          <t>B2</t>
        </is>
      </c>
      <c r="E12" s="10" t="n">
        <v>2</v>
      </c>
      <c r="F12" s="10" t="n">
        <v>2</v>
      </c>
      <c r="G12" s="10" t="n">
        <v>17</v>
      </c>
      <c r="H12" s="10" t="n">
        <v>16</v>
      </c>
      <c r="I12" s="10" t="n">
        <v>1</v>
      </c>
      <c r="J12" s="11" t="n">
        <v>1040</v>
      </c>
      <c r="K12" s="11" t="n">
        <v>1586</v>
      </c>
      <c r="L12" s="11" t="n">
        <v>1574</v>
      </c>
      <c r="M12" s="10" t="n">
        <v>7</v>
      </c>
      <c r="N12" s="10" t="n">
        <v>9</v>
      </c>
      <c r="O12" s="12" t="n">
        <v>1559</v>
      </c>
      <c r="P12" s="11" t="n">
        <v>1586</v>
      </c>
      <c r="Q12" s="11" t="n">
        <v>1638</v>
      </c>
      <c r="R12" s="11" t="n">
        <v>1443</v>
      </c>
      <c r="S12" s="11" t="n">
        <v>1623</v>
      </c>
      <c r="T12" s="11" t="n">
        <v>1505</v>
      </c>
      <c r="U12" s="11" t="n">
        <v>1579</v>
      </c>
      <c r="V12" s="13" t="n">
        <v>1579</v>
      </c>
      <c r="W12" s="11" t="n">
        <v>1540</v>
      </c>
      <c r="X12" s="11" t="n">
        <v>1500</v>
      </c>
      <c r="Y12" s="14" t="n">
        <v>0.03586267220642902</v>
      </c>
      <c r="Z12" s="14" t="n">
        <v>0.124910947518404</v>
      </c>
      <c r="AA12" s="15" t="inlineStr">
        <is>
          <t>inferred</t>
        </is>
      </c>
      <c r="AB12" s="16" t="inlineStr">
        <is>
          <t>Isla</t>
        </is>
      </c>
    </row>
    <row r="13">
      <c r="A13" s="5" t="inlineStr">
        <is>
          <t>New-lease contract, T90 (avg)</t>
        </is>
      </c>
      <c r="B13" s="26" t="n">
        <v>1329</v>
      </c>
      <c r="D13" s="18" t="inlineStr">
        <is>
          <t>B2R</t>
        </is>
      </c>
      <c r="E13" s="19" t="n">
        <v>2</v>
      </c>
      <c r="F13" s="19" t="n">
        <v>2</v>
      </c>
      <c r="G13" s="19" t="n">
        <v>4</v>
      </c>
      <c r="H13" s="19" t="n">
        <v>4</v>
      </c>
      <c r="I13" s="19" t="n">
        <v>0</v>
      </c>
      <c r="J13" s="20" t="n">
        <v>1040</v>
      </c>
      <c r="K13" s="20" t="n">
        <v>1702</v>
      </c>
      <c r="L13" s="20" t="n">
        <v>1822</v>
      </c>
      <c r="M13" s="19" t="n">
        <v>2</v>
      </c>
      <c r="N13" s="19" t="n">
        <v>2</v>
      </c>
      <c r="O13" s="21" t="n">
        <v>1792</v>
      </c>
      <c r="P13" s="20" t="n">
        <v>1771</v>
      </c>
      <c r="Q13" s="20" t="n">
        <v>1813</v>
      </c>
      <c r="R13" s="20" t="n"/>
      <c r="S13" s="20" t="n"/>
      <c r="T13" s="20" t="n"/>
      <c r="U13" s="20" t="n">
        <v>1813</v>
      </c>
      <c r="V13" s="22" t="n">
        <v>1813</v>
      </c>
      <c r="W13" s="20" t="n">
        <v>1813</v>
      </c>
      <c r="X13" s="20" t="n">
        <v>1813</v>
      </c>
      <c r="Y13" s="23" t="n">
        <v>0.1893724032363875</v>
      </c>
      <c r="Z13" s="23" t="n">
        <v>0.29161719306578</v>
      </c>
      <c r="AA13" s="24" t="inlineStr">
        <is>
          <t>inferred</t>
        </is>
      </c>
      <c r="AB13" s="25" t="inlineStr">
        <is>
          <t>Isla</t>
        </is>
      </c>
    </row>
    <row r="14">
      <c r="A14" s="27" t="inlineStr">
        <is>
          <t>— T12 Annualized (most recent 12 mo.) —</t>
        </is>
      </c>
      <c r="D14" s="9" t="inlineStr">
        <is>
          <t>B3</t>
        </is>
      </c>
      <c r="E14" s="10" t="n">
        <v>2</v>
      </c>
      <c r="F14" s="10" t="n">
        <v>2</v>
      </c>
      <c r="G14" s="10" t="n">
        <v>15</v>
      </c>
      <c r="H14" s="10" t="n">
        <v>13</v>
      </c>
      <c r="I14" s="10" t="n">
        <v>2</v>
      </c>
      <c r="J14" s="11" t="n">
        <v>1173</v>
      </c>
      <c r="K14" s="11" t="n">
        <v>1824</v>
      </c>
      <c r="L14" s="11" t="n">
        <v>1702</v>
      </c>
      <c r="M14" s="10" t="n">
        <v>5</v>
      </c>
      <c r="N14" s="10" t="n">
        <v>8</v>
      </c>
      <c r="O14" s="12" t="n">
        <v>1653</v>
      </c>
      <c r="P14" s="11" t="n">
        <v>1617</v>
      </c>
      <c r="Q14" s="11" t="n">
        <v>1543</v>
      </c>
      <c r="R14" s="11" t="n">
        <v>1659</v>
      </c>
      <c r="S14" s="11" t="n">
        <v>1654</v>
      </c>
      <c r="T14" s="11" t="n">
        <v>1791</v>
      </c>
      <c r="U14" s="11" t="n">
        <v>1780</v>
      </c>
      <c r="V14" s="13" t="n">
        <v>1780</v>
      </c>
      <c r="W14" s="11" t="n">
        <v>1638</v>
      </c>
      <c r="X14" s="11" t="n">
        <v>1593</v>
      </c>
      <c r="Y14" s="14" t="n">
        <v>0.03188405797101446</v>
      </c>
      <c r="Z14" s="14" t="n">
        <v>0.1180904522613064</v>
      </c>
      <c r="AA14" s="15" t="inlineStr">
        <is>
          <t>inferred</t>
        </is>
      </c>
      <c r="AB14" s="16" t="inlineStr">
        <is>
          <t>Harbor</t>
        </is>
      </c>
    </row>
    <row r="15">
      <c r="A15" s="5" t="inlineStr">
        <is>
          <t>Effective Gross Revenue (T12)</t>
        </is>
      </c>
      <c r="B15" s="26" t="n">
        <v>13325549.3</v>
      </c>
      <c r="D15" s="18" t="inlineStr">
        <is>
          <t>B4</t>
        </is>
      </c>
      <c r="E15" s="19" t="n">
        <v>2</v>
      </c>
      <c r="F15" s="19" t="n">
        <v>2</v>
      </c>
      <c r="G15" s="19" t="n">
        <v>86</v>
      </c>
      <c r="H15" s="19" t="n">
        <v>77</v>
      </c>
      <c r="I15" s="19" t="n">
        <v>9</v>
      </c>
      <c r="J15" s="20" t="n">
        <v>1187</v>
      </c>
      <c r="K15" s="20" t="n">
        <v>1690</v>
      </c>
      <c r="L15" s="20" t="n">
        <v>1589</v>
      </c>
      <c r="M15" s="19" t="n">
        <v>32</v>
      </c>
      <c r="N15" s="19" t="n">
        <v>45</v>
      </c>
      <c r="O15" s="21" t="n">
        <v>1699</v>
      </c>
      <c r="P15" s="20" t="n">
        <v>1716</v>
      </c>
      <c r="Q15" s="20" t="n">
        <v>1868</v>
      </c>
      <c r="R15" s="20" t="n">
        <v>1589</v>
      </c>
      <c r="S15" s="20" t="n">
        <v>1618</v>
      </c>
      <c r="T15" s="20" t="n">
        <v>1706</v>
      </c>
      <c r="U15" s="20" t="n">
        <v>1630</v>
      </c>
      <c r="V15" s="22" t="n">
        <v>1630</v>
      </c>
      <c r="W15" s="20" t="n">
        <v>1514</v>
      </c>
      <c r="X15" s="20" t="n">
        <v>1475</v>
      </c>
      <c r="Y15" s="23" t="n">
        <v>0.01357372293026615</v>
      </c>
      <c r="Z15" s="23" t="n">
        <v>0.101328529610448</v>
      </c>
      <c r="AA15" s="24" t="inlineStr">
        <is>
          <t>inferred</t>
        </is>
      </c>
      <c r="AB15" s="25" t="inlineStr">
        <is>
          <t>Maya</t>
        </is>
      </c>
    </row>
    <row r="16">
      <c r="A16" s="5" t="inlineStr">
        <is>
          <t>Operating Expenses (T12)</t>
        </is>
      </c>
      <c r="B16" s="26" t="n">
        <v>4420512.88</v>
      </c>
      <c r="D16" s="9" t="inlineStr">
        <is>
          <t>B4.2</t>
        </is>
      </c>
      <c r="E16" s="10" t="n">
        <v>2</v>
      </c>
      <c r="F16" s="10" t="n">
        <v>2</v>
      </c>
      <c r="G16" s="10" t="n">
        <v>15</v>
      </c>
      <c r="H16" s="10" t="n">
        <v>12</v>
      </c>
      <c r="I16" s="10" t="n">
        <v>3</v>
      </c>
      <c r="J16" s="11" t="n">
        <v>1184</v>
      </c>
      <c r="K16" s="11" t="n">
        <v>1833</v>
      </c>
      <c r="L16" s="11" t="n">
        <v>1731</v>
      </c>
      <c r="M16" s="10" t="n">
        <v>5</v>
      </c>
      <c r="N16" s="10" t="n">
        <v>7</v>
      </c>
      <c r="O16" s="12" t="n">
        <v>1729</v>
      </c>
      <c r="P16" s="11" t="n">
        <v>1588</v>
      </c>
      <c r="Q16" s="11" t="n">
        <v>1608</v>
      </c>
      <c r="R16" s="11" t="n">
        <v>1745</v>
      </c>
      <c r="S16" s="11" t="n">
        <v>1850</v>
      </c>
      <c r="T16" s="11" t="n">
        <v>1855</v>
      </c>
      <c r="U16" s="11" t="n">
        <v>1766</v>
      </c>
      <c r="V16" s="13" t="n">
        <v>1766</v>
      </c>
      <c r="W16" s="11" t="n">
        <v>1709</v>
      </c>
      <c r="X16" s="11" t="n">
        <v>1672</v>
      </c>
      <c r="Y16" s="14" t="n">
        <v>0.01203438395415479</v>
      </c>
      <c r="Z16" s="14" t="n">
        <v>0.10375</v>
      </c>
      <c r="AA16" s="15" t="inlineStr">
        <is>
          <t>inferred</t>
        </is>
      </c>
      <c r="AB16" s="16" t="inlineStr">
        <is>
          <t>Reef</t>
        </is>
      </c>
    </row>
    <row r="17">
      <c r="A17" s="5" t="inlineStr">
        <is>
          <t>Net Operating Income (T12)</t>
        </is>
      </c>
      <c r="B17" s="26" t="n">
        <v>8905036.42</v>
      </c>
      <c r="D17" s="18" t="inlineStr">
        <is>
          <t>B4R</t>
        </is>
      </c>
      <c r="E17" s="19" t="n">
        <v>2</v>
      </c>
      <c r="F17" s="19" t="n">
        <v>2</v>
      </c>
      <c r="G17" s="19" t="n">
        <v>16</v>
      </c>
      <c r="H17" s="19" t="n">
        <v>15</v>
      </c>
      <c r="I17" s="19" t="n">
        <v>1</v>
      </c>
      <c r="J17" s="20" t="n">
        <v>1187</v>
      </c>
      <c r="K17" s="20" t="n">
        <v>1821</v>
      </c>
      <c r="L17" s="20" t="n">
        <v>1635</v>
      </c>
      <c r="M17" s="19" t="n">
        <v>9</v>
      </c>
      <c r="N17" s="19" t="n">
        <v>6</v>
      </c>
      <c r="O17" s="21" t="n">
        <v>1545</v>
      </c>
      <c r="P17" s="20" t="n">
        <v>1523</v>
      </c>
      <c r="Q17" s="20" t="n">
        <v>1530</v>
      </c>
      <c r="R17" s="20" t="n">
        <v>1552</v>
      </c>
      <c r="S17" s="20" t="n">
        <v>1543</v>
      </c>
      <c r="T17" s="20" t="n">
        <v>1578</v>
      </c>
      <c r="U17" s="20" t="n">
        <v>1618</v>
      </c>
      <c r="V17" s="22" t="n">
        <v>1618</v>
      </c>
      <c r="W17" s="20" t="n">
        <v>1535</v>
      </c>
      <c r="X17" s="20" t="n">
        <v>1535</v>
      </c>
      <c r="Y17" s="23" t="n">
        <v>-0.06363899334683254</v>
      </c>
      <c r="Z17" s="23" t="n">
        <v>0.01792452830188673</v>
      </c>
      <c r="AA17" s="24" t="inlineStr">
        <is>
          <t>inferred</t>
        </is>
      </c>
      <c r="AB17" s="25" t="inlineStr">
        <is>
          <t>Maya</t>
        </is>
      </c>
    </row>
    <row r="18">
      <c r="A18" s="5" t="inlineStr">
        <is>
          <t>Operating Margin (T12)</t>
        </is>
      </c>
      <c r="B18" s="17" t="n">
        <v>0.66826786795198</v>
      </c>
      <c r="D18" s="9" t="inlineStr">
        <is>
          <t>C1</t>
        </is>
      </c>
      <c r="E18" s="10" t="n">
        <v>3</v>
      </c>
      <c r="F18" s="10" t="n">
        <v>2</v>
      </c>
      <c r="G18" s="10" t="n">
        <v>41</v>
      </c>
      <c r="H18" s="10" t="n">
        <v>37</v>
      </c>
      <c r="I18" s="10" t="n">
        <v>4</v>
      </c>
      <c r="J18" s="11" t="n">
        <v>1258</v>
      </c>
      <c r="K18" s="11" t="n">
        <v>1896</v>
      </c>
      <c r="L18" s="11" t="n">
        <v>1794</v>
      </c>
      <c r="M18" s="10" t="n">
        <v>14</v>
      </c>
      <c r="N18" s="10" t="n">
        <v>23</v>
      </c>
      <c r="O18" s="12" t="n">
        <v>1765</v>
      </c>
      <c r="P18" s="11" t="n">
        <v>1699</v>
      </c>
      <c r="Q18" s="11" t="n">
        <v>1770</v>
      </c>
      <c r="R18" s="11" t="n">
        <v>1944</v>
      </c>
      <c r="S18" s="11" t="n">
        <v>1707</v>
      </c>
      <c r="T18" s="11" t="n">
        <v>1706</v>
      </c>
      <c r="U18" s="11" t="n">
        <v>1828</v>
      </c>
      <c r="V18" s="13" t="n">
        <v>1828</v>
      </c>
      <c r="W18" s="11" t="n">
        <v>1750</v>
      </c>
      <c r="X18" s="11" t="n">
        <v>1750</v>
      </c>
      <c r="Y18" s="14" t="n">
        <v>-0.003922423185879209</v>
      </c>
      <c r="Z18" s="14" t="n">
        <v>0.07300469483568084</v>
      </c>
      <c r="AA18" s="15" t="inlineStr">
        <is>
          <t>inferred</t>
        </is>
      </c>
      <c r="AB18" s="16" t="inlineStr">
        <is>
          <t>Talise</t>
        </is>
      </c>
    </row>
    <row r="19">
      <c r="D19" s="18" t="inlineStr">
        <is>
          <t>C1R</t>
        </is>
      </c>
      <c r="E19" s="19" t="n">
        <v>3</v>
      </c>
      <c r="F19" s="19" t="n">
        <v>2</v>
      </c>
      <c r="G19" s="19" t="n">
        <v>18</v>
      </c>
      <c r="H19" s="19" t="n">
        <v>16</v>
      </c>
      <c r="I19" s="19" t="n">
        <v>2</v>
      </c>
      <c r="J19" s="20" t="n">
        <v>1258</v>
      </c>
      <c r="K19" s="20" t="n">
        <v>2023</v>
      </c>
      <c r="L19" s="20" t="n">
        <v>2013</v>
      </c>
      <c r="M19" s="19" t="n">
        <v>9</v>
      </c>
      <c r="N19" s="19" t="n">
        <v>7</v>
      </c>
      <c r="O19" s="21" t="n">
        <v>1943</v>
      </c>
      <c r="P19" s="20" t="n">
        <v>1978</v>
      </c>
      <c r="Q19" s="20" t="n">
        <v>1792</v>
      </c>
      <c r="R19" s="20" t="n">
        <v>1862</v>
      </c>
      <c r="S19" s="20" t="n">
        <v>2140</v>
      </c>
      <c r="T19" s="20" t="n">
        <v>1943</v>
      </c>
      <c r="U19" s="20" t="n">
        <v>2129</v>
      </c>
      <c r="V19" s="22" t="n">
        <v>2129</v>
      </c>
      <c r="W19" s="20" t="n">
        <v>1958</v>
      </c>
      <c r="X19" s="20" t="n">
        <v>1941</v>
      </c>
      <c r="Y19" s="23" t="n">
        <v>0.1497232347779127</v>
      </c>
      <c r="Z19" s="23" t="n">
        <v>0.2368917937545389</v>
      </c>
      <c r="AA19" s="24" t="inlineStr">
        <is>
          <t>inferred</t>
        </is>
      </c>
      <c r="AB19" s="25" t="inlineStr">
        <is>
          <t>Talise</t>
        </is>
      </c>
    </row>
    <row r="20">
      <c r="D20" s="9" t="inlineStr">
        <is>
          <t>C2</t>
        </is>
      </c>
      <c r="E20" s="10" t="n">
        <v>3</v>
      </c>
      <c r="F20" s="10" t="n">
        <v>2</v>
      </c>
      <c r="G20" s="10" t="n">
        <v>20</v>
      </c>
      <c r="H20" s="10" t="n">
        <v>18</v>
      </c>
      <c r="I20" s="10" t="n">
        <v>2</v>
      </c>
      <c r="J20" s="11" t="n">
        <v>1364</v>
      </c>
      <c r="K20" s="11" t="n">
        <v>2130</v>
      </c>
      <c r="L20" s="11" t="n">
        <v>1995</v>
      </c>
      <c r="M20" s="10" t="n">
        <v>8</v>
      </c>
      <c r="N20" s="10" t="n">
        <v>10</v>
      </c>
      <c r="O20" s="12" t="n">
        <v>1983</v>
      </c>
      <c r="P20" s="11" t="n">
        <v>1999</v>
      </c>
      <c r="Q20" s="11" t="n">
        <v>1777</v>
      </c>
      <c r="R20" s="11" t="n">
        <v>2041</v>
      </c>
      <c r="S20" s="11" t="n">
        <v>2049</v>
      </c>
      <c r="T20" s="11" t="n">
        <v>2049</v>
      </c>
      <c r="U20" s="11" t="n">
        <v>2057</v>
      </c>
      <c r="V20" s="13" t="n">
        <v>2057</v>
      </c>
      <c r="W20" s="11" t="n">
        <v>2012</v>
      </c>
      <c r="X20" s="11" t="n">
        <v>1961</v>
      </c>
      <c r="Y20" s="14" t="n">
        <v>0.078940466824023</v>
      </c>
      <c r="Z20" s="14" t="n">
        <v>0.1654390934844192</v>
      </c>
      <c r="AA20" s="15" t="inlineStr">
        <is>
          <t>inferred</t>
        </is>
      </c>
      <c r="AB20" s="16" t="inlineStr">
        <is>
          <t>Marin</t>
        </is>
      </c>
    </row>
    <row r="21">
      <c r="D21" s="28" t="inlineStr">
        <is>
          <t>TOTAL / AVG</t>
        </is>
      </c>
      <c r="E21" s="29" t="n"/>
      <c r="F21" s="29" t="n"/>
      <c r="G21" s="30" t="n">
        <v>715</v>
      </c>
      <c r="H21" s="30" t="n">
        <v>643</v>
      </c>
      <c r="I21" s="30" t="n">
        <v>72</v>
      </c>
      <c r="J21" s="31" t="n">
        <v>947</v>
      </c>
      <c r="K21" s="31" t="n">
        <v>1457</v>
      </c>
      <c r="L21" s="31" t="n">
        <v>1445</v>
      </c>
      <c r="M21" s="30" t="n">
        <v>318</v>
      </c>
      <c r="N21" s="30" t="n">
        <v>325</v>
      </c>
      <c r="O21" s="32" t="n">
        <v>1375</v>
      </c>
      <c r="P21" s="29" t="n"/>
      <c r="Q21" s="29" t="n"/>
      <c r="R21" s="29" t="n"/>
      <c r="S21" s="29" t="n"/>
      <c r="T21" s="29" t="n"/>
      <c r="U21" s="31" t="n">
        <v>1391</v>
      </c>
      <c r="V21" s="33" t="n">
        <v>1391</v>
      </c>
      <c r="W21" s="31" t="n">
        <v>1370</v>
      </c>
      <c r="X21" s="31" t="n">
        <v>1343</v>
      </c>
      <c r="Y21" s="34" t="n">
        <v>-0.04039442857142135</v>
      </c>
      <c r="Z21" s="34" t="n">
        <v>0.04162137676316256</v>
      </c>
      <c r="AA21" s="29" t="n"/>
      <c r="AB21" s="29" t="n"/>
    </row>
    <row r="22">
      <c r="D22" s="35" t="inlineStr">
        <is>
          <t>New-lease = lease start ≤ move-in (renewals excluded). HD T90/T365 = executed (off-market) asking/effective; HD90 YoY compares the trailing 90 days to the same window a year ago.</t>
        </is>
      </c>
    </row>
    <row r="24">
      <c r="A24" s="36" t="inlineStr">
        <is>
          <t>⚑ UNDERWRITING FLAGS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</row>
    <row r="25" ht="28" customHeight="1">
      <c r="A25" s="38" t="inlineStr">
        <is>
          <t>•  Jan 2023–Dec 2023 sourced from a summary-level statement; sub-line detail (concessions, loss-to-lease, RUBS, etc.) is not itemized for those months and reads as 0 in those codes.</t>
        </is>
      </c>
    </row>
    <row r="26" ht="28" customHeight="1">
      <c r="A26" s="38" t="inlineStr">
        <is>
          <t>•  'trash/doortodoor' ($90/mo, RUBS-style recovery) -- confirm whether it nets against the trash expense or books as Other Income (RT).</t>
        </is>
      </c>
    </row>
    <row r="27" ht="28" customHeight="1">
      <c r="A27" s="38" t="inlineStr">
        <is>
          <t>•  Seasonality: executed asking rents peak in Jul and trough in Dec (~10% spread across the HelloData history).</t>
        </is>
      </c>
    </row>
    <row r="28" ht="28" customHeight="1">
      <c r="A28" s="38" t="inlineStr">
        <is>
          <t>•  HelloData asking-rent YoY (same calendar month): -5.8% average across 25 month-pair(s).</t>
        </is>
      </c>
    </row>
    <row r="29" ht="28" customHeight="1">
      <c r="A29" s="38" t="inlineStr">
        <is>
          <t>•  Loss-to-Lease moved from $-72,859 (Jan 2023) to $89,986 (Dec 2025) -- a $162,846 swing; rents are catching up to market.</t>
        </is>
      </c>
    </row>
    <row r="30" ht="28" customHeight="1">
      <c r="A30" s="38" t="inlineStr">
        <is>
          <t>•  Annualized EGR: T3 $12,656,543 vs T12 $13,325,549 (-5.0%) -- recent run-rate is below the trailing year.</t>
        </is>
      </c>
    </row>
    <row r="31" ht="28" customHeight="1">
      <c r="A31" s="38" t="inlineStr">
        <is>
          <t>•  Annualized NOI: T3 $8,469,822 vs T12 $8,905,036 (-4.9%).</t>
        </is>
      </c>
    </row>
    <row r="32" ht="28" customHeight="1">
      <c r="A32" s="38" t="inlineStr">
        <is>
          <t>•  Year-over-year EGR (same calendar month): Jan 2024 -0%, Feb 2024 +2%, Mar 2024 +1%, Apr 2024 +0%, May 2024 +1%, Jun 2024 +2%, Jul 2024 +3%, Aug 2024 +1%, Sep 2024 +3%, Oct 2024 +4%, Nov 2024 +2%, Dec 2024 +5%, Jan 2025 -3%, Feb 2025 -2%, Mar 2025 +1%, Apr 2025 +2%, May 2025 +2%, Jun 2025 +0%, Jul 2025 +1%, Aug 2025 -0%, Sep 2025 -5%, Oct 2025 -7%, Nov 2025 -8%, Dec 2025 -10% (avg -0.2%). On a lease-up this reflects occupancy ramp more than rent growth — see the Lease Trend tab for per-unit market-rent movement.</t>
        </is>
      </c>
    </row>
    <row r="34">
      <c r="A34" s="39" t="inlineStr">
        <is>
          <t>HOW TO USE → paste into the TMG acquisition model</t>
        </is>
      </c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</row>
    <row r="35" ht="32" customHeight="1">
      <c r="A35" s="41" t="inlineStr">
        <is>
          <t>1.  Review 'T12 Categorized' col A (amber). Every GL line appears once with all months flowing across; edit a code via the dropdown to re-map. Category (col B) and OS Summary roll up automatically.  Overlapping months are sourced from the freshest statement so nothing double-counts.</t>
        </is>
      </c>
    </row>
    <row r="36" ht="32" customHeight="1">
      <c r="A36" s="41" t="inlineStr">
        <is>
          <t>2.  'OS Summary' is the standardized chart of accounts (live SUMIFS, most recent 12 months). Copy A1:Q77 → model 'OS Summary Dump' A1 (Paste Special → Values).</t>
        </is>
      </c>
    </row>
    <row r="37" ht="32" customHeight="1">
      <c r="A37" s="41" t="inlineStr">
        <is>
          <t>3.  'T12 Categorized' → copy Code, Category, Line Item + the most recent 12 month columns (NOT the Total column) → model 'T12 Dump' A2.</t>
        </is>
      </c>
    </row>
    <row r="38" ht="32" customHeight="1">
      <c r="A38" s="41" t="inlineStr">
        <is>
          <t>4.  'Rent Roll (One-Line)' → copy the core columns A2:M(last) → model 'RR Dump' A2.  (The per-unit charge-code columns to the right of the gap are reference detail, not a model paste target.)</t>
        </is>
      </c>
    </row>
    <row r="39" ht="32" customHeight="1">
      <c r="A39" s="41" t="inlineStr">
        <is>
          <t>5.  'HelloData' → copy A2:U(last) → model 'HD Dump' A2.</t>
        </is>
      </c>
    </row>
    <row r="40" ht="32" customHeight="1">
      <c r="A40" s="41" t="inlineStr">
        <is>
          <t>6.  The unit mix (with new-lease + HD T90/T365/YoY market-rent indicators) is on this Dashboard; check 'Lease Trend' (seasonality / market-rent trajectory) and 'Reconciliation' (contract-rent ↔ AGPR tie-out) before underwriting. Paste targets only — do NOT populate the model itself from here.</t>
        </is>
      </c>
    </row>
  </sheetData>
  <mergeCells count="14">
    <mergeCell ref="A26:L26"/>
    <mergeCell ref="A30:L30"/>
    <mergeCell ref="A38:L38"/>
    <mergeCell ref="A29:L29"/>
    <mergeCell ref="A25:L25"/>
    <mergeCell ref="A28:L28"/>
    <mergeCell ref="A37:L37"/>
    <mergeCell ref="A32:L32"/>
    <mergeCell ref="A36:L36"/>
    <mergeCell ref="A31:L31"/>
    <mergeCell ref="A40:L40"/>
    <mergeCell ref="A27:L27"/>
    <mergeCell ref="A39:L39"/>
    <mergeCell ref="A35:L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5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3" customWidth="1" min="40" max="40"/>
  </cols>
  <sheetData>
    <row r="1">
      <c r="A1" s="42" t="inlineStr">
        <is>
          <t>Code</t>
        </is>
      </c>
      <c r="B1" s="43" t="inlineStr">
        <is>
          <t>Category</t>
        </is>
      </c>
      <c r="C1" s="39" t="inlineStr">
        <is>
          <t>Line Item (raw GL)</t>
        </is>
      </c>
      <c r="D1" s="44" t="n">
        <v>44927</v>
      </c>
      <c r="E1" s="44" t="n">
        <v>44958</v>
      </c>
      <c r="F1" s="44" t="n">
        <v>44986</v>
      </c>
      <c r="G1" s="44" t="n">
        <v>45017</v>
      </c>
      <c r="H1" s="44" t="n">
        <v>45047</v>
      </c>
      <c r="I1" s="44" t="n">
        <v>45078</v>
      </c>
      <c r="J1" s="44" t="n">
        <v>45108</v>
      </c>
      <c r="K1" s="44" t="n">
        <v>45139</v>
      </c>
      <c r="L1" s="44" t="n">
        <v>45170</v>
      </c>
      <c r="M1" s="44" t="n">
        <v>45200</v>
      </c>
      <c r="N1" s="44" t="n">
        <v>45231</v>
      </c>
      <c r="O1" s="44" t="n">
        <v>45261</v>
      </c>
      <c r="P1" s="44" t="n">
        <v>45292</v>
      </c>
      <c r="Q1" s="44" t="n">
        <v>45323</v>
      </c>
      <c r="R1" s="44" t="n">
        <v>45352</v>
      </c>
      <c r="S1" s="44" t="n">
        <v>45383</v>
      </c>
      <c r="T1" s="44" t="n">
        <v>45413</v>
      </c>
      <c r="U1" s="44" t="n">
        <v>45444</v>
      </c>
      <c r="V1" s="44" t="n">
        <v>45474</v>
      </c>
      <c r="W1" s="44" t="n">
        <v>45505</v>
      </c>
      <c r="X1" s="44" t="n">
        <v>45536</v>
      </c>
      <c r="Y1" s="44" t="n">
        <v>45566</v>
      </c>
      <c r="Z1" s="44" t="n">
        <v>45597</v>
      </c>
      <c r="AA1" s="44" t="n">
        <v>45627</v>
      </c>
      <c r="AB1" s="44" t="n">
        <v>45658</v>
      </c>
      <c r="AC1" s="44" t="n">
        <v>45689</v>
      </c>
      <c r="AD1" s="44" t="n">
        <v>45717</v>
      </c>
      <c r="AE1" s="44" t="n">
        <v>45748</v>
      </c>
      <c r="AF1" s="44" t="n">
        <v>45778</v>
      </c>
      <c r="AG1" s="44" t="n">
        <v>45809</v>
      </c>
      <c r="AH1" s="44" t="n">
        <v>45839</v>
      </c>
      <c r="AI1" s="44" t="n">
        <v>45870</v>
      </c>
      <c r="AJ1" s="44" t="n">
        <v>45901</v>
      </c>
      <c r="AK1" s="44" t="n">
        <v>45931</v>
      </c>
      <c r="AL1" s="44" t="n">
        <v>45962</v>
      </c>
      <c r="AM1" s="44" t="n">
        <v>45992</v>
      </c>
      <c r="AN1" s="7" t="inlineStr">
        <is>
          <t>T12 Total</t>
        </is>
      </c>
    </row>
    <row r="2">
      <c r="C2" s="35" t="inlineStr">
        <is>
          <t>Stitched from: Bella  T12 2023 (Jan 2023–Dec 2023) · Bella  T12 2024 (Jan 2024–Dec 2024) · Bella  T12 2025 (Jan 2025–Dec 2025). Each month is sourced from the freshest statement covering it; blank cells = that line not itemized in the statement owning that month.</t>
        </is>
      </c>
    </row>
    <row r="3">
      <c r="A3" s="45" t="n"/>
      <c r="B3" s="45" t="n"/>
      <c r="C3" s="46" t="inlineStr">
        <is>
          <t>INCOME</t>
        </is>
      </c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45" t="n"/>
      <c r="AJ3" s="45" t="n"/>
      <c r="AK3" s="45" t="n"/>
      <c r="AL3" s="45" t="n"/>
      <c r="AM3" s="45" t="n"/>
      <c r="AN3" s="45" t="n"/>
    </row>
    <row r="4">
      <c r="A4" s="47" t="inlineStr">
        <is>
          <t>Rentinc</t>
        </is>
      </c>
      <c r="B4" s="48">
        <f>IFERROR(VLOOKUP($A4,Codes!$A:$B,2,FALSE()),"")</f>
        <v/>
      </c>
      <c r="C4" s="5" t="inlineStr">
        <is>
          <t>Market Rent</t>
        </is>
      </c>
      <c r="D4" s="49" t="n">
        <v>1202135</v>
      </c>
      <c r="E4" s="49" t="n">
        <v>1202135</v>
      </c>
      <c r="F4" s="49" t="n">
        <v>1203860</v>
      </c>
      <c r="G4" s="49" t="n">
        <v>1203860</v>
      </c>
      <c r="H4" s="49" t="n">
        <v>1203860</v>
      </c>
      <c r="I4" s="49" t="n">
        <v>1203860</v>
      </c>
      <c r="J4" s="49" t="n">
        <v>1203860</v>
      </c>
      <c r="K4" s="49" t="n">
        <v>1203860</v>
      </c>
      <c r="L4" s="49" t="n">
        <v>1203860</v>
      </c>
      <c r="M4" s="49" t="n">
        <v>1203860</v>
      </c>
      <c r="N4" s="49" t="n">
        <v>1203860</v>
      </c>
      <c r="O4" s="49" t="n">
        <v>1203860</v>
      </c>
      <c r="P4" s="49" t="n">
        <v>1203860</v>
      </c>
      <c r="Q4" s="49" t="n">
        <v>1203860</v>
      </c>
      <c r="R4" s="49" t="n">
        <v>1203860</v>
      </c>
      <c r="S4" s="49" t="n">
        <v>1203860</v>
      </c>
      <c r="T4" s="49" t="n">
        <v>1203860</v>
      </c>
      <c r="U4" s="49" t="n">
        <v>1203860</v>
      </c>
      <c r="V4" s="49" t="n">
        <v>1203860</v>
      </c>
      <c r="W4" s="49" t="n">
        <v>1203860</v>
      </c>
      <c r="X4" s="49" t="n">
        <v>1203860</v>
      </c>
      <c r="Y4" s="49" t="n">
        <v>1203860</v>
      </c>
      <c r="Z4" s="49" t="n">
        <v>1203860</v>
      </c>
      <c r="AA4" s="49" t="n">
        <v>1203860</v>
      </c>
      <c r="AB4" s="49" t="n">
        <v>1203860</v>
      </c>
      <c r="AC4" s="49" t="n">
        <v>1203536.57</v>
      </c>
      <c r="AD4" s="49" t="n">
        <v>1203860</v>
      </c>
      <c r="AE4" s="49" t="n">
        <v>1203860</v>
      </c>
      <c r="AF4" s="49" t="n">
        <v>1203860</v>
      </c>
      <c r="AG4" s="49" t="n">
        <v>1210063</v>
      </c>
      <c r="AH4" s="49" t="n">
        <v>1210063</v>
      </c>
      <c r="AI4" s="49" t="n">
        <v>1219673</v>
      </c>
      <c r="AJ4" s="49" t="n">
        <v>1219673</v>
      </c>
      <c r="AK4" s="49" t="n">
        <v>1068808</v>
      </c>
      <c r="AL4" s="49" t="n">
        <v>993633</v>
      </c>
      <c r="AM4" s="49" t="n">
        <v>949933</v>
      </c>
      <c r="AN4" s="50">
        <f>SUM(AB4:AM4)</f>
        <v/>
      </c>
    </row>
    <row r="5">
      <c r="A5" s="47" t="inlineStr">
        <is>
          <t>ltl</t>
        </is>
      </c>
      <c r="B5" s="48">
        <f>IFERROR(VLOOKUP($A5,Codes!$A:$B,2,FALSE()),"")</f>
        <v/>
      </c>
      <c r="C5" s="5" t="inlineStr">
        <is>
          <t>Gain / Loss To Lease</t>
        </is>
      </c>
      <c r="D5" s="49" t="n">
        <v>-72859.49000000001</v>
      </c>
      <c r="E5" s="49" t="n">
        <v>-6765.71</v>
      </c>
      <c r="F5" s="49" t="n">
        <v>-28066.12</v>
      </c>
      <c r="G5" s="49" t="n">
        <v>-45208.78</v>
      </c>
      <c r="H5" s="49" t="n">
        <v>-165653.61</v>
      </c>
      <c r="I5" s="49" t="n">
        <v>-86227.22</v>
      </c>
      <c r="J5" s="49" t="n">
        <v>-81434.07000000001</v>
      </c>
      <c r="K5" s="49" t="n">
        <v>-81536.89999999999</v>
      </c>
      <c r="L5" s="49" t="n">
        <v>-82079.39</v>
      </c>
      <c r="M5" s="49" t="n">
        <v>-83739.02</v>
      </c>
      <c r="N5" s="49" t="n">
        <v>-86749.96000000001</v>
      </c>
      <c r="O5" s="49" t="n">
        <v>-91437.55</v>
      </c>
      <c r="P5" s="49" t="n">
        <v>-96136.61</v>
      </c>
      <c r="Q5" s="49" t="n">
        <v>-92712.74000000001</v>
      </c>
      <c r="R5" s="49" t="n">
        <v>-97016.32000000001</v>
      </c>
      <c r="S5" s="49" t="n">
        <v>-102520.66</v>
      </c>
      <c r="T5" s="49" t="n">
        <v>-98174.24000000001</v>
      </c>
      <c r="U5" s="49" t="n">
        <v>-96977.60000000001</v>
      </c>
      <c r="V5" s="49" t="n">
        <v>-97226.32000000001</v>
      </c>
      <c r="W5" s="49" t="n">
        <v>-100400.38</v>
      </c>
      <c r="X5" s="49" t="n">
        <v>-102203.79</v>
      </c>
      <c r="Y5" s="49" t="n">
        <v>-101963.66</v>
      </c>
      <c r="Z5" s="49" t="n">
        <v>-103217.57</v>
      </c>
      <c r="AA5" s="49" t="n">
        <v>-93282.60000000001</v>
      </c>
      <c r="AB5" s="49" t="n">
        <v>-111910.07</v>
      </c>
      <c r="AC5" s="49" t="n">
        <v>-119197.7</v>
      </c>
      <c r="AD5" s="49" t="n">
        <v>-119723.97</v>
      </c>
      <c r="AE5" s="49" t="n">
        <v>-122944.21</v>
      </c>
      <c r="AF5" s="49" t="n">
        <v>-121684.6</v>
      </c>
      <c r="AG5" s="49" t="n">
        <v>-129818.96</v>
      </c>
      <c r="AH5" s="49" t="n">
        <v>-132527.69</v>
      </c>
      <c r="AI5" s="49" t="n">
        <v>-144836.41</v>
      </c>
      <c r="AJ5" s="49" t="n">
        <v>-146457.7</v>
      </c>
      <c r="AK5" s="49" t="n">
        <v>-5111.86</v>
      </c>
      <c r="AL5" s="49" t="n">
        <v>60499.02</v>
      </c>
      <c r="AM5" s="49" t="n">
        <v>89986.12</v>
      </c>
      <c r="AN5" s="50">
        <f>SUM(AB5:AM5)</f>
        <v/>
      </c>
    </row>
    <row r="6">
      <c r="A6" s="47" t="inlineStr">
        <is>
          <t>conc</t>
        </is>
      </c>
      <c r="B6" s="48">
        <f>IFERROR(VLOOKUP($A6,Codes!$A:$B,2,FALSE()),"")</f>
        <v/>
      </c>
      <c r="C6" s="5" t="inlineStr">
        <is>
          <t>Res. Rent Concessions</t>
        </is>
      </c>
      <c r="D6" s="49" t="n">
        <v>-1319.01</v>
      </c>
      <c r="E6" s="49" t="n">
        <v>-230.3</v>
      </c>
      <c r="F6" s="49" t="n">
        <v>-227.26</v>
      </c>
      <c r="G6" s="49" t="n">
        <v>672.41</v>
      </c>
      <c r="H6" s="49" t="n">
        <v>-497.9</v>
      </c>
      <c r="I6" s="49" t="n">
        <v>-575.5700000000001</v>
      </c>
      <c r="J6" s="49" t="n">
        <v>-2759.4</v>
      </c>
      <c r="K6" s="49" t="n">
        <v>-12085.85</v>
      </c>
      <c r="L6" s="49" t="n">
        <v>-1593.22</v>
      </c>
      <c r="M6" s="49" t="n">
        <v>-6592.23</v>
      </c>
      <c r="N6" s="49" t="n">
        <v>-12726.4</v>
      </c>
      <c r="O6" s="49" t="n">
        <v>-18420.97</v>
      </c>
      <c r="P6" s="49" t="n">
        <v>-8071.87</v>
      </c>
      <c r="Q6" s="49" t="n">
        <v>-12416.89</v>
      </c>
      <c r="R6" s="49" t="n">
        <v>-5909.94</v>
      </c>
      <c r="S6" s="51" t="n">
        <v>26398.7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N6" s="50">
        <f>SUM(AB6:AM6)</f>
        <v/>
      </c>
    </row>
    <row r="7">
      <c r="A7" s="47" t="inlineStr">
        <is>
          <t>conc</t>
        </is>
      </c>
      <c r="B7" s="48">
        <f>IFERROR(VLOOKUP($A7,Codes!$A:$B,2,FALSE()),"")</f>
        <v/>
      </c>
      <c r="C7" s="5" t="inlineStr">
        <is>
          <t>One-Time Concessions</t>
        </is>
      </c>
      <c r="D7" s="49" t="n">
        <v>0</v>
      </c>
      <c r="E7" s="49" t="n">
        <v>0</v>
      </c>
      <c r="F7" s="49" t="n">
        <v>713.72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250</v>
      </c>
      <c r="Q7" s="49" t="n">
        <v>0</v>
      </c>
      <c r="R7" s="49" t="n">
        <v>0</v>
      </c>
      <c r="S7" s="51" t="n">
        <v>-26004.53</v>
      </c>
      <c r="T7" s="49" t="n">
        <v>-1968.24</v>
      </c>
      <c r="U7" s="51" t="n">
        <v>-7674.86</v>
      </c>
      <c r="V7" s="51" t="n">
        <v>-15018.95</v>
      </c>
      <c r="W7" s="49" t="n">
        <v>-1968.92</v>
      </c>
      <c r="X7" s="49" t="n">
        <v>-3434.02</v>
      </c>
      <c r="Y7" s="49" t="n">
        <v>3279.09</v>
      </c>
      <c r="Z7" s="49" t="n">
        <v>-3967.32</v>
      </c>
      <c r="AA7" s="49" t="n">
        <v>-1492.6</v>
      </c>
      <c r="AB7" s="49" t="n">
        <v>1023.94</v>
      </c>
      <c r="AC7" s="49" t="n">
        <v>2266</v>
      </c>
      <c r="AD7" s="49" t="n">
        <v>1680</v>
      </c>
      <c r="AE7" s="49" t="n">
        <v>-325</v>
      </c>
      <c r="AF7" s="49" t="n">
        <v>-589</v>
      </c>
      <c r="AG7" s="49" t="n">
        <v>883</v>
      </c>
      <c r="AH7" s="49" t="n">
        <v>-1241</v>
      </c>
      <c r="AI7" s="49" t="n">
        <v>-30</v>
      </c>
      <c r="AJ7" s="49" t="n">
        <v>-2389.33</v>
      </c>
      <c r="AK7" s="51" t="n">
        <v>-8809.129999999999</v>
      </c>
      <c r="AL7" s="51" t="n">
        <v>-8744.08</v>
      </c>
      <c r="AM7" s="49" t="n">
        <v>-5805.06</v>
      </c>
      <c r="AN7" s="50">
        <f>SUM(AB7:AM7)</f>
        <v/>
      </c>
    </row>
    <row r="8">
      <c r="A8" s="47" t="inlineStr">
        <is>
          <t>vac</t>
        </is>
      </c>
      <c r="B8" s="48">
        <f>IFERROR(VLOOKUP($A8,Codes!$A:$B,2,FALSE()),"")</f>
        <v/>
      </c>
      <c r="C8" s="5" t="inlineStr">
        <is>
          <t>Vacancy Loss</t>
        </is>
      </c>
      <c r="D8" s="49" t="n">
        <v>-80881.92999999999</v>
      </c>
      <c r="E8" s="49" t="n">
        <v>-134644.72</v>
      </c>
      <c r="F8" s="49" t="n">
        <v>-180138.43</v>
      </c>
      <c r="G8" s="49" t="n">
        <v>-212318.84</v>
      </c>
      <c r="H8" s="49" t="n">
        <v>-124265.31</v>
      </c>
      <c r="I8" s="49" t="n">
        <v>-95331.64999999999</v>
      </c>
      <c r="J8" s="49" t="n">
        <v>-121495.95</v>
      </c>
      <c r="K8" s="49" t="n">
        <v>-120108.53</v>
      </c>
      <c r="L8" s="49" t="n">
        <v>-96474.17</v>
      </c>
      <c r="M8" s="49" t="n">
        <v>-108619.53</v>
      </c>
      <c r="N8" s="49" t="n">
        <v>-111081.02</v>
      </c>
      <c r="O8" s="49" t="n">
        <v>-79539.11</v>
      </c>
      <c r="P8" s="49" t="n">
        <v>-80089.2</v>
      </c>
      <c r="Q8" s="49" t="n">
        <v>-78903.74000000001</v>
      </c>
      <c r="R8" s="49" t="n">
        <v>-72275.00999999999</v>
      </c>
      <c r="S8" s="49" t="n">
        <v>-70834.23</v>
      </c>
      <c r="T8" s="49" t="n">
        <v>-84106.2</v>
      </c>
      <c r="U8" s="49" t="n">
        <v>-79407.72</v>
      </c>
      <c r="V8" s="49" t="n">
        <v>-65222.16</v>
      </c>
      <c r="W8" s="49" t="n">
        <v>-66261.60000000001</v>
      </c>
      <c r="X8" s="49" t="n">
        <v>-65786.32000000001</v>
      </c>
      <c r="Y8" s="49" t="n">
        <v>-83792.81</v>
      </c>
      <c r="Z8" s="49" t="n">
        <v>-78065.14</v>
      </c>
      <c r="AA8" s="49" t="n">
        <v>-68751.46000000001</v>
      </c>
      <c r="AB8" s="49" t="n">
        <v>-81128.24000000001</v>
      </c>
      <c r="AC8" s="49" t="n">
        <v>-74193.14</v>
      </c>
      <c r="AD8" s="49" t="n">
        <v>-73650.77</v>
      </c>
      <c r="AE8" s="49" t="n">
        <v>-68216.19</v>
      </c>
      <c r="AF8" s="49" t="n">
        <v>-75005.87</v>
      </c>
      <c r="AG8" s="49" t="n">
        <v>-71531.57000000001</v>
      </c>
      <c r="AH8" s="49" t="n">
        <v>-65223.88</v>
      </c>
      <c r="AI8" s="49" t="n">
        <v>-76573.08</v>
      </c>
      <c r="AJ8" s="49" t="n">
        <v>-89133.35000000001</v>
      </c>
      <c r="AK8" s="49" t="n">
        <v>-81831.06</v>
      </c>
      <c r="AL8" s="49" t="n">
        <v>-103704.55</v>
      </c>
      <c r="AM8" s="49" t="n">
        <v>-88770.86</v>
      </c>
      <c r="AN8" s="50">
        <f>SUM(AB8:AM8)</f>
        <v/>
      </c>
    </row>
    <row r="9">
      <c r="A9" s="47" t="inlineStr">
        <is>
          <t>nr</t>
        </is>
      </c>
      <c r="B9" s="48">
        <f>IFERROR(VLOOKUP($A9,Codes!$A:$B,2,FALSE()),"")</f>
        <v/>
      </c>
      <c r="C9" s="5" t="inlineStr">
        <is>
          <t>Employee Units</t>
        </is>
      </c>
      <c r="D9" s="49" t="n">
        <v>-2103.6</v>
      </c>
      <c r="E9" s="49" t="n">
        <v>-2791.55</v>
      </c>
      <c r="F9" s="49" t="n">
        <v>-4816.34</v>
      </c>
      <c r="G9" s="49" t="n">
        <v>-4903.07</v>
      </c>
      <c r="H9" s="49" t="n">
        <v>-4920.22</v>
      </c>
      <c r="I9" s="49" t="n">
        <v>-4557.59</v>
      </c>
      <c r="J9" s="49" t="n">
        <v>-4529</v>
      </c>
      <c r="K9" s="49" t="n">
        <v>-5197.95</v>
      </c>
      <c r="L9" s="49" t="n">
        <v>-5338.8</v>
      </c>
      <c r="M9" s="49" t="n">
        <v>-5009.54</v>
      </c>
      <c r="N9" s="49" t="n">
        <v>-5078.8</v>
      </c>
      <c r="O9" s="49" t="n">
        <v>-5078.8</v>
      </c>
      <c r="P9" s="49" t="n">
        <v>-6942.86</v>
      </c>
      <c r="Q9" s="49" t="n">
        <v>-6132.01</v>
      </c>
      <c r="R9" s="49" t="n">
        <v>-6558.4</v>
      </c>
      <c r="S9" s="49" t="n">
        <v>-6558.4</v>
      </c>
      <c r="T9" s="49" t="n">
        <v>-6558.4</v>
      </c>
      <c r="U9" s="49" t="n">
        <v>-6558.4</v>
      </c>
      <c r="V9" s="49" t="n">
        <v>-6558.4</v>
      </c>
      <c r="W9" s="49" t="n">
        <v>-5164.02</v>
      </c>
      <c r="X9" s="49" t="n">
        <v>-5269.55</v>
      </c>
      <c r="Y9" s="49" t="n">
        <v>-6738.61</v>
      </c>
      <c r="Z9" s="49" t="n">
        <v>-5783.07</v>
      </c>
      <c r="AA9" s="49" t="n">
        <v>-6561.8</v>
      </c>
      <c r="AB9" s="49" t="n">
        <v>333.8</v>
      </c>
      <c r="AC9" s="49" t="n">
        <v>-3853.41</v>
      </c>
      <c r="AD9" s="49" t="n">
        <v>-4400.4</v>
      </c>
      <c r="AE9" s="49" t="n">
        <v>-2944.8</v>
      </c>
      <c r="AF9" s="49" t="n">
        <v>-2944.8</v>
      </c>
      <c r="AG9" s="49" t="n">
        <v>-16635.21</v>
      </c>
      <c r="AH9" s="49" t="n">
        <v>-7081.2</v>
      </c>
      <c r="AI9" s="49" t="n">
        <v>-7927.2</v>
      </c>
      <c r="AJ9" s="49" t="n">
        <v>-7648.18</v>
      </c>
      <c r="AK9" s="49" t="n">
        <v>-7572.2</v>
      </c>
      <c r="AL9" s="49" t="n">
        <v>-7788.24</v>
      </c>
      <c r="AM9" s="49" t="n">
        <v>-7255.35</v>
      </c>
      <c r="AN9" s="50">
        <f>SUM(AB9:AM9)</f>
        <v/>
      </c>
    </row>
    <row r="10">
      <c r="A10" s="47" t="inlineStr">
        <is>
          <t>nr</t>
        </is>
      </c>
      <c r="B10" s="48">
        <f>IFERROR(VLOOKUP($A10,Codes!$A:$B,2,FALSE()),"")</f>
        <v/>
      </c>
      <c r="C10" s="5" t="inlineStr">
        <is>
          <t>Model &amp; Storage Units</t>
        </is>
      </c>
      <c r="D10" s="49" t="n">
        <v>-1475</v>
      </c>
      <c r="E10" s="49" t="n">
        <v>-1475</v>
      </c>
      <c r="F10" s="49" t="n">
        <v>-1475</v>
      </c>
      <c r="G10" s="49" t="n">
        <v>-1475</v>
      </c>
      <c r="H10" s="49" t="n">
        <v>-1475</v>
      </c>
      <c r="I10" s="49" t="n">
        <v>-1475</v>
      </c>
      <c r="J10" s="49" t="n">
        <v>-1475</v>
      </c>
      <c r="K10" s="49" t="n">
        <v>-1475</v>
      </c>
      <c r="L10" s="49" t="n">
        <v>-1475</v>
      </c>
      <c r="M10" s="49" t="n">
        <v>-1475</v>
      </c>
      <c r="N10" s="49" t="n">
        <v>-1475</v>
      </c>
      <c r="O10" s="49" t="n">
        <v>-1475</v>
      </c>
      <c r="P10" s="49" t="n">
        <v>-1475</v>
      </c>
      <c r="Q10" s="49" t="n">
        <v>-1475</v>
      </c>
      <c r="R10" s="49" t="n">
        <v>-1475</v>
      </c>
      <c r="S10" s="49" t="n">
        <v>-1475</v>
      </c>
      <c r="T10" s="49" t="n">
        <v>-1475</v>
      </c>
      <c r="U10" s="49" t="n">
        <v>-1475</v>
      </c>
      <c r="V10" s="49" t="n">
        <v>-1475</v>
      </c>
      <c r="W10" s="49" t="n">
        <v>-1475</v>
      </c>
      <c r="X10" s="49" t="n">
        <v>0</v>
      </c>
      <c r="Y10" s="49" t="n">
        <v>0</v>
      </c>
      <c r="Z10" s="49" t="n">
        <v>0</v>
      </c>
      <c r="AA10" s="49" t="n">
        <v>0</v>
      </c>
      <c r="AN10" s="50">
        <f>SUM(AB10:AM10)</f>
        <v/>
      </c>
    </row>
    <row r="11">
      <c r="A11" s="47" t="inlineStr">
        <is>
          <t>Rentinc</t>
        </is>
      </c>
      <c r="B11" s="48">
        <f>IFERROR(VLOOKUP($A11,Codes!$A:$B,2,FALSE()),"")</f>
        <v/>
      </c>
      <c r="C11" s="5" t="inlineStr">
        <is>
          <t>Guest Suite</t>
        </is>
      </c>
      <c r="D11" s="49" t="n">
        <v>0</v>
      </c>
      <c r="E11" s="49" t="n">
        <v>0</v>
      </c>
      <c r="F11" s="49" t="n">
        <v>-1955</v>
      </c>
      <c r="G11" s="49" t="n">
        <v>-1955</v>
      </c>
      <c r="H11" s="49" t="n">
        <v>-1955</v>
      </c>
      <c r="I11" s="49" t="n">
        <v>-1955</v>
      </c>
      <c r="J11" s="49" t="n">
        <v>-1875</v>
      </c>
      <c r="K11" s="49" t="n">
        <v>-1875</v>
      </c>
      <c r="L11" s="49" t="n">
        <v>-1875</v>
      </c>
      <c r="M11" s="49" t="n">
        <v>-1875</v>
      </c>
      <c r="N11" s="49" t="n">
        <v>-1875</v>
      </c>
      <c r="O11" s="49" t="n">
        <v>-1875</v>
      </c>
      <c r="P11" s="49" t="n">
        <v>-1875</v>
      </c>
      <c r="Q11" s="49" t="n">
        <v>-1875</v>
      </c>
      <c r="R11" s="49" t="n">
        <v>-1875</v>
      </c>
      <c r="S11" s="49" t="n">
        <v>-1875</v>
      </c>
      <c r="T11" s="49" t="n">
        <v>-1875</v>
      </c>
      <c r="U11" s="49" t="n">
        <v>-1875</v>
      </c>
      <c r="V11" s="49" t="n">
        <v>-1875</v>
      </c>
      <c r="W11" s="49" t="n">
        <v>-1875</v>
      </c>
      <c r="X11" s="49" t="n">
        <v>-1875</v>
      </c>
      <c r="Y11" s="49" t="n">
        <v>-1875</v>
      </c>
      <c r="Z11" s="49" t="n">
        <v>-1875</v>
      </c>
      <c r="AA11" s="49" t="n">
        <v>-1875</v>
      </c>
      <c r="AB11" s="49" t="n">
        <v>-1875</v>
      </c>
      <c r="AC11" s="49" t="n">
        <v>-1875</v>
      </c>
      <c r="AD11" s="49" t="n">
        <v>-1875</v>
      </c>
      <c r="AE11" s="49" t="n">
        <v>-1875</v>
      </c>
      <c r="AF11" s="49" t="n">
        <v>-1875</v>
      </c>
      <c r="AG11" s="49" t="n">
        <v>-1890</v>
      </c>
      <c r="AH11" s="49" t="n">
        <v>-1890</v>
      </c>
      <c r="AI11" s="49" t="n">
        <v>-1900</v>
      </c>
      <c r="AJ11" s="49" t="n">
        <v>-1900</v>
      </c>
      <c r="AK11" s="49" t="n">
        <v>-1957</v>
      </c>
      <c r="AL11" s="49" t="n">
        <v>0</v>
      </c>
      <c r="AM11" s="49" t="n">
        <v>0</v>
      </c>
      <c r="AN11" s="50">
        <f>SUM(AB11:AM11)</f>
        <v/>
      </c>
    </row>
    <row r="12">
      <c r="A12" s="47" t="inlineStr">
        <is>
          <t>cl</t>
        </is>
      </c>
      <c r="B12" s="48">
        <f>IFERROR(VLOOKUP($A12,Codes!$A:$B,2,FALSE()),"")</f>
        <v/>
      </c>
      <c r="C12" s="5" t="inlineStr">
        <is>
          <t>Bad Debt - Rent</t>
        </is>
      </c>
      <c r="D12" s="49" t="n">
        <v>-24054.96</v>
      </c>
      <c r="E12" s="51" t="n">
        <v>-38106.75</v>
      </c>
      <c r="F12" s="49" t="n">
        <v>33120.5</v>
      </c>
      <c r="G12" s="51" t="n">
        <v>75977.5</v>
      </c>
      <c r="H12" s="51" t="n">
        <v>87475.25999999999</v>
      </c>
      <c r="I12" s="49" t="n">
        <v>-4649.34</v>
      </c>
      <c r="J12" s="49" t="n">
        <v>-6723.15</v>
      </c>
      <c r="K12" s="49" t="n">
        <v>9881.98</v>
      </c>
      <c r="L12" s="49" t="n">
        <v>-9233.24</v>
      </c>
      <c r="M12" s="49" t="n">
        <v>-4365.53</v>
      </c>
      <c r="N12" s="49" t="n">
        <v>11429.75</v>
      </c>
      <c r="O12" s="49" t="n">
        <v>-14437.34</v>
      </c>
      <c r="P12" s="49" t="n">
        <v>-8447.76</v>
      </c>
      <c r="Q12" s="49" t="n">
        <v>-9974.99</v>
      </c>
      <c r="R12" s="49" t="n">
        <v>-13746.79</v>
      </c>
      <c r="S12" s="49" t="n">
        <v>-11077.77</v>
      </c>
      <c r="T12" s="49" t="n">
        <v>159.07</v>
      </c>
      <c r="U12" s="49" t="n">
        <v>-6102.47</v>
      </c>
      <c r="V12" s="49" t="n">
        <v>-6908.49</v>
      </c>
      <c r="W12" s="49" t="n">
        <v>-8388.75</v>
      </c>
      <c r="X12" s="49" t="n">
        <v>-10543.92</v>
      </c>
      <c r="Y12" s="49" t="n">
        <v>-15175.14</v>
      </c>
      <c r="Z12" s="49" t="n">
        <v>-1356.96</v>
      </c>
      <c r="AA12" s="49" t="n">
        <v>-12193.47</v>
      </c>
      <c r="AB12" s="49" t="n">
        <v>-13671</v>
      </c>
      <c r="AC12" s="49" t="n">
        <v>-15889.14</v>
      </c>
      <c r="AD12" s="49" t="n">
        <v>-2668.89</v>
      </c>
      <c r="AE12" s="49" t="n">
        <v>-2694.81</v>
      </c>
      <c r="AF12" s="49" t="n">
        <v>-3900.28</v>
      </c>
      <c r="AG12" s="49" t="n">
        <v>-10686.8</v>
      </c>
      <c r="AH12" s="49" t="n">
        <v>-5557.97</v>
      </c>
      <c r="AI12" s="49" t="n">
        <v>-13284.54</v>
      </c>
      <c r="AJ12" s="49" t="n">
        <v>-8921.83</v>
      </c>
      <c r="AK12" s="49" t="n">
        <v>-15370.77</v>
      </c>
      <c r="AL12" s="49" t="n">
        <v>-18576.97</v>
      </c>
      <c r="AM12" s="49" t="n">
        <v>-10406.52</v>
      </c>
      <c r="AN12" s="50">
        <f>SUM(AB12:AM12)</f>
        <v/>
      </c>
    </row>
    <row r="13">
      <c r="A13" s="47" t="inlineStr">
        <is>
          <t>cl</t>
        </is>
      </c>
      <c r="B13" s="48">
        <f>IFERROR(VLOOKUP($A13,Codes!$A:$B,2,FALSE()),"")</f>
        <v/>
      </c>
      <c r="C13" s="5" t="inlineStr">
        <is>
          <t>Bad Debt Recovery - Rent</t>
        </is>
      </c>
      <c r="D13" s="49" t="n">
        <v>120</v>
      </c>
      <c r="E13" s="49" t="n">
        <v>137.51</v>
      </c>
      <c r="F13" s="51" t="n">
        <v>-19044.76</v>
      </c>
      <c r="G13" s="49" t="n">
        <v>-54.01</v>
      </c>
      <c r="H13" s="51" t="n">
        <v>2143.14</v>
      </c>
      <c r="I13" s="49" t="n">
        <v>-1380.87</v>
      </c>
      <c r="J13" s="49" t="n">
        <v>-486.37</v>
      </c>
      <c r="K13" s="49" t="n">
        <v>263.59</v>
      </c>
      <c r="L13" s="49" t="n">
        <v>274.27</v>
      </c>
      <c r="M13" s="49" t="n">
        <v>130.93</v>
      </c>
      <c r="N13" s="49" t="n">
        <v>1410.62</v>
      </c>
      <c r="O13" s="51" t="n">
        <v>4264.53</v>
      </c>
      <c r="P13" s="51" t="n">
        <v>-3853.07</v>
      </c>
      <c r="Q13" s="49" t="n">
        <v>154.15</v>
      </c>
      <c r="R13" s="49" t="n">
        <v>85.84</v>
      </c>
      <c r="S13" s="49" t="n">
        <v>152.23</v>
      </c>
      <c r="T13" s="49" t="n">
        <v>80.76000000000001</v>
      </c>
      <c r="U13" s="51" t="n">
        <v>6381</v>
      </c>
      <c r="V13" s="51" t="n">
        <v>-5871.88</v>
      </c>
      <c r="W13" s="49" t="n">
        <v>184.94</v>
      </c>
      <c r="X13" s="49" t="n">
        <v>746.14</v>
      </c>
      <c r="Y13" s="49" t="n">
        <v>157.56</v>
      </c>
      <c r="Z13" s="49" t="n">
        <v>205.13</v>
      </c>
      <c r="AA13" s="49" t="n">
        <v>310.38</v>
      </c>
      <c r="AB13" s="49" t="n">
        <v>0</v>
      </c>
      <c r="AC13" s="49" t="n">
        <v>0</v>
      </c>
      <c r="AD13" s="49" t="n">
        <v>0</v>
      </c>
      <c r="AE13" s="49" t="n">
        <v>-1000</v>
      </c>
      <c r="AF13" s="49" t="n">
        <v>-140.36</v>
      </c>
      <c r="AG13" s="49" t="n">
        <v>0.01</v>
      </c>
      <c r="AH13" s="49" t="n">
        <v>0</v>
      </c>
      <c r="AI13" s="49" t="n">
        <v>0</v>
      </c>
      <c r="AJ13" s="49" t="n">
        <v>1603.65</v>
      </c>
      <c r="AK13" s="49" t="n">
        <v>0</v>
      </c>
      <c r="AL13" s="49" t="n">
        <v>890.22</v>
      </c>
      <c r="AM13" s="49" t="n">
        <v>0</v>
      </c>
      <c r="AN13" s="50">
        <f>SUM(AB13:AM13)</f>
        <v/>
      </c>
    </row>
    <row r="14">
      <c r="A14" s="47" t="inlineStr">
        <is>
          <t>OI</t>
        </is>
      </c>
      <c r="B14" s="48">
        <f>IFERROR(VLOOKUP($A14,Codes!$A:$B,2,FALSE()),"")</f>
        <v/>
      </c>
      <c r="C14" s="5" t="inlineStr">
        <is>
          <t>Administrative Fees</t>
        </is>
      </c>
      <c r="D14" s="49" t="n">
        <v>7608.2</v>
      </c>
      <c r="E14" s="49" t="n">
        <v>3325</v>
      </c>
      <c r="F14" s="49" t="n">
        <v>6505</v>
      </c>
      <c r="G14" s="49" t="n">
        <v>5945.39</v>
      </c>
      <c r="H14" s="49" t="n">
        <v>6600</v>
      </c>
      <c r="I14" s="49" t="n">
        <v>2489.99</v>
      </c>
      <c r="J14" s="49" t="n">
        <v>3475</v>
      </c>
      <c r="K14" s="49" t="n">
        <v>4625</v>
      </c>
      <c r="L14" s="49" t="n">
        <v>2250</v>
      </c>
      <c r="M14" s="49" t="n">
        <v>3721.36</v>
      </c>
      <c r="N14" s="49" t="n">
        <v>8425</v>
      </c>
      <c r="O14" s="49" t="n">
        <v>6050</v>
      </c>
      <c r="P14" s="49" t="n">
        <v>8499.889999999999</v>
      </c>
      <c r="Q14" s="49" t="n">
        <v>12200</v>
      </c>
      <c r="R14" s="49" t="n">
        <v>4500</v>
      </c>
      <c r="S14" s="49" t="n">
        <v>1850</v>
      </c>
      <c r="T14" s="49" t="n">
        <v>1000</v>
      </c>
      <c r="U14" s="49" t="n">
        <v>3875</v>
      </c>
      <c r="V14" s="49" t="n">
        <v>1425</v>
      </c>
      <c r="W14" s="49" t="n">
        <v>2700</v>
      </c>
      <c r="X14" s="49" t="n">
        <v>150</v>
      </c>
      <c r="Y14" s="49" t="n">
        <v>2800</v>
      </c>
      <c r="Z14" s="49" t="n">
        <v>550</v>
      </c>
      <c r="AA14" s="49" t="n">
        <v>3814.2</v>
      </c>
      <c r="AB14" s="49" t="n">
        <v>3200</v>
      </c>
      <c r="AC14" s="49" t="n">
        <v>2775</v>
      </c>
      <c r="AD14" s="49" t="n">
        <v>5750</v>
      </c>
      <c r="AE14" s="49" t="n">
        <v>5850</v>
      </c>
      <c r="AF14" s="49" t="n">
        <v>6975</v>
      </c>
      <c r="AG14" s="49" t="n">
        <v>6625</v>
      </c>
      <c r="AH14" s="49" t="n">
        <v>4525</v>
      </c>
      <c r="AI14" s="49" t="n">
        <v>7351</v>
      </c>
      <c r="AJ14" s="49" t="n">
        <v>3900</v>
      </c>
      <c r="AK14" s="49" t="n">
        <v>3250</v>
      </c>
      <c r="AL14" s="49" t="n">
        <v>1775</v>
      </c>
      <c r="AM14" s="49" t="n">
        <v>4825</v>
      </c>
      <c r="AN14" s="50">
        <f>SUM(AB14:AM14)</f>
        <v/>
      </c>
    </row>
    <row r="15">
      <c r="A15" s="47" t="inlineStr">
        <is>
          <t>OI</t>
        </is>
      </c>
      <c r="B15" s="48">
        <f>IFERROR(VLOOKUP($A15,Codes!$A:$B,2,FALSE()),"")</f>
        <v/>
      </c>
      <c r="C15" s="5" t="inlineStr">
        <is>
          <t>Application Fees</t>
        </is>
      </c>
      <c r="D15" s="49" t="n">
        <v>3705.12</v>
      </c>
      <c r="E15" s="49" t="n">
        <v>2622.66</v>
      </c>
      <c r="F15" s="49" t="n">
        <v>4200</v>
      </c>
      <c r="G15" s="49" t="n">
        <v>2310</v>
      </c>
      <c r="H15" s="49" t="n">
        <v>3410</v>
      </c>
      <c r="I15" s="49" t="n">
        <v>1530</v>
      </c>
      <c r="J15" s="49" t="n">
        <v>2970</v>
      </c>
      <c r="K15" s="49" t="n">
        <v>3537.34</v>
      </c>
      <c r="L15" s="49" t="n">
        <v>1595</v>
      </c>
      <c r="M15" s="49" t="n">
        <v>2255</v>
      </c>
      <c r="N15" s="49" t="n">
        <v>3025</v>
      </c>
      <c r="O15" s="49" t="n">
        <v>2860</v>
      </c>
      <c r="P15" s="49" t="n">
        <v>3465</v>
      </c>
      <c r="Q15" s="49" t="n">
        <v>4125</v>
      </c>
      <c r="R15" s="49" t="n">
        <v>2200</v>
      </c>
      <c r="S15" s="49" t="n">
        <v>2145</v>
      </c>
      <c r="T15" s="49" t="n">
        <v>1320</v>
      </c>
      <c r="U15" s="49" t="n">
        <v>4565</v>
      </c>
      <c r="V15" s="49" t="n">
        <v>2640</v>
      </c>
      <c r="W15" s="49" t="n">
        <v>2305</v>
      </c>
      <c r="X15" s="49" t="n">
        <v>2805</v>
      </c>
      <c r="Y15" s="49" t="n">
        <v>2701.38</v>
      </c>
      <c r="Z15" s="49" t="n">
        <v>4070</v>
      </c>
      <c r="AA15" s="49" t="n">
        <v>4180</v>
      </c>
      <c r="AB15" s="49" t="n">
        <v>3628.62</v>
      </c>
      <c r="AC15" s="49" t="n">
        <v>1375</v>
      </c>
      <c r="AD15" s="49" t="n">
        <v>4015</v>
      </c>
      <c r="AE15" s="49" t="n">
        <v>3685</v>
      </c>
      <c r="AF15" s="49" t="n">
        <v>3520</v>
      </c>
      <c r="AG15" s="49" t="n">
        <v>2748.62</v>
      </c>
      <c r="AH15" s="49" t="n">
        <v>3465</v>
      </c>
      <c r="AI15" s="49" t="n">
        <v>2750</v>
      </c>
      <c r="AJ15" s="49" t="n">
        <v>1925</v>
      </c>
      <c r="AK15" s="49" t="n">
        <v>1760</v>
      </c>
      <c r="AL15" s="49" t="n">
        <v>2795</v>
      </c>
      <c r="AM15" s="49" t="n">
        <v>4080</v>
      </c>
      <c r="AN15" s="50">
        <f>SUM(AB15:AM15)</f>
        <v/>
      </c>
    </row>
    <row r="16">
      <c r="A16" s="47" t="inlineStr">
        <is>
          <t>cable</t>
        </is>
      </c>
      <c r="B16" s="48">
        <f>IFERROR(VLOOKUP($A16,Codes!$A:$B,2,FALSE()),"")</f>
        <v/>
      </c>
      <c r="C16" s="5" t="inlineStr">
        <is>
          <t>Cable TV Commissions</t>
        </is>
      </c>
      <c r="D16" s="49" t="n">
        <v>0</v>
      </c>
      <c r="E16" s="49" t="n">
        <v>16902.07</v>
      </c>
      <c r="F16" s="49" t="n">
        <v>0</v>
      </c>
      <c r="G16" s="49" t="n">
        <v>0</v>
      </c>
      <c r="H16" s="49" t="n">
        <v>17242.21</v>
      </c>
      <c r="I16" s="49" t="n">
        <v>0</v>
      </c>
      <c r="J16" s="49" t="n">
        <v>0</v>
      </c>
      <c r="K16" s="49" t="n">
        <v>16924.83</v>
      </c>
      <c r="L16" s="49" t="n">
        <v>0</v>
      </c>
      <c r="M16" s="49" t="n">
        <v>0</v>
      </c>
      <c r="N16" s="49" t="n">
        <v>16112.48</v>
      </c>
      <c r="O16" s="49" t="n">
        <v>0</v>
      </c>
      <c r="P16" s="49" t="n">
        <v>0</v>
      </c>
      <c r="Q16" s="49" t="n">
        <v>16338.6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32776.73</v>
      </c>
      <c r="Z16" s="49" t="n">
        <v>16811.3</v>
      </c>
      <c r="AA16" s="49" t="n">
        <v>0</v>
      </c>
      <c r="AB16" s="49" t="n">
        <v>0</v>
      </c>
      <c r="AC16" s="49" t="n">
        <v>32437.08</v>
      </c>
      <c r="AD16" s="49" t="n">
        <v>0</v>
      </c>
      <c r="AE16" s="49" t="n">
        <v>0</v>
      </c>
      <c r="AF16" s="49" t="n">
        <v>-8183.37</v>
      </c>
      <c r="AG16" s="49" t="n">
        <v>7784.9</v>
      </c>
      <c r="AH16" s="49" t="n">
        <v>0</v>
      </c>
      <c r="AI16" s="49" t="n">
        <v>15244.46</v>
      </c>
      <c r="AJ16" s="49" t="n">
        <v>0</v>
      </c>
      <c r="AK16" s="49" t="n">
        <v>0</v>
      </c>
      <c r="AL16" s="49" t="n">
        <v>13971.32</v>
      </c>
      <c r="AM16" s="49" t="n">
        <v>0</v>
      </c>
      <c r="AN16" s="50">
        <f>SUM(AB16:AM16)</f>
        <v/>
      </c>
    </row>
    <row r="17">
      <c r="A17" s="47" t="inlineStr">
        <is>
          <t>OI</t>
        </is>
      </c>
      <c r="B17" s="48">
        <f>IFERROR(VLOOKUP($A17,Codes!$A:$B,2,FALSE()),"")</f>
        <v/>
      </c>
      <c r="C17" s="5" t="inlineStr">
        <is>
          <t>Club Room Rental Fees</t>
        </is>
      </c>
      <c r="D17" s="49" t="n">
        <v>0</v>
      </c>
      <c r="E17" s="49" t="n">
        <v>0</v>
      </c>
      <c r="F17" s="49" t="n">
        <v>0</v>
      </c>
      <c r="G17" s="49" t="n">
        <v>0</v>
      </c>
      <c r="H17" s="49" t="n">
        <v>0</v>
      </c>
      <c r="I17" s="49" t="n">
        <v>0</v>
      </c>
      <c r="J17" s="49" t="n">
        <v>0</v>
      </c>
      <c r="K17" s="49" t="n">
        <v>0</v>
      </c>
      <c r="L17" s="49" t="n">
        <v>0</v>
      </c>
      <c r="M17" s="49" t="n">
        <v>0</v>
      </c>
      <c r="N17" s="49" t="n">
        <v>300</v>
      </c>
      <c r="O17" s="49" t="n">
        <v>0</v>
      </c>
      <c r="P17" s="49" t="n">
        <v>-100</v>
      </c>
      <c r="Q17" s="49" t="n">
        <v>0</v>
      </c>
      <c r="R17" s="49" t="n">
        <v>0</v>
      </c>
      <c r="S17" s="49" t="n">
        <v>0</v>
      </c>
      <c r="T17" s="49" t="n">
        <v>100</v>
      </c>
      <c r="U17" s="49" t="n">
        <v>400</v>
      </c>
      <c r="V17" s="49" t="n">
        <v>-100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150</v>
      </c>
      <c r="AE17" s="49" t="n">
        <v>400</v>
      </c>
      <c r="AF17" s="49" t="n">
        <v>200</v>
      </c>
      <c r="AG17" s="49" t="n">
        <v>350</v>
      </c>
      <c r="AH17" s="49" t="n">
        <v>50</v>
      </c>
      <c r="AI17" s="49" t="n">
        <v>175</v>
      </c>
      <c r="AJ17" s="49" t="n">
        <v>500</v>
      </c>
      <c r="AK17" s="49" t="n">
        <v>200</v>
      </c>
      <c r="AL17" s="49" t="n">
        <v>250</v>
      </c>
      <c r="AM17" s="49" t="n">
        <v>0</v>
      </c>
      <c r="AN17" s="50">
        <f>SUM(AB17:AM17)</f>
        <v/>
      </c>
    </row>
    <row r="18">
      <c r="A18" s="47" t="inlineStr">
        <is>
          <t>OI</t>
        </is>
      </c>
      <c r="B18" s="48">
        <f>IFERROR(VLOOKUP($A18,Codes!$A:$B,2,FALSE()),"")</f>
        <v/>
      </c>
      <c r="C18" s="5" t="inlineStr">
        <is>
          <t>Damages</t>
        </is>
      </c>
      <c r="D18" s="49" t="n">
        <v>2656.13</v>
      </c>
      <c r="E18" s="49" t="n">
        <v>6402.3</v>
      </c>
      <c r="F18" s="49" t="n">
        <v>15395.63</v>
      </c>
      <c r="G18" s="49" t="n">
        <v>5202.16</v>
      </c>
      <c r="H18" s="49" t="n">
        <v>3438.92</v>
      </c>
      <c r="I18" s="49" t="n">
        <v>4228.08</v>
      </c>
      <c r="J18" s="49" t="n">
        <v>3335.25</v>
      </c>
      <c r="K18" s="49" t="n">
        <v>6299.72</v>
      </c>
      <c r="L18" s="49" t="n">
        <v>2150.23</v>
      </c>
      <c r="M18" s="49" t="n">
        <v>4979.48</v>
      </c>
      <c r="N18" s="49" t="n">
        <v>4278.51</v>
      </c>
      <c r="O18" s="49" t="n">
        <v>1715.35</v>
      </c>
      <c r="P18" s="49" t="n">
        <v>8915.82</v>
      </c>
      <c r="Q18" s="49" t="n">
        <v>3895.72</v>
      </c>
      <c r="R18" s="49" t="n">
        <v>6687.06</v>
      </c>
      <c r="S18" s="49" t="n">
        <v>3911.98</v>
      </c>
      <c r="T18" s="49" t="n">
        <v>6903.33</v>
      </c>
      <c r="U18" s="49" t="n">
        <v>1316.19</v>
      </c>
      <c r="V18" s="49" t="n">
        <v>3704.53</v>
      </c>
      <c r="W18" s="49" t="n">
        <v>2540.16</v>
      </c>
      <c r="X18" s="49" t="n">
        <v>3468.08</v>
      </c>
      <c r="Y18" s="49" t="n">
        <v>2790.87</v>
      </c>
      <c r="Z18" s="49" t="n">
        <v>4376.22</v>
      </c>
      <c r="AA18" s="49" t="n">
        <v>4017.94</v>
      </c>
      <c r="AB18" s="49" t="n">
        <v>4488.89</v>
      </c>
      <c r="AC18" s="49" t="n">
        <v>2377.48</v>
      </c>
      <c r="AD18" s="49" t="n">
        <v>7307.5</v>
      </c>
      <c r="AE18" s="49" t="n">
        <v>8587.540000000001</v>
      </c>
      <c r="AF18" s="49" t="n">
        <v>5723.99</v>
      </c>
      <c r="AG18" s="49" t="n">
        <v>5525.06</v>
      </c>
      <c r="AH18" s="49" t="n">
        <v>5526.19</v>
      </c>
      <c r="AI18" s="49" t="n">
        <v>5169.02</v>
      </c>
      <c r="AJ18" s="49" t="n">
        <v>4593.44</v>
      </c>
      <c r="AK18" s="49" t="n">
        <v>5256.41</v>
      </c>
      <c r="AL18" s="49" t="n">
        <v>2539.26</v>
      </c>
      <c r="AM18" s="49" t="n">
        <v>4669.66</v>
      </c>
      <c r="AN18" s="50">
        <f>SUM(AB18:AM18)</f>
        <v/>
      </c>
    </row>
    <row r="19">
      <c r="A19" s="47" t="inlineStr">
        <is>
          <t>park</t>
        </is>
      </c>
      <c r="B19" s="48">
        <f>IFERROR(VLOOKUP($A19,Codes!$A:$B,2,FALSE()),"")</f>
        <v/>
      </c>
      <c r="C19" s="5" t="inlineStr">
        <is>
          <t>Garage Income</t>
        </is>
      </c>
      <c r="D19" s="49" t="n">
        <v>6650.25</v>
      </c>
      <c r="E19" s="49" t="n">
        <v>7247.74</v>
      </c>
      <c r="F19" s="49" t="n">
        <v>6602.92</v>
      </c>
      <c r="G19" s="49" t="n">
        <v>7030.08</v>
      </c>
      <c r="H19" s="49" t="n">
        <v>6912.52</v>
      </c>
      <c r="I19" s="49" t="n">
        <v>7071.33</v>
      </c>
      <c r="J19" s="49" t="n">
        <v>6646.91</v>
      </c>
      <c r="K19" s="49" t="n">
        <v>6375.57</v>
      </c>
      <c r="L19" s="49" t="n">
        <v>6529.01</v>
      </c>
      <c r="M19" s="49" t="n">
        <v>6484.16</v>
      </c>
      <c r="N19" s="49" t="n">
        <v>6739.17</v>
      </c>
      <c r="O19" s="49" t="n">
        <v>6883.23</v>
      </c>
      <c r="P19" s="49" t="n">
        <v>7217.27</v>
      </c>
      <c r="Q19" s="49" t="n">
        <v>7419.66</v>
      </c>
      <c r="R19" s="49" t="n">
        <v>7505.32</v>
      </c>
      <c r="S19" s="49" t="n">
        <v>7212.86</v>
      </c>
      <c r="T19" s="49" t="n">
        <v>7270.48</v>
      </c>
      <c r="U19" s="49" t="n">
        <v>7734.98</v>
      </c>
      <c r="V19" s="49" t="n">
        <v>7577.25</v>
      </c>
      <c r="W19" s="49" t="n">
        <v>7743.55</v>
      </c>
      <c r="X19" s="49" t="n">
        <v>7549.81</v>
      </c>
      <c r="Y19" s="49" t="n">
        <v>7506.13</v>
      </c>
      <c r="Z19" s="49" t="n">
        <v>7454.4</v>
      </c>
      <c r="AA19" s="49" t="n">
        <v>7611.95</v>
      </c>
      <c r="AB19" s="49" t="n">
        <v>7643.72</v>
      </c>
      <c r="AC19" s="49" t="n">
        <v>7472.01</v>
      </c>
      <c r="AD19" s="49" t="n">
        <v>7246.15</v>
      </c>
      <c r="AE19" s="49" t="n">
        <v>7055.12</v>
      </c>
      <c r="AF19" s="49" t="n">
        <v>7234.2</v>
      </c>
      <c r="AG19" s="49" t="n">
        <v>7166.13</v>
      </c>
      <c r="AH19" s="49" t="n">
        <v>7056.78</v>
      </c>
      <c r="AI19" s="49" t="n">
        <v>6979</v>
      </c>
      <c r="AJ19" s="49" t="n">
        <v>7445.2</v>
      </c>
      <c r="AK19" s="49" t="n">
        <v>6786.31</v>
      </c>
      <c r="AL19" s="49" t="n">
        <v>6411.47</v>
      </c>
      <c r="AM19" s="49" t="n">
        <v>6128.82</v>
      </c>
      <c r="AN19" s="50">
        <f>SUM(AB19:AM19)</f>
        <v/>
      </c>
    </row>
    <row r="20">
      <c r="A20" s="47" t="inlineStr">
        <is>
          <t>OI</t>
        </is>
      </c>
      <c r="B20" s="48">
        <f>IFERROR(VLOOKUP($A20,Codes!$A:$B,2,FALSE()),"")</f>
        <v/>
      </c>
      <c r="C20" s="5" t="inlineStr">
        <is>
          <t>Insufficient Notice Fees</t>
        </is>
      </c>
      <c r="D20" s="49" t="n">
        <v>0</v>
      </c>
      <c r="E20" s="49" t="n">
        <v>0</v>
      </c>
      <c r="F20" s="49" t="n">
        <v>1536.25</v>
      </c>
      <c r="G20" s="49" t="n">
        <v>0</v>
      </c>
      <c r="H20" s="49" t="n">
        <v>0</v>
      </c>
      <c r="I20" s="49" t="n">
        <v>0</v>
      </c>
      <c r="J20" s="49" t="n">
        <v>799.15</v>
      </c>
      <c r="K20" s="49" t="n">
        <v>5112.88</v>
      </c>
      <c r="L20" s="49" t="n">
        <v>1864.23</v>
      </c>
      <c r="M20" s="49" t="n">
        <v>5314.51</v>
      </c>
      <c r="N20" s="49" t="n">
        <v>646.1</v>
      </c>
      <c r="O20" s="49" t="n">
        <v>277.56</v>
      </c>
      <c r="P20" s="49" t="n">
        <v>7745.47</v>
      </c>
      <c r="Q20" s="49" t="n">
        <v>8493.98</v>
      </c>
      <c r="R20" s="49" t="n">
        <v>2463.35</v>
      </c>
      <c r="S20" s="49" t="n">
        <v>4303.93</v>
      </c>
      <c r="T20" s="49" t="n">
        <v>1266.89</v>
      </c>
      <c r="U20" s="49" t="n">
        <v>858.04</v>
      </c>
      <c r="V20" s="49" t="n">
        <v>4595.27</v>
      </c>
      <c r="W20" s="49" t="n">
        <v>3527.97</v>
      </c>
      <c r="X20" s="49" t="n">
        <v>4872.42</v>
      </c>
      <c r="Y20" s="49" t="n">
        <v>2844.99</v>
      </c>
      <c r="Z20" s="49" t="n">
        <v>3215.15</v>
      </c>
      <c r="AA20" s="49" t="n">
        <v>3064.67</v>
      </c>
      <c r="AB20" s="49" t="n">
        <v>6510.85</v>
      </c>
      <c r="AC20" s="49" t="n">
        <v>6278.01</v>
      </c>
      <c r="AD20" s="49" t="n">
        <v>4157.39</v>
      </c>
      <c r="AE20" s="49" t="n">
        <v>6430.7</v>
      </c>
      <c r="AF20" s="49" t="n">
        <v>9404.49</v>
      </c>
      <c r="AG20" s="49" t="n">
        <v>8752.65</v>
      </c>
      <c r="AH20" s="49" t="n">
        <v>2522.45</v>
      </c>
      <c r="AI20" s="49" t="n">
        <v>3071.61</v>
      </c>
      <c r="AJ20" s="49" t="n">
        <v>4745.03</v>
      </c>
      <c r="AK20" s="49" t="n">
        <v>4249.6</v>
      </c>
      <c r="AL20" s="49" t="n">
        <v>6754.05</v>
      </c>
      <c r="AM20" s="49" t="n">
        <v>2285.83</v>
      </c>
      <c r="AN20" s="50">
        <f>SUM(AB20:AM20)</f>
        <v/>
      </c>
    </row>
    <row r="21">
      <c r="A21" s="47" t="inlineStr">
        <is>
          <t>OI</t>
        </is>
      </c>
      <c r="B21" s="48">
        <f>IFERROR(VLOOKUP($A21,Codes!$A:$B,2,FALSE()),"")</f>
        <v/>
      </c>
      <c r="C21" s="5" t="inlineStr">
        <is>
          <t>Interest Income</t>
        </is>
      </c>
      <c r="P21" s="49" t="n">
        <v>0</v>
      </c>
      <c r="Q21" s="49" t="n">
        <v>0</v>
      </c>
      <c r="R21" s="49" t="n">
        <v>72.39</v>
      </c>
      <c r="S21" s="49" t="n">
        <v>50.58</v>
      </c>
      <c r="T21" s="49" t="n">
        <v>27.61</v>
      </c>
      <c r="U21" s="49" t="n">
        <v>0</v>
      </c>
      <c r="V21" s="49" t="n">
        <v>1514.39</v>
      </c>
      <c r="W21" s="49" t="n">
        <v>1370.51</v>
      </c>
      <c r="X21" s="49" t="n">
        <v>3044.09</v>
      </c>
      <c r="Y21" s="49" t="n">
        <v>3035.7</v>
      </c>
      <c r="Z21" s="49" t="n">
        <v>754.63</v>
      </c>
      <c r="AA21" s="49" t="n">
        <v>1365.89</v>
      </c>
      <c r="AB21" s="49" t="n">
        <v>1473.43</v>
      </c>
      <c r="AC21" s="49" t="n">
        <v>1562.08</v>
      </c>
      <c r="AD21" s="49" t="n">
        <v>1814.32</v>
      </c>
      <c r="AE21" s="49" t="n">
        <v>2047.99</v>
      </c>
      <c r="AF21" s="49" t="n">
        <v>800.22</v>
      </c>
      <c r="AG21" s="49" t="n">
        <v>888.04</v>
      </c>
      <c r="AH21" s="49" t="n">
        <v>1544.03</v>
      </c>
      <c r="AI21" s="49" t="n">
        <v>882.89</v>
      </c>
      <c r="AJ21" s="49" t="n">
        <v>1156.09</v>
      </c>
      <c r="AK21" s="49" t="n">
        <v>1420.31</v>
      </c>
      <c r="AL21" s="49" t="n">
        <v>506.43</v>
      </c>
      <c r="AM21" s="49" t="n">
        <v>603.88</v>
      </c>
      <c r="AN21" s="50">
        <f>SUM(AB21:AM21)</f>
        <v/>
      </c>
    </row>
    <row r="22">
      <c r="A22" s="47" t="inlineStr">
        <is>
          <t>OI</t>
        </is>
      </c>
      <c r="B22" s="48">
        <f>IFERROR(VLOOKUP($A22,Codes!$A:$B,2,FALSE()),"")</f>
        <v/>
      </c>
      <c r="C22" s="5" t="inlineStr">
        <is>
          <t>Late Charge Fees</t>
        </is>
      </c>
      <c r="D22" s="49" t="n">
        <v>18149.66</v>
      </c>
      <c r="E22" s="49" t="n">
        <v>13280.24</v>
      </c>
      <c r="F22" s="49" t="n">
        <v>7850.16</v>
      </c>
      <c r="G22" s="49" t="n">
        <v>11855</v>
      </c>
      <c r="H22" s="49" t="n">
        <v>12873.76</v>
      </c>
      <c r="I22" s="49" t="n">
        <v>14147.52</v>
      </c>
      <c r="J22" s="49" t="n">
        <v>15209.02</v>
      </c>
      <c r="K22" s="49" t="n">
        <v>14717.58</v>
      </c>
      <c r="L22" s="49" t="n">
        <v>19229.76</v>
      </c>
      <c r="M22" s="49" t="n">
        <v>16035</v>
      </c>
      <c r="N22" s="49" t="n">
        <v>15040</v>
      </c>
      <c r="O22" s="49" t="n">
        <v>15986</v>
      </c>
      <c r="P22" s="49" t="n">
        <v>16350</v>
      </c>
      <c r="Q22" s="49" t="n">
        <v>16810</v>
      </c>
      <c r="R22" s="49" t="n">
        <v>12795</v>
      </c>
      <c r="S22" s="49" t="n">
        <v>13825.41</v>
      </c>
      <c r="T22" s="49" t="n">
        <v>13564.64</v>
      </c>
      <c r="U22" s="49" t="n">
        <v>17721.64</v>
      </c>
      <c r="V22" s="49" t="n">
        <v>12895</v>
      </c>
      <c r="W22" s="49" t="n">
        <v>15750</v>
      </c>
      <c r="X22" s="49" t="n">
        <v>17393.15</v>
      </c>
      <c r="Y22" s="49" t="n">
        <v>10201.22</v>
      </c>
      <c r="Z22" s="49" t="n">
        <v>17541.93</v>
      </c>
      <c r="AA22" s="49" t="n">
        <v>17489.81</v>
      </c>
      <c r="AB22" s="49" t="n">
        <v>12210</v>
      </c>
      <c r="AC22" s="49" t="n">
        <v>13380.84</v>
      </c>
      <c r="AD22" s="49" t="n">
        <v>15245</v>
      </c>
      <c r="AE22" s="49" t="n">
        <v>11615.72</v>
      </c>
      <c r="AF22" s="49" t="n">
        <v>14420.88</v>
      </c>
      <c r="AG22" s="49" t="n">
        <v>15769.99</v>
      </c>
      <c r="AH22" s="49" t="n">
        <v>12322.55</v>
      </c>
      <c r="AI22" s="49" t="n">
        <v>14727.77</v>
      </c>
      <c r="AJ22" s="49" t="n">
        <v>16195</v>
      </c>
      <c r="AK22" s="49" t="n">
        <v>15120</v>
      </c>
      <c r="AL22" s="49" t="n">
        <v>15185.95</v>
      </c>
      <c r="AM22" s="49" t="n">
        <v>11582.38</v>
      </c>
      <c r="AN22" s="50">
        <f>SUM(AB22:AM22)</f>
        <v/>
      </c>
    </row>
    <row r="23">
      <c r="A23" s="47" t="inlineStr">
        <is>
          <t>OI</t>
        </is>
      </c>
      <c r="B23" s="48">
        <f>IFERROR(VLOOKUP($A23,Codes!$A:$B,2,FALSE()),"")</f>
        <v/>
      </c>
      <c r="C23" s="5" t="inlineStr">
        <is>
          <t>Lease Cancellation Fee</t>
        </is>
      </c>
      <c r="D23" s="49" t="n">
        <v>12702.36</v>
      </c>
      <c r="E23" s="49" t="n">
        <v>5992</v>
      </c>
      <c r="F23" s="49" t="n">
        <v>6084.33</v>
      </c>
      <c r="G23" s="49" t="n">
        <v>0</v>
      </c>
      <c r="H23" s="49" t="n">
        <v>4167.99</v>
      </c>
      <c r="I23" s="49" t="n">
        <v>3404.65</v>
      </c>
      <c r="J23" s="49" t="n">
        <v>10524.15</v>
      </c>
      <c r="K23" s="49" t="n">
        <v>5740.25</v>
      </c>
      <c r="L23" s="49" t="n">
        <v>2822.54</v>
      </c>
      <c r="M23" s="49" t="n">
        <v>1245.87</v>
      </c>
      <c r="N23" s="49" t="n">
        <v>7525.65</v>
      </c>
      <c r="O23" s="49" t="n">
        <v>2806</v>
      </c>
      <c r="P23" s="49" t="n">
        <v>18049.56</v>
      </c>
      <c r="Q23" s="49" t="n">
        <v>14855.24</v>
      </c>
      <c r="R23" s="49" t="n">
        <v>7297.98</v>
      </c>
      <c r="S23" s="49" t="n">
        <v>3532.07</v>
      </c>
      <c r="T23" s="49" t="n">
        <v>10265.51</v>
      </c>
      <c r="U23" s="49" t="n">
        <v>9089.950000000001</v>
      </c>
      <c r="V23" s="49" t="n">
        <v>21343.51</v>
      </c>
      <c r="W23" s="49" t="n">
        <v>2110.29</v>
      </c>
      <c r="X23" s="49" t="n">
        <v>17060.67</v>
      </c>
      <c r="Y23" s="49" t="n">
        <v>8898.700000000001</v>
      </c>
      <c r="Z23" s="49" t="n">
        <v>5856.33</v>
      </c>
      <c r="AA23" s="49" t="n">
        <v>7151.58</v>
      </c>
      <c r="AB23" s="49" t="n">
        <v>5306.5</v>
      </c>
      <c r="AC23" s="49" t="n">
        <v>7090.94</v>
      </c>
      <c r="AD23" s="49" t="n">
        <v>6408.01</v>
      </c>
      <c r="AE23" s="49" t="n">
        <v>11138.04</v>
      </c>
      <c r="AF23" s="49" t="n">
        <v>23243.23</v>
      </c>
      <c r="AG23" s="49" t="n">
        <v>4860.59</v>
      </c>
      <c r="AH23" s="49" t="n">
        <v>14324.01</v>
      </c>
      <c r="AI23" s="49" t="n">
        <v>8839.299999999999</v>
      </c>
      <c r="AJ23" s="49" t="n">
        <v>11698.5</v>
      </c>
      <c r="AK23" s="49" t="n">
        <v>652.1</v>
      </c>
      <c r="AL23" s="49" t="n">
        <v>1669.69</v>
      </c>
      <c r="AM23" s="49" t="n">
        <v>4915.2</v>
      </c>
      <c r="AN23" s="50">
        <f>SUM(AB23:AM23)</f>
        <v/>
      </c>
    </row>
    <row r="24">
      <c r="A24" s="47" t="inlineStr">
        <is>
          <t>OI</t>
        </is>
      </c>
      <c r="B24" s="48">
        <f>IFERROR(VLOOKUP($A24,Codes!$A:$B,2,FALSE()),"")</f>
        <v/>
      </c>
      <c r="C24" s="5" t="inlineStr">
        <is>
          <t>Legal Fees</t>
        </is>
      </c>
      <c r="D24" s="49" t="n">
        <v>3310.74</v>
      </c>
      <c r="E24" s="49" t="n">
        <v>3236.26</v>
      </c>
      <c r="F24" s="49" t="n">
        <v>3908</v>
      </c>
      <c r="G24" s="49" t="n">
        <v>3252</v>
      </c>
      <c r="H24" s="49" t="n">
        <v>4025.12</v>
      </c>
      <c r="I24" s="49" t="n">
        <v>4843</v>
      </c>
      <c r="J24" s="49" t="n">
        <v>5839.11</v>
      </c>
      <c r="K24" s="49" t="n">
        <v>6939.87</v>
      </c>
      <c r="L24" s="49" t="n">
        <v>7021.9</v>
      </c>
      <c r="M24" s="49" t="n">
        <v>5785.5</v>
      </c>
      <c r="N24" s="49" t="n">
        <v>5943</v>
      </c>
      <c r="O24" s="49" t="n">
        <v>4749.46</v>
      </c>
      <c r="P24" s="49" t="n">
        <v>8035.96</v>
      </c>
      <c r="Q24" s="49" t="n">
        <v>7677.84</v>
      </c>
      <c r="R24" s="49" t="n">
        <v>3866</v>
      </c>
      <c r="S24" s="49" t="n">
        <v>5102.04</v>
      </c>
      <c r="T24" s="49" t="n">
        <v>6667.72</v>
      </c>
      <c r="U24" s="49" t="n">
        <v>5493</v>
      </c>
      <c r="V24" s="49" t="n">
        <v>5721.82</v>
      </c>
      <c r="W24" s="49" t="n">
        <v>8195.450000000001</v>
      </c>
      <c r="X24" s="49" t="n">
        <v>8376.879999999999</v>
      </c>
      <c r="Y24" s="49" t="n">
        <v>4166</v>
      </c>
      <c r="Z24" s="49" t="n">
        <v>11187.73</v>
      </c>
      <c r="AA24" s="49" t="n">
        <v>9120.200000000001</v>
      </c>
      <c r="AB24" s="49" t="n">
        <v>4847.21</v>
      </c>
      <c r="AC24" s="49" t="n">
        <v>10247</v>
      </c>
      <c r="AD24" s="49" t="n">
        <v>8343.309999999999</v>
      </c>
      <c r="AE24" s="49" t="n">
        <v>6890.42</v>
      </c>
      <c r="AF24" s="49" t="n">
        <v>10641.88</v>
      </c>
      <c r="AG24" s="49" t="n">
        <v>8273.799999999999</v>
      </c>
      <c r="AH24" s="49" t="n">
        <v>6320.71</v>
      </c>
      <c r="AI24" s="49" t="n">
        <v>9453.870000000001</v>
      </c>
      <c r="AJ24" s="49" t="n">
        <v>6435.01</v>
      </c>
      <c r="AK24" s="49" t="n">
        <v>9299</v>
      </c>
      <c r="AL24" s="49" t="n">
        <v>10309.19</v>
      </c>
      <c r="AM24" s="49" t="n">
        <v>6425.66</v>
      </c>
      <c r="AN24" s="50">
        <f>SUM(AB24:AM24)</f>
        <v/>
      </c>
    </row>
    <row r="25">
      <c r="A25" s="47" t="inlineStr">
        <is>
          <t>OI</t>
        </is>
      </c>
      <c r="B25" s="48">
        <f>IFERROR(VLOOKUP($A25,Codes!$A:$B,2,FALSE()),"")</f>
        <v/>
      </c>
      <c r="C25" s="5" t="inlineStr">
        <is>
          <t>Locks / Key Income</t>
        </is>
      </c>
      <c r="D25" s="49" t="n">
        <v>100</v>
      </c>
      <c r="E25" s="49" t="n">
        <v>150</v>
      </c>
      <c r="F25" s="49" t="n">
        <v>50</v>
      </c>
      <c r="G25" s="49" t="n">
        <v>0</v>
      </c>
      <c r="H25" s="49" t="n">
        <v>50</v>
      </c>
      <c r="I25" s="49" t="n">
        <v>170</v>
      </c>
      <c r="J25" s="49" t="n">
        <v>50</v>
      </c>
      <c r="K25" s="49" t="n">
        <v>55</v>
      </c>
      <c r="L25" s="49" t="n">
        <v>180</v>
      </c>
      <c r="M25" s="49" t="n">
        <v>550</v>
      </c>
      <c r="N25" s="49" t="n">
        <v>75</v>
      </c>
      <c r="O25" s="49" t="n">
        <v>150</v>
      </c>
      <c r="P25" s="49" t="n">
        <v>585</v>
      </c>
      <c r="Q25" s="49" t="n">
        <v>290</v>
      </c>
      <c r="R25" s="49" t="n">
        <v>465</v>
      </c>
      <c r="S25" s="49" t="n">
        <v>305</v>
      </c>
      <c r="T25" s="49" t="n">
        <v>570</v>
      </c>
      <c r="U25" s="49" t="n">
        <v>210</v>
      </c>
      <c r="V25" s="49" t="n">
        <v>110</v>
      </c>
      <c r="W25" s="49" t="n">
        <v>10</v>
      </c>
      <c r="X25" s="49" t="n">
        <v>110</v>
      </c>
      <c r="Y25" s="49" t="n">
        <v>150</v>
      </c>
      <c r="Z25" s="49" t="n">
        <v>160</v>
      </c>
      <c r="AA25" s="49" t="n">
        <v>50</v>
      </c>
      <c r="AB25" s="49" t="n">
        <v>150</v>
      </c>
      <c r="AC25" s="49" t="n">
        <v>180</v>
      </c>
      <c r="AD25" s="49" t="n">
        <v>5</v>
      </c>
      <c r="AE25" s="49" t="n">
        <v>245</v>
      </c>
      <c r="AF25" s="49" t="n">
        <v>210</v>
      </c>
      <c r="AG25" s="49" t="n">
        <v>270</v>
      </c>
      <c r="AH25" s="49" t="n">
        <v>540</v>
      </c>
      <c r="AI25" s="49" t="n">
        <v>180</v>
      </c>
      <c r="AJ25" s="49" t="n">
        <v>297.73</v>
      </c>
      <c r="AK25" s="49" t="n">
        <v>320</v>
      </c>
      <c r="AL25" s="49" t="n">
        <v>60</v>
      </c>
      <c r="AM25" s="49" t="n">
        <v>250</v>
      </c>
      <c r="AN25" s="50">
        <f>SUM(AB25:AM25)</f>
        <v/>
      </c>
    </row>
    <row r="26">
      <c r="A26" s="47" t="inlineStr">
        <is>
          <t>Rentinc</t>
        </is>
      </c>
      <c r="B26" s="48">
        <f>IFERROR(VLOOKUP($A26,Codes!$A:$B,2,FALSE()),"")</f>
        <v/>
      </c>
      <c r="C26" s="5" t="inlineStr">
        <is>
          <t>Month-to-Month Premiums</t>
        </is>
      </c>
      <c r="D26" s="49" t="n">
        <v>2.76</v>
      </c>
      <c r="E26" s="49" t="n">
        <v>4.1</v>
      </c>
      <c r="F26" s="49" t="n">
        <v>290.77</v>
      </c>
      <c r="G26" s="49" t="n">
        <v>4.86</v>
      </c>
      <c r="H26" s="49" t="n">
        <v>3.44</v>
      </c>
      <c r="I26" s="49" t="n">
        <v>8.77</v>
      </c>
      <c r="J26" s="49" t="n">
        <v>8.130000000000001</v>
      </c>
      <c r="K26" s="49" t="n">
        <v>12.18</v>
      </c>
      <c r="L26" s="49" t="n">
        <v>11.49</v>
      </c>
      <c r="M26" s="49" t="n">
        <v>220.75</v>
      </c>
      <c r="N26" s="49" t="n">
        <v>13.56</v>
      </c>
      <c r="O26" s="49" t="n">
        <v>13.28</v>
      </c>
      <c r="P26" s="49" t="n">
        <v>18.87</v>
      </c>
      <c r="Q26" s="49" t="n">
        <v>16.56</v>
      </c>
      <c r="R26" s="49" t="n">
        <v>12.29</v>
      </c>
      <c r="S26" s="49" t="n">
        <v>8.050000000000001</v>
      </c>
      <c r="T26" s="49" t="n">
        <v>10.1</v>
      </c>
      <c r="U26" s="49" t="n">
        <v>11.4</v>
      </c>
      <c r="V26" s="49" t="n">
        <v>11.55</v>
      </c>
      <c r="W26" s="49" t="n">
        <v>6.1</v>
      </c>
      <c r="X26" s="49" t="n">
        <v>5.77</v>
      </c>
      <c r="Y26" s="49" t="n">
        <v>816.39</v>
      </c>
      <c r="Z26" s="49" t="n">
        <v>5.59</v>
      </c>
      <c r="AA26" s="49" t="n">
        <v>76.67</v>
      </c>
      <c r="AB26" s="49" t="n">
        <v>0.38</v>
      </c>
      <c r="AC26" s="49" t="n">
        <v>6.25</v>
      </c>
      <c r="AD26" s="49" t="n">
        <v>10.68</v>
      </c>
      <c r="AE26" s="49" t="n">
        <v>10.02</v>
      </c>
      <c r="AF26" s="49" t="n">
        <v>17.35</v>
      </c>
      <c r="AG26" s="49" t="n">
        <v>18.44</v>
      </c>
      <c r="AH26" s="49" t="n">
        <v>21.22</v>
      </c>
      <c r="AI26" s="49" t="n">
        <v>20.64</v>
      </c>
      <c r="AJ26" s="49" t="n">
        <v>9.640000000000001</v>
      </c>
      <c r="AK26" s="49" t="n">
        <v>11.18</v>
      </c>
      <c r="AL26" s="49" t="n">
        <v>11.8</v>
      </c>
      <c r="AM26" s="49" t="n">
        <v>4.31</v>
      </c>
      <c r="AN26" s="50">
        <f>SUM(AB26:AM26)</f>
        <v/>
      </c>
    </row>
    <row r="27">
      <c r="A27" s="47" t="inlineStr">
        <is>
          <t>OI</t>
        </is>
      </c>
      <c r="B27" s="48">
        <f>IFERROR(VLOOKUP($A27,Codes!$A:$B,2,FALSE()),"")</f>
        <v/>
      </c>
      <c r="C27" s="5" t="inlineStr">
        <is>
          <t>NSF Fees</t>
        </is>
      </c>
      <c r="D27" s="49" t="n">
        <v>650</v>
      </c>
      <c r="E27" s="49" t="n">
        <v>300</v>
      </c>
      <c r="F27" s="49" t="n">
        <v>400</v>
      </c>
      <c r="G27" s="49" t="n">
        <v>550</v>
      </c>
      <c r="H27" s="49" t="n">
        <v>700</v>
      </c>
      <c r="I27" s="49" t="n">
        <v>250</v>
      </c>
      <c r="J27" s="49" t="n">
        <v>850</v>
      </c>
      <c r="K27" s="49" t="n">
        <v>500</v>
      </c>
      <c r="L27" s="49" t="n">
        <v>600</v>
      </c>
      <c r="M27" s="49" t="n">
        <v>850</v>
      </c>
      <c r="N27" s="49" t="n">
        <v>-50</v>
      </c>
      <c r="O27" s="49" t="n">
        <v>450</v>
      </c>
      <c r="P27" s="49" t="n">
        <v>400</v>
      </c>
      <c r="Q27" s="49" t="n">
        <v>550</v>
      </c>
      <c r="R27" s="49" t="n">
        <v>400</v>
      </c>
      <c r="S27" s="49" t="n">
        <v>850</v>
      </c>
      <c r="T27" s="49" t="n">
        <v>500</v>
      </c>
      <c r="U27" s="49" t="n">
        <v>950</v>
      </c>
      <c r="V27" s="49" t="n">
        <v>450</v>
      </c>
      <c r="W27" s="49" t="n">
        <v>950</v>
      </c>
      <c r="X27" s="49" t="n">
        <v>675</v>
      </c>
      <c r="Y27" s="49" t="n">
        <v>500</v>
      </c>
      <c r="Z27" s="49" t="n">
        <v>900</v>
      </c>
      <c r="AA27" s="49" t="n">
        <v>750</v>
      </c>
      <c r="AB27" s="49" t="n">
        <v>600</v>
      </c>
      <c r="AC27" s="49" t="n">
        <v>650</v>
      </c>
      <c r="AD27" s="49" t="n">
        <v>650</v>
      </c>
      <c r="AE27" s="49" t="n">
        <v>300</v>
      </c>
      <c r="AF27" s="49" t="n">
        <v>500</v>
      </c>
      <c r="AG27" s="49" t="n">
        <v>1100</v>
      </c>
      <c r="AH27" s="49" t="n">
        <v>300</v>
      </c>
      <c r="AI27" s="49" t="n">
        <v>700</v>
      </c>
      <c r="AJ27" s="49" t="n">
        <v>1050</v>
      </c>
      <c r="AK27" s="49" t="n">
        <v>750</v>
      </c>
      <c r="AL27" s="49" t="n">
        <v>550</v>
      </c>
      <c r="AM27" s="49" t="n">
        <v>500</v>
      </c>
      <c r="AN27" s="50">
        <f>SUM(AB27:AM27)</f>
        <v/>
      </c>
    </row>
    <row r="28">
      <c r="A28" s="47" t="inlineStr">
        <is>
          <t>OI</t>
        </is>
      </c>
      <c r="B28" s="48">
        <f>IFERROR(VLOOKUP($A28,Codes!$A:$B,2,FALSE()),"")</f>
        <v/>
      </c>
      <c r="C28" s="5" t="inlineStr">
        <is>
          <t>Package Concierge/Locker Income</t>
        </is>
      </c>
      <c r="D28" s="49" t="n">
        <v>600.2</v>
      </c>
      <c r="E28" s="49" t="n">
        <v>625.0700000000001</v>
      </c>
      <c r="F28" s="49" t="n">
        <v>639.2</v>
      </c>
      <c r="G28" s="49" t="n">
        <v>656.4</v>
      </c>
      <c r="H28" s="49" t="n">
        <v>650.39</v>
      </c>
      <c r="I28" s="49" t="n">
        <v>656</v>
      </c>
      <c r="J28" s="49" t="n">
        <v>644.85</v>
      </c>
      <c r="K28" s="49" t="n">
        <v>653.04</v>
      </c>
      <c r="L28" s="49" t="n">
        <v>656.78</v>
      </c>
      <c r="M28" s="49" t="n">
        <v>652.54</v>
      </c>
      <c r="N28" s="49" t="n">
        <v>657.17</v>
      </c>
      <c r="O28" s="49" t="n">
        <v>664.04</v>
      </c>
      <c r="P28" s="49" t="n">
        <v>667.8200000000001</v>
      </c>
      <c r="Q28" s="49" t="n">
        <v>665.83</v>
      </c>
      <c r="R28" s="49" t="n">
        <v>664.38</v>
      </c>
      <c r="S28" s="49" t="n">
        <v>665.52</v>
      </c>
      <c r="T28" s="49" t="n">
        <v>665.7</v>
      </c>
      <c r="U28" s="49" t="n">
        <v>662.6900000000001</v>
      </c>
      <c r="V28" s="49" t="n">
        <v>670.1900000000001</v>
      </c>
      <c r="W28" s="49" t="n">
        <v>671.39</v>
      </c>
      <c r="X28" s="49" t="n">
        <v>672.62</v>
      </c>
      <c r="Y28" s="49" t="n">
        <v>665.12</v>
      </c>
      <c r="Z28" s="49" t="n">
        <v>667.26</v>
      </c>
      <c r="AA28" s="49" t="n">
        <v>666.1</v>
      </c>
      <c r="AB28" s="49" t="n">
        <v>656.78</v>
      </c>
      <c r="AC28" s="49" t="n">
        <v>660.54</v>
      </c>
      <c r="AD28" s="49" t="n">
        <v>668.25</v>
      </c>
      <c r="AE28" s="49" t="n">
        <v>667.3099999999999</v>
      </c>
      <c r="AF28" s="49" t="n">
        <v>667.36</v>
      </c>
      <c r="AG28" s="49" t="n">
        <v>667.52</v>
      </c>
      <c r="AH28" s="49" t="n">
        <v>668.24</v>
      </c>
      <c r="AI28" s="49" t="n">
        <v>660.05</v>
      </c>
      <c r="AJ28" s="49" t="n">
        <v>655.35</v>
      </c>
      <c r="AK28" s="49" t="n">
        <v>651.04</v>
      </c>
      <c r="AL28" s="49" t="n">
        <v>934.79</v>
      </c>
      <c r="AM28" s="49" t="n">
        <v>715.62</v>
      </c>
      <c r="AN28" s="50">
        <f>SUM(AB28:AM28)</f>
        <v/>
      </c>
    </row>
    <row r="29">
      <c r="A29" s="47" t="inlineStr">
        <is>
          <t>park</t>
        </is>
      </c>
      <c r="B29" s="48">
        <f>IFERROR(VLOOKUP($A29,Codes!$A:$B,2,FALSE()),"")</f>
        <v/>
      </c>
      <c r="C29" s="5" t="inlineStr">
        <is>
          <t>Parking / Carport Income</t>
        </is>
      </c>
      <c r="D29" s="49" t="n">
        <v>1731.28</v>
      </c>
      <c r="E29" s="49" t="n">
        <v>1796.25</v>
      </c>
      <c r="F29" s="49" t="n">
        <v>1751.84</v>
      </c>
      <c r="G29" s="51" t="n">
        <v>7067.58</v>
      </c>
      <c r="H29" s="49" t="n">
        <v>1899.03</v>
      </c>
      <c r="I29" s="49" t="n">
        <v>1879.5</v>
      </c>
      <c r="J29" s="49" t="n">
        <v>-1319.79</v>
      </c>
      <c r="K29" s="49" t="n">
        <v>1807.42</v>
      </c>
      <c r="L29" s="49" t="n">
        <v>1810</v>
      </c>
      <c r="M29" s="49" t="n">
        <v>1904.68</v>
      </c>
      <c r="N29" s="49" t="n">
        <v>5379.71</v>
      </c>
      <c r="O29" s="49" t="n">
        <v>1871.29</v>
      </c>
      <c r="P29" s="49" t="n">
        <v>3903.78</v>
      </c>
      <c r="Q29" s="49" t="n">
        <v>1859.83</v>
      </c>
      <c r="R29" s="49" t="n">
        <v>1639.35</v>
      </c>
      <c r="S29" s="49" t="n">
        <v>1742.17</v>
      </c>
      <c r="T29" s="49" t="n">
        <v>3247.66</v>
      </c>
      <c r="U29" s="49" t="n">
        <v>1796.67</v>
      </c>
      <c r="V29" s="49" t="n">
        <v>1946.56</v>
      </c>
      <c r="W29" s="49" t="n">
        <v>-189.28</v>
      </c>
      <c r="X29" s="49" t="n">
        <v>3628.97</v>
      </c>
      <c r="Y29" s="49" t="n">
        <v>1578.49</v>
      </c>
      <c r="Z29" s="49" t="n">
        <v>3818</v>
      </c>
      <c r="AA29" s="49" t="n">
        <v>1598.54</v>
      </c>
      <c r="AB29" s="49" t="n">
        <v>3035.66</v>
      </c>
      <c r="AC29" s="49" t="n">
        <v>1311.96</v>
      </c>
      <c r="AD29" s="49" t="n">
        <v>1408.44</v>
      </c>
      <c r="AE29" s="49" t="n">
        <v>3198.33</v>
      </c>
      <c r="AF29" s="49" t="n">
        <v>1278.07</v>
      </c>
      <c r="AG29" s="49" t="n">
        <v>1312.83</v>
      </c>
      <c r="AH29" s="49" t="n">
        <v>1212.26</v>
      </c>
      <c r="AI29" s="49" t="n">
        <v>2736.59</v>
      </c>
      <c r="AJ29" s="49" t="n">
        <v>1195.49</v>
      </c>
      <c r="AK29" s="49" t="n">
        <v>896.77</v>
      </c>
      <c r="AL29" s="51" t="n">
        <v>10825.85</v>
      </c>
      <c r="AM29" s="49" t="n">
        <v>594.1900000000001</v>
      </c>
      <c r="AN29" s="50">
        <f>SUM(AB29:AM29)</f>
        <v/>
      </c>
    </row>
    <row r="30">
      <c r="A30" s="47" t="inlineStr">
        <is>
          <t>OI</t>
        </is>
      </c>
      <c r="B30" s="48">
        <f>IFERROR(VLOOKUP($A30,Codes!$A:$B,2,FALSE()),"")</f>
        <v/>
      </c>
      <c r="C30" s="5" t="inlineStr">
        <is>
          <t>Pet Fees - Non-Refundable</t>
        </is>
      </c>
      <c r="D30" s="49" t="n">
        <v>1800</v>
      </c>
      <c r="E30" s="49" t="n">
        <v>1900</v>
      </c>
      <c r="F30" s="49" t="n">
        <v>2200</v>
      </c>
      <c r="G30" s="49" t="n">
        <v>-100</v>
      </c>
      <c r="H30" s="49" t="n">
        <v>1200</v>
      </c>
      <c r="I30" s="49" t="n">
        <v>917</v>
      </c>
      <c r="J30" s="49" t="n">
        <v>1200</v>
      </c>
      <c r="K30" s="49" t="n">
        <v>1230.97</v>
      </c>
      <c r="L30" s="49" t="n">
        <v>1200</v>
      </c>
      <c r="M30" s="49" t="n">
        <v>300</v>
      </c>
      <c r="N30" s="49" t="n">
        <v>0</v>
      </c>
      <c r="O30" s="49" t="n">
        <v>900</v>
      </c>
      <c r="P30" s="49" t="n">
        <v>1200</v>
      </c>
      <c r="Q30" s="49" t="n">
        <v>1800</v>
      </c>
      <c r="R30" s="49" t="n">
        <v>2100</v>
      </c>
      <c r="S30" s="49" t="n">
        <v>600</v>
      </c>
      <c r="T30" s="49" t="n">
        <v>300</v>
      </c>
      <c r="U30" s="49" t="n">
        <v>1211</v>
      </c>
      <c r="V30" s="49" t="n">
        <v>1500</v>
      </c>
      <c r="W30" s="49" t="n">
        <v>900</v>
      </c>
      <c r="X30" s="49" t="n">
        <v>600</v>
      </c>
      <c r="Y30" s="49" t="n">
        <v>2219.35</v>
      </c>
      <c r="Z30" s="49" t="n">
        <v>600</v>
      </c>
      <c r="AA30" s="49" t="n">
        <v>550</v>
      </c>
      <c r="AB30" s="49" t="n">
        <v>880</v>
      </c>
      <c r="AC30" s="49" t="n">
        <v>38.39</v>
      </c>
      <c r="AD30" s="49" t="n">
        <v>1800</v>
      </c>
      <c r="AE30" s="49" t="n">
        <v>1230</v>
      </c>
      <c r="AF30" s="49" t="n">
        <v>930</v>
      </c>
      <c r="AG30" s="49" t="n">
        <v>3944.67</v>
      </c>
      <c r="AH30" s="49" t="n">
        <v>-70</v>
      </c>
      <c r="AI30" s="49" t="n">
        <v>1530</v>
      </c>
      <c r="AJ30" s="49" t="n">
        <v>630</v>
      </c>
      <c r="AK30" s="49" t="n">
        <v>1831</v>
      </c>
      <c r="AL30" s="49" t="n">
        <v>375</v>
      </c>
      <c r="AM30" s="49" t="n">
        <v>1594.52</v>
      </c>
      <c r="AN30" s="50">
        <f>SUM(AB30:AM30)</f>
        <v/>
      </c>
    </row>
    <row r="31">
      <c r="A31" s="47" t="inlineStr">
        <is>
          <t>OI</t>
        </is>
      </c>
      <c r="B31" s="48">
        <f>IFERROR(VLOOKUP($A31,Codes!$A:$B,2,FALSE()),"")</f>
        <v/>
      </c>
      <c r="C31" s="5" t="inlineStr">
        <is>
          <t>Pet Rent</t>
        </is>
      </c>
      <c r="D31" s="49" t="n">
        <v>3995.99</v>
      </c>
      <c r="E31" s="49" t="n">
        <v>3938.12</v>
      </c>
      <c r="F31" s="49" t="n">
        <v>3922.53</v>
      </c>
      <c r="G31" s="49" t="n">
        <v>3693.79</v>
      </c>
      <c r="H31" s="49" t="n">
        <v>3496.39</v>
      </c>
      <c r="I31" s="49" t="n">
        <v>3537.77</v>
      </c>
      <c r="J31" s="49" t="n">
        <v>3540.33</v>
      </c>
      <c r="K31" s="49" t="n">
        <v>3426.03</v>
      </c>
      <c r="L31" s="49" t="n">
        <v>3387.33</v>
      </c>
      <c r="M31" s="49" t="n">
        <v>3203.44</v>
      </c>
      <c r="N31" s="49" t="n">
        <v>2954.37</v>
      </c>
      <c r="O31" s="49" t="n">
        <v>2975.8</v>
      </c>
      <c r="P31" s="49" t="n">
        <v>2861.36</v>
      </c>
      <c r="Q31" s="49" t="n">
        <v>3002.26</v>
      </c>
      <c r="R31" s="49" t="n">
        <v>3104.85</v>
      </c>
      <c r="S31" s="49" t="n">
        <v>3110.57</v>
      </c>
      <c r="T31" s="49" t="n">
        <v>3024.14</v>
      </c>
      <c r="U31" s="49" t="n">
        <v>3025.35</v>
      </c>
      <c r="V31" s="49" t="n">
        <v>3149.11</v>
      </c>
      <c r="W31" s="49" t="n">
        <v>2780.64</v>
      </c>
      <c r="X31" s="49" t="n">
        <v>2972.82</v>
      </c>
      <c r="Y31" s="49" t="n">
        <v>2939.72</v>
      </c>
      <c r="Z31" s="49" t="n">
        <v>2966.85</v>
      </c>
      <c r="AA31" s="49" t="n">
        <v>3060.74</v>
      </c>
      <c r="AB31" s="49" t="n">
        <v>3036.48</v>
      </c>
      <c r="AC31" s="49" t="n">
        <v>2822.39</v>
      </c>
      <c r="AD31" s="49" t="n">
        <v>2665.2</v>
      </c>
      <c r="AE31" s="49" t="n">
        <v>2800.78</v>
      </c>
      <c r="AF31" s="49" t="n">
        <v>2717.48</v>
      </c>
      <c r="AG31" s="49" t="n">
        <v>2581</v>
      </c>
      <c r="AH31" s="49" t="n">
        <v>2796.8</v>
      </c>
      <c r="AI31" s="49" t="n">
        <v>2570.2</v>
      </c>
      <c r="AJ31" s="49" t="n">
        <v>2691.42</v>
      </c>
      <c r="AK31" s="49" t="n">
        <v>2704.67</v>
      </c>
      <c r="AL31" s="49" t="n">
        <v>2702.91</v>
      </c>
      <c r="AM31" s="49" t="n">
        <v>3073.11</v>
      </c>
      <c r="AN31" s="50">
        <f>SUM(AB31:AM31)</f>
        <v/>
      </c>
    </row>
    <row r="32">
      <c r="A32" s="47" t="inlineStr">
        <is>
          <t>OI</t>
        </is>
      </c>
      <c r="B32" s="48">
        <f>IFERROR(VLOOKUP($A32,Codes!$A:$B,2,FALSE()),"")</f>
        <v/>
      </c>
      <c r="C32" s="5" t="inlineStr">
        <is>
          <t>Renter's Insurance Fees</t>
        </is>
      </c>
      <c r="D32" s="49" t="n">
        <v>83.76000000000001</v>
      </c>
      <c r="E32" s="51" t="n">
        <v>-2071.23</v>
      </c>
      <c r="F32" s="51" t="n">
        <v>-5027.84</v>
      </c>
      <c r="G32" s="51" t="n">
        <v>6244.57</v>
      </c>
      <c r="H32" s="49" t="n">
        <v>119.1</v>
      </c>
      <c r="I32" s="49" t="n">
        <v>394.24</v>
      </c>
      <c r="J32" s="49" t="n">
        <v>-299.32</v>
      </c>
      <c r="K32" s="49" t="n">
        <v>244.2</v>
      </c>
      <c r="L32" s="49" t="n">
        <v>-153.49</v>
      </c>
      <c r="M32" s="51" t="n">
        <v>3766.34</v>
      </c>
      <c r="N32" s="49" t="n">
        <v>-992.22</v>
      </c>
      <c r="O32" s="51" t="n">
        <v>-6476.8</v>
      </c>
      <c r="P32" s="49" t="n">
        <v>-1648.29</v>
      </c>
      <c r="Q32" s="49" t="n">
        <v>-1809.07</v>
      </c>
      <c r="R32" s="51" t="n">
        <v>-2536.45</v>
      </c>
      <c r="S32" s="51" t="n">
        <v>5128.25</v>
      </c>
      <c r="T32" s="51" t="n">
        <v>-3682.22</v>
      </c>
      <c r="U32" s="49" t="n">
        <v>-128.61</v>
      </c>
      <c r="V32" s="49" t="n">
        <v>213.68</v>
      </c>
      <c r="W32" s="49" t="n">
        <v>743.22</v>
      </c>
      <c r="X32" s="49" t="n">
        <v>405.06</v>
      </c>
      <c r="Y32" s="51" t="n">
        <v>5173.2</v>
      </c>
      <c r="Z32" s="49" t="n">
        <v>354.66</v>
      </c>
      <c r="AA32" s="49" t="n">
        <v>463.5</v>
      </c>
      <c r="AB32" s="49" t="n">
        <v>582.48</v>
      </c>
      <c r="AC32" s="49" t="n">
        <v>497.88</v>
      </c>
      <c r="AD32" s="49" t="n">
        <v>766.02</v>
      </c>
      <c r="AE32" s="49" t="n">
        <v>915</v>
      </c>
      <c r="AF32" s="49" t="n">
        <v>629.39</v>
      </c>
      <c r="AG32" s="49" t="n">
        <v>518.46</v>
      </c>
      <c r="AH32" s="49" t="n">
        <v>509.1</v>
      </c>
      <c r="AI32" s="49" t="n">
        <v>432.66</v>
      </c>
      <c r="AJ32" s="49" t="n">
        <v>289.86</v>
      </c>
      <c r="AK32" s="49" t="n">
        <v>471.3</v>
      </c>
      <c r="AL32" s="49" t="n">
        <v>140.28</v>
      </c>
      <c r="AM32" s="49" t="n">
        <v>57.06</v>
      </c>
      <c r="AN32" s="50">
        <f>SUM(AB32:AM32)</f>
        <v/>
      </c>
    </row>
    <row r="33">
      <c r="A33" s="47" t="inlineStr">
        <is>
          <t>OI</t>
        </is>
      </c>
      <c r="B33" s="48">
        <f>IFERROR(VLOOKUP($A33,Codes!$A:$B,2,FALSE()),"")</f>
        <v/>
      </c>
      <c r="C33" s="5" t="inlineStr">
        <is>
          <t>Transfer Fee</t>
        </is>
      </c>
      <c r="D33" s="49" t="n">
        <v>500</v>
      </c>
      <c r="E33" s="49" t="n">
        <v>2750</v>
      </c>
      <c r="F33" s="49" t="n">
        <v>750</v>
      </c>
      <c r="G33" s="49" t="n">
        <v>250</v>
      </c>
      <c r="H33" s="49" t="n">
        <v>1250</v>
      </c>
      <c r="I33" s="49" t="n">
        <v>1750</v>
      </c>
      <c r="J33" s="49" t="n">
        <v>750</v>
      </c>
      <c r="K33" s="49" t="n">
        <v>2250</v>
      </c>
      <c r="L33" s="49" t="n">
        <v>1250</v>
      </c>
      <c r="M33" s="49" t="n">
        <v>2000</v>
      </c>
      <c r="N33" s="49" t="n">
        <v>250</v>
      </c>
      <c r="O33" s="49" t="n">
        <v>2500</v>
      </c>
      <c r="P33" s="49" t="n">
        <v>1250</v>
      </c>
      <c r="Q33" s="49" t="n">
        <v>1250</v>
      </c>
      <c r="R33" s="49" t="n">
        <v>1500</v>
      </c>
      <c r="S33" s="49" t="n">
        <v>1000</v>
      </c>
      <c r="T33" s="49" t="n">
        <v>1000</v>
      </c>
      <c r="U33" s="49" t="n">
        <v>-250</v>
      </c>
      <c r="V33" s="49" t="n">
        <v>500</v>
      </c>
      <c r="W33" s="49" t="n">
        <v>750</v>
      </c>
      <c r="X33" s="49" t="n">
        <v>1750</v>
      </c>
      <c r="Y33" s="49" t="n">
        <v>1750</v>
      </c>
      <c r="Z33" s="49" t="n">
        <v>2250</v>
      </c>
      <c r="AA33" s="49" t="n">
        <v>1500</v>
      </c>
      <c r="AB33" s="49" t="n">
        <v>1500</v>
      </c>
      <c r="AC33" s="49" t="n">
        <v>1500</v>
      </c>
      <c r="AD33" s="49" t="n">
        <v>1500</v>
      </c>
      <c r="AE33" s="49" t="n">
        <v>500</v>
      </c>
      <c r="AF33" s="49" t="n">
        <v>500</v>
      </c>
      <c r="AG33" s="51" t="n">
        <v>4750</v>
      </c>
      <c r="AH33" s="49" t="n">
        <v>2000</v>
      </c>
      <c r="AI33" s="49" t="n">
        <v>1000</v>
      </c>
      <c r="AJ33" s="49" t="n">
        <v>750</v>
      </c>
      <c r="AK33" s="49" t="n">
        <v>750</v>
      </c>
      <c r="AL33" s="49" t="n">
        <v>2250</v>
      </c>
      <c r="AM33" s="49" t="n">
        <v>1500</v>
      </c>
      <c r="AN33" s="50">
        <f>SUM(AB33:AM33)</f>
        <v/>
      </c>
    </row>
    <row r="34">
      <c r="A34" s="47" t="inlineStr">
        <is>
          <t>RF</t>
        </is>
      </c>
      <c r="B34" s="48">
        <f>IFERROR(VLOOKUP($A34,Codes!$A:$B,2,FALSE()),"")</f>
        <v/>
      </c>
      <c r="C34" s="5" t="inlineStr">
        <is>
          <t>Gas Rebill</t>
        </is>
      </c>
      <c r="D34" s="49" t="n">
        <v>3783.49</v>
      </c>
      <c r="E34" s="49" t="n">
        <v>11495.64</v>
      </c>
      <c r="F34" s="49" t="n">
        <v>10084.61</v>
      </c>
      <c r="G34" s="49" t="n">
        <v>7342.31</v>
      </c>
      <c r="H34" s="49" t="n">
        <v>6812.56</v>
      </c>
      <c r="I34" s="49" t="n">
        <v>-2688.52</v>
      </c>
      <c r="J34" s="49" t="n">
        <v>-6888.89</v>
      </c>
      <c r="K34" s="49" t="n">
        <v>-674.4400000000001</v>
      </c>
      <c r="L34" s="49" t="n">
        <v>882.1799999999999</v>
      </c>
      <c r="M34" s="49" t="n">
        <v>-276.83</v>
      </c>
      <c r="N34" s="49" t="n">
        <v>113.16</v>
      </c>
      <c r="O34" s="49" t="n">
        <v>996.34</v>
      </c>
      <c r="P34" s="49" t="n">
        <v>5388.28</v>
      </c>
      <c r="Q34" s="51" t="n">
        <v>19433.44</v>
      </c>
      <c r="R34" s="51" t="n">
        <v>29753.14</v>
      </c>
      <c r="S34" s="49" t="n">
        <v>1831.78</v>
      </c>
      <c r="T34" s="49" t="n">
        <v>7672.88</v>
      </c>
      <c r="U34" s="49" t="n">
        <v>3588.58</v>
      </c>
      <c r="V34" s="51" t="n">
        <v>-14390.48</v>
      </c>
      <c r="W34" s="49" t="n">
        <v>176.52</v>
      </c>
      <c r="X34" s="49" t="n">
        <v>-908.4299999999999</v>
      </c>
      <c r="Y34" s="49" t="n">
        <v>-33.36</v>
      </c>
      <c r="Z34" s="49" t="n">
        <v>760.72</v>
      </c>
      <c r="AA34" s="49" t="n">
        <v>1444.15</v>
      </c>
      <c r="AB34" s="49" t="n">
        <v>4143.78</v>
      </c>
      <c r="AC34" s="51" t="n">
        <v>22341.62</v>
      </c>
      <c r="AD34" s="51" t="n">
        <v>14780.82</v>
      </c>
      <c r="AE34" s="49" t="n">
        <v>12813.28</v>
      </c>
      <c r="AF34" s="49" t="n">
        <v>-5887.61</v>
      </c>
      <c r="AG34" s="49" t="n">
        <v>-2681.23</v>
      </c>
      <c r="AH34" s="49" t="n">
        <v>-3866.3</v>
      </c>
      <c r="AI34" s="49" t="n">
        <v>12117.34</v>
      </c>
      <c r="AJ34" s="49" t="n">
        <v>1294</v>
      </c>
      <c r="AK34" s="49" t="n">
        <v>155.1</v>
      </c>
      <c r="AL34" s="49" t="n">
        <v>998.01</v>
      </c>
      <c r="AM34" s="49" t="n">
        <v>485.73</v>
      </c>
      <c r="AN34" s="50">
        <f>SUM(AB34:AM34)</f>
        <v/>
      </c>
    </row>
    <row r="35">
      <c r="A35" s="47" t="inlineStr">
        <is>
          <t>RF</t>
        </is>
      </c>
      <c r="B35" s="48">
        <f>IFERROR(VLOOKUP($A35,Codes!$A:$B,2,FALSE()),"")</f>
        <v/>
      </c>
      <c r="C35" s="5" t="inlineStr">
        <is>
          <t>Utility Reimbursement</t>
        </is>
      </c>
      <c r="D35" s="49" t="n">
        <v>2018.41</v>
      </c>
      <c r="E35" s="49" t="n">
        <v>5161.13</v>
      </c>
      <c r="F35" s="49" t="n">
        <v>2763.87</v>
      </c>
      <c r="G35" s="49" t="n">
        <v>3202.59</v>
      </c>
      <c r="H35" s="49" t="n">
        <v>5709.72</v>
      </c>
      <c r="I35" s="49" t="n">
        <v>2257.87</v>
      </c>
      <c r="J35" s="49" t="n">
        <v>4662.72</v>
      </c>
      <c r="K35" s="49" t="n">
        <v>1547.76</v>
      </c>
      <c r="L35" s="49" t="n">
        <v>4981.24</v>
      </c>
      <c r="M35" s="49" t="n">
        <v>5701.2</v>
      </c>
      <c r="N35" s="49" t="n">
        <v>1426.29</v>
      </c>
      <c r="O35" s="49" t="n">
        <v>5078.58</v>
      </c>
      <c r="P35" s="49" t="n">
        <v>3537.07</v>
      </c>
      <c r="Q35" s="49" t="n">
        <v>5568.93</v>
      </c>
      <c r="R35" s="49" t="n">
        <v>2552.84</v>
      </c>
      <c r="S35" s="49" t="n">
        <v>5378.7</v>
      </c>
      <c r="T35" s="49" t="n">
        <v>4026.29</v>
      </c>
      <c r="U35" s="49" t="n">
        <v>3280.65</v>
      </c>
      <c r="V35" s="49" t="n">
        <v>2798.86</v>
      </c>
      <c r="W35" s="49" t="n">
        <v>6067.38</v>
      </c>
      <c r="X35" s="49" t="n">
        <v>3683.5</v>
      </c>
      <c r="Y35" s="49" t="n">
        <v>3696.54</v>
      </c>
      <c r="Z35" s="49" t="n">
        <v>2646.31</v>
      </c>
      <c r="AA35" s="49" t="n">
        <v>6013.89</v>
      </c>
      <c r="AB35" s="49" t="n">
        <v>4884.01</v>
      </c>
      <c r="AC35" s="49" t="n">
        <v>4936.68</v>
      </c>
      <c r="AD35" s="49" t="n">
        <v>4342.86</v>
      </c>
      <c r="AE35" s="49" t="n">
        <v>2917.38</v>
      </c>
      <c r="AF35" s="49" t="n">
        <v>5950.54</v>
      </c>
      <c r="AG35" s="49" t="n">
        <v>3197.86</v>
      </c>
      <c r="AH35" s="49" t="n">
        <v>6055.24</v>
      </c>
      <c r="AI35" s="49" t="n">
        <v>2601.26</v>
      </c>
      <c r="AJ35" s="49" t="n">
        <v>4617.08</v>
      </c>
      <c r="AK35" s="49" t="n">
        <v>3600.44</v>
      </c>
      <c r="AL35" s="49" t="n">
        <v>4256.9</v>
      </c>
      <c r="AM35" s="49" t="n">
        <v>3553.3</v>
      </c>
      <c r="AN35" s="50">
        <f>SUM(AB35:AM35)</f>
        <v/>
      </c>
    </row>
    <row r="36">
      <c r="A36" s="47" t="inlineStr">
        <is>
          <t>RF</t>
        </is>
      </c>
      <c r="B36" s="48">
        <f>IFERROR(VLOOKUP($A36,Codes!$A:$B,2,FALSE()),"")</f>
        <v/>
      </c>
      <c r="C36" s="5" t="inlineStr">
        <is>
          <t>Pest Control Rebill</t>
        </is>
      </c>
      <c r="D36" s="49" t="n">
        <v>2748.5</v>
      </c>
      <c r="E36" s="49" t="n">
        <v>3322.42</v>
      </c>
      <c r="F36" s="49" t="n">
        <v>2803.61</v>
      </c>
      <c r="G36" s="49" t="n">
        <v>2274.92</v>
      </c>
      <c r="H36" s="49" t="n">
        <v>4390.9</v>
      </c>
      <c r="I36" s="49" t="n">
        <v>1948.27</v>
      </c>
      <c r="J36" s="49" t="n">
        <v>3450.62</v>
      </c>
      <c r="K36" s="49" t="n">
        <v>2959.06</v>
      </c>
      <c r="L36" s="49" t="n">
        <v>3041.61</v>
      </c>
      <c r="M36" s="49" t="n">
        <v>3298.85</v>
      </c>
      <c r="N36" s="49" t="n">
        <v>3321.45</v>
      </c>
      <c r="O36" s="49" t="n">
        <v>3619.67</v>
      </c>
      <c r="P36" s="49" t="n">
        <v>3038.46</v>
      </c>
      <c r="Q36" s="49" t="n">
        <v>3232.31</v>
      </c>
      <c r="R36" s="49" t="n">
        <v>3020.46</v>
      </c>
      <c r="S36" s="49" t="n">
        <v>2911.45</v>
      </c>
      <c r="T36" s="49" t="n">
        <v>4475.71</v>
      </c>
      <c r="U36" s="49" t="n">
        <v>3218.71</v>
      </c>
      <c r="V36" s="49" t="n">
        <v>4013.92</v>
      </c>
      <c r="W36" s="49" t="n">
        <v>2942.51</v>
      </c>
      <c r="X36" s="49" t="n">
        <v>3694.26</v>
      </c>
      <c r="Y36" s="49" t="n">
        <v>3160.03</v>
      </c>
      <c r="Z36" s="49" t="n">
        <v>3109.18</v>
      </c>
      <c r="AA36" s="49" t="n">
        <v>3665.16</v>
      </c>
      <c r="AB36" s="49" t="n">
        <v>3335.3</v>
      </c>
      <c r="AC36" s="49" t="n">
        <v>2709.03</v>
      </c>
      <c r="AD36" s="49" t="n">
        <v>3030.19</v>
      </c>
      <c r="AE36" s="49" t="n">
        <v>3364.83</v>
      </c>
      <c r="AF36" s="49" t="n">
        <v>4754.52</v>
      </c>
      <c r="AG36" s="49" t="n">
        <v>4688.27</v>
      </c>
      <c r="AH36" s="49" t="n">
        <v>4017.43</v>
      </c>
      <c r="AI36" s="49" t="n">
        <v>1378.44</v>
      </c>
      <c r="AJ36" s="49" t="n">
        <v>3705.41</v>
      </c>
      <c r="AK36" s="49" t="n">
        <v>2799.59</v>
      </c>
      <c r="AL36" s="49" t="n">
        <v>3784.07</v>
      </c>
      <c r="AM36" s="49" t="n">
        <v>3055.93</v>
      </c>
      <c r="AN36" s="50">
        <f>SUM(AB36:AM36)</f>
        <v/>
      </c>
    </row>
    <row r="37">
      <c r="A37" s="47" t="inlineStr">
        <is>
          <t>RT</t>
        </is>
      </c>
      <c r="B37" s="48">
        <f>IFERROR(VLOOKUP($A37,Codes!$A:$B,2,FALSE()),"")</f>
        <v/>
      </c>
      <c r="C37" s="5" t="inlineStr">
        <is>
          <t>Trash Rebill</t>
        </is>
      </c>
      <c r="D37" s="49" t="n">
        <v>4255.49</v>
      </c>
      <c r="E37" s="49" t="n">
        <v>5833.74</v>
      </c>
      <c r="F37" s="49" t="n">
        <v>5050.14</v>
      </c>
      <c r="G37" s="49" t="n">
        <v>6712.32</v>
      </c>
      <c r="H37" s="49" t="n">
        <v>6901.85</v>
      </c>
      <c r="I37" s="49" t="n">
        <v>3640.43</v>
      </c>
      <c r="J37" s="49" t="n">
        <v>6318.47</v>
      </c>
      <c r="K37" s="49" t="n">
        <v>4928.1</v>
      </c>
      <c r="L37" s="49" t="n">
        <v>6274.85</v>
      </c>
      <c r="M37" s="49" t="n">
        <v>5555.42</v>
      </c>
      <c r="N37" s="49" t="n">
        <v>6108.68</v>
      </c>
      <c r="O37" s="49" t="n">
        <v>7030.3</v>
      </c>
      <c r="P37" s="49" t="n">
        <v>5929.28</v>
      </c>
      <c r="Q37" s="49" t="n">
        <v>7195.31</v>
      </c>
      <c r="R37" s="49" t="n">
        <v>4607.55</v>
      </c>
      <c r="S37" s="49" t="n">
        <v>5925.38</v>
      </c>
      <c r="T37" s="49" t="n">
        <v>7375.55</v>
      </c>
      <c r="U37" s="49" t="n">
        <v>6651.06</v>
      </c>
      <c r="V37" s="49" t="n">
        <v>7387.34</v>
      </c>
      <c r="W37" s="49" t="n">
        <v>4788.96</v>
      </c>
      <c r="X37" s="49" t="n">
        <v>7466.12</v>
      </c>
      <c r="Y37" s="49" t="n">
        <v>6005.91</v>
      </c>
      <c r="Z37" s="49" t="n">
        <v>6605.81</v>
      </c>
      <c r="AA37" s="49" t="n">
        <v>7710.93</v>
      </c>
      <c r="AB37" s="49" t="n">
        <v>7719.98</v>
      </c>
      <c r="AC37" s="49" t="n">
        <v>4396.02</v>
      </c>
      <c r="AD37" s="49" t="n">
        <v>6555.28</v>
      </c>
      <c r="AE37" s="49" t="n">
        <v>7690.26</v>
      </c>
      <c r="AF37" s="49" t="n">
        <v>9318.940000000001</v>
      </c>
      <c r="AG37" s="49" t="n">
        <v>4170.71</v>
      </c>
      <c r="AH37" s="49" t="n">
        <v>8669.4</v>
      </c>
      <c r="AI37" s="49" t="n">
        <v>4447.77</v>
      </c>
      <c r="AJ37" s="49" t="n">
        <v>7163.7</v>
      </c>
      <c r="AK37" s="49" t="n">
        <v>5792.89</v>
      </c>
      <c r="AL37" s="49" t="n">
        <v>6905.55</v>
      </c>
      <c r="AM37" s="49" t="n">
        <v>6813.57</v>
      </c>
      <c r="AN37" s="50">
        <f>SUM(AB37:AM37)</f>
        <v/>
      </c>
    </row>
    <row r="38">
      <c r="A38" s="47" t="inlineStr">
        <is>
          <t>RT</t>
        </is>
      </c>
      <c r="B38" s="48">
        <f>IFERROR(VLOOKUP($A38,Codes!$A:$B,2,FALSE()),"")</f>
        <v/>
      </c>
      <c r="C38" s="5" t="inlineStr">
        <is>
          <t>Trash Remove Rebill-Door to Door Pickup</t>
        </is>
      </c>
      <c r="D38" s="49" t="n">
        <v>13558.2</v>
      </c>
      <c r="E38" s="49" t="n">
        <v>16588.33</v>
      </c>
      <c r="F38" s="49" t="n">
        <v>14444.94</v>
      </c>
      <c r="G38" s="49" t="n">
        <v>14434.19</v>
      </c>
      <c r="H38" s="49" t="n">
        <v>20573.19</v>
      </c>
      <c r="I38" s="49" t="n">
        <v>10398.28</v>
      </c>
      <c r="J38" s="49" t="n">
        <v>18112.72</v>
      </c>
      <c r="K38" s="49" t="n">
        <v>14443.89</v>
      </c>
      <c r="L38" s="49" t="n">
        <v>16198.63</v>
      </c>
      <c r="M38" s="49" t="n">
        <v>15392.34</v>
      </c>
      <c r="N38" s="49" t="n">
        <v>16818.71</v>
      </c>
      <c r="O38" s="49" t="n">
        <v>19388.86</v>
      </c>
      <c r="P38" s="49" t="n">
        <v>16557.55</v>
      </c>
      <c r="Q38" s="49" t="n">
        <v>17627.91</v>
      </c>
      <c r="R38" s="49" t="n">
        <v>16372.41</v>
      </c>
      <c r="S38" s="49" t="n">
        <v>15492.33</v>
      </c>
      <c r="T38" s="49" t="n">
        <v>22050.07</v>
      </c>
      <c r="U38" s="49" t="n">
        <v>14711.41</v>
      </c>
      <c r="V38" s="49" t="n">
        <v>19176.78</v>
      </c>
      <c r="W38" s="49" t="n">
        <v>15500.13</v>
      </c>
      <c r="X38" s="49" t="n">
        <v>19901.95</v>
      </c>
      <c r="Y38" s="49" t="n">
        <v>16080.16</v>
      </c>
      <c r="Z38" s="49" t="n">
        <v>16235.16</v>
      </c>
      <c r="AA38" s="49" t="n">
        <v>19787.66</v>
      </c>
      <c r="AB38" s="49" t="n">
        <v>17716.66</v>
      </c>
      <c r="AC38" s="49" t="n">
        <v>14639.17</v>
      </c>
      <c r="AD38" s="49" t="n">
        <v>17704.77</v>
      </c>
      <c r="AE38" s="49" t="n">
        <v>18193.9</v>
      </c>
      <c r="AF38" s="49" t="n">
        <v>24387.84</v>
      </c>
      <c r="AG38" s="49" t="n">
        <v>11081.17</v>
      </c>
      <c r="AH38" s="49" t="n">
        <v>22176.4</v>
      </c>
      <c r="AI38" s="49" t="n">
        <v>12926.16</v>
      </c>
      <c r="AJ38" s="49" t="n">
        <v>19092.73</v>
      </c>
      <c r="AK38" s="49" t="n">
        <v>15107.45</v>
      </c>
      <c r="AL38" s="49" t="n">
        <v>18172.07</v>
      </c>
      <c r="AM38" s="49" t="n">
        <v>15797.49</v>
      </c>
      <c r="AN38" s="50">
        <f>SUM(AB38:AM38)</f>
        <v/>
      </c>
    </row>
    <row r="39">
      <c r="A39" s="47" t="inlineStr">
        <is>
          <t>RWS</t>
        </is>
      </c>
      <c r="B39" s="48">
        <f>IFERROR(VLOOKUP($A39,Codes!$A:$B,2,FALSE()),"")</f>
        <v/>
      </c>
      <c r="C39" s="5" t="inlineStr">
        <is>
          <t>Water/Sewer Rebill</t>
        </is>
      </c>
      <c r="D39" s="49" t="n">
        <v>33318.38</v>
      </c>
      <c r="E39" s="49" t="n">
        <v>18437.06</v>
      </c>
      <c r="F39" s="49" t="n">
        <v>26917.26</v>
      </c>
      <c r="G39" s="49" t="n">
        <v>18660.23</v>
      </c>
      <c r="H39" s="49" t="n">
        <v>11591.89</v>
      </c>
      <c r="I39" s="49" t="n">
        <v>23404.26</v>
      </c>
      <c r="J39" s="49" t="n">
        <v>24641.37</v>
      </c>
      <c r="K39" s="49" t="n">
        <v>18546.02</v>
      </c>
      <c r="L39" s="49" t="n">
        <v>26337.84</v>
      </c>
      <c r="M39" s="49" t="n">
        <v>22526</v>
      </c>
      <c r="N39" s="49" t="n">
        <v>19680.34</v>
      </c>
      <c r="O39" s="49" t="n">
        <v>26214.04</v>
      </c>
      <c r="P39" s="49" t="n">
        <v>22344.49</v>
      </c>
      <c r="Q39" s="49" t="n">
        <v>16971.63</v>
      </c>
      <c r="R39" s="49" t="n">
        <v>14911.56</v>
      </c>
      <c r="S39" s="49" t="n">
        <v>26057.86</v>
      </c>
      <c r="T39" s="49" t="n">
        <v>13574.35</v>
      </c>
      <c r="U39" s="49" t="n">
        <v>18267.43</v>
      </c>
      <c r="V39" s="49" t="n">
        <v>30687.02</v>
      </c>
      <c r="W39" s="49" t="n">
        <v>22438.87</v>
      </c>
      <c r="X39" s="49" t="n">
        <v>19511.54</v>
      </c>
      <c r="Y39" s="49" t="n">
        <v>28754.49</v>
      </c>
      <c r="Z39" s="49" t="n">
        <v>27125.58</v>
      </c>
      <c r="AA39" s="49" t="n">
        <v>36171.83</v>
      </c>
      <c r="AB39" s="49" t="n">
        <v>17198.03</v>
      </c>
      <c r="AC39" s="49" t="n">
        <v>11989.76</v>
      </c>
      <c r="AD39" s="49" t="n">
        <v>18636.77</v>
      </c>
      <c r="AE39" s="49" t="n">
        <v>24951.73</v>
      </c>
      <c r="AF39" s="49" t="n">
        <v>28688.46</v>
      </c>
      <c r="AG39" s="49" t="n">
        <v>34119.11</v>
      </c>
      <c r="AH39" s="49" t="n">
        <v>38060.69</v>
      </c>
      <c r="AI39" s="49" t="n">
        <v>32336.67</v>
      </c>
      <c r="AJ39" s="49" t="n">
        <v>12995.68</v>
      </c>
      <c r="AK39" s="49" t="n">
        <v>37947.18</v>
      </c>
      <c r="AL39" s="49" t="n">
        <v>23053.24</v>
      </c>
      <c r="AM39" s="49" t="n">
        <v>28575.65</v>
      </c>
      <c r="AN39" s="50">
        <f>SUM(AB39:AM39)</f>
        <v/>
      </c>
    </row>
    <row r="40">
      <c r="A40" s="47" t="inlineStr">
        <is>
          <t>OI</t>
        </is>
      </c>
      <c r="B40" s="48">
        <f>IFERROR(VLOOKUP($A40,Codes!$A:$B,2,FALSE()),"")</f>
        <v/>
      </c>
      <c r="C40" s="5" t="inlineStr">
        <is>
          <t>Vendor Rebates</t>
        </is>
      </c>
      <c r="D40" s="49" t="n">
        <v>0</v>
      </c>
      <c r="E40" s="49" t="n">
        <v>0</v>
      </c>
      <c r="F40" s="49" t="n">
        <v>0</v>
      </c>
      <c r="G40" s="49" t="n">
        <v>0</v>
      </c>
      <c r="H40" s="49" t="n">
        <v>0</v>
      </c>
      <c r="I40" s="49" t="n">
        <v>0</v>
      </c>
      <c r="J40" s="49" t="n">
        <v>0</v>
      </c>
      <c r="K40" s="49" t="n">
        <v>0</v>
      </c>
      <c r="L40" s="49" t="n">
        <v>0</v>
      </c>
      <c r="M40" s="49" t="n">
        <v>0</v>
      </c>
      <c r="N40" s="49" t="n">
        <v>10004.17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11302.27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10663.46</v>
      </c>
      <c r="AK40" s="49" t="n">
        <v>0</v>
      </c>
      <c r="AL40" s="49" t="n">
        <v>0</v>
      </c>
      <c r="AM40" s="49" t="n">
        <v>0</v>
      </c>
      <c r="AN40" s="50">
        <f>SUM(AB40:AM40)</f>
        <v/>
      </c>
    </row>
    <row r="41">
      <c r="A41" s="47" t="inlineStr">
        <is>
          <t>OI</t>
        </is>
      </c>
      <c r="B41" s="48">
        <f>IFERROR(VLOOKUP($A41,Codes!$A:$B,2,FALSE()),"")</f>
        <v/>
      </c>
      <c r="C41" s="5" t="inlineStr">
        <is>
          <t>Miscellaneous Income</t>
        </is>
      </c>
      <c r="D41" s="49" t="n">
        <v>24</v>
      </c>
      <c r="E41" s="49" t="n">
        <v>30</v>
      </c>
      <c r="F41" s="49" t="n">
        <v>88</v>
      </c>
      <c r="G41" s="49" t="n">
        <v>24</v>
      </c>
      <c r="H41" s="49" t="n">
        <v>27</v>
      </c>
      <c r="I41" s="49" t="n">
        <v>29</v>
      </c>
      <c r="J41" s="51" t="n">
        <v>6522.16</v>
      </c>
      <c r="K41" s="49" t="n">
        <v>56</v>
      </c>
      <c r="L41" s="49" t="n">
        <v>26</v>
      </c>
      <c r="M41" s="49" t="n">
        <v>0</v>
      </c>
      <c r="N41" s="49" t="n">
        <v>17</v>
      </c>
      <c r="O41" s="49" t="n">
        <v>23</v>
      </c>
      <c r="P41" s="49" t="n">
        <v>0</v>
      </c>
      <c r="Q41" s="49" t="n">
        <v>81</v>
      </c>
      <c r="R41" s="49" t="n">
        <v>40</v>
      </c>
      <c r="S41" s="49" t="n">
        <v>20</v>
      </c>
      <c r="T41" s="49" t="n">
        <v>19</v>
      </c>
      <c r="U41" s="49" t="n">
        <v>0</v>
      </c>
      <c r="V41" s="49" t="n">
        <v>36</v>
      </c>
      <c r="W41" s="51" t="n">
        <v>3841.56</v>
      </c>
      <c r="X41" s="49" t="n">
        <v>-1959.62</v>
      </c>
      <c r="Y41" s="49" t="n">
        <v>17</v>
      </c>
      <c r="Z41" s="49" t="n">
        <v>16</v>
      </c>
      <c r="AA41" s="49" t="n">
        <v>15</v>
      </c>
      <c r="AB41" s="49" t="n">
        <v>15</v>
      </c>
      <c r="AC41" s="49" t="n">
        <v>14</v>
      </c>
      <c r="AD41" s="49" t="n">
        <v>16</v>
      </c>
      <c r="AE41" s="49" t="n">
        <v>19</v>
      </c>
      <c r="AF41" s="49" t="n">
        <v>16</v>
      </c>
      <c r="AG41" s="49" t="n">
        <v>11</v>
      </c>
      <c r="AH41" s="49" t="n">
        <v>12</v>
      </c>
      <c r="AI41" s="49" t="n">
        <v>16.7</v>
      </c>
      <c r="AJ41" s="49" t="n">
        <v>17</v>
      </c>
      <c r="AK41" s="49" t="n">
        <v>0</v>
      </c>
      <c r="AL41" s="49" t="n">
        <v>18</v>
      </c>
      <c r="AM41" s="49" t="n">
        <v>0</v>
      </c>
      <c r="AN41" s="50">
        <f>SUM(AB41:AM41)</f>
        <v/>
      </c>
    </row>
    <row r="42">
      <c r="A42" s="47" t="inlineStr">
        <is>
          <t>OI</t>
        </is>
      </c>
      <c r="B42" s="48">
        <f>IFERROR(VLOOKUP($A42,Codes!$A:$B,2,FALSE()),"")</f>
        <v/>
      </c>
      <c r="C42" s="5" t="inlineStr">
        <is>
          <t>Smart Home Income</t>
        </is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198.73</v>
      </c>
      <c r="AN42" s="50">
        <f>SUM(AB42:AM42)</f>
        <v/>
      </c>
    </row>
    <row r="43">
      <c r="A43" s="47" t="inlineStr">
        <is>
          <t>OI</t>
        </is>
      </c>
      <c r="B43" s="48">
        <f>IFERROR(VLOOKUP($A43,Codes!$A:$B,2,FALSE()),"")</f>
        <v/>
      </c>
      <c r="C43" s="5" t="inlineStr">
        <is>
          <t>Guest Suite Income</t>
        </is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448</v>
      </c>
      <c r="AG43" s="49" t="n">
        <v>0</v>
      </c>
      <c r="AH43" s="49" t="n">
        <v>150</v>
      </c>
      <c r="AI43" s="49" t="n">
        <v>844</v>
      </c>
      <c r="AJ43" s="49" t="n">
        <v>0</v>
      </c>
      <c r="AK43" s="49" t="n">
        <v>0</v>
      </c>
      <c r="AL43" s="49" t="n">
        <v>245</v>
      </c>
      <c r="AM43" s="49" t="n">
        <v>0</v>
      </c>
      <c r="AN43" s="50">
        <f>SUM(AB43:AM43)</f>
        <v/>
      </c>
    </row>
    <row r="44">
      <c r="A44" s="47" t="inlineStr">
        <is>
          <t>RF</t>
        </is>
      </c>
      <c r="B44" s="48">
        <f>IFERROR(VLOOKUP($A44,Codes!$A:$B,2,FALSE()),"")</f>
        <v/>
      </c>
      <c r="C44" s="5" t="inlineStr">
        <is>
          <t>Electric Rebill</t>
        </is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571.29</v>
      </c>
      <c r="AN44" s="50">
        <f>SUM(AB44:AM44)</f>
        <v/>
      </c>
    </row>
    <row r="45">
      <c r="A45" s="47" t="inlineStr">
        <is>
          <t>Rentinc</t>
        </is>
      </c>
      <c r="B45" s="48">
        <f>IFERROR(VLOOKUP($A45,Codes!$A:$B,2,FALSE()),"")</f>
        <v/>
      </c>
      <c r="C45" s="5" t="inlineStr">
        <is>
          <t>Prior Period Rent Adjustment</t>
        </is>
      </c>
      <c r="D45" s="49" t="n">
        <v>0</v>
      </c>
      <c r="E45" s="49" t="n">
        <v>0</v>
      </c>
      <c r="F45" s="49" t="n">
        <v>-104.26</v>
      </c>
      <c r="G45" s="49" t="n">
        <v>0</v>
      </c>
      <c r="H45" s="49" t="n">
        <v>0</v>
      </c>
      <c r="I45" s="49" t="n">
        <v>0</v>
      </c>
      <c r="J45" s="49" t="n">
        <v>0</v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AN45" s="50">
        <f>SUM(AB45:AM45)</f>
        <v/>
      </c>
    </row>
    <row r="46">
      <c r="A46" s="47" t="inlineStr">
        <is>
          <t>nr</t>
        </is>
      </c>
      <c r="B46" s="48">
        <f>IFERROR(VLOOKUP($A46,Codes!$A:$B,2,FALSE()),"")</f>
        <v/>
      </c>
      <c r="C46" s="5" t="inlineStr">
        <is>
          <t>Down Unit Loss</t>
        </is>
      </c>
      <c r="D46" s="49" t="n">
        <v>0</v>
      </c>
      <c r="E46" s="49" t="n">
        <v>-1955</v>
      </c>
      <c r="F46" s="49" t="n">
        <v>0</v>
      </c>
      <c r="G46" s="49" t="n">
        <v>-1125</v>
      </c>
      <c r="H46" s="49" t="n">
        <v>-1875</v>
      </c>
      <c r="I46" s="49" t="n">
        <v>-1875</v>
      </c>
      <c r="J46" s="49" t="n">
        <v>0</v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AN46" s="50">
        <f>SUM(AB46:AM46)</f>
        <v/>
      </c>
    </row>
    <row r="47">
      <c r="A47" s="47" t="inlineStr">
        <is>
          <t>conc</t>
        </is>
      </c>
      <c r="B47" s="48">
        <f>IFERROR(VLOOKUP($A47,Codes!$A:$B,2,FALSE()),"")</f>
        <v/>
      </c>
      <c r="C47" s="5" t="inlineStr">
        <is>
          <t>Recurring Concessions</t>
        </is>
      </c>
      <c r="D47" s="49" t="n">
        <v>0</v>
      </c>
      <c r="E47" s="49" t="n">
        <v>0</v>
      </c>
      <c r="F47" s="49" t="n">
        <v>-1</v>
      </c>
      <c r="G47" s="49" t="n">
        <v>0</v>
      </c>
      <c r="H47" s="49" t="n">
        <v>0</v>
      </c>
      <c r="I47" s="49" t="n">
        <v>0</v>
      </c>
      <c r="J47" s="49" t="n">
        <v>0</v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AN47" s="50">
        <f>SUM(AB47:AM47)</f>
        <v/>
      </c>
    </row>
    <row r="48">
      <c r="A48" s="47" t="inlineStr">
        <is>
          <t>cl</t>
        </is>
      </c>
      <c r="B48" s="48">
        <f>IFERROR(VLOOKUP($A48,Codes!$A:$B,2,FALSE()),"")</f>
        <v/>
      </c>
      <c r="C48" s="5" t="inlineStr">
        <is>
          <t>Bad Debt - Payment Plan</t>
        </is>
      </c>
      <c r="D48" s="49" t="n">
        <v>0</v>
      </c>
      <c r="E48" s="49" t="n">
        <v>0</v>
      </c>
      <c r="F48" s="49" t="n">
        <v>0</v>
      </c>
      <c r="G48" s="49" t="n">
        <v>0</v>
      </c>
      <c r="H48" s="49" t="n">
        <v>0</v>
      </c>
      <c r="I48" s="49" t="n">
        <v>0</v>
      </c>
      <c r="J48" s="49" t="n">
        <v>0</v>
      </c>
      <c r="K48" s="49" t="n">
        <v>0</v>
      </c>
      <c r="L48" s="49" t="n">
        <v>0</v>
      </c>
      <c r="M48" s="49" t="n">
        <v>198.66</v>
      </c>
      <c r="N48" s="49" t="n">
        <v>0</v>
      </c>
      <c r="O48" s="49" t="n">
        <v>0</v>
      </c>
      <c r="AN48" s="50">
        <f>SUM(AB48:AM48)</f>
        <v/>
      </c>
    </row>
    <row r="49">
      <c r="A49" s="45" t="n"/>
      <c r="B49" s="45" t="n"/>
      <c r="C49" s="46" t="inlineStr">
        <is>
          <t>OPERATING EXPENSES</t>
        </is>
      </c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J49" s="45" t="n"/>
      <c r="AK49" s="45" t="n"/>
      <c r="AL49" s="45" t="n"/>
      <c r="AM49" s="45" t="n"/>
      <c r="AN49" s="45" t="n"/>
    </row>
    <row r="50">
      <c r="A50" s="47" t="inlineStr">
        <is>
          <t>Pay</t>
        </is>
      </c>
      <c r="B50" s="48">
        <f>IFERROR(VLOOKUP($A50,Codes!$A:$B,2,FALSE()),"")</f>
        <v/>
      </c>
      <c r="C50" s="5" t="inlineStr">
        <is>
          <t>Management - Salaries</t>
        </is>
      </c>
      <c r="D50" s="49" t="n">
        <v>7634.31</v>
      </c>
      <c r="E50" s="49" t="n">
        <v>10741.53</v>
      </c>
      <c r="F50" s="49" t="n">
        <v>10750.61</v>
      </c>
      <c r="G50" s="49" t="n">
        <v>10615.32</v>
      </c>
      <c r="H50" s="49" t="n">
        <v>12553.19</v>
      </c>
      <c r="I50" s="49" t="n">
        <v>10151.67</v>
      </c>
      <c r="J50" s="49" t="n">
        <v>11085.69</v>
      </c>
      <c r="K50" s="49" t="n">
        <v>12276.09</v>
      </c>
      <c r="L50" s="49" t="n">
        <v>11196.28</v>
      </c>
      <c r="M50" s="49" t="n">
        <v>11630.98</v>
      </c>
      <c r="N50" s="49" t="n">
        <v>13427.62</v>
      </c>
      <c r="O50" s="49" t="n">
        <v>8273.07</v>
      </c>
      <c r="P50" s="49" t="n">
        <v>14050.22</v>
      </c>
      <c r="Q50" s="49" t="n">
        <v>7485.73</v>
      </c>
      <c r="R50" s="49" t="n">
        <v>11406.04</v>
      </c>
      <c r="S50" s="49" t="n">
        <v>15199.67</v>
      </c>
      <c r="T50" s="49" t="n">
        <v>14037.59</v>
      </c>
      <c r="U50" s="49" t="n">
        <v>12026.83</v>
      </c>
      <c r="V50" s="49" t="n">
        <v>-21519.78</v>
      </c>
      <c r="W50" s="49" t="n">
        <v>15455.04</v>
      </c>
      <c r="X50" s="49" t="n">
        <v>13666.02</v>
      </c>
      <c r="Y50" s="49" t="n">
        <v>13212.37</v>
      </c>
      <c r="Z50" s="49" t="n">
        <v>10251.7</v>
      </c>
      <c r="AA50" s="49" t="n">
        <v>11089.03</v>
      </c>
      <c r="AB50" s="49" t="n">
        <v>12026.76</v>
      </c>
      <c r="AC50" s="49" t="n">
        <v>12650.55</v>
      </c>
      <c r="AD50" s="49" t="n">
        <v>10685.49</v>
      </c>
      <c r="AE50" s="49" t="n">
        <v>14248.43</v>
      </c>
      <c r="AF50" s="49" t="n">
        <v>10611.14</v>
      </c>
      <c r="AG50" s="49" t="n">
        <v>-14289.22</v>
      </c>
      <c r="AH50" s="49" t="n">
        <v>8026.12</v>
      </c>
      <c r="AI50" s="49" t="n">
        <v>6537.94</v>
      </c>
      <c r="AJ50" s="49" t="n">
        <v>7883.89</v>
      </c>
      <c r="AK50" s="49" t="n">
        <v>14114.48</v>
      </c>
      <c r="AL50" s="49" t="n">
        <v>7661.8</v>
      </c>
      <c r="AM50" s="49" t="n">
        <v>6706.59</v>
      </c>
      <c r="AN50" s="50">
        <f>SUM(AB50:AM50)</f>
        <v/>
      </c>
    </row>
    <row r="51">
      <c r="A51" s="47" t="inlineStr">
        <is>
          <t>Pay</t>
        </is>
      </c>
      <c r="B51" s="48">
        <f>IFERROR(VLOOKUP($A51,Codes!$A:$B,2,FALSE()),"")</f>
        <v/>
      </c>
      <c r="C51" s="5" t="inlineStr">
        <is>
          <t>Assistant Management - Salaries</t>
        </is>
      </c>
      <c r="D51" s="49" t="n">
        <v>9778.549999999999</v>
      </c>
      <c r="E51" s="49" t="n">
        <v>4625.91</v>
      </c>
      <c r="F51" s="49" t="n">
        <v>5501.11</v>
      </c>
      <c r="G51" s="49" t="n">
        <v>5178.44</v>
      </c>
      <c r="H51" s="49" t="n">
        <v>4511.75</v>
      </c>
      <c r="I51" s="49" t="n">
        <v>5334.47</v>
      </c>
      <c r="J51" s="49" t="n">
        <v>4456.3</v>
      </c>
      <c r="K51" s="49" t="n">
        <v>6760.74</v>
      </c>
      <c r="L51" s="49" t="n">
        <v>4983.77</v>
      </c>
      <c r="M51" s="49" t="n">
        <v>5857.78</v>
      </c>
      <c r="N51" s="49" t="n">
        <v>3873.84</v>
      </c>
      <c r="O51" s="49" t="n">
        <v>6815.09</v>
      </c>
      <c r="P51" s="49" t="n">
        <v>7825.29</v>
      </c>
      <c r="Q51" s="49" t="n">
        <v>772.75</v>
      </c>
      <c r="R51" s="49" t="n">
        <v>4826.65</v>
      </c>
      <c r="S51" s="49" t="n">
        <v>2635.18</v>
      </c>
      <c r="T51" s="49" t="n">
        <v>6301.82</v>
      </c>
      <c r="U51" s="49" t="n">
        <v>5280.91</v>
      </c>
      <c r="V51" s="51" t="n">
        <v>39659.95</v>
      </c>
      <c r="W51" s="49" t="n">
        <v>4455.1</v>
      </c>
      <c r="X51" s="49" t="n">
        <v>5745.9</v>
      </c>
      <c r="Y51" s="49" t="n">
        <v>5894.27</v>
      </c>
      <c r="Z51" s="49" t="n">
        <v>5588.98</v>
      </c>
      <c r="AA51" s="49" t="n">
        <v>5214.83</v>
      </c>
      <c r="AB51" s="49" t="n">
        <v>5455.94</v>
      </c>
      <c r="AC51" s="49" t="n">
        <v>5205.21</v>
      </c>
      <c r="AD51" s="49" t="n">
        <v>5210.13</v>
      </c>
      <c r="AE51" s="49" t="n">
        <v>3821.82</v>
      </c>
      <c r="AF51" s="49" t="n">
        <v>5107.97</v>
      </c>
      <c r="AG51" s="51" t="n">
        <v>29930.18</v>
      </c>
      <c r="AH51" s="49" t="n">
        <v>9188.139999999999</v>
      </c>
      <c r="AI51" s="49" t="n">
        <v>9188.99</v>
      </c>
      <c r="AJ51" s="49" t="n">
        <v>8988.18</v>
      </c>
      <c r="AK51" s="49" t="n">
        <v>10751.02</v>
      </c>
      <c r="AL51" s="49" t="n">
        <v>8693.41</v>
      </c>
      <c r="AM51" s="49" t="n">
        <v>7900.12</v>
      </c>
      <c r="AN51" s="50">
        <f>SUM(AB51:AM51)</f>
        <v/>
      </c>
    </row>
    <row r="52">
      <c r="A52" s="47" t="inlineStr">
        <is>
          <t>Pay</t>
        </is>
      </c>
      <c r="B52" s="48">
        <f>IFERROR(VLOOKUP($A52,Codes!$A:$B,2,FALSE()),"")</f>
        <v/>
      </c>
      <c r="C52" s="5" t="inlineStr">
        <is>
          <t>Leasing - Salaries</t>
        </is>
      </c>
      <c r="D52" s="49" t="n">
        <v>8314.07</v>
      </c>
      <c r="E52" s="49" t="n">
        <v>11291.88</v>
      </c>
      <c r="F52" s="49" t="n">
        <v>12720.65</v>
      </c>
      <c r="G52" s="49" t="n">
        <v>11259.99</v>
      </c>
      <c r="H52" s="49" t="n">
        <v>13079.11</v>
      </c>
      <c r="I52" s="49" t="n">
        <v>12474.47</v>
      </c>
      <c r="J52" s="49" t="n">
        <v>12055.05</v>
      </c>
      <c r="K52" s="49" t="n">
        <v>13064.82</v>
      </c>
      <c r="L52" s="49" t="n">
        <v>12265.64</v>
      </c>
      <c r="M52" s="49" t="n">
        <v>12433.16</v>
      </c>
      <c r="N52" s="49" t="n">
        <v>14058.06</v>
      </c>
      <c r="O52" s="49" t="n">
        <v>15561.92</v>
      </c>
      <c r="P52" s="49" t="n">
        <v>15910.21</v>
      </c>
      <c r="Q52" s="49" t="n">
        <v>7065.1</v>
      </c>
      <c r="R52" s="49" t="n">
        <v>13187.6</v>
      </c>
      <c r="S52" s="49" t="n">
        <v>12559.01</v>
      </c>
      <c r="T52" s="49" t="n">
        <v>14477.98</v>
      </c>
      <c r="U52" s="49" t="n">
        <v>13387.09</v>
      </c>
      <c r="V52" s="49" t="n">
        <v>12859.94</v>
      </c>
      <c r="W52" s="49" t="n">
        <v>13351.2</v>
      </c>
      <c r="X52" s="49" t="n">
        <v>13396.4</v>
      </c>
      <c r="Y52" s="49" t="n">
        <v>15287.42</v>
      </c>
      <c r="Z52" s="49" t="n">
        <v>13264.05</v>
      </c>
      <c r="AA52" s="49" t="n">
        <v>13591.77</v>
      </c>
      <c r="AB52" s="49" t="n">
        <v>13629.74</v>
      </c>
      <c r="AC52" s="49" t="n">
        <v>12493.19</v>
      </c>
      <c r="AD52" s="49" t="n">
        <v>11340.92</v>
      </c>
      <c r="AE52" s="49" t="n">
        <v>10053.33</v>
      </c>
      <c r="AF52" s="49" t="n">
        <v>12419.09</v>
      </c>
      <c r="AG52" s="49" t="n">
        <v>16194.77</v>
      </c>
      <c r="AH52" s="49" t="n">
        <v>13267.57</v>
      </c>
      <c r="AI52" s="49" t="n">
        <v>13081.52</v>
      </c>
      <c r="AJ52" s="49" t="n">
        <v>12836.98</v>
      </c>
      <c r="AK52" s="49" t="n">
        <v>18703.75</v>
      </c>
      <c r="AL52" s="49" t="n">
        <v>12153.7</v>
      </c>
      <c r="AM52" s="49" t="n">
        <v>12573.42</v>
      </c>
      <c r="AN52" s="50">
        <f>SUM(AB52:AM52)</f>
        <v/>
      </c>
    </row>
    <row r="53">
      <c r="A53" s="47" t="inlineStr">
        <is>
          <t>PBo</t>
        </is>
      </c>
      <c r="B53" s="48">
        <f>IFERROR(VLOOKUP($A53,Codes!$A:$B,2,FALSE()),"")</f>
        <v/>
      </c>
      <c r="C53" s="5" t="inlineStr">
        <is>
          <t>Bonuses</t>
        </is>
      </c>
      <c r="D53" s="49" t="n">
        <v>5384.19</v>
      </c>
      <c r="E53" s="49" t="n">
        <v>14367.02</v>
      </c>
      <c r="F53" s="49" t="n">
        <v>6236.25</v>
      </c>
      <c r="G53" s="49" t="n">
        <v>8148.46</v>
      </c>
      <c r="H53" s="49" t="n">
        <v>11080.26</v>
      </c>
      <c r="I53" s="49" t="n">
        <v>-2651.18</v>
      </c>
      <c r="J53" s="49" t="n">
        <v>11561.48</v>
      </c>
      <c r="K53" s="49" t="n">
        <v>0</v>
      </c>
      <c r="L53" s="49" t="n">
        <v>7464.86</v>
      </c>
      <c r="M53" s="49" t="n">
        <v>5839.86</v>
      </c>
      <c r="N53" s="49" t="n">
        <v>6530.75</v>
      </c>
      <c r="O53" s="49" t="n">
        <v>7049.9</v>
      </c>
      <c r="P53" s="49" t="n">
        <v>6729.88</v>
      </c>
      <c r="Q53" s="49" t="n">
        <v>8936.49</v>
      </c>
      <c r="R53" s="49" t="n">
        <v>11036.59</v>
      </c>
      <c r="S53" s="49" t="n">
        <v>10105.8</v>
      </c>
      <c r="T53" s="49" t="n">
        <v>9197.879999999999</v>
      </c>
      <c r="U53" s="49" t="n">
        <v>11797.94</v>
      </c>
      <c r="V53" s="49" t="n">
        <v>11494.46</v>
      </c>
      <c r="W53" s="49" t="n">
        <v>12316.08</v>
      </c>
      <c r="X53" s="49" t="n">
        <v>12771.24</v>
      </c>
      <c r="Y53" s="49" t="n">
        <v>14182.52</v>
      </c>
      <c r="Z53" s="49" t="n">
        <v>10956.45</v>
      </c>
      <c r="AA53" s="49" t="n">
        <v>9647.530000000001</v>
      </c>
      <c r="AB53" s="49" t="n">
        <v>8492.27</v>
      </c>
      <c r="AC53" s="49" t="n">
        <v>10348.76</v>
      </c>
      <c r="AD53" s="49" t="n">
        <v>9225.73</v>
      </c>
      <c r="AE53" s="49" t="n">
        <v>10774.1</v>
      </c>
      <c r="AF53" s="49" t="n">
        <v>9109.41</v>
      </c>
      <c r="AG53" s="49" t="n">
        <v>11462.26</v>
      </c>
      <c r="AH53" s="49" t="n">
        <v>10948.64</v>
      </c>
      <c r="AI53" s="49" t="n">
        <v>10435.48</v>
      </c>
      <c r="AJ53" s="49" t="n">
        <v>10940.26</v>
      </c>
      <c r="AK53" s="49" t="n">
        <v>9661.33</v>
      </c>
      <c r="AL53" s="49" t="n">
        <v>10952.86</v>
      </c>
      <c r="AM53" s="49" t="n">
        <v>7370.04</v>
      </c>
      <c r="AN53" s="50">
        <f>SUM(AB53:AM53)</f>
        <v/>
      </c>
    </row>
    <row r="54">
      <c r="A54" s="47" t="inlineStr">
        <is>
          <t>PBo</t>
        </is>
      </c>
      <c r="B54" s="48">
        <f>IFERROR(VLOOKUP($A54,Codes!$A:$B,2,FALSE()),"")</f>
        <v/>
      </c>
      <c r="C54" s="5" t="inlineStr">
        <is>
          <t>Quarterly Bonuses</t>
        </is>
      </c>
      <c r="D54" s="49" t="n">
        <v>0</v>
      </c>
      <c r="E54" s="49" t="n">
        <v>0</v>
      </c>
      <c r="F54" s="49" t="n">
        <v>0</v>
      </c>
      <c r="G54" s="49" t="n">
        <v>0</v>
      </c>
      <c r="H54" s="49" t="n">
        <v>0</v>
      </c>
      <c r="I54" s="49" t="n">
        <v>9966</v>
      </c>
      <c r="J54" s="49" t="n">
        <v>0</v>
      </c>
      <c r="K54" s="49" t="n">
        <v>8181.26</v>
      </c>
      <c r="L54" s="49" t="n">
        <v>0</v>
      </c>
      <c r="M54" s="49" t="n">
        <v>0</v>
      </c>
      <c r="N54" s="49" t="n">
        <v>5750.25</v>
      </c>
      <c r="O54" s="49" t="n">
        <v>0</v>
      </c>
      <c r="P54" s="49" t="n">
        <v>2296.01</v>
      </c>
      <c r="Q54" s="49" t="n">
        <v>0</v>
      </c>
      <c r="R54" s="49" t="n">
        <v>0</v>
      </c>
      <c r="S54" s="49" t="n">
        <v>0</v>
      </c>
      <c r="T54" s="49" t="n">
        <v>6702.98</v>
      </c>
      <c r="U54" s="49" t="n">
        <v>0</v>
      </c>
      <c r="V54" s="49" t="n">
        <v>5031.95</v>
      </c>
      <c r="W54" s="49" t="n">
        <v>0</v>
      </c>
      <c r="X54" s="49" t="n">
        <v>0</v>
      </c>
      <c r="Y54" s="49" t="n">
        <v>4074.57</v>
      </c>
      <c r="Z54" s="49" t="n">
        <v>-4074.57</v>
      </c>
      <c r="AA54" s="49" t="n">
        <v>0</v>
      </c>
      <c r="AB54" s="49" t="n">
        <v>0</v>
      </c>
      <c r="AC54" s="49" t="n">
        <v>3340.59</v>
      </c>
      <c r="AD54" s="49" t="n">
        <v>0</v>
      </c>
      <c r="AE54" s="49" t="n">
        <v>4277.88</v>
      </c>
      <c r="AF54" s="49" t="n">
        <v>0</v>
      </c>
      <c r="AG54" s="49" t="n">
        <v>0</v>
      </c>
      <c r="AH54" s="49" t="n">
        <v>0</v>
      </c>
      <c r="AI54" s="49" t="n">
        <v>3982.84</v>
      </c>
      <c r="AJ54" s="49" t="n">
        <v>0</v>
      </c>
      <c r="AK54" s="49" t="n">
        <v>4007.35</v>
      </c>
      <c r="AL54" s="49" t="n">
        <v>0</v>
      </c>
      <c r="AM54" s="49" t="n">
        <v>0</v>
      </c>
      <c r="AN54" s="50">
        <f>SUM(AB54:AM54)</f>
        <v/>
      </c>
    </row>
    <row r="55">
      <c r="A55" s="47" t="inlineStr">
        <is>
          <t>Pay</t>
        </is>
      </c>
      <c r="B55" s="48">
        <f>IFERROR(VLOOKUP($A55,Codes!$A:$B,2,FALSE()),"")</f>
        <v/>
      </c>
      <c r="C55" s="5" t="inlineStr">
        <is>
          <t>Maintenance - Salaries</t>
        </is>
      </c>
      <c r="D55" s="49" t="n">
        <v>23379.59</v>
      </c>
      <c r="E55" s="49" t="n">
        <v>23723.12</v>
      </c>
      <c r="F55" s="49" t="n">
        <v>26927.91</v>
      </c>
      <c r="G55" s="49" t="n">
        <v>28068.53</v>
      </c>
      <c r="H55" s="49" t="n">
        <v>34758.95</v>
      </c>
      <c r="I55" s="49" t="n">
        <v>29918.38</v>
      </c>
      <c r="J55" s="49" t="n">
        <v>27867.22</v>
      </c>
      <c r="K55" s="49" t="n">
        <v>29236</v>
      </c>
      <c r="L55" s="49" t="n">
        <v>32019.38</v>
      </c>
      <c r="M55" s="49" t="n">
        <v>31157.74</v>
      </c>
      <c r="N55" s="49" t="n">
        <v>23515.78</v>
      </c>
      <c r="O55" s="49" t="n">
        <v>33851.75</v>
      </c>
      <c r="P55" s="49" t="n">
        <v>37221.06</v>
      </c>
      <c r="Q55" s="49" t="n">
        <v>16213.05</v>
      </c>
      <c r="R55" s="49" t="n">
        <v>29022.11</v>
      </c>
      <c r="S55" s="49" t="n">
        <v>27900.54</v>
      </c>
      <c r="T55" s="49" t="n">
        <v>33842.41</v>
      </c>
      <c r="U55" s="49" t="n">
        <v>30510.98</v>
      </c>
      <c r="V55" s="49" t="n">
        <v>32061.31</v>
      </c>
      <c r="W55" s="49" t="n">
        <v>31492.54</v>
      </c>
      <c r="X55" s="49" t="n">
        <v>27973.16</v>
      </c>
      <c r="Y55" s="49" t="n">
        <v>32856.77</v>
      </c>
      <c r="Z55" s="49" t="n">
        <v>27762.88</v>
      </c>
      <c r="AA55" s="49" t="n">
        <v>27514.82</v>
      </c>
      <c r="AB55" s="49" t="n">
        <v>27529.7</v>
      </c>
      <c r="AC55" s="49" t="n">
        <v>28512.5</v>
      </c>
      <c r="AD55" s="49" t="n">
        <v>28500.89</v>
      </c>
      <c r="AE55" s="49" t="n">
        <v>30185.24</v>
      </c>
      <c r="AF55" s="49" t="n">
        <v>28131.46</v>
      </c>
      <c r="AG55" s="49" t="n">
        <v>30739.78</v>
      </c>
      <c r="AH55" s="49" t="n">
        <v>30610.35</v>
      </c>
      <c r="AI55" s="49" t="n">
        <v>31078.41</v>
      </c>
      <c r="AJ55" s="49" t="n">
        <v>29214.71</v>
      </c>
      <c r="AK55" s="49" t="n">
        <v>45712.83</v>
      </c>
      <c r="AL55" s="49" t="n">
        <v>31644.07</v>
      </c>
      <c r="AM55" s="49" t="n">
        <v>25612.61</v>
      </c>
      <c r="AN55" s="50">
        <f>SUM(AB55:AM55)</f>
        <v/>
      </c>
    </row>
    <row r="56">
      <c r="A56" s="47" t="inlineStr">
        <is>
          <t>PB</t>
        </is>
      </c>
      <c r="B56" s="48">
        <f>IFERROR(VLOOKUP($A56,Codes!$A:$B,2,FALSE()),"")</f>
        <v/>
      </c>
      <c r="C56" s="5" t="inlineStr">
        <is>
          <t>401k Contributions</t>
        </is>
      </c>
      <c r="D56" s="49" t="n">
        <v>288.99</v>
      </c>
      <c r="E56" s="49" t="n">
        <v>390.48</v>
      </c>
      <c r="F56" s="49" t="n">
        <v>551.46</v>
      </c>
      <c r="G56" s="49" t="n">
        <v>507.73</v>
      </c>
      <c r="H56" s="49" t="n">
        <v>517.5599999999999</v>
      </c>
      <c r="I56" s="49" t="n">
        <v>612.96</v>
      </c>
      <c r="J56" s="49" t="n">
        <v>692.75</v>
      </c>
      <c r="K56" s="49" t="n">
        <v>933.76</v>
      </c>
      <c r="L56" s="49" t="n">
        <v>731.8</v>
      </c>
      <c r="M56" s="49" t="n">
        <v>780.53</v>
      </c>
      <c r="N56" s="49" t="n">
        <v>648.77</v>
      </c>
      <c r="O56" s="49" t="n">
        <v>878.76</v>
      </c>
      <c r="P56" s="49" t="n">
        <v>1010.72</v>
      </c>
      <c r="Q56" s="49" t="n">
        <v>698.98</v>
      </c>
      <c r="R56" s="49" t="n">
        <v>942.48</v>
      </c>
      <c r="S56" s="49" t="n">
        <v>918.87</v>
      </c>
      <c r="T56" s="49" t="n">
        <v>880.25</v>
      </c>
      <c r="U56" s="49" t="n">
        <v>1083.67</v>
      </c>
      <c r="V56" s="49" t="n">
        <v>1115.74</v>
      </c>
      <c r="W56" s="49" t="n">
        <v>1142.18</v>
      </c>
      <c r="X56" s="49" t="n">
        <v>970.5</v>
      </c>
      <c r="Y56" s="49" t="n">
        <v>739.53</v>
      </c>
      <c r="Z56" s="49" t="n">
        <v>876.26</v>
      </c>
      <c r="AA56" s="49" t="n">
        <v>885.48</v>
      </c>
      <c r="AB56" s="49" t="n">
        <v>1070.64</v>
      </c>
      <c r="AC56" s="49" t="n">
        <v>910.86</v>
      </c>
      <c r="AD56" s="49" t="n">
        <v>947.0599999999999</v>
      </c>
      <c r="AE56" s="49" t="n">
        <v>816.76</v>
      </c>
      <c r="AF56" s="49" t="n">
        <v>923.78</v>
      </c>
      <c r="AG56" s="49" t="n">
        <v>950.05</v>
      </c>
      <c r="AH56" s="49" t="n">
        <v>981.27</v>
      </c>
      <c r="AI56" s="49" t="n">
        <v>1088.46</v>
      </c>
      <c r="AJ56" s="49" t="n">
        <v>1079.6</v>
      </c>
      <c r="AK56" s="49" t="n">
        <v>1573.73</v>
      </c>
      <c r="AL56" s="49" t="n">
        <v>1177.48</v>
      </c>
      <c r="AM56" s="49" t="n">
        <v>1090.12</v>
      </c>
      <c r="AN56" s="50">
        <f>SUM(AB56:AM56)</f>
        <v/>
      </c>
    </row>
    <row r="57">
      <c r="A57" s="47" t="inlineStr">
        <is>
          <t>PB</t>
        </is>
      </c>
      <c r="B57" s="48">
        <f>IFERROR(VLOOKUP($A57,Codes!$A:$B,2,FALSE()),"")</f>
        <v/>
      </c>
      <c r="C57" s="5" t="inlineStr">
        <is>
          <t>Employee Burden</t>
        </is>
      </c>
      <c r="D57" s="49" t="n">
        <v>9819.07</v>
      </c>
      <c r="E57" s="49" t="n">
        <v>11768.82</v>
      </c>
      <c r="F57" s="49" t="n">
        <v>10345.45</v>
      </c>
      <c r="G57" s="49" t="n">
        <v>10945.66</v>
      </c>
      <c r="H57" s="49" t="n">
        <v>10790.34</v>
      </c>
      <c r="I57" s="49" t="n">
        <v>10825.38</v>
      </c>
      <c r="J57" s="49" t="n">
        <v>11673.62</v>
      </c>
      <c r="K57" s="49" t="n">
        <v>11938.86</v>
      </c>
      <c r="L57" s="49" t="n">
        <v>11025.5</v>
      </c>
      <c r="M57" s="49" t="n">
        <v>11196.9</v>
      </c>
      <c r="N57" s="49" t="n">
        <v>9635.59</v>
      </c>
      <c r="O57" s="49" t="n">
        <v>12641.12</v>
      </c>
      <c r="P57" s="49" t="n">
        <v>16048.42</v>
      </c>
      <c r="Q57" s="49" t="n">
        <v>8546.620000000001</v>
      </c>
      <c r="R57" s="49" t="n">
        <v>11755.6</v>
      </c>
      <c r="S57" s="49" t="n">
        <v>15501.78</v>
      </c>
      <c r="T57" s="49" t="n">
        <v>13856.38</v>
      </c>
      <c r="U57" s="49" t="n">
        <v>14260.13</v>
      </c>
      <c r="V57" s="49" t="n">
        <v>15060.04</v>
      </c>
      <c r="W57" s="49" t="n">
        <v>15078.99</v>
      </c>
      <c r="X57" s="49" t="n">
        <v>13259.71</v>
      </c>
      <c r="Y57" s="49" t="n">
        <v>10409.74</v>
      </c>
      <c r="Z57" s="49" t="n">
        <v>2987.54</v>
      </c>
      <c r="AA57" s="49" t="n">
        <v>11675.55</v>
      </c>
      <c r="AB57" s="49" t="n">
        <v>14129.69</v>
      </c>
      <c r="AC57" s="49" t="n">
        <v>12419.12</v>
      </c>
      <c r="AD57" s="49" t="n">
        <v>12077.83</v>
      </c>
      <c r="AE57" s="49" t="n">
        <v>11059.68</v>
      </c>
      <c r="AF57" s="49" t="n">
        <v>11858.62</v>
      </c>
      <c r="AG57" s="49" t="n">
        <v>12250.58</v>
      </c>
      <c r="AH57" s="49" t="n">
        <v>12279.89</v>
      </c>
      <c r="AI57" s="49" t="n">
        <v>12806.91</v>
      </c>
      <c r="AJ57" s="49" t="n">
        <v>12520.03</v>
      </c>
      <c r="AK57" s="49" t="n">
        <v>17338.61</v>
      </c>
      <c r="AL57" s="49" t="n">
        <v>12382.51</v>
      </c>
      <c r="AM57" s="49" t="n">
        <v>10841.01</v>
      </c>
      <c r="AN57" s="50">
        <f>SUM(AB57:AM57)</f>
        <v/>
      </c>
    </row>
    <row r="58">
      <c r="A58" s="47" t="inlineStr">
        <is>
          <t>PB</t>
        </is>
      </c>
      <c r="B58" s="48">
        <f>IFERROR(VLOOKUP($A58,Codes!$A:$B,2,FALSE()),"")</f>
        <v/>
      </c>
      <c r="C58" s="5" t="inlineStr">
        <is>
          <t>Group Insurance</t>
        </is>
      </c>
      <c r="D58" s="49" t="n">
        <v>6371.68</v>
      </c>
      <c r="E58" s="49" t="n">
        <v>6301.02</v>
      </c>
      <c r="F58" s="49" t="n">
        <v>6300</v>
      </c>
      <c r="G58" s="49" t="n">
        <v>7000</v>
      </c>
      <c r="H58" s="49" t="n">
        <v>7000</v>
      </c>
      <c r="I58" s="49" t="n">
        <v>7000</v>
      </c>
      <c r="J58" s="49" t="n">
        <v>7000</v>
      </c>
      <c r="K58" s="49" t="n">
        <v>6300</v>
      </c>
      <c r="L58" s="49" t="n">
        <v>6300</v>
      </c>
      <c r="M58" s="49" t="n">
        <v>6921.19</v>
      </c>
      <c r="N58" s="49" t="n">
        <v>6456.53</v>
      </c>
      <c r="O58" s="49" t="n">
        <v>6066.55</v>
      </c>
      <c r="P58" s="49" t="n">
        <v>6462</v>
      </c>
      <c r="Q58" s="49" t="n">
        <v>7180</v>
      </c>
      <c r="R58" s="49" t="n">
        <v>7193.67</v>
      </c>
      <c r="S58" s="49" t="n">
        <v>7180</v>
      </c>
      <c r="T58" s="49" t="n">
        <v>7180.98</v>
      </c>
      <c r="U58" s="49" t="n">
        <v>7180</v>
      </c>
      <c r="V58" s="49" t="n">
        <v>7180</v>
      </c>
      <c r="W58" s="49" t="n">
        <v>7180</v>
      </c>
      <c r="X58" s="49" t="n">
        <v>6411.49</v>
      </c>
      <c r="Y58" s="49" t="n">
        <v>5744</v>
      </c>
      <c r="Z58" s="49" t="n">
        <v>5660.43</v>
      </c>
      <c r="AA58" s="49" t="n">
        <v>5681.63</v>
      </c>
      <c r="AB58" s="49" t="n">
        <v>7180</v>
      </c>
      <c r="AC58" s="49" t="n">
        <v>7180</v>
      </c>
      <c r="AD58" s="49" t="n">
        <v>6947.04</v>
      </c>
      <c r="AE58" s="49" t="n">
        <v>7092.16</v>
      </c>
      <c r="AF58" s="49" t="n">
        <v>7238.84</v>
      </c>
      <c r="AG58" s="49" t="n">
        <v>7570.05</v>
      </c>
      <c r="AH58" s="49" t="n">
        <v>7381.86</v>
      </c>
      <c r="AI58" s="49" t="n">
        <v>7430</v>
      </c>
      <c r="AJ58" s="49" t="n">
        <v>7362.7</v>
      </c>
      <c r="AK58" s="49" t="n">
        <v>7369.17</v>
      </c>
      <c r="AL58" s="49" t="n">
        <v>7452.5</v>
      </c>
      <c r="AM58" s="49" t="n">
        <v>7430</v>
      </c>
      <c r="AN58" s="50">
        <f>SUM(AB58:AM58)</f>
        <v/>
      </c>
    </row>
    <row r="59">
      <c r="A59" s="47" t="inlineStr">
        <is>
          <t>inter/exte</t>
        </is>
      </c>
      <c r="B59" s="48">
        <f>IFERROR(VLOOKUP($A59,Codes!$A:$B,2,FALSE()),"")</f>
        <v/>
      </c>
      <c r="C59" s="5" t="inlineStr">
        <is>
          <t>Access Gate Expense</t>
        </is>
      </c>
      <c r="D59" s="49" t="n">
        <v>0</v>
      </c>
      <c r="E59" s="49" t="n">
        <v>0</v>
      </c>
      <c r="F59" s="49" t="n">
        <v>0</v>
      </c>
      <c r="G59" s="49" t="n">
        <v>90</v>
      </c>
      <c r="H59" s="49" t="n">
        <v>132.9</v>
      </c>
      <c r="I59" s="49" t="n">
        <v>526.66</v>
      </c>
      <c r="J59" s="49" t="n">
        <v>5.85</v>
      </c>
      <c r="K59" s="49" t="n">
        <v>363.75</v>
      </c>
      <c r="L59" s="49" t="n">
        <v>148.7</v>
      </c>
      <c r="M59" s="49" t="n">
        <v>32.81</v>
      </c>
      <c r="N59" s="49" t="n">
        <v>41.9</v>
      </c>
      <c r="O59" s="49" t="n">
        <v>183.8</v>
      </c>
      <c r="P59" s="49" t="n">
        <v>-86.90000000000001</v>
      </c>
      <c r="Q59" s="49" t="n">
        <v>300.94</v>
      </c>
      <c r="R59" s="49" t="n">
        <v>328.62</v>
      </c>
      <c r="S59" s="49" t="n">
        <v>0</v>
      </c>
      <c r="T59" s="49" t="n">
        <v>0</v>
      </c>
      <c r="U59" s="49" t="n">
        <v>0</v>
      </c>
      <c r="V59" s="51" t="n">
        <v>2202.26</v>
      </c>
      <c r="W59" s="49" t="n">
        <v>0</v>
      </c>
      <c r="X59" s="49" t="n">
        <v>157.5</v>
      </c>
      <c r="Y59" s="49" t="n">
        <v>0</v>
      </c>
      <c r="Z59" s="49" t="n">
        <v>0</v>
      </c>
      <c r="AA59" s="49" t="n">
        <v>0</v>
      </c>
      <c r="AB59" s="49" t="n">
        <v>33.58</v>
      </c>
      <c r="AC59" s="49" t="n">
        <v>171.67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-156.82</v>
      </c>
      <c r="AL59" s="49" t="n">
        <v>0</v>
      </c>
      <c r="AM59" s="49" t="n">
        <v>0</v>
      </c>
      <c r="AN59" s="50">
        <f>SUM(AB59:AM59)</f>
        <v/>
      </c>
    </row>
    <row r="60">
      <c r="A60" s="47" t="inlineStr">
        <is>
          <t>inter/exte</t>
        </is>
      </c>
      <c r="B60" s="48">
        <f>IFERROR(VLOOKUP($A60,Codes!$A:$B,2,FALSE()),"")</f>
        <v/>
      </c>
      <c r="C60" s="5" t="inlineStr">
        <is>
          <t>Appliance Repairs</t>
        </is>
      </c>
      <c r="D60" s="51" t="n">
        <v>5119.42</v>
      </c>
      <c r="E60" s="51" t="n">
        <v>2622.84</v>
      </c>
      <c r="F60" s="51" t="n">
        <v>4354.14</v>
      </c>
      <c r="G60" s="51" t="n">
        <v>3355.54</v>
      </c>
      <c r="H60" s="51" t="n">
        <v>4002.22</v>
      </c>
      <c r="I60" s="51" t="n">
        <v>-15443.52</v>
      </c>
      <c r="J60" s="49" t="n">
        <v>220.71</v>
      </c>
      <c r="K60" s="49" t="n">
        <v>972.47</v>
      </c>
      <c r="L60" s="49" t="n">
        <v>367.17</v>
      </c>
      <c r="M60" s="49" t="n">
        <v>317.95</v>
      </c>
      <c r="N60" s="49" t="n">
        <v>122.42</v>
      </c>
      <c r="O60" s="49" t="n">
        <v>270.03</v>
      </c>
      <c r="P60" s="49" t="n">
        <v>581.16</v>
      </c>
      <c r="Q60" s="49" t="n">
        <v>200.5</v>
      </c>
      <c r="R60" s="49" t="n">
        <v>37.27</v>
      </c>
      <c r="S60" s="49" t="n">
        <v>227.61</v>
      </c>
      <c r="T60" s="49" t="n">
        <v>285.49</v>
      </c>
      <c r="U60" s="49" t="n">
        <v>304.18</v>
      </c>
      <c r="V60" s="49" t="n">
        <v>608.5599999999999</v>
      </c>
      <c r="W60" s="49" t="n">
        <v>223.21</v>
      </c>
      <c r="X60" s="49" t="n">
        <v>697.35</v>
      </c>
      <c r="Y60" s="49" t="n">
        <v>330.77</v>
      </c>
      <c r="Z60" s="49" t="n">
        <v>146.5</v>
      </c>
      <c r="AA60" s="49" t="n">
        <v>108.69</v>
      </c>
      <c r="AB60" s="49" t="n">
        <v>563.77</v>
      </c>
      <c r="AC60" s="49" t="n">
        <v>556.8099999999999</v>
      </c>
      <c r="AD60" s="49" t="n">
        <v>754.09</v>
      </c>
      <c r="AE60" s="49" t="n">
        <v>149.46</v>
      </c>
      <c r="AF60" s="49" t="n">
        <v>982.11</v>
      </c>
      <c r="AG60" s="49" t="n">
        <v>685.5599999999999</v>
      </c>
      <c r="AH60" s="49" t="n">
        <v>158.68</v>
      </c>
      <c r="AI60" s="49" t="n">
        <v>559.61</v>
      </c>
      <c r="AJ60" s="49" t="n">
        <v>139.56</v>
      </c>
      <c r="AK60" s="49" t="n">
        <v>1313.25</v>
      </c>
      <c r="AL60" s="49" t="n">
        <v>767.35</v>
      </c>
      <c r="AM60" s="49" t="n">
        <v>778.3200000000001</v>
      </c>
      <c r="AN60" s="50">
        <f>SUM(AB60:AM60)</f>
        <v/>
      </c>
    </row>
    <row r="61">
      <c r="A61" s="47" t="inlineStr">
        <is>
          <t>inter/exte</t>
        </is>
      </c>
      <c r="B61" s="48">
        <f>IFERROR(VLOOKUP($A61,Codes!$A:$B,2,FALSE()),"")</f>
        <v/>
      </c>
      <c r="C61" s="5" t="inlineStr">
        <is>
          <t>Building - Interior</t>
        </is>
      </c>
      <c r="D61" s="49" t="n">
        <v>850.88</v>
      </c>
      <c r="E61" s="49" t="n">
        <v>0</v>
      </c>
      <c r="F61" s="49" t="n">
        <v>114.52</v>
      </c>
      <c r="G61" s="49" t="n">
        <v>1050.14</v>
      </c>
      <c r="H61" s="49" t="n">
        <v>442.95</v>
      </c>
      <c r="I61" s="49" t="n">
        <v>252.73</v>
      </c>
      <c r="J61" s="49" t="n">
        <v>916.05</v>
      </c>
      <c r="K61" s="49" t="n">
        <v>193.18</v>
      </c>
      <c r="L61" s="49" t="n">
        <v>529.52</v>
      </c>
      <c r="M61" s="49" t="n">
        <v>510.39</v>
      </c>
      <c r="N61" s="49" t="n">
        <v>85.7</v>
      </c>
      <c r="O61" s="49" t="n">
        <v>165.16</v>
      </c>
      <c r="P61" s="49" t="n">
        <v>0</v>
      </c>
      <c r="Q61" s="49" t="n">
        <v>13.53</v>
      </c>
      <c r="R61" s="49" t="n">
        <v>445.1</v>
      </c>
      <c r="S61" s="49" t="n">
        <v>141.42</v>
      </c>
      <c r="T61" s="49" t="n">
        <v>32.59</v>
      </c>
      <c r="U61" s="49" t="n">
        <v>160.35</v>
      </c>
      <c r="V61" s="49" t="n">
        <v>309.57</v>
      </c>
      <c r="W61" s="49" t="n">
        <v>435.07</v>
      </c>
      <c r="X61" s="49" t="n">
        <v>0</v>
      </c>
      <c r="Y61" s="49" t="n">
        <v>155.87</v>
      </c>
      <c r="Z61" s="49" t="n">
        <v>71.73999999999999</v>
      </c>
      <c r="AA61" s="49" t="n">
        <v>58.46</v>
      </c>
      <c r="AB61" s="49" t="n">
        <v>203.69</v>
      </c>
      <c r="AC61" s="49" t="n">
        <v>507.4</v>
      </c>
      <c r="AD61" s="49" t="n">
        <v>0</v>
      </c>
      <c r="AE61" s="49" t="n">
        <v>63.58</v>
      </c>
      <c r="AF61" s="49" t="n">
        <v>174.43</v>
      </c>
      <c r="AG61" s="49" t="n">
        <v>293.41</v>
      </c>
      <c r="AH61" s="49" t="n">
        <v>544.39</v>
      </c>
      <c r="AI61" s="49" t="n">
        <v>111.39</v>
      </c>
      <c r="AJ61" s="49" t="n">
        <v>-77.52</v>
      </c>
      <c r="AK61" s="49" t="n">
        <v>43.8</v>
      </c>
      <c r="AL61" s="49" t="n">
        <v>175.26</v>
      </c>
      <c r="AM61" s="49" t="n">
        <v>43.25</v>
      </c>
      <c r="AN61" s="50">
        <f>SUM(AB61:AM61)</f>
        <v/>
      </c>
    </row>
    <row r="62">
      <c r="A62" s="47" t="inlineStr">
        <is>
          <t>turn</t>
        </is>
      </c>
      <c r="B62" s="48">
        <f>IFERROR(VLOOKUP($A62,Codes!$A:$B,2,FALSE()),"")</f>
        <v/>
      </c>
      <c r="C62" s="5" t="inlineStr">
        <is>
          <t>Carpet Cleaning Repairs - Occupied</t>
        </is>
      </c>
      <c r="D62" s="49" t="n">
        <v>60</v>
      </c>
      <c r="E62" s="49" t="n">
        <v>0</v>
      </c>
      <c r="F62" s="49" t="n">
        <v>360</v>
      </c>
      <c r="G62" s="49" t="n">
        <v>0</v>
      </c>
      <c r="H62" s="49" t="n">
        <v>60</v>
      </c>
      <c r="I62" s="49" t="n">
        <v>130</v>
      </c>
      <c r="J62" s="49" t="n">
        <v>280</v>
      </c>
      <c r="K62" s="49" t="n">
        <v>130</v>
      </c>
      <c r="L62" s="49" t="n">
        <v>0</v>
      </c>
      <c r="M62" s="49" t="n">
        <v>105</v>
      </c>
      <c r="N62" s="49" t="n">
        <v>180</v>
      </c>
      <c r="O62" s="49" t="n">
        <v>70</v>
      </c>
      <c r="P62" s="49" t="n">
        <v>0</v>
      </c>
      <c r="Q62" s="49" t="n">
        <v>0</v>
      </c>
      <c r="R62" s="49" t="n">
        <v>0</v>
      </c>
      <c r="S62" s="49" t="n">
        <v>70</v>
      </c>
      <c r="T62" s="49" t="n">
        <v>0</v>
      </c>
      <c r="U62" s="49" t="n">
        <v>180</v>
      </c>
      <c r="V62" s="49" t="n">
        <v>140</v>
      </c>
      <c r="W62" s="49" t="n">
        <v>0</v>
      </c>
      <c r="X62" s="49" t="n">
        <v>230</v>
      </c>
      <c r="Y62" s="49" t="n">
        <v>415</v>
      </c>
      <c r="Z62" s="49" t="n">
        <v>0</v>
      </c>
      <c r="AA62" s="49" t="n">
        <v>0</v>
      </c>
      <c r="AB62" s="49" t="n">
        <v>0</v>
      </c>
      <c r="AC62" s="49" t="n">
        <v>115</v>
      </c>
      <c r="AD62" s="49" t="n">
        <v>200</v>
      </c>
      <c r="AE62" s="49" t="n">
        <v>290</v>
      </c>
      <c r="AF62" s="49" t="n">
        <v>0</v>
      </c>
      <c r="AG62" s="49" t="n">
        <v>0</v>
      </c>
      <c r="AH62" s="49" t="n">
        <v>0</v>
      </c>
      <c r="AI62" s="49" t="n">
        <v>155</v>
      </c>
      <c r="AJ62" s="49" t="n">
        <v>130</v>
      </c>
      <c r="AK62" s="49" t="n">
        <v>80</v>
      </c>
      <c r="AL62" s="49" t="n">
        <v>155</v>
      </c>
      <c r="AM62" s="49" t="n">
        <v>0</v>
      </c>
      <c r="AN62" s="50">
        <f>SUM(AB62:AM62)</f>
        <v/>
      </c>
    </row>
    <row r="63">
      <c r="A63" s="47" t="inlineStr">
        <is>
          <t>inter/exte</t>
        </is>
      </c>
      <c r="B63" s="48">
        <f>IFERROR(VLOOKUP($A63,Codes!$A:$B,2,FALSE()),"")</f>
        <v/>
      </c>
      <c r="C63" s="5" t="inlineStr">
        <is>
          <t>Cleaning &amp; Supplies</t>
        </is>
      </c>
      <c r="D63" s="49" t="n">
        <v>510.15</v>
      </c>
      <c r="E63" s="49" t="n">
        <v>947.28</v>
      </c>
      <c r="F63" s="49" t="n">
        <v>1057.49</v>
      </c>
      <c r="G63" s="49" t="n">
        <v>0</v>
      </c>
      <c r="H63" s="49" t="n">
        <v>162.58</v>
      </c>
      <c r="I63" s="49" t="n">
        <v>346.67</v>
      </c>
      <c r="J63" s="49" t="n">
        <v>1105.88</v>
      </c>
      <c r="K63" s="49" t="n">
        <v>270.7</v>
      </c>
      <c r="L63" s="49" t="n">
        <v>328.14</v>
      </c>
      <c r="M63" s="49" t="n">
        <v>848.47</v>
      </c>
      <c r="N63" s="49" t="n">
        <v>250.61</v>
      </c>
      <c r="O63" s="49" t="n">
        <v>1351.47</v>
      </c>
      <c r="P63" s="49" t="n">
        <v>161.8</v>
      </c>
      <c r="Q63" s="49" t="n">
        <v>202.15</v>
      </c>
      <c r="R63" s="49" t="n">
        <v>395.91</v>
      </c>
      <c r="S63" s="49" t="n">
        <v>564.39</v>
      </c>
      <c r="T63" s="49" t="n">
        <v>723.47</v>
      </c>
      <c r="U63" s="49" t="n">
        <v>665.89</v>
      </c>
      <c r="V63" s="49" t="n">
        <v>1013.64</v>
      </c>
      <c r="W63" s="49" t="n">
        <v>375.63</v>
      </c>
      <c r="X63" s="49" t="n">
        <v>477.7</v>
      </c>
      <c r="Y63" s="49" t="n">
        <v>889.27</v>
      </c>
      <c r="Z63" s="49" t="n">
        <v>371.9</v>
      </c>
      <c r="AA63" s="49" t="n">
        <v>269.4</v>
      </c>
      <c r="AB63" s="49" t="n">
        <v>785.84</v>
      </c>
      <c r="AC63" s="49" t="n">
        <v>725.41</v>
      </c>
      <c r="AD63" s="49" t="n">
        <v>857.84</v>
      </c>
      <c r="AE63" s="49" t="n">
        <v>708.1</v>
      </c>
      <c r="AF63" s="49" t="n">
        <v>528.75</v>
      </c>
      <c r="AG63" s="49" t="n">
        <v>836.09</v>
      </c>
      <c r="AH63" s="49" t="n">
        <v>949.3</v>
      </c>
      <c r="AI63" s="49" t="n">
        <v>734.1900000000001</v>
      </c>
      <c r="AJ63" s="49" t="n">
        <v>131.38</v>
      </c>
      <c r="AK63" s="49" t="n">
        <v>1241.64</v>
      </c>
      <c r="AL63" s="49" t="n">
        <v>385.63</v>
      </c>
      <c r="AM63" s="49" t="n">
        <v>400.15</v>
      </c>
      <c r="AN63" s="50">
        <f>SUM(AB63:AM63)</f>
        <v/>
      </c>
    </row>
    <row r="64">
      <c r="A64" s="47" t="inlineStr">
        <is>
          <t>inter/exte</t>
        </is>
      </c>
      <c r="B64" s="48">
        <f>IFERROR(VLOOKUP($A64,Codes!$A:$B,2,FALSE()),"")</f>
        <v/>
      </c>
      <c r="C64" s="5" t="inlineStr">
        <is>
          <t>Common Area Repairs</t>
        </is>
      </c>
      <c r="D64" s="49" t="n">
        <v>626.33</v>
      </c>
      <c r="E64" s="49" t="n">
        <v>494.04</v>
      </c>
      <c r="F64" s="49" t="n">
        <v>572.98</v>
      </c>
      <c r="G64" s="49" t="n">
        <v>0</v>
      </c>
      <c r="H64" s="49" t="n">
        <v>289.68</v>
      </c>
      <c r="I64" s="49" t="n">
        <v>312.94</v>
      </c>
      <c r="J64" s="49" t="n">
        <v>312.94</v>
      </c>
      <c r="K64" s="49" t="n">
        <v>469.42</v>
      </c>
      <c r="L64" s="49" t="n">
        <v>0</v>
      </c>
      <c r="M64" s="49" t="n">
        <v>698.88</v>
      </c>
      <c r="N64" s="49" t="n">
        <v>0</v>
      </c>
      <c r="O64" s="49" t="n">
        <v>33</v>
      </c>
      <c r="P64" s="49" t="n">
        <v>0</v>
      </c>
      <c r="Q64" s="49" t="n">
        <v>220</v>
      </c>
      <c r="R64" s="49" t="n">
        <v>0</v>
      </c>
      <c r="S64" s="49" t="n">
        <v>0</v>
      </c>
      <c r="T64" s="49" t="n">
        <v>620.74</v>
      </c>
      <c r="U64" s="49" t="n">
        <v>87.8</v>
      </c>
      <c r="V64" s="49" t="n">
        <v>755.98</v>
      </c>
      <c r="W64" s="49" t="n">
        <v>339.12</v>
      </c>
      <c r="X64" s="49" t="n">
        <v>0</v>
      </c>
      <c r="Y64" s="49" t="n">
        <v>450.51</v>
      </c>
      <c r="Z64" s="49" t="n">
        <v>315.93</v>
      </c>
      <c r="AA64" s="49" t="n">
        <v>0</v>
      </c>
      <c r="AB64" s="49" t="n">
        <v>754.9299999999999</v>
      </c>
      <c r="AC64" s="49" t="n">
        <v>599.74</v>
      </c>
      <c r="AD64" s="49" t="n">
        <v>432.61</v>
      </c>
      <c r="AE64" s="49" t="n">
        <v>330.77</v>
      </c>
      <c r="AF64" s="49" t="n">
        <v>1492.39</v>
      </c>
      <c r="AG64" s="49" t="n">
        <v>723.2</v>
      </c>
      <c r="AH64" s="49" t="n">
        <v>293.33</v>
      </c>
      <c r="AI64" s="49" t="n">
        <v>31.63</v>
      </c>
      <c r="AJ64" s="49" t="n">
        <v>0</v>
      </c>
      <c r="AK64" s="49" t="n">
        <v>973.9299999999999</v>
      </c>
      <c r="AL64" s="49" t="n">
        <v>0.01</v>
      </c>
      <c r="AM64" s="49" t="n">
        <v>0.01</v>
      </c>
      <c r="AN64" s="50">
        <f>SUM(AB64:AM64)</f>
        <v/>
      </c>
    </row>
    <row r="65">
      <c r="A65" s="47" t="inlineStr">
        <is>
          <t>inter/exte</t>
        </is>
      </c>
      <c r="B65" s="48">
        <f>IFERROR(VLOOKUP($A65,Codes!$A:$B,2,FALSE()),"")</f>
        <v/>
      </c>
      <c r="C65" s="5" t="inlineStr">
        <is>
          <t>Door Repair / Replacement</t>
        </is>
      </c>
      <c r="D65" s="49" t="n">
        <v>100.84</v>
      </c>
      <c r="E65" s="49" t="n">
        <v>549.8</v>
      </c>
      <c r="F65" s="49" t="n">
        <v>541.58</v>
      </c>
      <c r="G65" s="49" t="n">
        <v>0</v>
      </c>
      <c r="H65" s="49" t="n">
        <v>0</v>
      </c>
      <c r="I65" s="49" t="n">
        <v>0</v>
      </c>
      <c r="J65" s="49" t="n">
        <v>189.88</v>
      </c>
      <c r="K65" s="49" t="n">
        <v>0.02</v>
      </c>
      <c r="L65" s="49" t="n">
        <v>0</v>
      </c>
      <c r="M65" s="49" t="n">
        <v>480.79</v>
      </c>
      <c r="N65" s="49" t="n">
        <v>165.24</v>
      </c>
      <c r="O65" s="49" t="n">
        <v>0</v>
      </c>
      <c r="P65" s="49" t="n">
        <v>0</v>
      </c>
      <c r="Q65" s="49" t="n">
        <v>0</v>
      </c>
      <c r="R65" s="49" t="n">
        <v>19.89</v>
      </c>
      <c r="S65" s="49" t="n">
        <v>805.03</v>
      </c>
      <c r="T65" s="49" t="n">
        <v>39.77</v>
      </c>
      <c r="U65" s="49" t="n">
        <v>143.02</v>
      </c>
      <c r="V65" s="49" t="n">
        <v>0</v>
      </c>
      <c r="W65" s="49" t="n">
        <v>806.04</v>
      </c>
      <c r="X65" s="49" t="n">
        <v>48.23</v>
      </c>
      <c r="Y65" s="49" t="n">
        <v>0</v>
      </c>
      <c r="Z65" s="49" t="n">
        <v>1010.07</v>
      </c>
      <c r="AA65" s="49" t="n">
        <v>0</v>
      </c>
      <c r="AB65" s="49" t="n">
        <v>197.17</v>
      </c>
      <c r="AC65" s="49" t="n">
        <v>298.42</v>
      </c>
      <c r="AD65" s="49" t="n">
        <v>148.83</v>
      </c>
      <c r="AE65" s="49" t="n">
        <v>0</v>
      </c>
      <c r="AF65" s="49" t="n">
        <v>0</v>
      </c>
      <c r="AG65" s="49" t="n">
        <v>-197.17</v>
      </c>
      <c r="AH65" s="49" t="n">
        <v>30.96</v>
      </c>
      <c r="AI65" s="49" t="n">
        <v>287.3</v>
      </c>
      <c r="AJ65" s="49" t="n">
        <v>0</v>
      </c>
      <c r="AK65" s="49" t="n">
        <v>0</v>
      </c>
      <c r="AL65" s="49" t="n">
        <v>0</v>
      </c>
      <c r="AM65" s="49" t="n">
        <v>0</v>
      </c>
      <c r="AN65" s="50">
        <f>SUM(AB65:AM65)</f>
        <v/>
      </c>
    </row>
    <row r="66">
      <c r="A66" s="47" t="inlineStr">
        <is>
          <t>inter/exte</t>
        </is>
      </c>
      <c r="B66" s="48">
        <f>IFERROR(VLOOKUP($A66,Codes!$A:$B,2,FALSE()),"")</f>
        <v/>
      </c>
      <c r="C66" s="5" t="inlineStr">
        <is>
          <t>Electrical Supplies / Repairs</t>
        </is>
      </c>
      <c r="D66" s="49" t="n">
        <v>2357.49</v>
      </c>
      <c r="E66" s="49" t="n">
        <v>0</v>
      </c>
      <c r="F66" s="49" t="n">
        <v>1182.34</v>
      </c>
      <c r="G66" s="49" t="n">
        <v>810.86</v>
      </c>
      <c r="H66" s="49" t="n">
        <v>1367.65</v>
      </c>
      <c r="I66" s="49" t="n">
        <v>1140.18</v>
      </c>
      <c r="J66" s="49" t="n">
        <v>2278.53</v>
      </c>
      <c r="K66" s="49" t="n">
        <v>211.21</v>
      </c>
      <c r="L66" s="49" t="n">
        <v>114.77</v>
      </c>
      <c r="M66" s="49" t="n">
        <v>1450.19</v>
      </c>
      <c r="N66" s="49" t="n">
        <v>251.1</v>
      </c>
      <c r="O66" s="49" t="n">
        <v>2482.67</v>
      </c>
      <c r="P66" s="49" t="n">
        <v>760.6799999999999</v>
      </c>
      <c r="Q66" s="49" t="n">
        <v>143.53</v>
      </c>
      <c r="R66" s="49" t="n">
        <v>566.77</v>
      </c>
      <c r="S66" s="49" t="n">
        <v>865.5</v>
      </c>
      <c r="T66" s="49" t="n">
        <v>1108.34</v>
      </c>
      <c r="U66" s="49" t="n">
        <v>332.61</v>
      </c>
      <c r="V66" s="49" t="n">
        <v>1159.91</v>
      </c>
      <c r="W66" s="49" t="n">
        <v>987.02</v>
      </c>
      <c r="X66" s="49" t="n">
        <v>812.63</v>
      </c>
      <c r="Y66" s="49" t="n">
        <v>1153.61</v>
      </c>
      <c r="Z66" s="49" t="n">
        <v>1103.8</v>
      </c>
      <c r="AA66" s="49" t="n">
        <v>177.53</v>
      </c>
      <c r="AB66" s="49" t="n">
        <v>1287.98</v>
      </c>
      <c r="AC66" s="49" t="n">
        <v>1259.15</v>
      </c>
      <c r="AD66" s="49" t="n">
        <v>2492.1</v>
      </c>
      <c r="AE66" s="49" t="n">
        <v>1484.83</v>
      </c>
      <c r="AF66" s="49" t="n">
        <v>1038.53</v>
      </c>
      <c r="AG66" s="49" t="n">
        <v>1015.98</v>
      </c>
      <c r="AH66" s="49" t="n">
        <v>825.6</v>
      </c>
      <c r="AI66" s="49" t="n">
        <v>1552.76</v>
      </c>
      <c r="AJ66" s="49" t="n">
        <v>543.14</v>
      </c>
      <c r="AK66" s="49" t="n">
        <v>150.81</v>
      </c>
      <c r="AL66" s="49" t="n">
        <v>523.0599999999999</v>
      </c>
      <c r="AM66" s="49" t="n">
        <v>901.4</v>
      </c>
      <c r="AN66" s="50">
        <f>SUM(AB66:AM66)</f>
        <v/>
      </c>
    </row>
    <row r="67">
      <c r="A67" s="47" t="inlineStr">
        <is>
          <t>inter/exte</t>
        </is>
      </c>
      <c r="B67" s="48">
        <f>IFERROR(VLOOKUP($A67,Codes!$A:$B,2,FALSE()),"")</f>
        <v/>
      </c>
      <c r="C67" s="5" t="inlineStr">
        <is>
          <t>Fuel &amp; Propane</t>
        </is>
      </c>
      <c r="D67" s="49" t="n">
        <v>0</v>
      </c>
      <c r="E67" s="49" t="n">
        <v>0</v>
      </c>
      <c r="F67" s="49" t="n">
        <v>0</v>
      </c>
      <c r="G67" s="49" t="n">
        <v>0</v>
      </c>
      <c r="H67" s="49" t="n">
        <v>21.88</v>
      </c>
      <c r="I67" s="49" t="n">
        <v>0</v>
      </c>
      <c r="J67" s="49" t="n">
        <v>21.71</v>
      </c>
      <c r="K67" s="49" t="n">
        <v>0</v>
      </c>
      <c r="L67" s="49" t="n">
        <v>1.35</v>
      </c>
      <c r="M67" s="49" t="n">
        <v>58.81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13.67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50</v>
      </c>
      <c r="AA67" s="49" t="n">
        <v>45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13.89</v>
      </c>
      <c r="AL67" s="49" t="n">
        <v>0</v>
      </c>
      <c r="AM67" s="49" t="n">
        <v>0</v>
      </c>
      <c r="AN67" s="50">
        <f>SUM(AB67:AM67)</f>
        <v/>
      </c>
    </row>
    <row r="68">
      <c r="A68" s="47" t="inlineStr">
        <is>
          <t>inter/exte</t>
        </is>
      </c>
      <c r="B68" s="48">
        <f>IFERROR(VLOOKUP($A68,Codes!$A:$B,2,FALSE()),"")</f>
        <v/>
      </c>
      <c r="C68" s="5" t="inlineStr">
        <is>
          <t>Garage Repairs &amp; Maintenance</t>
        </is>
      </c>
      <c r="D68" s="49" t="n">
        <v>406.2</v>
      </c>
      <c r="E68" s="49" t="n">
        <v>640</v>
      </c>
      <c r="F68" s="49" t="n">
        <v>245</v>
      </c>
      <c r="G68" s="49" t="n">
        <v>771.3200000000001</v>
      </c>
      <c r="H68" s="49" t="n">
        <v>425</v>
      </c>
      <c r="I68" s="49" t="n">
        <v>1150.95</v>
      </c>
      <c r="J68" s="49" t="n">
        <v>0</v>
      </c>
      <c r="K68" s="49" t="n">
        <v>376.85</v>
      </c>
      <c r="L68" s="49" t="n">
        <v>460</v>
      </c>
      <c r="M68" s="49" t="n">
        <v>1150.69</v>
      </c>
      <c r="N68" s="49" t="n">
        <v>1038.87</v>
      </c>
      <c r="O68" s="49" t="n">
        <v>500</v>
      </c>
      <c r="P68" s="49" t="n">
        <v>1305</v>
      </c>
      <c r="Q68" s="49" t="n">
        <v>0</v>
      </c>
      <c r="R68" s="49" t="n">
        <v>0</v>
      </c>
      <c r="S68" s="49" t="n">
        <v>594.4299999999999</v>
      </c>
      <c r="T68" s="49" t="n">
        <v>250</v>
      </c>
      <c r="U68" s="49" t="n">
        <v>336.14</v>
      </c>
      <c r="V68" s="49" t="n">
        <v>583.3</v>
      </c>
      <c r="W68" s="49" t="n">
        <v>0</v>
      </c>
      <c r="X68" s="49" t="n">
        <v>715.87</v>
      </c>
      <c r="Y68" s="49" t="n">
        <v>275</v>
      </c>
      <c r="Z68" s="49" t="n">
        <v>530.48</v>
      </c>
      <c r="AA68" s="49" t="n">
        <v>575</v>
      </c>
      <c r="AB68" s="49" t="n">
        <v>-69.53</v>
      </c>
      <c r="AC68" s="49" t="n">
        <v>1683.92</v>
      </c>
      <c r="AD68" s="49" t="n">
        <v>1762.79</v>
      </c>
      <c r="AE68" s="49" t="n">
        <v>1004.13</v>
      </c>
      <c r="AF68" s="49" t="n">
        <v>-1919.07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-1467.35</v>
      </c>
      <c r="AL68" s="49" t="n">
        <v>0</v>
      </c>
      <c r="AM68" s="49" t="n">
        <v>0</v>
      </c>
      <c r="AN68" s="50">
        <f>SUM(AB68:AM68)</f>
        <v/>
      </c>
    </row>
    <row r="69">
      <c r="A69" s="47" t="inlineStr">
        <is>
          <t>inter/exte</t>
        </is>
      </c>
      <c r="B69" s="48">
        <f>IFERROR(VLOOKUP($A69,Codes!$A:$B,2,FALSE()),"")</f>
        <v/>
      </c>
      <c r="C69" s="5" t="inlineStr">
        <is>
          <t>Golf Cart Repairs</t>
        </is>
      </c>
      <c r="D69" s="49" t="n">
        <v>684.0599999999999</v>
      </c>
      <c r="E69" s="49" t="n">
        <v>90.3</v>
      </c>
      <c r="F69" s="49" t="n">
        <v>0</v>
      </c>
      <c r="G69" s="49" t="n">
        <v>0</v>
      </c>
      <c r="H69" s="49" t="n">
        <v>0</v>
      </c>
      <c r="I69" s="49" t="n">
        <v>455.1</v>
      </c>
      <c r="J69" s="49" t="n">
        <v>0</v>
      </c>
      <c r="K69" s="49" t="n">
        <v>1325.12</v>
      </c>
      <c r="L69" s="49" t="n">
        <v>0</v>
      </c>
      <c r="M69" s="49" t="n">
        <v>190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435.1</v>
      </c>
      <c r="S69" s="49" t="n">
        <v>0</v>
      </c>
      <c r="T69" s="49" t="n">
        <v>0</v>
      </c>
      <c r="U69" s="49" t="n">
        <v>0</v>
      </c>
      <c r="V69" s="49" t="n">
        <v>282.32</v>
      </c>
      <c r="W69" s="49" t="n">
        <v>0</v>
      </c>
      <c r="X69" s="49" t="n">
        <v>0</v>
      </c>
      <c r="Y69" s="49" t="n">
        <v>224.05</v>
      </c>
      <c r="Z69" s="49" t="n">
        <v>0</v>
      </c>
      <c r="AA69" s="49" t="n">
        <v>0</v>
      </c>
      <c r="AB69" s="49" t="n">
        <v>0</v>
      </c>
      <c r="AC69" s="49" t="n">
        <v>85</v>
      </c>
      <c r="AD69" s="49" t="n">
        <v>0</v>
      </c>
      <c r="AE69" s="49" t="n">
        <v>0</v>
      </c>
      <c r="AF69" s="49" t="n">
        <v>85</v>
      </c>
      <c r="AG69" s="49" t="n">
        <v>267.76</v>
      </c>
      <c r="AH69" s="49" t="n">
        <v>0</v>
      </c>
      <c r="AI69" s="49" t="n">
        <v>334.53</v>
      </c>
      <c r="AJ69" s="49" t="n">
        <v>85</v>
      </c>
      <c r="AK69" s="49" t="n">
        <v>180.01</v>
      </c>
      <c r="AL69" s="49" t="n">
        <v>0</v>
      </c>
      <c r="AM69" s="49" t="n">
        <v>242.5</v>
      </c>
      <c r="AN69" s="50">
        <f>SUM(AB69:AM69)</f>
        <v/>
      </c>
    </row>
    <row r="70">
      <c r="A70" s="47" t="inlineStr">
        <is>
          <t>inter/exte</t>
        </is>
      </c>
      <c r="B70" s="48">
        <f>IFERROR(VLOOKUP($A70,Codes!$A:$B,2,FALSE()),"")</f>
        <v/>
      </c>
      <c r="C70" s="5" t="inlineStr">
        <is>
          <t>HVAC Supplies / Repairs</t>
        </is>
      </c>
      <c r="D70" s="49" t="n">
        <v>315.36</v>
      </c>
      <c r="E70" s="49" t="n">
        <v>1748.38</v>
      </c>
      <c r="F70" s="49" t="n">
        <v>473.92</v>
      </c>
      <c r="G70" s="49" t="n">
        <v>863.5</v>
      </c>
      <c r="H70" s="49" t="n">
        <v>-378.41</v>
      </c>
      <c r="I70" s="49" t="n">
        <v>-1165.45</v>
      </c>
      <c r="J70" s="49" t="n">
        <v>500.73</v>
      </c>
      <c r="K70" s="49" t="n">
        <v>360.67</v>
      </c>
      <c r="L70" s="49" t="n">
        <v>467.25</v>
      </c>
      <c r="M70" s="49" t="n">
        <v>211.34</v>
      </c>
      <c r="N70" s="49" t="n">
        <v>340</v>
      </c>
      <c r="O70" s="49" t="n">
        <v>295.9</v>
      </c>
      <c r="P70" s="49" t="n">
        <v>85</v>
      </c>
      <c r="Q70" s="49" t="n">
        <v>660.72</v>
      </c>
      <c r="R70" s="49" t="n">
        <v>75.3</v>
      </c>
      <c r="S70" s="49" t="n">
        <v>0</v>
      </c>
      <c r="T70" s="49" t="n">
        <v>91.63</v>
      </c>
      <c r="U70" s="49" t="n">
        <v>0</v>
      </c>
      <c r="V70" s="49" t="n">
        <v>137.45</v>
      </c>
      <c r="W70" s="49" t="n">
        <v>0</v>
      </c>
      <c r="X70" s="49" t="n">
        <v>106.82</v>
      </c>
      <c r="Y70" s="49" t="n">
        <v>962.89</v>
      </c>
      <c r="Z70" s="49" t="n">
        <v>191.32</v>
      </c>
      <c r="AA70" s="49" t="n">
        <v>74.47</v>
      </c>
      <c r="AB70" s="49" t="n">
        <v>191.19</v>
      </c>
      <c r="AC70" s="49" t="n">
        <v>135.14</v>
      </c>
      <c r="AD70" s="49" t="n">
        <v>441.06</v>
      </c>
      <c r="AE70" s="49" t="n">
        <v>1400.26</v>
      </c>
      <c r="AF70" s="49" t="n">
        <v>557.45</v>
      </c>
      <c r="AG70" s="49" t="n">
        <v>449.33</v>
      </c>
      <c r="AH70" s="49" t="n">
        <v>311.66</v>
      </c>
      <c r="AI70" s="49" t="n">
        <v>701.59</v>
      </c>
      <c r="AJ70" s="49" t="n">
        <v>1449.45</v>
      </c>
      <c r="AK70" s="49" t="n">
        <v>-787.21</v>
      </c>
      <c r="AL70" s="49" t="n">
        <v>125.88</v>
      </c>
      <c r="AM70" s="49" t="n">
        <v>482.16</v>
      </c>
      <c r="AN70" s="50">
        <f>SUM(AB70:AM70)</f>
        <v/>
      </c>
    </row>
    <row r="71">
      <c r="A71" s="47" t="inlineStr">
        <is>
          <t>turn</t>
        </is>
      </c>
      <c r="B71" s="48">
        <f>IFERROR(VLOOKUP($A71,Codes!$A:$B,2,FALSE()),"")</f>
        <v/>
      </c>
      <c r="C71" s="5" t="inlineStr">
        <is>
          <t>Locks &amp; Keys</t>
        </is>
      </c>
      <c r="D71" s="49" t="n">
        <v>561</v>
      </c>
      <c r="E71" s="49" t="n">
        <v>0.01</v>
      </c>
      <c r="F71" s="49" t="n">
        <v>0</v>
      </c>
      <c r="G71" s="49" t="n">
        <v>0</v>
      </c>
      <c r="H71" s="49" t="n">
        <v>64.93000000000001</v>
      </c>
      <c r="I71" s="49" t="n">
        <v>168.19</v>
      </c>
      <c r="J71" s="49" t="n">
        <v>149.54</v>
      </c>
      <c r="K71" s="49" t="n">
        <v>84.7</v>
      </c>
      <c r="L71" s="49" t="n">
        <v>0</v>
      </c>
      <c r="M71" s="49" t="n">
        <v>344.74</v>
      </c>
      <c r="N71" s="49" t="n">
        <v>-0.02</v>
      </c>
      <c r="O71" s="49" t="n">
        <v>557.53</v>
      </c>
      <c r="P71" s="49" t="n">
        <v>233</v>
      </c>
      <c r="Q71" s="49" t="n">
        <v>312.29</v>
      </c>
      <c r="R71" s="49" t="n">
        <v>426.31</v>
      </c>
      <c r="S71" s="49" t="n">
        <v>0</v>
      </c>
      <c r="T71" s="49" t="n">
        <v>390.97</v>
      </c>
      <c r="U71" s="49" t="n">
        <v>619.23</v>
      </c>
      <c r="V71" s="49" t="n">
        <v>881.08</v>
      </c>
      <c r="W71" s="49" t="n">
        <v>337.05</v>
      </c>
      <c r="X71" s="49" t="n">
        <v>0</v>
      </c>
      <c r="Y71" s="49" t="n">
        <v>686.03</v>
      </c>
      <c r="Z71" s="49" t="n">
        <v>470.63</v>
      </c>
      <c r="AA71" s="49" t="n">
        <v>239.16</v>
      </c>
      <c r="AB71" s="49" t="n">
        <v>1081.03</v>
      </c>
      <c r="AC71" s="49" t="n">
        <v>902.66</v>
      </c>
      <c r="AD71" s="49" t="n">
        <v>886.08</v>
      </c>
      <c r="AE71" s="49" t="n">
        <v>138.22</v>
      </c>
      <c r="AF71" s="49" t="n">
        <v>541.04</v>
      </c>
      <c r="AG71" s="49" t="n">
        <v>463.59</v>
      </c>
      <c r="AH71" s="49" t="n">
        <v>499.62</v>
      </c>
      <c r="AI71" s="49" t="n">
        <v>675.41</v>
      </c>
      <c r="AJ71" s="49" t="n">
        <v>39.03</v>
      </c>
      <c r="AK71" s="49" t="n">
        <v>-139.54</v>
      </c>
      <c r="AL71" s="49" t="n">
        <v>-169.07</v>
      </c>
      <c r="AM71" s="49" t="n">
        <v>169.07</v>
      </c>
      <c r="AN71" s="50">
        <f>SUM(AB71:AM71)</f>
        <v/>
      </c>
    </row>
    <row r="72">
      <c r="A72" s="47" t="inlineStr">
        <is>
          <t>inter/exte</t>
        </is>
      </c>
      <c r="B72" s="48">
        <f>IFERROR(VLOOKUP($A72,Codes!$A:$B,2,FALSE()),"")</f>
        <v/>
      </c>
      <c r="C72" s="5" t="inlineStr">
        <is>
          <t>Maintenance Supplies</t>
        </is>
      </c>
      <c r="D72" s="49" t="n">
        <v>625.23</v>
      </c>
      <c r="E72" s="49" t="n">
        <v>81.48</v>
      </c>
      <c r="F72" s="49" t="n">
        <v>92.2</v>
      </c>
      <c r="G72" s="49" t="n">
        <v>47.67</v>
      </c>
      <c r="H72" s="49" t="n">
        <v>196.08</v>
      </c>
      <c r="I72" s="49" t="n">
        <v>228.79</v>
      </c>
      <c r="J72" s="49" t="n">
        <v>157.4</v>
      </c>
      <c r="K72" s="49" t="n">
        <v>186.04</v>
      </c>
      <c r="L72" s="49" t="n">
        <v>468.1</v>
      </c>
      <c r="M72" s="49" t="n">
        <v>400.65</v>
      </c>
      <c r="N72" s="49" t="n">
        <v>0.01</v>
      </c>
      <c r="O72" s="49" t="n">
        <v>216.09</v>
      </c>
      <c r="P72" s="49" t="n">
        <v>205.57</v>
      </c>
      <c r="Q72" s="49" t="n">
        <v>-0.02</v>
      </c>
      <c r="R72" s="49" t="n">
        <v>107.64</v>
      </c>
      <c r="S72" s="49" t="n">
        <v>0</v>
      </c>
      <c r="T72" s="49" t="n">
        <v>107.01</v>
      </c>
      <c r="U72" s="49" t="n">
        <v>313.91</v>
      </c>
      <c r="V72" s="49" t="n">
        <v>0</v>
      </c>
      <c r="W72" s="49" t="n">
        <v>73.37</v>
      </c>
      <c r="X72" s="49" t="n">
        <v>545.97</v>
      </c>
      <c r="Y72" s="49" t="n">
        <v>481.59</v>
      </c>
      <c r="Z72" s="49" t="n">
        <v>141.83</v>
      </c>
      <c r="AA72" s="49" t="n">
        <v>73.04000000000001</v>
      </c>
      <c r="AB72" s="49" t="n">
        <v>205.67</v>
      </c>
      <c r="AC72" s="49" t="n">
        <v>441.92</v>
      </c>
      <c r="AD72" s="49" t="n">
        <v>220.57</v>
      </c>
      <c r="AE72" s="49" t="n">
        <v>53.01</v>
      </c>
      <c r="AF72" s="49" t="n">
        <v>338.33</v>
      </c>
      <c r="AG72" s="49" t="n">
        <v>421.4</v>
      </c>
      <c r="AH72" s="49" t="n">
        <v>180.29</v>
      </c>
      <c r="AI72" s="49" t="n">
        <v>264.67</v>
      </c>
      <c r="AJ72" s="49" t="n">
        <v>0</v>
      </c>
      <c r="AK72" s="49" t="n">
        <v>48.19</v>
      </c>
      <c r="AL72" s="49" t="n">
        <v>682.59</v>
      </c>
      <c r="AM72" s="49" t="n">
        <v>80.79000000000001</v>
      </c>
      <c r="AN72" s="50">
        <f>SUM(AB72:AM72)</f>
        <v/>
      </c>
    </row>
    <row r="73">
      <c r="A73" s="47" t="inlineStr">
        <is>
          <t>inter/exte</t>
        </is>
      </c>
      <c r="B73" s="48">
        <f>IFERROR(VLOOKUP($A73,Codes!$A:$B,2,FALSE()),"")</f>
        <v/>
      </c>
      <c r="C73" s="5" t="inlineStr">
        <is>
          <t>Parking Lot Maint / Repairs</t>
        </is>
      </c>
      <c r="D73" s="49" t="n">
        <v>0</v>
      </c>
      <c r="E73" s="49" t="n">
        <v>0</v>
      </c>
      <c r="F73" s="49" t="n">
        <v>0</v>
      </c>
      <c r="G73" s="49" t="n">
        <v>674.1799999999999</v>
      </c>
      <c r="H73" s="49" t="n">
        <v>9.119999999999999</v>
      </c>
      <c r="I73" s="49" t="n">
        <v>0</v>
      </c>
      <c r="J73" s="49" t="n">
        <v>0</v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92.73999999999999</v>
      </c>
      <c r="Q73" s="49" t="n">
        <v>85.64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58.64</v>
      </c>
      <c r="W73" s="49" t="n">
        <v>423.34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257.47</v>
      </c>
      <c r="AF73" s="49" t="n">
        <v>-257.47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50">
        <f>SUM(AB73:AM73)</f>
        <v/>
      </c>
    </row>
    <row r="74">
      <c r="A74" s="47" t="inlineStr">
        <is>
          <t>inter/exte</t>
        </is>
      </c>
      <c r="B74" s="48">
        <f>IFERROR(VLOOKUP($A74,Codes!$A:$B,2,FALSE()),"")</f>
        <v/>
      </c>
      <c r="C74" s="5" t="inlineStr">
        <is>
          <t>Plumbing Supplies / Repairs</t>
        </is>
      </c>
      <c r="D74" s="51" t="n">
        <v>3602.99</v>
      </c>
      <c r="E74" s="49" t="n">
        <v>1940.81</v>
      </c>
      <c r="F74" s="49" t="n">
        <v>1562.14</v>
      </c>
      <c r="G74" s="49" t="n">
        <v>1387.11</v>
      </c>
      <c r="H74" s="49" t="n">
        <v>1352.24</v>
      </c>
      <c r="I74" s="51" t="n">
        <v>-6813.26</v>
      </c>
      <c r="J74" s="49" t="n">
        <v>1100.8</v>
      </c>
      <c r="K74" s="49" t="n">
        <v>59.29</v>
      </c>
      <c r="L74" s="49" t="n">
        <v>96.70999999999999</v>
      </c>
      <c r="M74" s="49" t="n">
        <v>433.14</v>
      </c>
      <c r="N74" s="49" t="n">
        <v>236.16</v>
      </c>
      <c r="O74" s="49" t="n">
        <v>775.11</v>
      </c>
      <c r="P74" s="49" t="n">
        <v>71.73</v>
      </c>
      <c r="Q74" s="49" t="n">
        <v>482.41</v>
      </c>
      <c r="R74" s="49" t="n">
        <v>128.02</v>
      </c>
      <c r="S74" s="49" t="n">
        <v>352.63</v>
      </c>
      <c r="T74" s="49" t="n">
        <v>235.51</v>
      </c>
      <c r="U74" s="49" t="n">
        <v>0</v>
      </c>
      <c r="V74" s="49" t="n">
        <v>282.29</v>
      </c>
      <c r="W74" s="49" t="n">
        <v>721.26</v>
      </c>
      <c r="X74" s="49" t="n">
        <v>415.36</v>
      </c>
      <c r="Y74" s="49" t="n">
        <v>272.2</v>
      </c>
      <c r="Z74" s="49" t="n">
        <v>502.79</v>
      </c>
      <c r="AA74" s="49" t="n">
        <v>217.11</v>
      </c>
      <c r="AB74" s="49" t="n">
        <v>184.05</v>
      </c>
      <c r="AC74" s="49" t="n">
        <v>986.45</v>
      </c>
      <c r="AD74" s="49" t="n">
        <v>850.35</v>
      </c>
      <c r="AE74" s="49" t="n">
        <v>282.39</v>
      </c>
      <c r="AF74" s="49" t="n">
        <v>368.75</v>
      </c>
      <c r="AG74" s="49" t="n">
        <v>575.35</v>
      </c>
      <c r="AH74" s="49" t="n">
        <v>500.61</v>
      </c>
      <c r="AI74" s="49" t="n">
        <v>444.18</v>
      </c>
      <c r="AJ74" s="49" t="n">
        <v>-11.1</v>
      </c>
      <c r="AK74" s="49" t="n">
        <v>305.53</v>
      </c>
      <c r="AL74" s="49" t="n">
        <v>376.49</v>
      </c>
      <c r="AM74" s="49" t="n">
        <v>1450.56</v>
      </c>
      <c r="AN74" s="50">
        <f>SUM(AB74:AM74)</f>
        <v/>
      </c>
    </row>
    <row r="75">
      <c r="A75" s="47" t="inlineStr">
        <is>
          <t>inter/exte</t>
        </is>
      </c>
      <c r="B75" s="48">
        <f>IFERROR(VLOOKUP($A75,Codes!$A:$B,2,FALSE()),"")</f>
        <v/>
      </c>
      <c r="C75" s="5" t="inlineStr">
        <is>
          <t>Preventative Maintenance</t>
        </is>
      </c>
      <c r="D75" s="49" t="n">
        <v>0</v>
      </c>
      <c r="E75" s="49" t="n">
        <v>0</v>
      </c>
      <c r="F75" s="49" t="n">
        <v>0</v>
      </c>
      <c r="G75" s="49" t="n">
        <v>0</v>
      </c>
      <c r="H75" s="49" t="n">
        <v>0</v>
      </c>
      <c r="I75" s="49" t="n">
        <v>1250</v>
      </c>
      <c r="J75" s="49" t="n">
        <v>0</v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1500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1500</v>
      </c>
      <c r="AN75" s="50">
        <f>SUM(AB75:AM75)</f>
        <v/>
      </c>
    </row>
    <row r="76">
      <c r="A76" s="47" t="inlineStr">
        <is>
          <t>cont</t>
        </is>
      </c>
      <c r="B76" s="48">
        <f>IFERROR(VLOOKUP($A76,Codes!$A:$B,2,FALSE()),"")</f>
        <v/>
      </c>
      <c r="C76" s="5" t="inlineStr">
        <is>
          <t>Safety &amp; Fire Supplies / Maint</t>
        </is>
      </c>
      <c r="D76" s="51" t="n">
        <v>3215.31</v>
      </c>
      <c r="E76" s="49" t="n">
        <v>543.01</v>
      </c>
      <c r="F76" s="51" t="n">
        <v>3019.83</v>
      </c>
      <c r="G76" s="49" t="n">
        <v>1130.4</v>
      </c>
      <c r="H76" s="49" t="n">
        <v>253</v>
      </c>
      <c r="I76" s="49" t="n">
        <v>1634.5</v>
      </c>
      <c r="J76" s="49" t="n">
        <v>674.74</v>
      </c>
      <c r="K76" s="49" t="n">
        <v>516.4</v>
      </c>
      <c r="L76" s="49" t="n">
        <v>0</v>
      </c>
      <c r="M76" s="49" t="n">
        <v>1651.91</v>
      </c>
      <c r="N76" s="49" t="n">
        <v>585</v>
      </c>
      <c r="O76" s="49" t="n">
        <v>1779.8</v>
      </c>
      <c r="P76" s="49" t="n">
        <v>452.57</v>
      </c>
      <c r="Q76" s="49" t="n">
        <v>678.39</v>
      </c>
      <c r="R76" s="49" t="n">
        <v>952.23</v>
      </c>
      <c r="S76" s="49" t="n">
        <v>440.26</v>
      </c>
      <c r="T76" s="49" t="n">
        <v>1325.19</v>
      </c>
      <c r="U76" s="49" t="n">
        <v>270.05</v>
      </c>
      <c r="V76" s="49" t="n">
        <v>464.53</v>
      </c>
      <c r="W76" s="49" t="n">
        <v>288.16</v>
      </c>
      <c r="X76" s="49" t="n">
        <v>251.98</v>
      </c>
      <c r="Y76" s="49" t="n">
        <v>1425</v>
      </c>
      <c r="Z76" s="49" t="n">
        <v>237.53</v>
      </c>
      <c r="AA76" s="49" t="n">
        <v>272.25</v>
      </c>
      <c r="AB76" s="49" t="n">
        <v>1439.99</v>
      </c>
      <c r="AC76" s="49" t="n">
        <v>1275.35</v>
      </c>
      <c r="AD76" s="51" t="n">
        <v>2604.52</v>
      </c>
      <c r="AE76" s="51" t="n">
        <v>6736.79</v>
      </c>
      <c r="AF76" s="51" t="n">
        <v>-7132.64</v>
      </c>
      <c r="AG76" s="49" t="n">
        <v>-1564.33</v>
      </c>
      <c r="AH76" s="49" t="n">
        <v>2125.46</v>
      </c>
      <c r="AI76" s="49" t="n">
        <v>519.55</v>
      </c>
      <c r="AJ76" s="49" t="n">
        <v>368.42</v>
      </c>
      <c r="AK76" s="49" t="n">
        <v>-585.3099999999999</v>
      </c>
      <c r="AL76" s="49" t="n">
        <v>473.44</v>
      </c>
      <c r="AM76" s="49" t="n">
        <v>250.18</v>
      </c>
      <c r="AN76" s="50">
        <f>SUM(AB76:AM76)</f>
        <v/>
      </c>
    </row>
    <row r="77">
      <c r="A77" s="47" t="inlineStr">
        <is>
          <t>inter/exte</t>
        </is>
      </c>
      <c r="B77" s="48">
        <f>IFERROR(VLOOKUP($A77,Codes!$A:$B,2,FALSE()),"")</f>
        <v/>
      </c>
      <c r="C77" s="5" t="inlineStr">
        <is>
          <t>Small Tools &amp; Equipment</t>
        </is>
      </c>
      <c r="D77" s="49" t="n">
        <v>98.97</v>
      </c>
      <c r="E77" s="49" t="n">
        <v>15.21</v>
      </c>
      <c r="F77" s="49" t="n">
        <v>98.69</v>
      </c>
      <c r="G77" s="49" t="n">
        <v>131.88</v>
      </c>
      <c r="H77" s="49" t="n">
        <v>29.74</v>
      </c>
      <c r="I77" s="49" t="n">
        <v>471.37</v>
      </c>
      <c r="J77" s="49" t="n">
        <v>396.86</v>
      </c>
      <c r="K77" s="49" t="n">
        <v>82.92</v>
      </c>
      <c r="L77" s="49" t="n">
        <v>0</v>
      </c>
      <c r="M77" s="49" t="n">
        <v>0</v>
      </c>
      <c r="N77" s="49" t="n">
        <v>0</v>
      </c>
      <c r="O77" s="49" t="n">
        <v>28.09</v>
      </c>
      <c r="P77" s="49" t="n">
        <v>0</v>
      </c>
      <c r="Q77" s="49" t="n">
        <v>0</v>
      </c>
      <c r="R77" s="49" t="n">
        <v>80.14</v>
      </c>
      <c r="S77" s="49" t="n">
        <v>0</v>
      </c>
      <c r="T77" s="49" t="n">
        <v>0</v>
      </c>
      <c r="U77" s="49" t="n">
        <v>408.71</v>
      </c>
      <c r="V77" s="49" t="n">
        <v>247.62</v>
      </c>
      <c r="W77" s="49" t="n">
        <v>138.43</v>
      </c>
      <c r="X77" s="49" t="n">
        <v>265.47</v>
      </c>
      <c r="Y77" s="49" t="n">
        <v>32.86</v>
      </c>
      <c r="Z77" s="49" t="n">
        <v>267.35</v>
      </c>
      <c r="AA77" s="49" t="n">
        <v>72.98</v>
      </c>
      <c r="AB77" s="49" t="n">
        <v>0</v>
      </c>
      <c r="AC77" s="49" t="n">
        <v>458.14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87.47</v>
      </c>
      <c r="AI77" s="49" t="n">
        <v>18.48</v>
      </c>
      <c r="AJ77" s="49" t="n">
        <v>293.7</v>
      </c>
      <c r="AK77" s="49" t="n">
        <v>368.27</v>
      </c>
      <c r="AL77" s="49" t="n">
        <v>55.99</v>
      </c>
      <c r="AM77" s="49" t="n">
        <v>0</v>
      </c>
      <c r="AN77" s="50">
        <f>SUM(AB77:AM77)</f>
        <v/>
      </c>
    </row>
    <row r="78">
      <c r="A78" s="47" t="inlineStr">
        <is>
          <t>cont</t>
        </is>
      </c>
      <c r="B78" s="48">
        <f>IFERROR(VLOOKUP($A78,Codes!$A:$B,2,FALSE()),"")</f>
        <v/>
      </c>
      <c r="C78" s="5" t="inlineStr">
        <is>
          <t>Sprinkler / Irrigation Supplies / Repairs</t>
        </is>
      </c>
      <c r="D78" s="49" t="n">
        <v>0</v>
      </c>
      <c r="E78" s="49" t="n">
        <v>630</v>
      </c>
      <c r="F78" s="49" t="n">
        <v>0</v>
      </c>
      <c r="G78" s="49" t="n">
        <v>0</v>
      </c>
      <c r="H78" s="49" t="n">
        <v>0</v>
      </c>
      <c r="I78" s="49" t="n">
        <v>0</v>
      </c>
      <c r="J78" s="49" t="n">
        <v>0</v>
      </c>
      <c r="K78" s="49" t="n">
        <v>210</v>
      </c>
      <c r="L78" s="49" t="n">
        <v>0</v>
      </c>
      <c r="M78" s="49" t="n">
        <v>0</v>
      </c>
      <c r="N78" s="49" t="n">
        <v>630</v>
      </c>
      <c r="O78" s="49" t="n">
        <v>0</v>
      </c>
      <c r="P78" s="49" t="n">
        <v>0</v>
      </c>
      <c r="Q78" s="49" t="n">
        <v>320</v>
      </c>
      <c r="R78" s="49" t="n">
        <v>1485</v>
      </c>
      <c r="S78" s="49" t="n">
        <v>1945</v>
      </c>
      <c r="T78" s="49" t="n">
        <v>310</v>
      </c>
      <c r="U78" s="49" t="n">
        <v>290</v>
      </c>
      <c r="V78" s="49" t="n">
        <v>0</v>
      </c>
      <c r="W78" s="49" t="n">
        <v>690</v>
      </c>
      <c r="X78" s="49" t="n">
        <v>0</v>
      </c>
      <c r="Y78" s="49" t="n">
        <v>710</v>
      </c>
      <c r="Z78" s="49" t="n">
        <v>1070</v>
      </c>
      <c r="AA78" s="49" t="n">
        <v>-535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310</v>
      </c>
      <c r="AG78" s="49" t="n">
        <v>0</v>
      </c>
      <c r="AH78" s="49" t="n">
        <v>1180</v>
      </c>
      <c r="AI78" s="49" t="n">
        <v>665</v>
      </c>
      <c r="AJ78" s="49" t="n">
        <v>645</v>
      </c>
      <c r="AK78" s="49" t="n">
        <v>0</v>
      </c>
      <c r="AL78" s="49" t="n">
        <v>0</v>
      </c>
      <c r="AM78" s="49" t="n">
        <v>700</v>
      </c>
      <c r="AN78" s="50">
        <f>SUM(AB78:AM78)</f>
        <v/>
      </c>
    </row>
    <row r="79">
      <c r="A79" s="47" t="inlineStr">
        <is>
          <t>inter/exte</t>
        </is>
      </c>
      <c r="B79" s="48">
        <f>IFERROR(VLOOKUP($A79,Codes!$A:$B,2,FALSE()),"")</f>
        <v/>
      </c>
      <c r="C79" s="5" t="inlineStr">
        <is>
          <t>Window / Screen / Glass Repair</t>
        </is>
      </c>
      <c r="D79" s="49" t="n">
        <v>944.25</v>
      </c>
      <c r="E79" s="49" t="n">
        <v>0</v>
      </c>
      <c r="F79" s="49" t="n">
        <v>1382.15</v>
      </c>
      <c r="G79" s="49" t="n">
        <v>0</v>
      </c>
      <c r="H79" s="49" t="n">
        <v>0</v>
      </c>
      <c r="I79" s="49" t="n">
        <v>0</v>
      </c>
      <c r="J79" s="49" t="n">
        <v>1025.29</v>
      </c>
      <c r="K79" s="49" t="n">
        <v>0</v>
      </c>
      <c r="L79" s="49" t="n">
        <v>0</v>
      </c>
      <c r="M79" s="49" t="n">
        <v>1258.86</v>
      </c>
      <c r="N79" s="49" t="n">
        <v>0</v>
      </c>
      <c r="O79" s="49" t="n">
        <v>1130.25</v>
      </c>
      <c r="P79" s="49" t="n">
        <v>0</v>
      </c>
      <c r="Q79" s="49" t="n">
        <v>0</v>
      </c>
      <c r="R79" s="49" t="n">
        <v>630.05</v>
      </c>
      <c r="S79" s="49" t="n">
        <v>0</v>
      </c>
      <c r="T79" s="49" t="n">
        <v>641.16</v>
      </c>
      <c r="U79" s="49" t="n">
        <v>0</v>
      </c>
      <c r="V79" s="49" t="n">
        <v>796.53</v>
      </c>
      <c r="W79" s="49" t="n">
        <v>0</v>
      </c>
      <c r="X79" s="49" t="n">
        <v>0</v>
      </c>
      <c r="Y79" s="49" t="n">
        <v>341.96</v>
      </c>
      <c r="Z79" s="49" t="n">
        <v>0</v>
      </c>
      <c r="AA79" s="49" t="n">
        <v>0</v>
      </c>
      <c r="AB79" s="49" t="n">
        <v>14.02</v>
      </c>
      <c r="AC79" s="49" t="n">
        <v>571.71</v>
      </c>
      <c r="AD79" s="49" t="n">
        <v>0</v>
      </c>
      <c r="AE79" s="49" t="n">
        <v>85.73</v>
      </c>
      <c r="AF79" s="49" t="n">
        <v>592.17</v>
      </c>
      <c r="AG79" s="49" t="n">
        <v>472.16</v>
      </c>
      <c r="AH79" s="49" t="n">
        <v>644.4400000000001</v>
      </c>
      <c r="AI79" s="49" t="n">
        <v>-322.22</v>
      </c>
      <c r="AJ79" s="49" t="n">
        <v>0</v>
      </c>
      <c r="AK79" s="49" t="n">
        <v>-1962.4</v>
      </c>
      <c r="AL79" s="49" t="n">
        <v>0</v>
      </c>
      <c r="AM79" s="49" t="n">
        <v>0</v>
      </c>
      <c r="AN79" s="50">
        <f>SUM(AB79:AM79)</f>
        <v/>
      </c>
    </row>
    <row r="80">
      <c r="A80" s="47" t="inlineStr">
        <is>
          <t>turn</t>
        </is>
      </c>
      <c r="B80" s="48">
        <f>IFERROR(VLOOKUP($A80,Codes!$A:$B,2,FALSE()),"")</f>
        <v/>
      </c>
      <c r="C80" s="5" t="inlineStr">
        <is>
          <t>Carpet Cleaning</t>
        </is>
      </c>
      <c r="D80" s="49" t="n">
        <v>300</v>
      </c>
      <c r="E80" s="49" t="n">
        <v>425</v>
      </c>
      <c r="F80" s="49" t="n">
        <v>570</v>
      </c>
      <c r="G80" s="49" t="n">
        <v>1420</v>
      </c>
      <c r="H80" s="49" t="n">
        <v>530</v>
      </c>
      <c r="I80" s="49" t="n">
        <v>135</v>
      </c>
      <c r="J80" s="49" t="n">
        <v>180</v>
      </c>
      <c r="K80" s="49" t="n">
        <v>635</v>
      </c>
      <c r="L80" s="49" t="n">
        <v>705</v>
      </c>
      <c r="M80" s="49" t="n">
        <v>545</v>
      </c>
      <c r="N80" s="49" t="n">
        <v>1200</v>
      </c>
      <c r="O80" s="49" t="n">
        <v>140</v>
      </c>
      <c r="P80" s="49" t="n">
        <v>760</v>
      </c>
      <c r="Q80" s="49" t="n">
        <v>975</v>
      </c>
      <c r="R80" s="49" t="n">
        <v>985</v>
      </c>
      <c r="S80" s="49" t="n">
        <v>1110</v>
      </c>
      <c r="T80" s="49" t="n">
        <v>985</v>
      </c>
      <c r="U80" s="49" t="n">
        <v>955</v>
      </c>
      <c r="V80" s="49" t="n">
        <v>0</v>
      </c>
      <c r="W80" s="49" t="n">
        <v>1210</v>
      </c>
      <c r="X80" s="49" t="n">
        <v>505</v>
      </c>
      <c r="Y80" s="49" t="n">
        <v>1030</v>
      </c>
      <c r="Z80" s="49" t="n">
        <v>1420</v>
      </c>
      <c r="AA80" s="49" t="n">
        <v>1915</v>
      </c>
      <c r="AB80" s="49" t="n">
        <v>2185</v>
      </c>
      <c r="AC80" s="49" t="n">
        <v>2515</v>
      </c>
      <c r="AD80" s="49" t="n">
        <v>2015</v>
      </c>
      <c r="AE80" s="49" t="n">
        <v>3616.3</v>
      </c>
      <c r="AF80" s="49" t="n">
        <v>2333.7</v>
      </c>
      <c r="AG80" s="49" t="n">
        <v>3480</v>
      </c>
      <c r="AH80" s="49" t="n">
        <v>1975</v>
      </c>
      <c r="AI80" s="51" t="n">
        <v>3890</v>
      </c>
      <c r="AJ80" s="49" t="n">
        <v>3060</v>
      </c>
      <c r="AK80" s="49" t="n">
        <v>1345</v>
      </c>
      <c r="AL80" s="49" t="n">
        <v>2015</v>
      </c>
      <c r="AM80" s="49" t="n">
        <v>1885</v>
      </c>
      <c r="AN80" s="50">
        <f>SUM(AB80:AM80)</f>
        <v/>
      </c>
    </row>
    <row r="81">
      <c r="A81" s="47" t="inlineStr">
        <is>
          <t>turn</t>
        </is>
      </c>
      <c r="B81" s="48">
        <f>IFERROR(VLOOKUP($A81,Codes!$A:$B,2,FALSE()),"")</f>
        <v/>
      </c>
      <c r="C81" s="5" t="inlineStr">
        <is>
          <t>Housekeeper / Cleaning Service</t>
        </is>
      </c>
      <c r="D81" s="49" t="n">
        <v>4990</v>
      </c>
      <c r="E81" s="49" t="n">
        <v>5580</v>
      </c>
      <c r="F81" s="49" t="n">
        <v>5190</v>
      </c>
      <c r="G81" s="49" t="n">
        <v>5590</v>
      </c>
      <c r="H81" s="49" t="n">
        <v>5850</v>
      </c>
      <c r="I81" s="49" t="n">
        <v>4540</v>
      </c>
      <c r="J81" s="49" t="n">
        <v>4610</v>
      </c>
      <c r="K81" s="49" t="n">
        <v>5110</v>
      </c>
      <c r="L81" s="49" t="n">
        <v>2420</v>
      </c>
      <c r="M81" s="49" t="n">
        <v>7400</v>
      </c>
      <c r="N81" s="49" t="n">
        <v>3500</v>
      </c>
      <c r="O81" s="49" t="n">
        <v>2410</v>
      </c>
      <c r="P81" s="49" t="n">
        <v>5100</v>
      </c>
      <c r="Q81" s="49" t="n">
        <v>3800</v>
      </c>
      <c r="R81" s="49" t="n">
        <v>8670</v>
      </c>
      <c r="S81" s="49" t="n">
        <v>6710</v>
      </c>
      <c r="T81" s="49" t="n">
        <v>4830</v>
      </c>
      <c r="U81" s="49" t="n">
        <v>1880</v>
      </c>
      <c r="V81" s="49" t="n">
        <v>3880</v>
      </c>
      <c r="W81" s="49" t="n">
        <v>2900</v>
      </c>
      <c r="X81" s="49" t="n">
        <v>3470</v>
      </c>
      <c r="Y81" s="49" t="n">
        <v>5060</v>
      </c>
      <c r="Z81" s="49" t="n">
        <v>6210</v>
      </c>
      <c r="AA81" s="49" t="n">
        <v>6160</v>
      </c>
      <c r="AB81" s="49" t="n">
        <v>2460</v>
      </c>
      <c r="AC81" s="49" t="n">
        <v>9800</v>
      </c>
      <c r="AD81" s="49" t="n">
        <v>3940</v>
      </c>
      <c r="AE81" s="49" t="n">
        <v>4680</v>
      </c>
      <c r="AF81" s="49" t="n">
        <v>7200</v>
      </c>
      <c r="AG81" s="49" t="n">
        <v>2980</v>
      </c>
      <c r="AH81" s="49" t="n">
        <v>4260</v>
      </c>
      <c r="AI81" s="49" t="n">
        <v>7100</v>
      </c>
      <c r="AJ81" s="49" t="n">
        <v>6960</v>
      </c>
      <c r="AK81" s="49" t="n">
        <v>4290</v>
      </c>
      <c r="AL81" s="49" t="n">
        <v>4920</v>
      </c>
      <c r="AM81" s="49" t="n">
        <v>2740</v>
      </c>
      <c r="AN81" s="50">
        <f>SUM(AB81:AM81)</f>
        <v/>
      </c>
    </row>
    <row r="82">
      <c r="A82" s="47" t="inlineStr">
        <is>
          <t>turn</t>
        </is>
      </c>
      <c r="B82" s="48">
        <f>IFERROR(VLOOKUP($A82,Codes!$A:$B,2,FALSE()),"")</f>
        <v/>
      </c>
      <c r="C82" s="5" t="inlineStr">
        <is>
          <t>Painting Supplies</t>
        </is>
      </c>
      <c r="D82" s="49" t="n">
        <v>2760.62</v>
      </c>
      <c r="E82" s="49" t="n">
        <v>140.44</v>
      </c>
      <c r="F82" s="49" t="n">
        <v>2020.98</v>
      </c>
      <c r="G82" s="49" t="n">
        <v>1503.37</v>
      </c>
      <c r="H82" s="49" t="n">
        <v>6243.15</v>
      </c>
      <c r="I82" s="49" t="n">
        <v>360.36</v>
      </c>
      <c r="J82" s="49" t="n">
        <v>2502.9</v>
      </c>
      <c r="K82" s="49" t="n">
        <v>1973.29</v>
      </c>
      <c r="L82" s="49" t="n">
        <v>2869.5</v>
      </c>
      <c r="M82" s="49" t="n">
        <v>278.57</v>
      </c>
      <c r="N82" s="49" t="n">
        <v>-1406.05</v>
      </c>
      <c r="O82" s="49" t="n">
        <v>1939.86</v>
      </c>
      <c r="P82" s="49" t="n">
        <v>2062.84</v>
      </c>
      <c r="Q82" s="49" t="n">
        <v>1776.64</v>
      </c>
      <c r="R82" s="49" t="n">
        <v>1401.89</v>
      </c>
      <c r="S82" s="49" t="n">
        <v>1620.31</v>
      </c>
      <c r="T82" s="49" t="n">
        <v>1796.32</v>
      </c>
      <c r="U82" s="49" t="n">
        <v>2188</v>
      </c>
      <c r="V82" s="49" t="n">
        <v>2197.39</v>
      </c>
      <c r="W82" s="49" t="n">
        <v>248.47</v>
      </c>
      <c r="X82" s="49" t="n">
        <v>2420.67</v>
      </c>
      <c r="Y82" s="49" t="n">
        <v>3294.61</v>
      </c>
      <c r="Z82" s="49" t="n">
        <v>1439.32</v>
      </c>
      <c r="AA82" s="49" t="n">
        <v>1512.32</v>
      </c>
      <c r="AB82" s="49" t="n">
        <v>4427.55</v>
      </c>
      <c r="AC82" s="49" t="n">
        <v>4096.76</v>
      </c>
      <c r="AD82" s="49" t="n">
        <v>967.02</v>
      </c>
      <c r="AE82" s="49" t="n">
        <v>2116.94</v>
      </c>
      <c r="AF82" s="49" t="n">
        <v>2797.17</v>
      </c>
      <c r="AG82" s="49" t="n">
        <v>2256.63</v>
      </c>
      <c r="AH82" s="49" t="n">
        <v>3616.94</v>
      </c>
      <c r="AI82" s="49" t="n">
        <v>3914.24</v>
      </c>
      <c r="AJ82" s="49" t="n">
        <v>0</v>
      </c>
      <c r="AK82" s="51" t="n">
        <v>-24193.25</v>
      </c>
      <c r="AL82" s="49" t="n">
        <v>20.84</v>
      </c>
      <c r="AM82" s="49" t="n">
        <v>0</v>
      </c>
      <c r="AN82" s="50">
        <f>SUM(AB82:AM82)</f>
        <v/>
      </c>
    </row>
    <row r="83">
      <c r="A83" s="47" t="inlineStr">
        <is>
          <t>GA</t>
        </is>
      </c>
      <c r="B83" s="48">
        <f>IFERROR(VLOOKUP($A83,Codes!$A:$B,2,FALSE()),"")</f>
        <v/>
      </c>
      <c r="C83" s="5" t="inlineStr">
        <is>
          <t>Exercise / Weight Room</t>
        </is>
      </c>
      <c r="D83" s="49" t="n">
        <v>0</v>
      </c>
      <c r="E83" s="49" t="n">
        <v>165</v>
      </c>
      <c r="F83" s="49" t="n">
        <v>200</v>
      </c>
      <c r="G83" s="49" t="n">
        <v>0</v>
      </c>
      <c r="H83" s="49" t="n">
        <v>0</v>
      </c>
      <c r="I83" s="49" t="n">
        <v>0</v>
      </c>
      <c r="J83" s="49" t="n">
        <v>0</v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270</v>
      </c>
      <c r="S83" s="49" t="n">
        <v>0</v>
      </c>
      <c r="T83" s="49" t="n">
        <v>565</v>
      </c>
      <c r="U83" s="49" t="n">
        <v>538.13</v>
      </c>
      <c r="V83" s="49" t="n">
        <v>420</v>
      </c>
      <c r="W83" s="49" t="n">
        <v>-0.4</v>
      </c>
      <c r="X83" s="49" t="n">
        <v>550.75</v>
      </c>
      <c r="Y83" s="49" t="n">
        <v>0</v>
      </c>
      <c r="Z83" s="49" t="n">
        <v>200</v>
      </c>
      <c r="AA83" s="49" t="n">
        <v>0</v>
      </c>
      <c r="AB83" s="49" t="n">
        <v>395</v>
      </c>
      <c r="AC83" s="49" t="n">
        <v>0</v>
      </c>
      <c r="AD83" s="51" t="n">
        <v>3223.71</v>
      </c>
      <c r="AE83" s="49" t="n">
        <v>0</v>
      </c>
      <c r="AF83" s="49" t="n">
        <v>-1390.88</v>
      </c>
      <c r="AG83" s="49" t="n">
        <v>-1506.78</v>
      </c>
      <c r="AH83" s="49" t="n">
        <v>67.43000000000001</v>
      </c>
      <c r="AI83" s="49" t="n">
        <v>125</v>
      </c>
      <c r="AJ83" s="49" t="n">
        <v>0</v>
      </c>
      <c r="AK83" s="49" t="n">
        <v>0</v>
      </c>
      <c r="AL83" s="49" t="n">
        <v>0</v>
      </c>
      <c r="AM83" s="49" t="n">
        <v>0</v>
      </c>
      <c r="AN83" s="50">
        <f>SUM(AB83:AM83)</f>
        <v/>
      </c>
    </row>
    <row r="84">
      <c r="A84" s="47" t="inlineStr">
        <is>
          <t>inter/exte</t>
        </is>
      </c>
      <c r="B84" s="48">
        <f>IFERROR(VLOOKUP($A84,Codes!$A:$B,2,FALSE()),"")</f>
        <v/>
      </c>
      <c r="C84" s="5" t="inlineStr">
        <is>
          <t>Pool Supplies / Maint</t>
        </is>
      </c>
      <c r="D84" s="49" t="n">
        <v>1697.77</v>
      </c>
      <c r="E84" s="49" t="n">
        <v>1175</v>
      </c>
      <c r="F84" s="49" t="n">
        <v>0</v>
      </c>
      <c r="G84" s="49" t="n">
        <v>1474.11</v>
      </c>
      <c r="H84" s="49" t="n">
        <v>3120.85</v>
      </c>
      <c r="I84" s="49" t="n">
        <v>1751.16</v>
      </c>
      <c r="J84" s="49" t="n">
        <v>2658.67</v>
      </c>
      <c r="K84" s="49" t="n">
        <v>1857.25</v>
      </c>
      <c r="L84" s="49" t="n">
        <v>1729.34</v>
      </c>
      <c r="M84" s="49" t="n">
        <v>1647.38</v>
      </c>
      <c r="N84" s="49" t="n">
        <v>82.13</v>
      </c>
      <c r="O84" s="49" t="n">
        <v>580.42</v>
      </c>
      <c r="P84" s="49" t="n">
        <v>980</v>
      </c>
      <c r="Q84" s="49" t="n">
        <v>455.03</v>
      </c>
      <c r="R84" s="49" t="n">
        <v>528.96</v>
      </c>
      <c r="S84" s="49" t="n">
        <v>710.29</v>
      </c>
      <c r="T84" s="49" t="n">
        <v>2612.46</v>
      </c>
      <c r="U84" s="49" t="n">
        <v>3078.91</v>
      </c>
      <c r="V84" s="49" t="n">
        <v>2886.92</v>
      </c>
      <c r="W84" s="49" t="n">
        <v>1929.87</v>
      </c>
      <c r="X84" s="49" t="n">
        <v>2016.68</v>
      </c>
      <c r="Y84" s="49" t="n">
        <v>0</v>
      </c>
      <c r="Z84" s="49" t="n">
        <v>904.11</v>
      </c>
      <c r="AA84" s="49" t="n">
        <v>1028.55</v>
      </c>
      <c r="AB84" s="49" t="n">
        <v>531.28</v>
      </c>
      <c r="AC84" s="49" t="n">
        <v>1154.83</v>
      </c>
      <c r="AD84" s="49" t="n">
        <v>2193.56</v>
      </c>
      <c r="AE84" s="49" t="n">
        <v>1727.49</v>
      </c>
      <c r="AF84" s="49" t="n">
        <v>1238.57</v>
      </c>
      <c r="AG84" s="49" t="n">
        <v>1868.44</v>
      </c>
      <c r="AH84" s="49" t="n">
        <v>3251.83</v>
      </c>
      <c r="AI84" s="49" t="n">
        <v>2214.32</v>
      </c>
      <c r="AJ84" s="49" t="n">
        <v>795.83</v>
      </c>
      <c r="AK84" s="49" t="n">
        <v>-671.55</v>
      </c>
      <c r="AL84" s="49" t="n">
        <v>0</v>
      </c>
      <c r="AM84" s="49" t="n">
        <v>492.19</v>
      </c>
      <c r="AN84" s="50">
        <f>SUM(AB84:AM84)</f>
        <v/>
      </c>
    </row>
    <row r="85">
      <c r="A85" s="47" t="inlineStr">
        <is>
          <t>cont</t>
        </is>
      </c>
      <c r="B85" s="48">
        <f>IFERROR(VLOOKUP($A85,Codes!$A:$B,2,FALSE()),"")</f>
        <v/>
      </c>
      <c r="C85" s="5" t="inlineStr">
        <is>
          <t>Access Gate Contract</t>
        </is>
      </c>
      <c r="D85" s="49" t="n">
        <v>0</v>
      </c>
      <c r="E85" s="49" t="n">
        <v>0</v>
      </c>
      <c r="F85" s="49" t="n">
        <v>0</v>
      </c>
      <c r="G85" s="49" t="n">
        <v>0</v>
      </c>
      <c r="H85" s="49" t="n">
        <v>0</v>
      </c>
      <c r="I85" s="49" t="n">
        <v>0</v>
      </c>
      <c r="J85" s="49" t="n">
        <v>0</v>
      </c>
      <c r="K85" s="49" t="n">
        <v>0</v>
      </c>
      <c r="L85" s="49" t="n">
        <v>0</v>
      </c>
      <c r="M85" s="49" t="n">
        <v>0</v>
      </c>
      <c r="N85" s="49" t="n">
        <v>131.9</v>
      </c>
      <c r="O85" s="49" t="n">
        <v>0</v>
      </c>
      <c r="P85" s="49" t="n">
        <v>260.7</v>
      </c>
      <c r="Q85" s="49" t="n">
        <v>173.8</v>
      </c>
      <c r="R85" s="49" t="n">
        <v>173.8</v>
      </c>
      <c r="S85" s="49" t="n">
        <v>173.8</v>
      </c>
      <c r="T85" s="49" t="n">
        <v>173.8</v>
      </c>
      <c r="U85" s="49" t="n">
        <v>173.8</v>
      </c>
      <c r="V85" s="49" t="n">
        <v>173.8</v>
      </c>
      <c r="W85" s="49" t="n">
        <v>173.8</v>
      </c>
      <c r="X85" s="49" t="n">
        <v>173.8</v>
      </c>
      <c r="Y85" s="49" t="n">
        <v>173.8</v>
      </c>
      <c r="Z85" s="49" t="n">
        <v>173.8</v>
      </c>
      <c r="AA85" s="49" t="n">
        <v>173.8</v>
      </c>
      <c r="AB85" s="49" t="n">
        <v>173.8</v>
      </c>
      <c r="AC85" s="49" t="n">
        <v>173.8</v>
      </c>
      <c r="AD85" s="49" t="n">
        <v>185.8</v>
      </c>
      <c r="AE85" s="49" t="n">
        <v>185.8</v>
      </c>
      <c r="AF85" s="49" t="n">
        <v>185.8</v>
      </c>
      <c r="AG85" s="49" t="n">
        <v>173.8</v>
      </c>
      <c r="AH85" s="49" t="n">
        <v>173.8</v>
      </c>
      <c r="AI85" s="49" t="n">
        <v>173.8</v>
      </c>
      <c r="AJ85" s="49" t="n">
        <v>173.8</v>
      </c>
      <c r="AK85" s="49" t="n">
        <v>185.8</v>
      </c>
      <c r="AL85" s="49" t="n">
        <v>173.8</v>
      </c>
      <c r="AM85" s="49" t="n">
        <v>173.8</v>
      </c>
      <c r="AN85" s="50">
        <f>SUM(AB85:AM85)</f>
        <v/>
      </c>
    </row>
    <row r="86">
      <c r="A86" s="47" t="inlineStr">
        <is>
          <t>cont</t>
        </is>
      </c>
      <c r="B86" s="48">
        <f>IFERROR(VLOOKUP($A86,Codes!$A:$B,2,FALSE()),"")</f>
        <v/>
      </c>
      <c r="C86" s="5" t="inlineStr">
        <is>
          <t>Cable TV Contract</t>
        </is>
      </c>
      <c r="D86" s="49" t="n">
        <v>1670.13</v>
      </c>
      <c r="E86" s="49" t="n">
        <v>289.83</v>
      </c>
      <c r="F86" s="49" t="n">
        <v>1703.29</v>
      </c>
      <c r="G86" s="49" t="n">
        <v>289.83</v>
      </c>
      <c r="H86" s="49" t="n">
        <v>1703.29</v>
      </c>
      <c r="I86" s="49" t="n">
        <v>845.37</v>
      </c>
      <c r="J86" s="49" t="n">
        <v>845.37</v>
      </c>
      <c r="K86" s="49" t="n">
        <v>1033.68</v>
      </c>
      <c r="L86" s="49" t="n">
        <v>1165.75</v>
      </c>
      <c r="M86" s="49" t="n">
        <v>1166.17</v>
      </c>
      <c r="N86" s="49" t="n">
        <v>803.3</v>
      </c>
      <c r="O86" s="49" t="n">
        <v>994.0599999999999</v>
      </c>
      <c r="P86" s="49" t="n">
        <v>1045.51</v>
      </c>
      <c r="Q86" s="49" t="n">
        <v>970.9400000000001</v>
      </c>
      <c r="R86" s="49" t="n">
        <v>501.2</v>
      </c>
      <c r="S86" s="49" t="n">
        <v>1664.39</v>
      </c>
      <c r="T86" s="49" t="n">
        <v>1045.51</v>
      </c>
      <c r="U86" s="49" t="n">
        <v>1045.51</v>
      </c>
      <c r="V86" s="49" t="n">
        <v>1045.57</v>
      </c>
      <c r="W86" s="49" t="n">
        <v>1045.57</v>
      </c>
      <c r="X86" s="49" t="n">
        <v>1045.57</v>
      </c>
      <c r="Y86" s="49" t="n">
        <v>1045.51</v>
      </c>
      <c r="Z86" s="49" t="n">
        <v>1045.51</v>
      </c>
      <c r="AA86" s="49" t="n">
        <v>1045.51</v>
      </c>
      <c r="AB86" s="49" t="n">
        <v>348.01</v>
      </c>
      <c r="AC86" s="49" t="n">
        <v>1816.6</v>
      </c>
      <c r="AD86" s="49" t="n">
        <v>1082.72</v>
      </c>
      <c r="AE86" s="49" t="n">
        <v>1268.16</v>
      </c>
      <c r="AF86" s="49" t="n">
        <v>1080.22</v>
      </c>
      <c r="AG86" s="49" t="n">
        <v>1080.22</v>
      </c>
      <c r="AH86" s="49" t="n">
        <v>1000.39</v>
      </c>
      <c r="AI86" s="49" t="n">
        <v>1160.05</v>
      </c>
      <c r="AJ86" s="49" t="n">
        <v>1046.03</v>
      </c>
      <c r="AK86" s="49" t="n">
        <v>476.11</v>
      </c>
      <c r="AL86" s="49" t="n">
        <v>803.84</v>
      </c>
      <c r="AM86" s="49" t="n">
        <v>726.21</v>
      </c>
      <c r="AN86" s="50">
        <f>SUM(AB86:AM86)</f>
        <v/>
      </c>
    </row>
    <row r="87">
      <c r="A87" s="47" t="inlineStr">
        <is>
          <t>cont</t>
        </is>
      </c>
      <c r="B87" s="48">
        <f>IFERROR(VLOOKUP($A87,Codes!$A:$B,2,FALSE()),"")</f>
        <v/>
      </c>
      <c r="C87" s="5" t="inlineStr">
        <is>
          <t>Equipment Contract</t>
        </is>
      </c>
      <c r="D87" s="49" t="n">
        <v>42.03</v>
      </c>
      <c r="E87" s="49" t="n">
        <v>137.52</v>
      </c>
      <c r="F87" s="49" t="n">
        <v>251.52</v>
      </c>
      <c r="G87" s="49" t="n">
        <v>392.12</v>
      </c>
      <c r="H87" s="49" t="n">
        <v>260.17</v>
      </c>
      <c r="I87" s="49" t="n">
        <v>270.38</v>
      </c>
      <c r="J87" s="49" t="n">
        <v>410.37</v>
      </c>
      <c r="K87" s="49" t="n">
        <v>248.39</v>
      </c>
      <c r="L87" s="49" t="n">
        <v>270.38</v>
      </c>
      <c r="M87" s="49" t="n">
        <v>270.38</v>
      </c>
      <c r="N87" s="49" t="n">
        <v>270.38</v>
      </c>
      <c r="O87" s="49" t="n">
        <v>270.38</v>
      </c>
      <c r="P87" s="49" t="n">
        <v>292.37</v>
      </c>
      <c r="Q87" s="49" t="n">
        <v>540.76</v>
      </c>
      <c r="R87" s="49" t="n">
        <v>284.61</v>
      </c>
      <c r="S87" s="49" t="n">
        <v>284.61</v>
      </c>
      <c r="T87" s="49" t="n">
        <v>284.17</v>
      </c>
      <c r="U87" s="49" t="n">
        <v>-0.44</v>
      </c>
      <c r="V87" s="49" t="n">
        <v>283.73</v>
      </c>
      <c r="W87" s="49" t="n">
        <v>284.61</v>
      </c>
      <c r="X87" s="49" t="n">
        <v>284.17</v>
      </c>
      <c r="Y87" s="49" t="n">
        <v>283.73</v>
      </c>
      <c r="Z87" s="49" t="n">
        <v>284.61</v>
      </c>
      <c r="AA87" s="49" t="n">
        <v>284.17</v>
      </c>
      <c r="AB87" s="49" t="n">
        <v>283.73</v>
      </c>
      <c r="AC87" s="49" t="n">
        <v>290.77</v>
      </c>
      <c r="AD87" s="49" t="n">
        <v>284.17</v>
      </c>
      <c r="AE87" s="49" t="n">
        <v>277.57</v>
      </c>
      <c r="AF87" s="49" t="n">
        <v>297.53</v>
      </c>
      <c r="AG87" s="49" t="n">
        <v>608.42</v>
      </c>
      <c r="AH87" s="49" t="n">
        <v>250.01</v>
      </c>
      <c r="AI87" s="49" t="n">
        <v>267.77</v>
      </c>
      <c r="AJ87" s="49" t="n">
        <v>266.41</v>
      </c>
      <c r="AK87" s="49" t="n">
        <v>250.01</v>
      </c>
      <c r="AL87" s="49" t="n">
        <v>250.01</v>
      </c>
      <c r="AM87" s="49" t="n">
        <v>250.01</v>
      </c>
      <c r="AN87" s="50">
        <f>SUM(AB87:AM87)</f>
        <v/>
      </c>
    </row>
    <row r="88">
      <c r="A88" s="47" t="inlineStr">
        <is>
          <t>cont</t>
        </is>
      </c>
      <c r="B88" s="48">
        <f>IFERROR(VLOOKUP($A88,Codes!$A:$B,2,FALSE()),"")</f>
        <v/>
      </c>
      <c r="C88" s="5" t="inlineStr">
        <is>
          <t>Intrusion Alarm Contract</t>
        </is>
      </c>
      <c r="D88" s="49" t="n">
        <v>71.90000000000001</v>
      </c>
      <c r="E88" s="49" t="n">
        <v>71.90000000000001</v>
      </c>
      <c r="F88" s="49" t="n">
        <v>71.90000000000001</v>
      </c>
      <c r="G88" s="49" t="n">
        <v>71.90000000000001</v>
      </c>
      <c r="H88" s="49" t="n">
        <v>71.90000000000001</v>
      </c>
      <c r="I88" s="49" t="n">
        <v>71.90000000000001</v>
      </c>
      <c r="J88" s="49" t="n">
        <v>71.90000000000001</v>
      </c>
      <c r="K88" s="49" t="n">
        <v>71.90000000000001</v>
      </c>
      <c r="L88" s="49" t="n">
        <v>79.90000000000001</v>
      </c>
      <c r="M88" s="49" t="n">
        <v>84.90000000000001</v>
      </c>
      <c r="N88" s="49" t="n">
        <v>71</v>
      </c>
      <c r="O88" s="49" t="n">
        <v>98.8</v>
      </c>
      <c r="P88" s="49" t="n">
        <v>75.78</v>
      </c>
      <c r="Q88" s="49" t="n">
        <v>75.90000000000001</v>
      </c>
      <c r="R88" s="49" t="n">
        <v>75.90000000000001</v>
      </c>
      <c r="S88" s="49" t="n">
        <v>0.12</v>
      </c>
      <c r="T88" s="49" t="n">
        <v>9</v>
      </c>
      <c r="U88" s="49" t="n">
        <v>9</v>
      </c>
      <c r="V88" s="49" t="n">
        <v>46.95</v>
      </c>
      <c r="W88" s="49" t="n">
        <v>84.90000000000001</v>
      </c>
      <c r="X88" s="49" t="n">
        <v>84.90000000000001</v>
      </c>
      <c r="Y88" s="49" t="n">
        <v>84.90000000000001</v>
      </c>
      <c r="Z88" s="49" t="n">
        <v>84.90000000000001</v>
      </c>
      <c r="AA88" s="49" t="n">
        <v>84.90000000000001</v>
      </c>
      <c r="AB88" s="49" t="n">
        <v>386.55</v>
      </c>
      <c r="AC88" s="49" t="n">
        <v>84.90000000000001</v>
      </c>
      <c r="AD88" s="49" t="n">
        <v>84.90000000000001</v>
      </c>
      <c r="AE88" s="49" t="n">
        <v>84.90000000000001</v>
      </c>
      <c r="AF88" s="49" t="n">
        <v>84.90000000000001</v>
      </c>
      <c r="AG88" s="49" t="n">
        <v>84.90000000000001</v>
      </c>
      <c r="AH88" s="49" t="n">
        <v>84.90000000000001</v>
      </c>
      <c r="AI88" s="49" t="n">
        <v>84.90000000000001</v>
      </c>
      <c r="AJ88" s="49" t="n">
        <v>84.90000000000001</v>
      </c>
      <c r="AK88" s="49" t="n">
        <v>84.90000000000001</v>
      </c>
      <c r="AL88" s="49" t="n">
        <v>84.90000000000001</v>
      </c>
      <c r="AM88" s="49" t="n">
        <v>84.90000000000001</v>
      </c>
      <c r="AN88" s="50">
        <f>SUM(AB88:AM88)</f>
        <v/>
      </c>
    </row>
    <row r="89">
      <c r="A89" s="47" t="inlineStr">
        <is>
          <t>cont</t>
        </is>
      </c>
      <c r="B89" s="48">
        <f>IFERROR(VLOOKUP($A89,Codes!$A:$B,2,FALSE()),"")</f>
        <v/>
      </c>
      <c r="C89" s="5" t="inlineStr">
        <is>
          <t>Janitorial Contract</t>
        </is>
      </c>
      <c r="D89" s="49" t="n">
        <v>2550</v>
      </c>
      <c r="E89" s="49" t="n">
        <v>2860</v>
      </c>
      <c r="F89" s="49" t="n">
        <v>3575</v>
      </c>
      <c r="G89" s="49" t="n">
        <v>2240</v>
      </c>
      <c r="H89" s="49" t="n">
        <v>2800</v>
      </c>
      <c r="I89" s="49" t="n">
        <v>2240</v>
      </c>
      <c r="J89" s="49" t="n">
        <v>2240</v>
      </c>
      <c r="K89" s="49" t="n">
        <v>2800</v>
      </c>
      <c r="L89" s="49" t="n">
        <v>2240</v>
      </c>
      <c r="M89" s="49" t="n">
        <v>2440</v>
      </c>
      <c r="N89" s="49" t="n">
        <v>800</v>
      </c>
      <c r="O89" s="49" t="n">
        <v>2240</v>
      </c>
      <c r="P89" s="49" t="n">
        <v>2700</v>
      </c>
      <c r="Q89" s="49" t="n">
        <v>2160</v>
      </c>
      <c r="R89" s="49" t="n">
        <v>2160</v>
      </c>
      <c r="S89" s="49" t="n">
        <v>2700</v>
      </c>
      <c r="T89" s="49" t="n">
        <v>1040</v>
      </c>
      <c r="U89" s="49" t="n">
        <v>1120</v>
      </c>
      <c r="V89" s="49" t="n">
        <v>2700</v>
      </c>
      <c r="W89" s="49" t="n">
        <v>2160</v>
      </c>
      <c r="X89" s="49" t="n">
        <v>2700</v>
      </c>
      <c r="Y89" s="49" t="n">
        <v>2160</v>
      </c>
      <c r="Z89" s="49" t="n">
        <v>2160</v>
      </c>
      <c r="AA89" s="49" t="n">
        <v>2700</v>
      </c>
      <c r="AB89" s="49" t="n">
        <v>2160</v>
      </c>
      <c r="AC89" s="49" t="n">
        <v>2160</v>
      </c>
      <c r="AD89" s="49" t="n">
        <v>2700</v>
      </c>
      <c r="AE89" s="49" t="n">
        <v>2160</v>
      </c>
      <c r="AF89" s="49" t="n">
        <v>2160</v>
      </c>
      <c r="AG89" s="49" t="n">
        <v>2700</v>
      </c>
      <c r="AH89" s="49" t="n">
        <v>3200</v>
      </c>
      <c r="AI89" s="49" t="n">
        <v>1120</v>
      </c>
      <c r="AJ89" s="49" t="n">
        <v>2700</v>
      </c>
      <c r="AK89" s="49" t="n">
        <v>2160</v>
      </c>
      <c r="AL89" s="49" t="n">
        <v>2160</v>
      </c>
      <c r="AM89" s="49" t="n">
        <v>3690</v>
      </c>
      <c r="AN89" s="50">
        <f>SUM(AB89:AM89)</f>
        <v/>
      </c>
    </row>
    <row r="90">
      <c r="A90" s="47" t="inlineStr">
        <is>
          <t>cont</t>
        </is>
      </c>
      <c r="B90" s="48">
        <f>IFERROR(VLOOKUP($A90,Codes!$A:$B,2,FALSE()),"")</f>
        <v/>
      </c>
      <c r="C90" s="5" t="inlineStr">
        <is>
          <t>Landscape Maintenance Contract</t>
        </is>
      </c>
      <c r="D90" s="49" t="n">
        <v>7564</v>
      </c>
      <c r="E90" s="49" t="n">
        <v>7564</v>
      </c>
      <c r="F90" s="49" t="n">
        <v>7564</v>
      </c>
      <c r="G90" s="49" t="n">
        <v>14768</v>
      </c>
      <c r="H90" s="49" t="n">
        <v>7564</v>
      </c>
      <c r="I90" s="49" t="n">
        <v>7564</v>
      </c>
      <c r="J90" s="49" t="n">
        <v>7866.56</v>
      </c>
      <c r="K90" s="49" t="n">
        <v>7564</v>
      </c>
      <c r="L90" s="49" t="n">
        <v>7261.44</v>
      </c>
      <c r="M90" s="49" t="n">
        <v>7866.56</v>
      </c>
      <c r="N90" s="49" t="n">
        <v>7564</v>
      </c>
      <c r="O90" s="49" t="n">
        <v>7578.4</v>
      </c>
      <c r="P90" s="49" t="n">
        <v>8079.16</v>
      </c>
      <c r="Q90" s="49" t="n">
        <v>14749.88</v>
      </c>
      <c r="R90" s="49" t="n">
        <v>7791</v>
      </c>
      <c r="S90" s="49" t="n">
        <v>0</v>
      </c>
      <c r="T90" s="49" t="n">
        <v>7791</v>
      </c>
      <c r="U90" s="49" t="n">
        <v>7791</v>
      </c>
      <c r="V90" s="49" t="n">
        <v>7989</v>
      </c>
      <c r="W90" s="49" t="n">
        <v>7791</v>
      </c>
      <c r="X90" s="49" t="n">
        <v>7791</v>
      </c>
      <c r="Y90" s="49" t="n">
        <v>7791</v>
      </c>
      <c r="Z90" s="49" t="n">
        <v>7791</v>
      </c>
      <c r="AA90" s="49" t="n">
        <v>7791</v>
      </c>
      <c r="AB90" s="49" t="n">
        <v>7791</v>
      </c>
      <c r="AC90" s="49" t="n">
        <v>7791</v>
      </c>
      <c r="AD90" s="49" t="n">
        <v>7791</v>
      </c>
      <c r="AE90" s="49" t="n">
        <v>7791</v>
      </c>
      <c r="AF90" s="49" t="n">
        <v>7791</v>
      </c>
      <c r="AG90" s="49" t="n">
        <v>7791</v>
      </c>
      <c r="AH90" s="49" t="n">
        <v>7791</v>
      </c>
      <c r="AI90" s="49" t="n">
        <v>7791</v>
      </c>
      <c r="AJ90" s="49" t="n">
        <v>7791</v>
      </c>
      <c r="AK90" s="49" t="n">
        <v>7791</v>
      </c>
      <c r="AL90" s="49" t="n">
        <v>7791</v>
      </c>
      <c r="AM90" s="49" t="n">
        <v>7791</v>
      </c>
      <c r="AN90" s="50">
        <f>SUM(AB90:AM90)</f>
        <v/>
      </c>
    </row>
    <row r="91">
      <c r="A91" s="47" t="inlineStr">
        <is>
          <t>cont</t>
        </is>
      </c>
      <c r="B91" s="48">
        <f>IFERROR(VLOOKUP($A91,Codes!$A:$B,2,FALSE()),"")</f>
        <v/>
      </c>
      <c r="C91" s="5" t="inlineStr">
        <is>
          <t>Patrol / Courtesy Officer Contract</t>
        </is>
      </c>
      <c r="D91" s="49" t="n">
        <v>3300</v>
      </c>
      <c r="E91" s="49" t="n">
        <v>3300</v>
      </c>
      <c r="F91" s="49" t="n">
        <v>3300</v>
      </c>
      <c r="G91" s="49" t="n">
        <v>3300</v>
      </c>
      <c r="H91" s="49" t="n">
        <v>3300</v>
      </c>
      <c r="I91" s="49" t="n">
        <v>3300</v>
      </c>
      <c r="J91" s="49" t="n">
        <v>3300</v>
      </c>
      <c r="K91" s="49" t="n">
        <v>3300</v>
      </c>
      <c r="L91" s="49" t="n">
        <v>3300</v>
      </c>
      <c r="M91" s="49" t="n">
        <v>3300</v>
      </c>
      <c r="N91" s="49" t="n">
        <v>4125</v>
      </c>
      <c r="O91" s="49" t="n">
        <v>3300</v>
      </c>
      <c r="P91" s="49" t="n">
        <v>3571.06</v>
      </c>
      <c r="Q91" s="49" t="n">
        <v>3842.12</v>
      </c>
      <c r="R91" s="49" t="n">
        <v>3571.06</v>
      </c>
      <c r="S91" s="49" t="n">
        <v>3571.06</v>
      </c>
      <c r="T91" s="49" t="n">
        <v>3571.06</v>
      </c>
      <c r="U91" s="49" t="n">
        <v>3571.06</v>
      </c>
      <c r="V91" s="49" t="n">
        <v>3571.06</v>
      </c>
      <c r="W91" s="49" t="n">
        <v>3571.06</v>
      </c>
      <c r="X91" s="49" t="n">
        <v>3571.06</v>
      </c>
      <c r="Y91" s="49" t="n">
        <v>3571.06</v>
      </c>
      <c r="Z91" s="49" t="n">
        <v>3571.06</v>
      </c>
      <c r="AA91" s="49" t="n">
        <v>3571.06</v>
      </c>
      <c r="AB91" s="49" t="n">
        <v>3642.49</v>
      </c>
      <c r="AC91" s="49" t="n">
        <v>3642.49</v>
      </c>
      <c r="AD91" s="49" t="n">
        <v>3642.49</v>
      </c>
      <c r="AE91" s="49" t="n">
        <v>3642.49</v>
      </c>
      <c r="AF91" s="49" t="n">
        <v>3642.49</v>
      </c>
      <c r="AG91" s="49" t="n">
        <v>3642.49</v>
      </c>
      <c r="AH91" s="49" t="n">
        <v>3642.49</v>
      </c>
      <c r="AI91" s="49" t="n">
        <v>3642.49</v>
      </c>
      <c r="AJ91" s="49" t="n">
        <v>3642.49</v>
      </c>
      <c r="AK91" s="49" t="n">
        <v>3642.49</v>
      </c>
      <c r="AL91" s="49" t="n">
        <v>3642.49</v>
      </c>
      <c r="AM91" s="49" t="n">
        <v>3642.49</v>
      </c>
      <c r="AN91" s="50">
        <f>SUM(AB91:AM91)</f>
        <v/>
      </c>
    </row>
    <row r="92">
      <c r="A92" s="47" t="inlineStr">
        <is>
          <t>cont</t>
        </is>
      </c>
      <c r="B92" s="48">
        <f>IFERROR(VLOOKUP($A92,Codes!$A:$B,2,FALSE()),"")</f>
        <v/>
      </c>
      <c r="C92" s="5" t="inlineStr">
        <is>
          <t>Pest Control Contract</t>
        </is>
      </c>
      <c r="D92" s="49" t="n">
        <v>1996.5</v>
      </c>
      <c r="E92" s="49" t="n">
        <v>2168.5</v>
      </c>
      <c r="F92" s="49" t="n">
        <v>2382.5</v>
      </c>
      <c r="G92" s="49" t="n">
        <v>1422.5</v>
      </c>
      <c r="H92" s="49" t="n">
        <v>1727.5</v>
      </c>
      <c r="I92" s="49" t="n">
        <v>1652.5</v>
      </c>
      <c r="J92" s="49" t="n">
        <v>2027.5</v>
      </c>
      <c r="K92" s="49" t="n">
        <v>2145.5</v>
      </c>
      <c r="L92" s="49" t="n">
        <v>1259.5</v>
      </c>
      <c r="M92" s="49" t="n">
        <v>1977.5</v>
      </c>
      <c r="N92" s="49" t="n">
        <v>1857.5</v>
      </c>
      <c r="O92" s="49" t="n">
        <v>1737.5</v>
      </c>
      <c r="P92" s="49" t="n">
        <v>1453</v>
      </c>
      <c r="Q92" s="49" t="n">
        <v>1543</v>
      </c>
      <c r="R92" s="49" t="n">
        <v>1668</v>
      </c>
      <c r="S92" s="49" t="n">
        <v>1663</v>
      </c>
      <c r="T92" s="49" t="n">
        <v>2043</v>
      </c>
      <c r="U92" s="49" t="n">
        <v>2633</v>
      </c>
      <c r="V92" s="49" t="n">
        <v>2313</v>
      </c>
      <c r="W92" s="49" t="n">
        <v>1768</v>
      </c>
      <c r="X92" s="49" t="n">
        <v>1453</v>
      </c>
      <c r="Y92" s="49" t="n">
        <v>1968</v>
      </c>
      <c r="Z92" s="49" t="n">
        <v>2438</v>
      </c>
      <c r="AA92" s="49" t="n">
        <v>1573</v>
      </c>
      <c r="AB92" s="49" t="n">
        <v>1513</v>
      </c>
      <c r="AC92" s="49" t="n">
        <v>1483</v>
      </c>
      <c r="AD92" s="49" t="n">
        <v>3808</v>
      </c>
      <c r="AE92" s="49" t="n">
        <v>1608</v>
      </c>
      <c r="AF92" s="49" t="n">
        <v>2503</v>
      </c>
      <c r="AG92" s="49" t="n">
        <v>2488</v>
      </c>
      <c r="AH92" s="49" t="n">
        <v>2608</v>
      </c>
      <c r="AI92" s="49" t="n">
        <v>1923</v>
      </c>
      <c r="AJ92" s="49" t="n">
        <v>1818</v>
      </c>
      <c r="AK92" s="49" t="n">
        <v>1905</v>
      </c>
      <c r="AL92" s="49" t="n">
        <v>1111.39</v>
      </c>
      <c r="AM92" s="49" t="n">
        <v>1740.01</v>
      </c>
      <c r="AN92" s="50">
        <f>SUM(AB92:AM92)</f>
        <v/>
      </c>
    </row>
    <row r="93">
      <c r="A93" s="47" t="inlineStr">
        <is>
          <t>cont</t>
        </is>
      </c>
      <c r="B93" s="48">
        <f>IFERROR(VLOOKUP($A93,Codes!$A:$B,2,FALSE()),"")</f>
        <v/>
      </c>
      <c r="C93" s="5" t="inlineStr">
        <is>
          <t>Trash Removal Contract</t>
        </is>
      </c>
      <c r="D93" s="49" t="n">
        <v>1780.28</v>
      </c>
      <c r="E93" s="49" t="n">
        <v>7391.03</v>
      </c>
      <c r="F93" s="49" t="n">
        <v>7506.03</v>
      </c>
      <c r="G93" s="49" t="n">
        <v>7111.03</v>
      </c>
      <c r="H93" s="49" t="n">
        <v>7076.03</v>
      </c>
      <c r="I93" s="49" t="n">
        <v>7041.03</v>
      </c>
      <c r="J93" s="49" t="n">
        <v>7146.03</v>
      </c>
      <c r="K93" s="49" t="n">
        <v>7076.03</v>
      </c>
      <c r="L93" s="49" t="n">
        <v>7181.03</v>
      </c>
      <c r="M93" s="49" t="n">
        <v>7181.03</v>
      </c>
      <c r="N93" s="49" t="n">
        <v>7146.03</v>
      </c>
      <c r="O93" s="49" t="n">
        <v>7781.03</v>
      </c>
      <c r="P93" s="49" t="n">
        <v>7152.71</v>
      </c>
      <c r="Q93" s="49" t="n">
        <v>7327.71</v>
      </c>
      <c r="R93" s="49" t="n">
        <v>7257.71</v>
      </c>
      <c r="S93" s="49" t="n">
        <v>7644.38</v>
      </c>
      <c r="T93" s="49" t="n">
        <v>7574.38</v>
      </c>
      <c r="U93" s="49" t="n">
        <v>7294.38</v>
      </c>
      <c r="V93" s="49" t="n">
        <v>7531.22</v>
      </c>
      <c r="W93" s="49" t="n">
        <v>7329.38</v>
      </c>
      <c r="X93" s="49" t="n">
        <v>7714.38</v>
      </c>
      <c r="Y93" s="49" t="n">
        <v>7714.38</v>
      </c>
      <c r="Z93" s="49" t="n">
        <v>7504.38</v>
      </c>
      <c r="AA93" s="49" t="n">
        <v>7754.38</v>
      </c>
      <c r="AB93" s="49" t="n">
        <v>7530.82</v>
      </c>
      <c r="AC93" s="49" t="n">
        <v>11231.16</v>
      </c>
      <c r="AD93" s="49" t="n">
        <v>6679.02</v>
      </c>
      <c r="AE93" s="49" t="n">
        <v>7819</v>
      </c>
      <c r="AF93" s="49" t="n">
        <v>5720.12</v>
      </c>
      <c r="AG93" s="49" t="n">
        <v>8508.879999999999</v>
      </c>
      <c r="AH93" s="49" t="n">
        <v>11403.88</v>
      </c>
      <c r="AI93" s="49" t="n">
        <v>8845.629999999999</v>
      </c>
      <c r="AJ93" s="49" t="n">
        <v>2578.51</v>
      </c>
      <c r="AK93" s="49" t="n">
        <v>7644</v>
      </c>
      <c r="AL93" s="49" t="n">
        <v>7749</v>
      </c>
      <c r="AM93" s="49" t="n">
        <v>8212.33</v>
      </c>
      <c r="AN93" s="50">
        <f>SUM(AB93:AM93)</f>
        <v/>
      </c>
    </row>
    <row r="94">
      <c r="A94" s="47" t="inlineStr">
        <is>
          <t>cont</t>
        </is>
      </c>
      <c r="B94" s="48">
        <f>IFERROR(VLOOKUP($A94,Codes!$A:$B,2,FALSE()),"")</f>
        <v/>
      </c>
      <c r="C94" s="5" t="inlineStr">
        <is>
          <t>Trash Removal - Door to Door Pickup</t>
        </is>
      </c>
      <c r="D94" s="49" t="n">
        <v>8544.25</v>
      </c>
      <c r="E94" s="49" t="n">
        <v>8544.25</v>
      </c>
      <c r="F94" s="49" t="n">
        <v>8544.25</v>
      </c>
      <c r="G94" s="49" t="n">
        <v>8544.25</v>
      </c>
      <c r="H94" s="49" t="n">
        <v>8544.25</v>
      </c>
      <c r="I94" s="49" t="n">
        <v>8544.25</v>
      </c>
      <c r="J94" s="49" t="n">
        <v>8544.25</v>
      </c>
      <c r="K94" s="49" t="n">
        <v>8544.25</v>
      </c>
      <c r="L94" s="49" t="n">
        <v>8544.25</v>
      </c>
      <c r="M94" s="49" t="n">
        <v>8544.25</v>
      </c>
      <c r="N94" s="49" t="n">
        <v>8544.25</v>
      </c>
      <c r="O94" s="49" t="n">
        <v>8544.25</v>
      </c>
      <c r="P94" s="49" t="n">
        <v>8808.799999999999</v>
      </c>
      <c r="Q94" s="49" t="n">
        <v>8808.799999999999</v>
      </c>
      <c r="R94" s="49" t="n">
        <v>8808.799999999999</v>
      </c>
      <c r="S94" s="49" t="n">
        <v>8808.799999999999</v>
      </c>
      <c r="T94" s="49" t="n">
        <v>8808.799999999999</v>
      </c>
      <c r="U94" s="49" t="n">
        <v>8808.799999999999</v>
      </c>
      <c r="V94" s="49" t="n">
        <v>9348.799999999999</v>
      </c>
      <c r="W94" s="49" t="n">
        <v>8808.799999999999</v>
      </c>
      <c r="X94" s="49" t="n">
        <v>8808.799999999999</v>
      </c>
      <c r="Y94" s="49" t="n">
        <v>8808.799999999999</v>
      </c>
      <c r="Z94" s="49" t="n">
        <v>8808.799999999999</v>
      </c>
      <c r="AA94" s="49" t="n">
        <v>8808.799999999999</v>
      </c>
      <c r="AB94" s="49" t="n">
        <v>9066.200000000001</v>
      </c>
      <c r="AC94" s="49" t="n">
        <v>9066.200000000001</v>
      </c>
      <c r="AD94" s="49" t="n">
        <v>9066.200000000001</v>
      </c>
      <c r="AE94" s="49" t="n">
        <v>9066.200000000001</v>
      </c>
      <c r="AF94" s="49" t="n">
        <v>8461.309999999999</v>
      </c>
      <c r="AG94" s="49" t="n">
        <v>8255.389999999999</v>
      </c>
      <c r="AH94" s="49" t="n">
        <v>8358.35</v>
      </c>
      <c r="AI94" s="49" t="n">
        <v>8358.35</v>
      </c>
      <c r="AJ94" s="49" t="n">
        <v>8358.35</v>
      </c>
      <c r="AK94" s="49" t="n">
        <v>8358.35</v>
      </c>
      <c r="AL94" s="49" t="n">
        <v>8358.35</v>
      </c>
      <c r="AM94" s="49" t="n">
        <v>8358.35</v>
      </c>
      <c r="AN94" s="50">
        <f>SUM(AB94:AM94)</f>
        <v/>
      </c>
    </row>
    <row r="95">
      <c r="A95" s="47" t="inlineStr">
        <is>
          <t>cont</t>
        </is>
      </c>
      <c r="B95" s="48">
        <f>IFERROR(VLOOKUP($A95,Codes!$A:$B,2,FALSE()),"")</f>
        <v/>
      </c>
      <c r="C95" s="5" t="inlineStr">
        <is>
          <t>Other Contract Services</t>
        </is>
      </c>
      <c r="D95" s="49" t="n">
        <v>527</v>
      </c>
      <c r="E95" s="49" t="n">
        <v>356.88</v>
      </c>
      <c r="F95" s="49" t="n">
        <v>1399.34</v>
      </c>
      <c r="G95" s="49" t="n">
        <v>-183.03</v>
      </c>
      <c r="H95" s="49" t="n">
        <v>1822.87</v>
      </c>
      <c r="I95" s="49" t="n">
        <v>841.3200000000001</v>
      </c>
      <c r="J95" s="49" t="n">
        <v>-64.06999999999999</v>
      </c>
      <c r="K95" s="49" t="n">
        <v>624.96</v>
      </c>
      <c r="L95" s="49" t="n">
        <v>748.17</v>
      </c>
      <c r="M95" s="49" t="n">
        <v>582.78</v>
      </c>
      <c r="N95" s="49" t="n">
        <v>622.78</v>
      </c>
      <c r="O95" s="49" t="n">
        <v>625.63</v>
      </c>
      <c r="P95" s="49" t="n">
        <v>870.11</v>
      </c>
      <c r="Q95" s="49" t="n">
        <v>578.21</v>
      </c>
      <c r="R95" s="49" t="n">
        <v>857.4299999999999</v>
      </c>
      <c r="S95" s="49" t="n">
        <v>611.05</v>
      </c>
      <c r="T95" s="49" t="n">
        <v>1564.68</v>
      </c>
      <c r="U95" s="49" t="n">
        <v>610.71</v>
      </c>
      <c r="V95" s="49" t="n">
        <v>596.29</v>
      </c>
      <c r="W95" s="49" t="n">
        <v>261.46</v>
      </c>
      <c r="X95" s="49" t="n">
        <v>968.8099999999999</v>
      </c>
      <c r="Y95" s="49" t="n">
        <v>318.62</v>
      </c>
      <c r="Z95" s="49" t="n">
        <v>529.75</v>
      </c>
      <c r="AA95" s="49" t="n">
        <v>199.32</v>
      </c>
      <c r="AB95" s="49" t="n">
        <v>627.47</v>
      </c>
      <c r="AC95" s="49" t="n">
        <v>733.24</v>
      </c>
      <c r="AD95" s="49" t="n">
        <v>887.9299999999999</v>
      </c>
      <c r="AE95" s="49" t="n">
        <v>760.54</v>
      </c>
      <c r="AF95" s="49" t="n">
        <v>652.4</v>
      </c>
      <c r="AG95" s="49" t="n">
        <v>439.7</v>
      </c>
      <c r="AH95" s="49" t="n">
        <v>722.0599999999999</v>
      </c>
      <c r="AI95" s="49" t="n">
        <v>722.0599999999999</v>
      </c>
      <c r="AJ95" s="49" t="n">
        <v>762.83</v>
      </c>
      <c r="AK95" s="49" t="n">
        <v>681.1</v>
      </c>
      <c r="AL95" s="49" t="n">
        <v>724.76</v>
      </c>
      <c r="AM95" s="49" t="n">
        <v>724.76</v>
      </c>
      <c r="AN95" s="50">
        <f>SUM(AB95:AM95)</f>
        <v/>
      </c>
    </row>
    <row r="96">
      <c r="A96" s="47" t="inlineStr">
        <is>
          <t>adv</t>
        </is>
      </c>
      <c r="B96" s="48">
        <f>IFERROR(VLOOKUP($A96,Codes!$A:$B,2,FALSE()),"")</f>
        <v/>
      </c>
      <c r="C96" s="5" t="inlineStr">
        <is>
          <t>Visual and Creative Services</t>
        </is>
      </c>
      <c r="D96" s="49" t="n">
        <v>0</v>
      </c>
      <c r="E96" s="49" t="n">
        <v>363.81</v>
      </c>
      <c r="F96" s="49" t="n">
        <v>240</v>
      </c>
      <c r="G96" s="49" t="n">
        <v>0</v>
      </c>
      <c r="H96" s="49" t="n">
        <v>0</v>
      </c>
      <c r="I96" s="49" t="n">
        <v>0</v>
      </c>
      <c r="J96" s="49" t="n">
        <v>0</v>
      </c>
      <c r="K96" s="49" t="n">
        <v>0</v>
      </c>
      <c r="L96" s="49" t="n">
        <v>0</v>
      </c>
      <c r="M96" s="49" t="n">
        <v>0</v>
      </c>
      <c r="N96" s="49" t="n">
        <v>1381.81</v>
      </c>
      <c r="O96" s="49" t="n">
        <v>0</v>
      </c>
      <c r="P96" s="49" t="n">
        <v>409.96</v>
      </c>
      <c r="Q96" s="49" t="n">
        <v>0</v>
      </c>
      <c r="R96" s="49" t="n">
        <v>61.25</v>
      </c>
      <c r="S96" s="49" t="n">
        <v>255.91</v>
      </c>
      <c r="T96" s="49" t="n">
        <v>20.42</v>
      </c>
      <c r="U96" s="49" t="n">
        <v>180.42</v>
      </c>
      <c r="V96" s="49" t="n">
        <v>20.42</v>
      </c>
      <c r="W96" s="49" t="n">
        <v>20.42</v>
      </c>
      <c r="X96" s="49" t="n">
        <v>20.42</v>
      </c>
      <c r="Y96" s="49" t="n">
        <v>221.33</v>
      </c>
      <c r="Z96" s="49" t="n">
        <v>20.42</v>
      </c>
      <c r="AA96" s="49" t="n">
        <v>270.17</v>
      </c>
      <c r="AB96" s="49" t="n">
        <v>0</v>
      </c>
      <c r="AC96" s="49" t="n">
        <v>0</v>
      </c>
      <c r="AD96" s="49" t="n">
        <v>0</v>
      </c>
      <c r="AE96" s="49" t="n">
        <v>249.78</v>
      </c>
      <c r="AF96" s="49" t="n">
        <v>0</v>
      </c>
      <c r="AG96" s="49" t="n">
        <v>358.38</v>
      </c>
      <c r="AH96" s="49" t="n">
        <v>0</v>
      </c>
      <c r="AI96" s="49" t="n">
        <v>0</v>
      </c>
      <c r="AJ96" s="49" t="n">
        <v>0</v>
      </c>
      <c r="AK96" s="49" t="n">
        <v>517.75</v>
      </c>
      <c r="AL96" s="49" t="n">
        <v>1022.75</v>
      </c>
      <c r="AM96" s="49" t="n">
        <v>750</v>
      </c>
      <c r="AN96" s="50">
        <f>SUM(AB96:AM96)</f>
        <v/>
      </c>
    </row>
    <row r="97">
      <c r="A97" s="47" t="inlineStr">
        <is>
          <t>adv</t>
        </is>
      </c>
      <c r="B97" s="48">
        <f>IFERROR(VLOOKUP($A97,Codes!$A:$B,2,FALSE()),"")</f>
        <v/>
      </c>
      <c r="C97" s="5" t="inlineStr">
        <is>
          <t>Search Engine Marketing Campaigns</t>
        </is>
      </c>
      <c r="D97" s="49" t="n">
        <v>1600</v>
      </c>
      <c r="E97" s="49" t="n">
        <v>2270.51</v>
      </c>
      <c r="F97" s="49" t="n">
        <v>2496.51</v>
      </c>
      <c r="G97" s="49" t="n">
        <v>2061.31</v>
      </c>
      <c r="H97" s="49" t="n">
        <v>2228.04</v>
      </c>
      <c r="I97" s="49" t="n">
        <v>4793.92</v>
      </c>
      <c r="J97" s="49" t="n">
        <v>-1078.55</v>
      </c>
      <c r="K97" s="49" t="n">
        <v>-206.19</v>
      </c>
      <c r="L97" s="49" t="n">
        <v>4483.42</v>
      </c>
      <c r="M97" s="49" t="n">
        <v>-1340.7</v>
      </c>
      <c r="N97" s="49" t="n">
        <v>135.4</v>
      </c>
      <c r="O97" s="49" t="n">
        <v>4925.08</v>
      </c>
      <c r="P97" s="49" t="n">
        <v>-586.22</v>
      </c>
      <c r="Q97" s="49" t="n">
        <v>-485.39</v>
      </c>
      <c r="R97" s="49" t="n">
        <v>1592.41</v>
      </c>
      <c r="S97" s="49" t="n">
        <v>1786.13</v>
      </c>
      <c r="T97" s="49" t="n">
        <v>1598.02</v>
      </c>
      <c r="U97" s="49" t="n">
        <v>1000</v>
      </c>
      <c r="V97" s="49" t="n">
        <v>2193.48</v>
      </c>
      <c r="W97" s="49" t="n">
        <v>1595.16</v>
      </c>
      <c r="X97" s="49" t="n">
        <v>1593.91</v>
      </c>
      <c r="Y97" s="49" t="n">
        <v>1569.94</v>
      </c>
      <c r="Z97" s="49" t="n">
        <v>1598.3</v>
      </c>
      <c r="AA97" s="49" t="n">
        <v>1590.6</v>
      </c>
      <c r="AB97" s="49" t="n">
        <v>1604.5</v>
      </c>
      <c r="AC97" s="49" t="n">
        <v>1595</v>
      </c>
      <c r="AD97" s="49" t="n">
        <v>1598.1</v>
      </c>
      <c r="AE97" s="49" t="n">
        <v>1604.5</v>
      </c>
      <c r="AF97" s="49" t="n">
        <v>3193</v>
      </c>
      <c r="AG97" s="49" t="n">
        <v>1756.79</v>
      </c>
      <c r="AH97" s="49" t="n">
        <v>1574.1</v>
      </c>
      <c r="AI97" s="49" t="n">
        <v>2087.8</v>
      </c>
      <c r="AJ97" s="49" t="n">
        <v>830.4</v>
      </c>
      <c r="AK97" s="49" t="n">
        <v>1575.6</v>
      </c>
      <c r="AL97" s="49" t="n">
        <v>1585.42</v>
      </c>
      <c r="AM97" s="49" t="n">
        <v>1598.87</v>
      </c>
      <c r="AN97" s="50">
        <f>SUM(AB97:AM97)</f>
        <v/>
      </c>
    </row>
    <row r="98">
      <c r="A98" s="47" t="inlineStr">
        <is>
          <t>adv</t>
        </is>
      </c>
      <c r="B98" s="48">
        <f>IFERROR(VLOOKUP($A98,Codes!$A:$B,2,FALSE()),"")</f>
        <v/>
      </c>
      <c r="C98" s="5" t="inlineStr">
        <is>
          <t>Internet Listing Services (ILS)</t>
        </is>
      </c>
      <c r="D98" s="49" t="n">
        <v>3178.14</v>
      </c>
      <c r="E98" s="49" t="n">
        <v>1844.31</v>
      </c>
      <c r="F98" s="49" t="n">
        <v>2544.8</v>
      </c>
      <c r="G98" s="49" t="n">
        <v>2079.05</v>
      </c>
      <c r="H98" s="49" t="n">
        <v>1399.05</v>
      </c>
      <c r="I98" s="49" t="n">
        <v>1739.05</v>
      </c>
      <c r="J98" s="49" t="n">
        <v>2079.05</v>
      </c>
      <c r="K98" s="49" t="n">
        <v>3724.05</v>
      </c>
      <c r="L98" s="49" t="n">
        <v>1494.05</v>
      </c>
      <c r="M98" s="49" t="n">
        <v>4835.37</v>
      </c>
      <c r="N98" s="49" t="n">
        <v>3095.37</v>
      </c>
      <c r="O98" s="49" t="n">
        <v>3165.37</v>
      </c>
      <c r="P98" s="49" t="n">
        <v>-1284.96</v>
      </c>
      <c r="Q98" s="49" t="n">
        <v>2965</v>
      </c>
      <c r="R98" s="49" t="n">
        <v>3452.26</v>
      </c>
      <c r="S98" s="49" t="n">
        <v>7165</v>
      </c>
      <c r="T98" s="49" t="n">
        <v>2965</v>
      </c>
      <c r="U98" s="49" t="n">
        <v>7640</v>
      </c>
      <c r="V98" s="49" t="n">
        <v>6280.35</v>
      </c>
      <c r="W98" s="49" t="n">
        <v>2221.08</v>
      </c>
      <c r="X98" s="49" t="n">
        <v>8593.950000000001</v>
      </c>
      <c r="Y98" s="49" t="n">
        <v>3447.52</v>
      </c>
      <c r="Z98" s="49" t="n">
        <v>4815</v>
      </c>
      <c r="AA98" s="49" t="n">
        <v>4765</v>
      </c>
      <c r="AB98" s="49" t="n">
        <v>4619.89</v>
      </c>
      <c r="AC98" s="49" t="n">
        <v>1868.96</v>
      </c>
      <c r="AD98" s="49" t="n">
        <v>-742.08</v>
      </c>
      <c r="AE98" s="49" t="n">
        <v>1500</v>
      </c>
      <c r="AF98" s="49" t="n">
        <v>9113.15</v>
      </c>
      <c r="AG98" s="49" t="n">
        <v>8257.690000000001</v>
      </c>
      <c r="AH98" s="49" t="n">
        <v>4539.96</v>
      </c>
      <c r="AI98" s="49" t="n">
        <v>3277.96</v>
      </c>
      <c r="AJ98" s="49" t="n">
        <v>7408.96</v>
      </c>
      <c r="AK98" s="49" t="n">
        <v>6347.4</v>
      </c>
      <c r="AL98" s="49" t="n">
        <v>3630.96</v>
      </c>
      <c r="AM98" s="49" t="n">
        <v>2031.96</v>
      </c>
      <c r="AN98" s="50">
        <f>SUM(AB98:AM98)</f>
        <v/>
      </c>
    </row>
    <row r="99">
      <c r="A99" s="47" t="inlineStr">
        <is>
          <t>adv</t>
        </is>
      </c>
      <c r="B99" s="48">
        <f>IFERROR(VLOOKUP($A99,Codes!$A:$B,2,FALSE()),"")</f>
        <v/>
      </c>
      <c r="C99" s="5" t="inlineStr">
        <is>
          <t>Property Website</t>
        </is>
      </c>
      <c r="D99" s="49" t="n">
        <v>0</v>
      </c>
      <c r="E99" s="49" t="n">
        <v>1.94</v>
      </c>
      <c r="F99" s="49" t="n">
        <v>0</v>
      </c>
      <c r="G99" s="49" t="n">
        <v>0</v>
      </c>
      <c r="H99" s="49" t="n">
        <v>0</v>
      </c>
      <c r="I99" s="49" t="n">
        <v>0</v>
      </c>
      <c r="J99" s="49" t="n">
        <v>0</v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484</v>
      </c>
      <c r="Q99" s="49" t="n">
        <v>-484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235</v>
      </c>
      <c r="AL99" s="49" t="n">
        <v>-235</v>
      </c>
      <c r="AM99" s="49" t="n">
        <v>0</v>
      </c>
      <c r="AN99" s="50">
        <f>SUM(AB99:AM99)</f>
        <v/>
      </c>
    </row>
    <row r="100">
      <c r="A100" s="47" t="inlineStr">
        <is>
          <t>adv</t>
        </is>
      </c>
      <c r="B100" s="48">
        <f>IFERROR(VLOOKUP($A100,Codes!$A:$B,2,FALSE()),"")</f>
        <v/>
      </c>
      <c r="C100" s="5" t="inlineStr">
        <is>
          <t>Social Media</t>
        </is>
      </c>
      <c r="D100" s="51" t="n">
        <v>-4250</v>
      </c>
      <c r="E100" s="49" t="n">
        <v>524</v>
      </c>
      <c r="F100" s="49" t="n">
        <v>500</v>
      </c>
      <c r="G100" s="49" t="n">
        <v>500</v>
      </c>
      <c r="H100" s="49" t="n">
        <v>500</v>
      </c>
      <c r="I100" s="49" t="n">
        <v>500</v>
      </c>
      <c r="J100" s="49" t="n">
        <v>500</v>
      </c>
      <c r="K100" s="49" t="n">
        <v>500</v>
      </c>
      <c r="L100" s="49" t="n">
        <v>500</v>
      </c>
      <c r="M100" s="49" t="n">
        <v>956</v>
      </c>
      <c r="N100" s="49" t="n">
        <v>956</v>
      </c>
      <c r="O100" s="49" t="n">
        <v>500</v>
      </c>
      <c r="P100" s="49" t="n">
        <v>500</v>
      </c>
      <c r="Q100" s="49" t="n">
        <v>-412</v>
      </c>
      <c r="R100" s="49" t="n">
        <v>500</v>
      </c>
      <c r="S100" s="49" t="n">
        <v>0</v>
      </c>
      <c r="T100" s="49" t="n">
        <v>500</v>
      </c>
      <c r="U100" s="49" t="n">
        <v>500</v>
      </c>
      <c r="V100" s="49" t="n">
        <v>500</v>
      </c>
      <c r="W100" s="49" t="n">
        <v>500</v>
      </c>
      <c r="X100" s="49" t="n">
        <v>500</v>
      </c>
      <c r="Y100" s="49" t="n">
        <v>500</v>
      </c>
      <c r="Z100" s="49" t="n">
        <v>500</v>
      </c>
      <c r="AA100" s="49" t="n">
        <v>500</v>
      </c>
      <c r="AB100" s="49" t="n">
        <v>500</v>
      </c>
      <c r="AC100" s="49" t="n">
        <v>500</v>
      </c>
      <c r="AD100" s="49" t="n">
        <v>500</v>
      </c>
      <c r="AE100" s="49" t="n">
        <v>500</v>
      </c>
      <c r="AF100" s="49" t="n">
        <v>740</v>
      </c>
      <c r="AG100" s="49" t="n">
        <v>-238.5</v>
      </c>
      <c r="AH100" s="49" t="n">
        <v>500</v>
      </c>
      <c r="AI100" s="49" t="n">
        <v>500</v>
      </c>
      <c r="AJ100" s="49" t="n">
        <v>760</v>
      </c>
      <c r="AK100" s="49" t="n">
        <v>500</v>
      </c>
      <c r="AL100" s="49" t="n">
        <v>500</v>
      </c>
      <c r="AM100" s="49" t="n">
        <v>500</v>
      </c>
      <c r="AN100" s="50">
        <f>SUM(AB100:AM100)</f>
        <v/>
      </c>
    </row>
    <row r="101">
      <c r="A101" s="47" t="inlineStr">
        <is>
          <t>adv</t>
        </is>
      </c>
      <c r="B101" s="48">
        <f>IFERROR(VLOOKUP($A101,Codes!$A:$B,2,FALSE()),"")</f>
        <v/>
      </c>
      <c r="C101" s="5" t="inlineStr">
        <is>
          <t>Reputation Management</t>
        </is>
      </c>
      <c r="D101" s="49" t="n">
        <v>0</v>
      </c>
      <c r="E101" s="49" t="n">
        <v>0</v>
      </c>
      <c r="F101" s="49" t="n">
        <v>0</v>
      </c>
      <c r="G101" s="49" t="n">
        <v>980</v>
      </c>
      <c r="H101" s="49" t="n">
        <v>384</v>
      </c>
      <c r="I101" s="49" t="n">
        <v>0</v>
      </c>
      <c r="J101" s="49" t="n">
        <v>0</v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900</v>
      </c>
      <c r="S101" s="49" t="n">
        <v>0</v>
      </c>
      <c r="T101" s="49" t="n">
        <v>350.16</v>
      </c>
      <c r="U101" s="49" t="n">
        <v>400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346.28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582.67</v>
      </c>
      <c r="AG101" s="49" t="n">
        <v>1376.57</v>
      </c>
      <c r="AH101" s="49" t="n">
        <v>38.64</v>
      </c>
      <c r="AI101" s="49" t="n">
        <v>38.64</v>
      </c>
      <c r="AJ101" s="49" t="n">
        <v>38.64</v>
      </c>
      <c r="AK101" s="49" t="n">
        <v>67.73999999999999</v>
      </c>
      <c r="AL101" s="49" t="n">
        <v>38.64</v>
      </c>
      <c r="AM101" s="49" t="n">
        <v>43.49</v>
      </c>
      <c r="AN101" s="50">
        <f>SUM(AB101:AM101)</f>
        <v/>
      </c>
    </row>
    <row r="102">
      <c r="A102" s="47" t="inlineStr">
        <is>
          <t>adv</t>
        </is>
      </c>
      <c r="B102" s="48">
        <f>IFERROR(VLOOKUP($A102,Codes!$A:$B,2,FALSE()),"")</f>
        <v/>
      </c>
      <c r="C102" s="5" t="inlineStr">
        <is>
          <t>Referral Fees</t>
        </is>
      </c>
      <c r="D102" s="49" t="n">
        <v>700</v>
      </c>
      <c r="E102" s="49" t="n">
        <v>400</v>
      </c>
      <c r="F102" s="49" t="n">
        <v>0</v>
      </c>
      <c r="G102" s="49" t="n">
        <v>0</v>
      </c>
      <c r="H102" s="49" t="n">
        <v>0</v>
      </c>
      <c r="I102" s="49" t="n">
        <v>0</v>
      </c>
      <c r="J102" s="49" t="n">
        <v>200</v>
      </c>
      <c r="K102" s="49" t="n">
        <v>0</v>
      </c>
      <c r="L102" s="49" t="n">
        <v>0</v>
      </c>
      <c r="M102" s="49" t="n">
        <v>0</v>
      </c>
      <c r="N102" s="49" t="n">
        <v>200</v>
      </c>
      <c r="O102" s="49" t="n">
        <v>0</v>
      </c>
      <c r="P102" s="49" t="n">
        <v>500</v>
      </c>
      <c r="Q102" s="49" t="n">
        <v>0</v>
      </c>
      <c r="R102" s="49" t="n">
        <v>250</v>
      </c>
      <c r="S102" s="49" t="n">
        <v>250</v>
      </c>
      <c r="T102" s="49" t="n">
        <v>0</v>
      </c>
      <c r="U102" s="49" t="n">
        <v>0</v>
      </c>
      <c r="V102" s="49" t="n">
        <v>600</v>
      </c>
      <c r="W102" s="49" t="n">
        <v>0</v>
      </c>
      <c r="X102" s="49" t="n">
        <v>0</v>
      </c>
      <c r="Y102" s="49" t="n">
        <v>250</v>
      </c>
      <c r="Z102" s="49" t="n">
        <v>0</v>
      </c>
      <c r="AA102" s="49" t="n">
        <v>0</v>
      </c>
      <c r="AB102" s="49" t="n">
        <v>0</v>
      </c>
      <c r="AC102" s="49" t="n">
        <v>250</v>
      </c>
      <c r="AD102" s="51" t="n">
        <v>4278</v>
      </c>
      <c r="AE102" s="49" t="n">
        <v>0</v>
      </c>
      <c r="AF102" s="49" t="n">
        <v>250</v>
      </c>
      <c r="AG102" s="49" t="n">
        <v>-1974.56</v>
      </c>
      <c r="AH102" s="49" t="n">
        <v>250</v>
      </c>
      <c r="AI102" s="49" t="n">
        <v>750</v>
      </c>
      <c r="AJ102" s="49" t="n">
        <v>500</v>
      </c>
      <c r="AK102" s="51" t="n">
        <v>-2053.44</v>
      </c>
      <c r="AL102" s="49" t="n">
        <v>250</v>
      </c>
      <c r="AM102" s="49" t="n">
        <v>250</v>
      </c>
      <c r="AN102" s="50">
        <f>SUM(AB102:AM102)</f>
        <v/>
      </c>
    </row>
    <row r="103">
      <c r="A103" s="47" t="inlineStr">
        <is>
          <t>adv</t>
        </is>
      </c>
      <c r="B103" s="48">
        <f>IFERROR(VLOOKUP($A103,Codes!$A:$B,2,FALSE()),"")</f>
        <v/>
      </c>
      <c r="C103" s="5" t="inlineStr">
        <is>
          <t>Strategic Marketing Services Fee</t>
        </is>
      </c>
      <c r="D103" s="49" t="n">
        <v>280</v>
      </c>
      <c r="E103" s="49" t="n">
        <v>280</v>
      </c>
      <c r="F103" s="49" t="n">
        <v>280</v>
      </c>
      <c r="G103" s="49" t="n">
        <v>280</v>
      </c>
      <c r="H103" s="49" t="n">
        <v>280</v>
      </c>
      <c r="I103" s="49" t="n">
        <v>1044.71</v>
      </c>
      <c r="J103" s="49" t="n">
        <v>1022.14</v>
      </c>
      <c r="K103" s="49" t="n">
        <v>1053.57</v>
      </c>
      <c r="L103" s="49" t="n">
        <v>1048.98</v>
      </c>
      <c r="M103" s="49" t="n">
        <v>280</v>
      </c>
      <c r="N103" s="49" t="n">
        <v>280</v>
      </c>
      <c r="O103" s="49" t="n">
        <v>280</v>
      </c>
      <c r="P103" s="49" t="n">
        <v>280</v>
      </c>
      <c r="Q103" s="49" t="n">
        <v>280</v>
      </c>
      <c r="R103" s="49" t="n">
        <v>280</v>
      </c>
      <c r="S103" s="49" t="n">
        <v>280</v>
      </c>
      <c r="T103" s="49" t="n">
        <v>280</v>
      </c>
      <c r="U103" s="49" t="n">
        <v>280</v>
      </c>
      <c r="V103" s="49" t="n">
        <v>280</v>
      </c>
      <c r="W103" s="49" t="n">
        <v>280</v>
      </c>
      <c r="X103" s="49" t="n">
        <v>280</v>
      </c>
      <c r="Y103" s="49" t="n">
        <v>280</v>
      </c>
      <c r="Z103" s="49" t="n">
        <v>280</v>
      </c>
      <c r="AA103" s="49" t="n">
        <v>280</v>
      </c>
      <c r="AB103" s="49" t="n">
        <v>280</v>
      </c>
      <c r="AC103" s="49" t="n">
        <v>280</v>
      </c>
      <c r="AD103" s="49" t="n">
        <v>280</v>
      </c>
      <c r="AE103" s="49" t="n">
        <v>280</v>
      </c>
      <c r="AF103" s="49" t="n">
        <v>280</v>
      </c>
      <c r="AG103" s="49" t="n">
        <v>760</v>
      </c>
      <c r="AH103" s="49" t="n">
        <v>280</v>
      </c>
      <c r="AI103" s="49" t="n">
        <v>280</v>
      </c>
      <c r="AJ103" s="49" t="n">
        <v>280</v>
      </c>
      <c r="AK103" s="49" t="n">
        <v>-200</v>
      </c>
      <c r="AL103" s="49" t="n">
        <v>280</v>
      </c>
      <c r="AM103" s="49" t="n">
        <v>280</v>
      </c>
      <c r="AN103" s="50">
        <f>SUM(AB103:AM103)</f>
        <v/>
      </c>
    </row>
    <row r="104">
      <c r="A104" s="47" t="inlineStr">
        <is>
          <t>adv</t>
        </is>
      </c>
      <c r="B104" s="48">
        <f>IFERROR(VLOOKUP($A104,Codes!$A:$B,2,FALSE()),"")</f>
        <v/>
      </c>
      <c r="C104" s="5" t="inlineStr">
        <is>
          <t>Prospect Refreshments</t>
        </is>
      </c>
      <c r="D104" s="49" t="n">
        <v>588.5</v>
      </c>
      <c r="E104" s="49" t="n">
        <v>507.85</v>
      </c>
      <c r="F104" s="49" t="n">
        <v>434.3</v>
      </c>
      <c r="G104" s="49" t="n">
        <v>253.18</v>
      </c>
      <c r="H104" s="49" t="n">
        <v>1558.54</v>
      </c>
      <c r="I104" s="49" t="n">
        <v>300.76</v>
      </c>
      <c r="J104" s="49" t="n">
        <v>1079.91</v>
      </c>
      <c r="K104" s="49" t="n">
        <v>328.9</v>
      </c>
      <c r="L104" s="49" t="n">
        <v>958.91</v>
      </c>
      <c r="M104" s="49" t="n">
        <v>415.73</v>
      </c>
      <c r="N104" s="49" t="n">
        <v>664.77</v>
      </c>
      <c r="O104" s="49" t="n">
        <v>1065.36</v>
      </c>
      <c r="P104" s="49" t="n">
        <v>617.1799999999999</v>
      </c>
      <c r="Q104" s="49" t="n">
        <v>435.66</v>
      </c>
      <c r="R104" s="49" t="n">
        <v>1245.65</v>
      </c>
      <c r="S104" s="49" t="n">
        <v>1059.54</v>
      </c>
      <c r="T104" s="49" t="n">
        <v>545.4400000000001</v>
      </c>
      <c r="U104" s="49" t="n">
        <v>139.34</v>
      </c>
      <c r="V104" s="49" t="n">
        <v>1069.74</v>
      </c>
      <c r="W104" s="49" t="n">
        <v>778.39</v>
      </c>
      <c r="X104" s="49" t="n">
        <v>303.01</v>
      </c>
      <c r="Y104" s="49" t="n">
        <v>972.53</v>
      </c>
      <c r="Z104" s="49" t="n">
        <v>137.84</v>
      </c>
      <c r="AA104" s="49" t="n">
        <v>124.32</v>
      </c>
      <c r="AB104" s="49" t="n">
        <v>203.88</v>
      </c>
      <c r="AC104" s="49" t="n">
        <v>122.25</v>
      </c>
      <c r="AD104" s="49" t="n">
        <v>579.38</v>
      </c>
      <c r="AE104" s="49" t="n">
        <v>1462.7</v>
      </c>
      <c r="AF104" s="49" t="n">
        <v>503.15</v>
      </c>
      <c r="AG104" s="49" t="n">
        <v>309.18</v>
      </c>
      <c r="AH104" s="49" t="n">
        <v>1145.51</v>
      </c>
      <c r="AI104" s="49" t="n">
        <v>884.6799999999999</v>
      </c>
      <c r="AJ104" s="49" t="n">
        <v>1299.62</v>
      </c>
      <c r="AK104" s="49" t="n">
        <v>348.23</v>
      </c>
      <c r="AL104" s="49" t="n">
        <v>702.09</v>
      </c>
      <c r="AM104" s="49" t="n">
        <v>211.51</v>
      </c>
      <c r="AN104" s="50">
        <f>SUM(AB104:AM104)</f>
        <v/>
      </c>
    </row>
    <row r="105">
      <c r="A105" s="47" t="inlineStr">
        <is>
          <t>adv</t>
        </is>
      </c>
      <c r="B105" s="48">
        <f>IFERROR(VLOOKUP($A105,Codes!$A:$B,2,FALSE()),"")</f>
        <v/>
      </c>
      <c r="C105" s="5" t="inlineStr">
        <is>
          <t>Resident Activities</t>
        </is>
      </c>
      <c r="D105" s="49" t="n">
        <v>0</v>
      </c>
      <c r="E105" s="49" t="n">
        <v>0</v>
      </c>
      <c r="F105" s="49" t="n">
        <v>0</v>
      </c>
      <c r="G105" s="49" t="n">
        <v>0</v>
      </c>
      <c r="H105" s="49" t="n">
        <v>0</v>
      </c>
      <c r="I105" s="49" t="n">
        <v>200</v>
      </c>
      <c r="J105" s="49" t="n">
        <v>521.3</v>
      </c>
      <c r="K105" s="49" t="n">
        <v>141.39</v>
      </c>
      <c r="L105" s="49" t="n">
        <v>0</v>
      </c>
      <c r="M105" s="49" t="n">
        <v>0</v>
      </c>
      <c r="N105" s="49" t="n">
        <v>0</v>
      </c>
      <c r="O105" s="49" t="n">
        <v>237.32</v>
      </c>
      <c r="P105" s="49" t="n">
        <v>0</v>
      </c>
      <c r="Q105" s="49" t="n">
        <v>0</v>
      </c>
      <c r="R105" s="49" t="n">
        <v>41.11</v>
      </c>
      <c r="S105" s="49" t="n">
        <v>0</v>
      </c>
      <c r="T105" s="49" t="n">
        <v>0</v>
      </c>
      <c r="U105" s="49" t="n">
        <v>156.65</v>
      </c>
      <c r="V105" s="49" t="n">
        <v>0</v>
      </c>
      <c r="W105" s="49" t="n">
        <v>0</v>
      </c>
      <c r="X105" s="49" t="n">
        <v>0</v>
      </c>
      <c r="Y105" s="49" t="n">
        <v>87.68000000000001</v>
      </c>
      <c r="Z105" s="49" t="n">
        <v>33.47</v>
      </c>
      <c r="AA105" s="49" t="n">
        <v>600</v>
      </c>
      <c r="AB105" s="49" t="n">
        <v>-592.66</v>
      </c>
      <c r="AC105" s="49" t="n">
        <v>5.28</v>
      </c>
      <c r="AD105" s="49" t="n">
        <v>292.73</v>
      </c>
      <c r="AE105" s="49" t="n">
        <v>77.31</v>
      </c>
      <c r="AF105" s="49" t="n">
        <v>0</v>
      </c>
      <c r="AG105" s="49" t="n">
        <v>0</v>
      </c>
      <c r="AH105" s="49" t="n">
        <v>125.7</v>
      </c>
      <c r="AI105" s="49" t="n">
        <v>0</v>
      </c>
      <c r="AJ105" s="49" t="n">
        <v>0</v>
      </c>
      <c r="AK105" s="49" t="n">
        <v>0</v>
      </c>
      <c r="AL105" s="49" t="n">
        <v>79.53</v>
      </c>
      <c r="AM105" s="49" t="n">
        <v>349.22</v>
      </c>
      <c r="AN105" s="50">
        <f>SUM(AB105:AM105)</f>
        <v/>
      </c>
    </row>
    <row r="106">
      <c r="A106" s="47" t="inlineStr">
        <is>
          <t>adv</t>
        </is>
      </c>
      <c r="B106" s="48">
        <f>IFERROR(VLOOKUP($A106,Codes!$A:$B,2,FALSE()),"")</f>
        <v/>
      </c>
      <c r="C106" s="5" t="inlineStr">
        <is>
          <t>Resident Retention</t>
        </is>
      </c>
      <c r="D106" s="49" t="n">
        <v>169.09</v>
      </c>
      <c r="E106" s="49" t="n">
        <v>222.35</v>
      </c>
      <c r="F106" s="49" t="n">
        <v>206.3</v>
      </c>
      <c r="G106" s="49" t="n">
        <v>660.4299999999999</v>
      </c>
      <c r="H106" s="49" t="n">
        <v>143.8</v>
      </c>
      <c r="I106" s="49" t="n">
        <v>729.34</v>
      </c>
      <c r="J106" s="49" t="n">
        <v>638.25</v>
      </c>
      <c r="K106" s="49" t="n">
        <v>229.34</v>
      </c>
      <c r="L106" s="49" t="n">
        <v>1195.97</v>
      </c>
      <c r="M106" s="49" t="n">
        <v>338.89</v>
      </c>
      <c r="N106" s="49" t="n">
        <v>412.42</v>
      </c>
      <c r="O106" s="49" t="n">
        <v>969.33</v>
      </c>
      <c r="P106" s="49" t="n">
        <v>176.37</v>
      </c>
      <c r="Q106" s="49" t="n">
        <v>-4.09</v>
      </c>
      <c r="R106" s="49" t="n">
        <v>181.5</v>
      </c>
      <c r="S106" s="49" t="n">
        <v>122.81</v>
      </c>
      <c r="T106" s="49" t="n">
        <v>178.91</v>
      </c>
      <c r="U106" s="49" t="n">
        <v>420.54</v>
      </c>
      <c r="V106" s="49" t="n">
        <v>474.45</v>
      </c>
      <c r="W106" s="49" t="n">
        <v>177.27</v>
      </c>
      <c r="X106" s="49" t="n">
        <v>182.1</v>
      </c>
      <c r="Y106" s="49" t="n">
        <v>721.87</v>
      </c>
      <c r="Z106" s="49" t="n">
        <v>155.26</v>
      </c>
      <c r="AA106" s="49" t="n">
        <v>154.1</v>
      </c>
      <c r="AB106" s="49" t="n">
        <v>183.41</v>
      </c>
      <c r="AC106" s="49" t="n">
        <v>145.24</v>
      </c>
      <c r="AD106" s="49" t="n">
        <v>145.24</v>
      </c>
      <c r="AE106" s="49" t="n">
        <v>166.33</v>
      </c>
      <c r="AF106" s="49" t="n">
        <v>150.47</v>
      </c>
      <c r="AG106" s="49" t="n">
        <v>238.33</v>
      </c>
      <c r="AH106" s="49" t="n">
        <v>135.07</v>
      </c>
      <c r="AI106" s="49" t="n">
        <v>189.91</v>
      </c>
      <c r="AJ106" s="49" t="n">
        <v>188.12</v>
      </c>
      <c r="AK106" s="49" t="n">
        <v>188.12</v>
      </c>
      <c r="AL106" s="49" t="n">
        <v>207.58</v>
      </c>
      <c r="AM106" s="49" t="n">
        <v>188.67</v>
      </c>
      <c r="AN106" s="50">
        <f>SUM(AB106:AM106)</f>
        <v/>
      </c>
    </row>
    <row r="107">
      <c r="A107" s="47" t="inlineStr">
        <is>
          <t>adv</t>
        </is>
      </c>
      <c r="B107" s="48">
        <f>IFERROR(VLOOKUP($A107,Codes!$A:$B,2,FALSE()),"")</f>
        <v/>
      </c>
      <c r="C107" s="5" t="inlineStr">
        <is>
          <t>Satisfaction Survey</t>
        </is>
      </c>
      <c r="D107" s="49" t="n">
        <v>6.4</v>
      </c>
      <c r="E107" s="49" t="n">
        <v>6.4</v>
      </c>
      <c r="F107" s="49" t="n">
        <v>6.4</v>
      </c>
      <c r="G107" s="49" t="n">
        <v>6.4</v>
      </c>
      <c r="H107" s="49" t="n">
        <v>6.4</v>
      </c>
      <c r="I107" s="49" t="n">
        <v>6.4</v>
      </c>
      <c r="J107" s="49" t="n">
        <v>6.5</v>
      </c>
      <c r="K107" s="49" t="n">
        <v>6.5</v>
      </c>
      <c r="L107" s="49" t="n">
        <v>6.5</v>
      </c>
      <c r="M107" s="49" t="n">
        <v>6.5</v>
      </c>
      <c r="N107" s="49" t="n">
        <v>6.5</v>
      </c>
      <c r="O107" s="49" t="n">
        <v>6.5</v>
      </c>
      <c r="P107" s="49" t="n">
        <v>6.5</v>
      </c>
      <c r="Q107" s="49" t="n">
        <v>6.5</v>
      </c>
      <c r="R107" s="49" t="n">
        <v>6.5</v>
      </c>
      <c r="S107" s="49" t="n">
        <v>6.5</v>
      </c>
      <c r="T107" s="49" t="n">
        <v>6.5</v>
      </c>
      <c r="U107" s="49" t="n">
        <v>6.5</v>
      </c>
      <c r="V107" s="49" t="n">
        <v>6.71</v>
      </c>
      <c r="W107" s="49" t="n">
        <v>6.71</v>
      </c>
      <c r="X107" s="49" t="n">
        <v>6.71</v>
      </c>
      <c r="Y107" s="49" t="n">
        <v>6.71</v>
      </c>
      <c r="Z107" s="49" t="n">
        <v>6.71</v>
      </c>
      <c r="AA107" s="49" t="n">
        <v>6.71</v>
      </c>
      <c r="AB107" s="49" t="n">
        <v>6.71</v>
      </c>
      <c r="AC107" s="49" t="n">
        <v>6.73</v>
      </c>
      <c r="AD107" s="49" t="n">
        <v>6.73</v>
      </c>
      <c r="AE107" s="49" t="n">
        <v>6.73</v>
      </c>
      <c r="AF107" s="49" t="n">
        <v>-2.89</v>
      </c>
      <c r="AG107" s="49" t="n">
        <v>6.73</v>
      </c>
      <c r="AH107" s="49" t="n">
        <v>-30.74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50">
        <f>SUM(AB107:AM107)</f>
        <v/>
      </c>
    </row>
    <row r="108">
      <c r="A108" s="47" t="inlineStr">
        <is>
          <t>GA</t>
        </is>
      </c>
      <c r="B108" s="48">
        <f>IFERROR(VLOOKUP($A108,Codes!$A:$B,2,FALSE()),"")</f>
        <v/>
      </c>
      <c r="C108" s="5" t="inlineStr">
        <is>
          <t>Answering / On-hold Service</t>
        </is>
      </c>
      <c r="D108" s="49" t="n">
        <v>50</v>
      </c>
      <c r="E108" s="49" t="n">
        <v>50</v>
      </c>
      <c r="F108" s="49" t="n">
        <v>50</v>
      </c>
      <c r="G108" s="49" t="n">
        <v>50</v>
      </c>
      <c r="H108" s="49" t="n">
        <v>50</v>
      </c>
      <c r="I108" s="49" t="n">
        <v>50</v>
      </c>
      <c r="J108" s="49" t="n">
        <v>50</v>
      </c>
      <c r="K108" s="49" t="n">
        <v>50</v>
      </c>
      <c r="L108" s="49" t="n">
        <v>50</v>
      </c>
      <c r="M108" s="49" t="n">
        <v>50</v>
      </c>
      <c r="N108" s="49" t="n">
        <v>50</v>
      </c>
      <c r="O108" s="49" t="n">
        <v>50</v>
      </c>
      <c r="P108" s="49" t="n">
        <v>50</v>
      </c>
      <c r="Q108" s="49" t="n">
        <v>50</v>
      </c>
      <c r="R108" s="49" t="n">
        <v>50</v>
      </c>
      <c r="S108" s="49" t="n">
        <v>50</v>
      </c>
      <c r="T108" s="49" t="n">
        <v>50</v>
      </c>
      <c r="U108" s="49" t="n">
        <v>50</v>
      </c>
      <c r="V108" s="49" t="n">
        <v>50</v>
      </c>
      <c r="W108" s="49" t="n">
        <v>50</v>
      </c>
      <c r="X108" s="49" t="n">
        <v>50</v>
      </c>
      <c r="Y108" s="49" t="n">
        <v>50</v>
      </c>
      <c r="Z108" s="49" t="n">
        <v>50</v>
      </c>
      <c r="AA108" s="49" t="n">
        <v>75.5</v>
      </c>
      <c r="AB108" s="49" t="n">
        <v>24.5</v>
      </c>
      <c r="AC108" s="49" t="n">
        <v>50</v>
      </c>
      <c r="AD108" s="49" t="n">
        <v>50</v>
      </c>
      <c r="AE108" s="49" t="n">
        <v>50</v>
      </c>
      <c r="AF108" s="49" t="n">
        <v>50</v>
      </c>
      <c r="AG108" s="49" t="n">
        <v>50</v>
      </c>
      <c r="AH108" s="49" t="n">
        <v>50</v>
      </c>
      <c r="AI108" s="49" t="n">
        <v>50</v>
      </c>
      <c r="AJ108" s="49" t="n">
        <v>50</v>
      </c>
      <c r="AK108" s="49" t="n">
        <v>50</v>
      </c>
      <c r="AL108" s="49" t="n">
        <v>50</v>
      </c>
      <c r="AM108" s="49" t="n">
        <v>50</v>
      </c>
      <c r="AN108" s="50">
        <f>SUM(AB108:AM108)</f>
        <v/>
      </c>
    </row>
    <row r="109">
      <c r="A109" s="47" t="inlineStr">
        <is>
          <t>GA</t>
        </is>
      </c>
      <c r="B109" s="48">
        <f>IFERROR(VLOOKUP($A109,Codes!$A:$B,2,FALSE()),"")</f>
        <v/>
      </c>
      <c r="C109" s="5" t="inlineStr">
        <is>
          <t>Business and Leasing Automation</t>
        </is>
      </c>
      <c r="D109" s="49" t="n">
        <v>2073.87</v>
      </c>
      <c r="E109" s="49" t="n">
        <v>2110.87</v>
      </c>
      <c r="F109" s="49" t="n">
        <v>2073.87</v>
      </c>
      <c r="G109" s="49" t="n">
        <v>2095.87</v>
      </c>
      <c r="H109" s="49" t="n">
        <v>2073.87</v>
      </c>
      <c r="I109" s="49" t="n">
        <v>2073.87</v>
      </c>
      <c r="J109" s="49" t="n">
        <v>2073.87</v>
      </c>
      <c r="K109" s="49" t="n">
        <v>2073.87</v>
      </c>
      <c r="L109" s="49" t="n">
        <v>2073.87</v>
      </c>
      <c r="M109" s="49" t="n">
        <v>4373.87</v>
      </c>
      <c r="N109" s="49" t="n">
        <v>2073.87</v>
      </c>
      <c r="O109" s="49" t="n">
        <v>2573.87</v>
      </c>
      <c r="P109" s="49" t="n">
        <v>3204.24</v>
      </c>
      <c r="Q109" s="49" t="n">
        <v>2347.43</v>
      </c>
      <c r="R109" s="49" t="n">
        <v>2630.98</v>
      </c>
      <c r="S109" s="49" t="n">
        <v>2765.24</v>
      </c>
      <c r="T109" s="49" t="n">
        <v>2765.24</v>
      </c>
      <c r="U109" s="49" t="n">
        <v>2635.24</v>
      </c>
      <c r="V109" s="49" t="n">
        <v>2765.24</v>
      </c>
      <c r="W109" s="49" t="n">
        <v>2161.51</v>
      </c>
      <c r="X109" s="49" t="n">
        <v>2167.59</v>
      </c>
      <c r="Y109" s="49" t="n">
        <v>2167.59</v>
      </c>
      <c r="Z109" s="49" t="n">
        <v>2181.8</v>
      </c>
      <c r="AA109" s="49" t="n">
        <v>2181.8</v>
      </c>
      <c r="AB109" s="49" t="n">
        <v>3377.67</v>
      </c>
      <c r="AC109" s="49" t="n">
        <v>4058.82</v>
      </c>
      <c r="AD109" s="49" t="n">
        <v>4109.01</v>
      </c>
      <c r="AE109" s="49" t="n">
        <v>5458.11</v>
      </c>
      <c r="AF109" s="49" t="n">
        <v>-3573.93</v>
      </c>
      <c r="AG109" s="51" t="n">
        <v>-8445.4</v>
      </c>
      <c r="AH109" s="49" t="n">
        <v>344.84</v>
      </c>
      <c r="AI109" s="49" t="n">
        <v>880.03</v>
      </c>
      <c r="AJ109" s="49" t="n">
        <v>83.23999999999999</v>
      </c>
      <c r="AK109" s="49" t="n">
        <v>3714.82</v>
      </c>
      <c r="AL109" s="49" t="n">
        <v>1112.03</v>
      </c>
      <c r="AM109" s="49" t="n">
        <v>877.03</v>
      </c>
      <c r="AN109" s="50">
        <f>SUM(AB109:AM109)</f>
        <v/>
      </c>
    </row>
    <row r="110">
      <c r="A110" s="47" t="inlineStr">
        <is>
          <t>GA</t>
        </is>
      </c>
      <c r="B110" s="48">
        <f>IFERROR(VLOOKUP($A110,Codes!$A:$B,2,FALSE()),"")</f>
        <v/>
      </c>
      <c r="C110" s="5" t="inlineStr">
        <is>
          <t>Revenue Management Expense</t>
        </is>
      </c>
      <c r="D110" s="49" t="n">
        <v>2269.1</v>
      </c>
      <c r="E110" s="49" t="n">
        <v>2269.1</v>
      </c>
      <c r="F110" s="49" t="n">
        <v>2269.1</v>
      </c>
      <c r="G110" s="49" t="n">
        <v>2269.1</v>
      </c>
      <c r="H110" s="49" t="n">
        <v>2269.1</v>
      </c>
      <c r="I110" s="49" t="n">
        <v>1171.05</v>
      </c>
      <c r="J110" s="49" t="n">
        <v>3367.15</v>
      </c>
      <c r="K110" s="49" t="n">
        <v>2269.1</v>
      </c>
      <c r="L110" s="49" t="n">
        <v>2269.1</v>
      </c>
      <c r="M110" s="49" t="n">
        <v>2269.1</v>
      </c>
      <c r="N110" s="49" t="n">
        <v>2269.1</v>
      </c>
      <c r="O110" s="49" t="n">
        <v>2269.1</v>
      </c>
      <c r="P110" s="49" t="n">
        <v>2252</v>
      </c>
      <c r="Q110" s="49" t="n">
        <v>2456.6</v>
      </c>
      <c r="R110" s="49" t="n">
        <v>2354.3</v>
      </c>
      <c r="S110" s="49" t="n">
        <v>2354.3</v>
      </c>
      <c r="T110" s="49" t="n">
        <v>2354.3</v>
      </c>
      <c r="U110" s="49" t="n">
        <v>2354.3</v>
      </c>
      <c r="V110" s="49" t="n">
        <v>2354.3</v>
      </c>
      <c r="W110" s="49" t="n">
        <v>2354.3</v>
      </c>
      <c r="X110" s="49" t="n">
        <v>2354.3</v>
      </c>
      <c r="Y110" s="49" t="n">
        <v>2354.3</v>
      </c>
      <c r="Z110" s="49" t="n">
        <v>2354.3</v>
      </c>
      <c r="AA110" s="49" t="n">
        <v>2354.3</v>
      </c>
      <c r="AB110" s="49" t="n">
        <v>2355.78</v>
      </c>
      <c r="AC110" s="49" t="n">
        <v>2355.78</v>
      </c>
      <c r="AD110" s="49" t="n">
        <v>2355.78</v>
      </c>
      <c r="AE110" s="49" t="n">
        <v>2355.78</v>
      </c>
      <c r="AF110" s="49" t="n">
        <v>2355.78</v>
      </c>
      <c r="AG110" s="49" t="n">
        <v>2355.78</v>
      </c>
      <c r="AH110" s="49" t="n">
        <v>2355.78</v>
      </c>
      <c r="AI110" s="49" t="n">
        <v>2355.78</v>
      </c>
      <c r="AJ110" s="49" t="n">
        <v>2355.78</v>
      </c>
      <c r="AK110" s="49" t="n">
        <v>2355.78</v>
      </c>
      <c r="AL110" s="49" t="n">
        <v>2355.78</v>
      </c>
      <c r="AM110" s="49" t="n">
        <v>2355.78</v>
      </c>
      <c r="AN110" s="50">
        <f>SUM(AB110:AM110)</f>
        <v/>
      </c>
    </row>
    <row r="111">
      <c r="A111" s="47" t="inlineStr">
        <is>
          <t>GA</t>
        </is>
      </c>
      <c r="B111" s="48">
        <f>IFERROR(VLOOKUP($A111,Codes!$A:$B,2,FALSE()),"")</f>
        <v/>
      </c>
      <c r="C111" s="5" t="inlineStr">
        <is>
          <t>Copy Machine Contract</t>
        </is>
      </c>
      <c r="D111" s="49" t="n">
        <v>267.35</v>
      </c>
      <c r="E111" s="49" t="n">
        <v>321.53</v>
      </c>
      <c r="F111" s="49" t="n">
        <v>305.42</v>
      </c>
      <c r="G111" s="49" t="n">
        <v>305.42</v>
      </c>
      <c r="H111" s="49" t="n">
        <v>312.84</v>
      </c>
      <c r="I111" s="49" t="n">
        <v>298</v>
      </c>
      <c r="J111" s="49" t="n">
        <v>305.42</v>
      </c>
      <c r="K111" s="49" t="n">
        <v>305.42</v>
      </c>
      <c r="L111" s="49" t="n">
        <v>305.42</v>
      </c>
      <c r="M111" s="49" t="n">
        <v>305.42</v>
      </c>
      <c r="N111" s="49" t="n">
        <v>305.42</v>
      </c>
      <c r="O111" s="49" t="n">
        <v>455.84</v>
      </c>
      <c r="P111" s="49" t="n">
        <v>318.34</v>
      </c>
      <c r="Q111" s="49" t="n">
        <v>305.42</v>
      </c>
      <c r="R111" s="49" t="n">
        <v>149.5</v>
      </c>
      <c r="S111" s="49" t="n">
        <v>305.42</v>
      </c>
      <c r="T111" s="49" t="n">
        <v>305.42</v>
      </c>
      <c r="U111" s="49" t="n">
        <v>305.42</v>
      </c>
      <c r="V111" s="49" t="n">
        <v>318.34</v>
      </c>
      <c r="W111" s="49" t="n">
        <v>292.5</v>
      </c>
      <c r="X111" s="49" t="n">
        <v>318.34</v>
      </c>
      <c r="Y111" s="49" t="n">
        <v>292.5</v>
      </c>
      <c r="Z111" s="49" t="n">
        <v>318.34</v>
      </c>
      <c r="AA111" s="49" t="n">
        <v>292.5</v>
      </c>
      <c r="AB111" s="49" t="n">
        <v>318.34</v>
      </c>
      <c r="AC111" s="49" t="n">
        <v>275.08</v>
      </c>
      <c r="AD111" s="49" t="n">
        <v>305.42</v>
      </c>
      <c r="AE111" s="49" t="n">
        <v>305.42</v>
      </c>
      <c r="AF111" s="49" t="n">
        <v>818.02</v>
      </c>
      <c r="AG111" s="49" t="n">
        <v>-85.18000000000001</v>
      </c>
      <c r="AH111" s="49" t="n">
        <v>166</v>
      </c>
      <c r="AI111" s="49" t="n">
        <v>322.84</v>
      </c>
      <c r="AJ111" s="49" t="n">
        <v>288</v>
      </c>
      <c r="AK111" s="49" t="n">
        <v>322.84</v>
      </c>
      <c r="AL111" s="49" t="n">
        <v>305.42</v>
      </c>
      <c r="AM111" s="49" t="n">
        <v>305.42</v>
      </c>
      <c r="AN111" s="50">
        <f>SUM(AB111:AM111)</f>
        <v/>
      </c>
    </row>
    <row r="112">
      <c r="A112" s="47" t="inlineStr">
        <is>
          <t>GA</t>
        </is>
      </c>
      <c r="B112" s="48">
        <f>IFERROR(VLOOKUP($A112,Codes!$A:$B,2,FALSE()),"")</f>
        <v/>
      </c>
      <c r="C112" s="5" t="inlineStr">
        <is>
          <t>Office Supplies</t>
        </is>
      </c>
      <c r="D112" s="49" t="n">
        <v>79.19</v>
      </c>
      <c r="E112" s="49" t="n">
        <v>374.07</v>
      </c>
      <c r="F112" s="49" t="n">
        <v>195.6</v>
      </c>
      <c r="G112" s="49" t="n">
        <v>303.75</v>
      </c>
      <c r="H112" s="49" t="n">
        <v>461.48</v>
      </c>
      <c r="I112" s="49" t="n">
        <v>248.21</v>
      </c>
      <c r="J112" s="49" t="n">
        <v>79.33</v>
      </c>
      <c r="K112" s="49" t="n">
        <v>413.61</v>
      </c>
      <c r="L112" s="49" t="n">
        <v>0</v>
      </c>
      <c r="M112" s="49" t="n">
        <v>338.87</v>
      </c>
      <c r="N112" s="49" t="n">
        <v>271.08</v>
      </c>
      <c r="O112" s="49" t="n">
        <v>515.53</v>
      </c>
      <c r="P112" s="49" t="n">
        <v>160.08</v>
      </c>
      <c r="Q112" s="49" t="n">
        <v>224.77</v>
      </c>
      <c r="R112" s="49" t="n">
        <v>71.59</v>
      </c>
      <c r="S112" s="49" t="n">
        <v>232.2</v>
      </c>
      <c r="T112" s="49" t="n">
        <v>188.52</v>
      </c>
      <c r="U112" s="49" t="n">
        <v>285.61</v>
      </c>
      <c r="V112" s="49" t="n">
        <v>219.6</v>
      </c>
      <c r="W112" s="49" t="n">
        <v>514.91</v>
      </c>
      <c r="X112" s="49" t="n">
        <v>663.47</v>
      </c>
      <c r="Y112" s="49" t="n">
        <v>1008.25</v>
      </c>
      <c r="Z112" s="49" t="n">
        <v>331.96</v>
      </c>
      <c r="AA112" s="49" t="n">
        <v>401.19</v>
      </c>
      <c r="AB112" s="49" t="n">
        <v>260.05</v>
      </c>
      <c r="AC112" s="49" t="n">
        <v>74.13</v>
      </c>
      <c r="AD112" s="49" t="n">
        <v>354.8</v>
      </c>
      <c r="AE112" s="49" t="n">
        <v>516.83</v>
      </c>
      <c r="AF112" s="49" t="n">
        <v>306.86</v>
      </c>
      <c r="AG112" s="49" t="n">
        <v>641.1799999999999</v>
      </c>
      <c r="AH112" s="49" t="n">
        <v>723.86</v>
      </c>
      <c r="AI112" s="49" t="n">
        <v>-6.64</v>
      </c>
      <c r="AJ112" s="49" t="n">
        <v>290.5</v>
      </c>
      <c r="AK112" s="49" t="n">
        <v>309.21</v>
      </c>
      <c r="AL112" s="49" t="n">
        <v>129.49</v>
      </c>
      <c r="AM112" s="49" t="n">
        <v>431.64</v>
      </c>
      <c r="AN112" s="50">
        <f>SUM(AB112:AM112)</f>
        <v/>
      </c>
    </row>
    <row r="113">
      <c r="A113" s="47" t="inlineStr">
        <is>
          <t>GA</t>
        </is>
      </c>
      <c r="B113" s="48">
        <f>IFERROR(VLOOKUP($A113,Codes!$A:$B,2,FALSE()),"")</f>
        <v/>
      </c>
      <c r="C113" s="5" t="inlineStr">
        <is>
          <t>Cellular Phones / Pagers / Radios</t>
        </is>
      </c>
      <c r="D113" s="49" t="n">
        <v>0</v>
      </c>
      <c r="E113" s="49" t="n">
        <v>0</v>
      </c>
      <c r="F113" s="49" t="n">
        <v>650</v>
      </c>
      <c r="G113" s="49" t="n">
        <v>700</v>
      </c>
      <c r="H113" s="49" t="n">
        <v>700</v>
      </c>
      <c r="I113" s="49" t="n">
        <v>650</v>
      </c>
      <c r="J113" s="49" t="n">
        <v>700</v>
      </c>
      <c r="K113" s="49" t="n">
        <v>700</v>
      </c>
      <c r="L113" s="49" t="n">
        <v>700</v>
      </c>
      <c r="M113" s="49" t="n">
        <v>2100</v>
      </c>
      <c r="N113" s="49" t="n">
        <v>-700</v>
      </c>
      <c r="O113" s="49" t="n">
        <v>700</v>
      </c>
      <c r="P113" s="49" t="n">
        <v>700</v>
      </c>
      <c r="Q113" s="49" t="n">
        <v>700</v>
      </c>
      <c r="R113" s="49" t="n">
        <v>700</v>
      </c>
      <c r="S113" s="49" t="n">
        <v>700</v>
      </c>
      <c r="T113" s="49" t="n">
        <v>700</v>
      </c>
      <c r="U113" s="49" t="n">
        <v>700</v>
      </c>
      <c r="V113" s="49" t="n">
        <v>700</v>
      </c>
      <c r="W113" s="49" t="n">
        <v>600</v>
      </c>
      <c r="X113" s="49" t="n">
        <v>650</v>
      </c>
      <c r="Y113" s="49" t="n">
        <v>650</v>
      </c>
      <c r="Z113" s="49" t="n">
        <v>650</v>
      </c>
      <c r="AA113" s="49" t="n">
        <v>650</v>
      </c>
      <c r="AB113" s="49" t="n">
        <v>650</v>
      </c>
      <c r="AC113" s="49" t="n">
        <v>700</v>
      </c>
      <c r="AD113" s="49" t="n">
        <v>650</v>
      </c>
      <c r="AE113" s="49" t="n">
        <v>650</v>
      </c>
      <c r="AF113" s="49" t="n">
        <v>600</v>
      </c>
      <c r="AG113" s="49" t="n">
        <v>650</v>
      </c>
      <c r="AH113" s="49" t="n">
        <v>700</v>
      </c>
      <c r="AI113" s="49" t="n">
        <v>700</v>
      </c>
      <c r="AJ113" s="49" t="n">
        <v>650</v>
      </c>
      <c r="AK113" s="49" t="n">
        <v>650</v>
      </c>
      <c r="AL113" s="49" t="n">
        <v>650</v>
      </c>
      <c r="AM113" s="49" t="n">
        <v>700</v>
      </c>
      <c r="AN113" s="50">
        <f>SUM(AB113:AM113)</f>
        <v/>
      </c>
    </row>
    <row r="114">
      <c r="A114" s="47" t="inlineStr">
        <is>
          <t>GA</t>
        </is>
      </c>
      <c r="B114" s="48">
        <f>IFERROR(VLOOKUP($A114,Codes!$A:$B,2,FALSE()),"")</f>
        <v/>
      </c>
      <c r="C114" s="5" t="inlineStr">
        <is>
          <t>Postage &amp; Delivery</t>
        </is>
      </c>
      <c r="D114" s="49" t="n">
        <v>0</v>
      </c>
      <c r="E114" s="49" t="n">
        <v>91.34999999999999</v>
      </c>
      <c r="F114" s="49" t="n">
        <v>4.78</v>
      </c>
      <c r="G114" s="49" t="n">
        <v>14.34</v>
      </c>
      <c r="H114" s="49" t="n">
        <v>97.59999999999999</v>
      </c>
      <c r="I114" s="49" t="n">
        <v>18.27</v>
      </c>
      <c r="J114" s="49" t="n">
        <v>24.05</v>
      </c>
      <c r="K114" s="49" t="n">
        <v>27.09</v>
      </c>
      <c r="L114" s="49" t="n">
        <v>21.42</v>
      </c>
      <c r="M114" s="49" t="n">
        <v>25.77</v>
      </c>
      <c r="N114" s="49" t="n">
        <v>27.72</v>
      </c>
      <c r="O114" s="49" t="n">
        <v>24.27</v>
      </c>
      <c r="P114" s="49" t="n">
        <v>15.12</v>
      </c>
      <c r="Q114" s="49" t="n">
        <v>25.83</v>
      </c>
      <c r="R114" s="49" t="n">
        <v>43.47</v>
      </c>
      <c r="S114" s="49" t="n">
        <v>23.04</v>
      </c>
      <c r="T114" s="49" t="n">
        <v>18.27</v>
      </c>
      <c r="U114" s="49" t="n">
        <v>9.449999999999999</v>
      </c>
      <c r="V114" s="49" t="n">
        <v>19.35</v>
      </c>
      <c r="W114" s="49" t="n">
        <v>31.38</v>
      </c>
      <c r="X114" s="49" t="n">
        <v>17.01</v>
      </c>
      <c r="Y114" s="49" t="n">
        <v>11.97</v>
      </c>
      <c r="Z114" s="49" t="n">
        <v>30</v>
      </c>
      <c r="AA114" s="49" t="n">
        <v>41.17</v>
      </c>
      <c r="AB114" s="49" t="n">
        <v>23.31</v>
      </c>
      <c r="AC114" s="49" t="n">
        <v>29.61</v>
      </c>
      <c r="AD114" s="49" t="n">
        <v>17.01</v>
      </c>
      <c r="AE114" s="49" t="n">
        <v>18.27</v>
      </c>
      <c r="AF114" s="49" t="n">
        <v>20.79</v>
      </c>
      <c r="AG114" s="49" t="n">
        <v>27.72</v>
      </c>
      <c r="AH114" s="49" t="n">
        <v>15.12</v>
      </c>
      <c r="AI114" s="49" t="n">
        <v>20.16</v>
      </c>
      <c r="AJ114" s="49" t="n">
        <v>28.35</v>
      </c>
      <c r="AK114" s="49" t="n">
        <v>27.09</v>
      </c>
      <c r="AL114" s="49" t="n">
        <v>21.42</v>
      </c>
      <c r="AM114" s="49" t="n">
        <v>92.02</v>
      </c>
      <c r="AN114" s="50">
        <f>SUM(AB114:AM114)</f>
        <v/>
      </c>
    </row>
    <row r="115">
      <c r="A115" s="47" t="inlineStr">
        <is>
          <t>GA</t>
        </is>
      </c>
      <c r="B115" s="48">
        <f>IFERROR(VLOOKUP($A115,Codes!$A:$B,2,FALSE()),"")</f>
        <v/>
      </c>
      <c r="C115" s="5" t="inlineStr">
        <is>
          <t>Resident Screening</t>
        </is>
      </c>
      <c r="D115" s="49" t="n">
        <v>972</v>
      </c>
      <c r="E115" s="49" t="n">
        <v>852</v>
      </c>
      <c r="F115" s="49" t="n">
        <v>0</v>
      </c>
      <c r="G115" s="49" t="n">
        <v>0</v>
      </c>
      <c r="H115" s="49" t="n">
        <v>0</v>
      </c>
      <c r="I115" s="49" t="n">
        <v>3379</v>
      </c>
      <c r="J115" s="49" t="n">
        <v>1366</v>
      </c>
      <c r="K115" s="49" t="n">
        <v>533</v>
      </c>
      <c r="L115" s="49" t="n">
        <v>741</v>
      </c>
      <c r="M115" s="49" t="n">
        <v>1261</v>
      </c>
      <c r="N115" s="49" t="n">
        <v>416</v>
      </c>
      <c r="O115" s="49" t="n">
        <v>845</v>
      </c>
      <c r="P115" s="49" t="n">
        <v>806</v>
      </c>
      <c r="Q115" s="49" t="n">
        <v>1040</v>
      </c>
      <c r="R115" s="49" t="n">
        <v>832</v>
      </c>
      <c r="S115" s="49" t="n">
        <v>1092</v>
      </c>
      <c r="T115" s="49" t="n">
        <v>624</v>
      </c>
      <c r="U115" s="49" t="n">
        <v>1610.49</v>
      </c>
      <c r="V115" s="49" t="n">
        <v>1579.5</v>
      </c>
      <c r="W115" s="49" t="n">
        <v>2385.5</v>
      </c>
      <c r="X115" s="49" t="n">
        <v>1891.5</v>
      </c>
      <c r="Y115" s="49" t="n">
        <v>1995.5</v>
      </c>
      <c r="Z115" s="49" t="n">
        <v>1378</v>
      </c>
      <c r="AA115" s="49" t="n">
        <v>1660.75</v>
      </c>
      <c r="AB115" s="49" t="n">
        <v>2363.4</v>
      </c>
      <c r="AC115" s="49" t="n">
        <v>2129.4</v>
      </c>
      <c r="AD115" s="49" t="n">
        <v>2292.4</v>
      </c>
      <c r="AE115" s="49" t="n">
        <v>1497.4</v>
      </c>
      <c r="AF115" s="49" t="n">
        <v>2841.4</v>
      </c>
      <c r="AG115" s="49" t="n">
        <v>1743.4</v>
      </c>
      <c r="AH115" s="49" t="n">
        <v>3897.4</v>
      </c>
      <c r="AI115" s="49" t="n">
        <v>1972.4</v>
      </c>
      <c r="AJ115" s="49" t="n">
        <v>2307.4</v>
      </c>
      <c r="AK115" s="49" t="n">
        <v>1917.4</v>
      </c>
      <c r="AL115" s="49" t="n">
        <v>1632.4</v>
      </c>
      <c r="AM115" s="49" t="n">
        <v>1922.4</v>
      </c>
      <c r="AN115" s="50">
        <f>SUM(AB115:AM115)</f>
        <v/>
      </c>
    </row>
    <row r="116">
      <c r="A116" s="47" t="inlineStr">
        <is>
          <t>GA</t>
        </is>
      </c>
      <c r="B116" s="48">
        <f>IFERROR(VLOOKUP($A116,Codes!$A:$B,2,FALSE()),"")</f>
        <v/>
      </c>
      <c r="C116" s="5" t="inlineStr">
        <is>
          <t>Telephone Expense</t>
        </is>
      </c>
      <c r="D116" s="49" t="n">
        <v>1707</v>
      </c>
      <c r="E116" s="49" t="n">
        <v>505.78</v>
      </c>
      <c r="F116" s="49" t="n">
        <v>1962.96</v>
      </c>
      <c r="G116" s="49" t="n">
        <v>502.09</v>
      </c>
      <c r="H116" s="49" t="n">
        <v>1947.17</v>
      </c>
      <c r="I116" s="49" t="n">
        <v>974.84</v>
      </c>
      <c r="J116" s="49" t="n">
        <v>1474.97</v>
      </c>
      <c r="K116" s="49" t="n">
        <v>1339.39</v>
      </c>
      <c r="L116" s="49" t="n">
        <v>1222</v>
      </c>
      <c r="M116" s="49" t="n">
        <v>810.24</v>
      </c>
      <c r="N116" s="49" t="n">
        <v>65.81</v>
      </c>
      <c r="O116" s="49" t="n">
        <v>1688.65</v>
      </c>
      <c r="P116" s="49" t="n">
        <v>1468.94</v>
      </c>
      <c r="Q116" s="49" t="n">
        <v>1239.56</v>
      </c>
      <c r="R116" s="49" t="n">
        <v>221.12</v>
      </c>
      <c r="S116" s="49" t="n">
        <v>2256.44</v>
      </c>
      <c r="T116" s="49" t="n">
        <v>983.17</v>
      </c>
      <c r="U116" s="49" t="n">
        <v>1234.91</v>
      </c>
      <c r="V116" s="49" t="n">
        <v>1491.01</v>
      </c>
      <c r="W116" s="49" t="n">
        <v>986.67</v>
      </c>
      <c r="X116" s="49" t="n">
        <v>1491.79</v>
      </c>
      <c r="Y116" s="49" t="n">
        <v>1242.65</v>
      </c>
      <c r="Z116" s="49" t="n">
        <v>989.73</v>
      </c>
      <c r="AA116" s="49" t="n">
        <v>1076.57</v>
      </c>
      <c r="AB116" s="49" t="n">
        <v>704.5599999999999</v>
      </c>
      <c r="AC116" s="49" t="n">
        <v>792.5</v>
      </c>
      <c r="AD116" s="49" t="n">
        <v>1244.36</v>
      </c>
      <c r="AE116" s="49" t="n">
        <v>791.61</v>
      </c>
      <c r="AF116" s="49" t="n">
        <v>1244.1</v>
      </c>
      <c r="AG116" s="49" t="n">
        <v>2234.81</v>
      </c>
      <c r="AH116" s="49" t="n">
        <v>1527.17</v>
      </c>
      <c r="AI116" s="49" t="n">
        <v>1273.78</v>
      </c>
      <c r="AJ116" s="49" t="n">
        <v>1007.65</v>
      </c>
      <c r="AK116" s="49" t="n">
        <v>583.11</v>
      </c>
      <c r="AL116" s="49" t="n">
        <v>1044.77</v>
      </c>
      <c r="AM116" s="49" t="n">
        <v>1058.54</v>
      </c>
      <c r="AN116" s="50">
        <f>SUM(AB116:AM116)</f>
        <v/>
      </c>
    </row>
    <row r="117">
      <c r="A117" s="47" t="inlineStr">
        <is>
          <t>GA</t>
        </is>
      </c>
      <c r="B117" s="48">
        <f>IFERROR(VLOOKUP($A117,Codes!$A:$B,2,FALSE()),"")</f>
        <v/>
      </c>
      <c r="C117" s="5" t="inlineStr">
        <is>
          <t>Software Licenses / Maintenance Fees</t>
        </is>
      </c>
      <c r="D117" s="49" t="n">
        <v>200</v>
      </c>
      <c r="E117" s="49" t="n">
        <v>200</v>
      </c>
      <c r="F117" s="49" t="n">
        <v>200</v>
      </c>
      <c r="G117" s="49" t="n">
        <v>200</v>
      </c>
      <c r="H117" s="51" t="n">
        <v>2312.5</v>
      </c>
      <c r="I117" s="49" t="n">
        <v>250</v>
      </c>
      <c r="J117" s="49" t="n">
        <v>250</v>
      </c>
      <c r="K117" s="49" t="n">
        <v>250</v>
      </c>
      <c r="L117" s="49" t="n">
        <v>250</v>
      </c>
      <c r="M117" s="51" t="n">
        <v>-2050</v>
      </c>
      <c r="N117" s="49" t="n">
        <v>250</v>
      </c>
      <c r="O117" s="49" t="n">
        <v>250</v>
      </c>
      <c r="P117" s="49" t="n">
        <v>0</v>
      </c>
      <c r="Q117" s="49" t="n">
        <v>0</v>
      </c>
      <c r="R117" s="49" t="n">
        <v>130</v>
      </c>
      <c r="S117" s="49" t="n">
        <v>0</v>
      </c>
      <c r="T117" s="51" t="n">
        <v>2062.5</v>
      </c>
      <c r="U117" s="49" t="n">
        <v>130</v>
      </c>
      <c r="V117" s="49" t="n">
        <v>0</v>
      </c>
      <c r="W117" s="49" t="n">
        <v>250</v>
      </c>
      <c r="X117" s="49" t="n">
        <v>250</v>
      </c>
      <c r="Y117" s="49" t="n">
        <v>250</v>
      </c>
      <c r="Z117" s="49" t="n">
        <v>948.04</v>
      </c>
      <c r="AA117" s="49" t="n">
        <v>250</v>
      </c>
      <c r="AB117" s="49" t="n">
        <v>275</v>
      </c>
      <c r="AC117" s="49" t="n">
        <v>275</v>
      </c>
      <c r="AD117" s="49" t="n">
        <v>275</v>
      </c>
      <c r="AE117" s="49" t="n">
        <v>353.65</v>
      </c>
      <c r="AF117" s="51" t="n">
        <v>4182.21</v>
      </c>
      <c r="AG117" s="51" t="n">
        <v>6335.14</v>
      </c>
      <c r="AH117" s="51" t="n">
        <v>2139.62</v>
      </c>
      <c r="AI117" s="51" t="n">
        <v>2060.97</v>
      </c>
      <c r="AJ117" s="51" t="n">
        <v>2086.11</v>
      </c>
      <c r="AK117" s="51" t="n">
        <v>2076.75</v>
      </c>
      <c r="AL117" s="51" t="n">
        <v>2076.75</v>
      </c>
      <c r="AM117" s="51" t="n">
        <v>2076.75</v>
      </c>
      <c r="AN117" s="50">
        <f>SUM(AB117:AM117)</f>
        <v/>
      </c>
    </row>
    <row r="118">
      <c r="A118" s="47" t="inlineStr">
        <is>
          <t>GA</t>
        </is>
      </c>
      <c r="B118" s="48">
        <f>IFERROR(VLOOKUP($A118,Codes!$A:$B,2,FALSE()),"")</f>
        <v/>
      </c>
      <c r="C118" s="5" t="inlineStr">
        <is>
          <t>Assoc. Fees / Membership Dues</t>
        </is>
      </c>
      <c r="D118" s="49" t="n">
        <v>3317.5</v>
      </c>
      <c r="E118" s="49" t="n">
        <v>0</v>
      </c>
      <c r="F118" s="49" t="n">
        <v>0</v>
      </c>
      <c r="G118" s="49" t="n">
        <v>0</v>
      </c>
      <c r="H118" s="49" t="n">
        <v>0</v>
      </c>
      <c r="I118" s="49" t="n">
        <v>0</v>
      </c>
      <c r="J118" s="49" t="n">
        <v>0</v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3217.5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3317.5</v>
      </c>
      <c r="AC118" s="49" t="n">
        <v>0</v>
      </c>
      <c r="AD118" s="49" t="n">
        <v>0</v>
      </c>
      <c r="AE118" s="49" t="n">
        <v>0</v>
      </c>
      <c r="AF118" s="49" t="n">
        <v>2169.75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630</v>
      </c>
      <c r="AL118" s="49" t="n">
        <v>0</v>
      </c>
      <c r="AM118" s="49" t="n">
        <v>0</v>
      </c>
      <c r="AN118" s="50">
        <f>SUM(AB118:AM118)</f>
        <v/>
      </c>
    </row>
    <row r="119">
      <c r="A119" s="47" t="inlineStr">
        <is>
          <t>GA</t>
        </is>
      </c>
      <c r="B119" s="48">
        <f>IFERROR(VLOOKUP($A119,Codes!$A:$B,2,FALSE()),"")</f>
        <v/>
      </c>
      <c r="C119" s="5" t="inlineStr">
        <is>
          <t>Bank Charges</t>
        </is>
      </c>
      <c r="D119" s="49" t="n">
        <v>1353.01</v>
      </c>
      <c r="E119" s="49" t="n">
        <v>1412.67</v>
      </c>
      <c r="F119" s="49" t="n">
        <v>1150.73</v>
      </c>
      <c r="G119" s="49" t="n">
        <v>1350.09</v>
      </c>
      <c r="H119" s="49" t="n">
        <v>1348.56</v>
      </c>
      <c r="I119" s="49" t="n">
        <v>1491.93</v>
      </c>
      <c r="J119" s="49" t="n">
        <v>1133.94</v>
      </c>
      <c r="K119" s="49" t="n">
        <v>1501.82</v>
      </c>
      <c r="L119" s="49" t="n">
        <v>1588.04</v>
      </c>
      <c r="M119" s="49" t="n">
        <v>1312.58</v>
      </c>
      <c r="N119" s="49" t="n">
        <v>1538.87</v>
      </c>
      <c r="O119" s="49" t="n">
        <v>1348.77</v>
      </c>
      <c r="P119" s="49" t="n">
        <v>1241.89</v>
      </c>
      <c r="Q119" s="49" t="n">
        <v>1079.75</v>
      </c>
      <c r="R119" s="49" t="n">
        <v>1139.66</v>
      </c>
      <c r="S119" s="49" t="n">
        <v>1006.49</v>
      </c>
      <c r="T119" s="49" t="n">
        <v>962.26</v>
      </c>
      <c r="U119" s="49" t="n">
        <v>927.85</v>
      </c>
      <c r="V119" s="49" t="n">
        <v>1093.07</v>
      </c>
      <c r="W119" s="49" t="n">
        <v>1015.1</v>
      </c>
      <c r="X119" s="49" t="n">
        <v>1112.84</v>
      </c>
      <c r="Y119" s="49" t="n">
        <v>1105.87</v>
      </c>
      <c r="Z119" s="49" t="n">
        <v>1023.25</v>
      </c>
      <c r="AA119" s="49" t="n">
        <v>1139.43</v>
      </c>
      <c r="AB119" s="49" t="n">
        <v>1190.74</v>
      </c>
      <c r="AC119" s="49" t="n">
        <v>1155.15</v>
      </c>
      <c r="AD119" s="49" t="n">
        <v>994.97</v>
      </c>
      <c r="AE119" s="49" t="n">
        <v>1055.87</v>
      </c>
      <c r="AF119" s="49" t="n">
        <v>1171.19</v>
      </c>
      <c r="AG119" s="49" t="n">
        <v>911.21</v>
      </c>
      <c r="AH119" s="49" t="n">
        <v>1079.33</v>
      </c>
      <c r="AI119" s="49" t="n">
        <v>994.61</v>
      </c>
      <c r="AJ119" s="49" t="n">
        <v>1063.46</v>
      </c>
      <c r="AK119" s="49" t="n">
        <v>1098.37</v>
      </c>
      <c r="AL119" s="49" t="n">
        <v>958.85</v>
      </c>
      <c r="AM119" s="49" t="n">
        <v>982.36</v>
      </c>
      <c r="AN119" s="50">
        <f>SUM(AB119:AM119)</f>
        <v/>
      </c>
    </row>
    <row r="120">
      <c r="A120" s="47" t="inlineStr">
        <is>
          <t>GA</t>
        </is>
      </c>
      <c r="B120" s="48">
        <f>IFERROR(VLOOKUP($A120,Codes!$A:$B,2,FALSE()),"")</f>
        <v/>
      </c>
      <c r="C120" s="5" t="inlineStr">
        <is>
          <t>Computer Expense</t>
        </is>
      </c>
      <c r="D120" s="49" t="n">
        <v>860</v>
      </c>
      <c r="E120" s="49" t="n">
        <v>860</v>
      </c>
      <c r="F120" s="49" t="n">
        <v>860</v>
      </c>
      <c r="G120" s="49" t="n">
        <v>860</v>
      </c>
      <c r="H120" s="49" t="n">
        <v>860</v>
      </c>
      <c r="I120" s="49" t="n">
        <v>860</v>
      </c>
      <c r="J120" s="49" t="n">
        <v>860</v>
      </c>
      <c r="K120" s="49" t="n">
        <v>860</v>
      </c>
      <c r="L120" s="49" t="n">
        <v>860</v>
      </c>
      <c r="M120" s="49" t="n">
        <v>860</v>
      </c>
      <c r="N120" s="49" t="n">
        <v>860</v>
      </c>
      <c r="O120" s="49" t="n">
        <v>860</v>
      </c>
      <c r="P120" s="49" t="n">
        <v>860</v>
      </c>
      <c r="Q120" s="49" t="n">
        <v>860</v>
      </c>
      <c r="R120" s="49" t="n">
        <v>860</v>
      </c>
      <c r="S120" s="49" t="n">
        <v>860</v>
      </c>
      <c r="T120" s="49" t="n">
        <v>860</v>
      </c>
      <c r="U120" s="49" t="n">
        <v>860</v>
      </c>
      <c r="V120" s="49" t="n">
        <v>860</v>
      </c>
      <c r="W120" s="49" t="n">
        <v>860</v>
      </c>
      <c r="X120" s="49" t="n">
        <v>860</v>
      </c>
      <c r="Y120" s="49" t="n">
        <v>860</v>
      </c>
      <c r="Z120" s="49" t="n">
        <v>860</v>
      </c>
      <c r="AA120" s="49" t="n">
        <v>860</v>
      </c>
      <c r="AB120" s="49" t="n">
        <v>860</v>
      </c>
      <c r="AC120" s="49" t="n">
        <v>860</v>
      </c>
      <c r="AD120" s="49" t="n">
        <v>860</v>
      </c>
      <c r="AE120" s="49" t="n">
        <v>860</v>
      </c>
      <c r="AF120" s="49" t="n">
        <v>860</v>
      </c>
      <c r="AG120" s="49" t="n">
        <v>2831</v>
      </c>
      <c r="AH120" s="49" t="n">
        <v>-1111</v>
      </c>
      <c r="AI120" s="49" t="n">
        <v>860</v>
      </c>
      <c r="AJ120" s="49" t="n">
        <v>860</v>
      </c>
      <c r="AK120" s="49" t="n">
        <v>860</v>
      </c>
      <c r="AL120" s="49" t="n">
        <v>860</v>
      </c>
      <c r="AM120" s="49" t="n">
        <v>860</v>
      </c>
      <c r="AN120" s="50">
        <f>SUM(AB120:AM120)</f>
        <v/>
      </c>
    </row>
    <row r="121">
      <c r="A121" s="47" t="inlineStr">
        <is>
          <t>GA</t>
        </is>
      </c>
      <c r="B121" s="48">
        <f>IFERROR(VLOOKUP($A121,Codes!$A:$B,2,FALSE()),"")</f>
        <v/>
      </c>
      <c r="C121" s="5" t="inlineStr">
        <is>
          <t>Employee Meetings</t>
        </is>
      </c>
      <c r="D121" s="49" t="n">
        <v>0</v>
      </c>
      <c r="E121" s="49" t="n">
        <v>235.6</v>
      </c>
      <c r="F121" s="49" t="n">
        <v>0</v>
      </c>
      <c r="G121" s="49" t="n">
        <v>327.83</v>
      </c>
      <c r="H121" s="49" t="n">
        <v>225.75</v>
      </c>
      <c r="I121" s="49" t="n">
        <v>240.65</v>
      </c>
      <c r="J121" s="49" t="n">
        <v>550.6799999999999</v>
      </c>
      <c r="K121" s="49" t="n">
        <v>432.16</v>
      </c>
      <c r="L121" s="49" t="n">
        <v>280.66</v>
      </c>
      <c r="M121" s="49" t="n">
        <v>207.4</v>
      </c>
      <c r="N121" s="49" t="n">
        <v>257.92</v>
      </c>
      <c r="O121" s="49" t="n">
        <v>625.73</v>
      </c>
      <c r="P121" s="49" t="n">
        <v>-252.4</v>
      </c>
      <c r="Q121" s="49" t="n">
        <v>344.87</v>
      </c>
      <c r="R121" s="49" t="n">
        <v>722.72</v>
      </c>
      <c r="S121" s="49" t="n">
        <v>304.26</v>
      </c>
      <c r="T121" s="49" t="n">
        <v>0</v>
      </c>
      <c r="U121" s="49" t="n">
        <v>0</v>
      </c>
      <c r="V121" s="49" t="n">
        <v>272.7</v>
      </c>
      <c r="W121" s="49" t="n">
        <v>730.99</v>
      </c>
      <c r="X121" s="49" t="n">
        <v>124.73</v>
      </c>
      <c r="Y121" s="49" t="n">
        <v>749.8</v>
      </c>
      <c r="Z121" s="49" t="n">
        <v>78.48999999999999</v>
      </c>
      <c r="AA121" s="49" t="n">
        <v>802.3</v>
      </c>
      <c r="AB121" s="49" t="n">
        <v>-219</v>
      </c>
      <c r="AC121" s="49" t="n">
        <v>118.79</v>
      </c>
      <c r="AD121" s="49" t="n">
        <v>223.58</v>
      </c>
      <c r="AE121" s="49" t="n">
        <v>509.76</v>
      </c>
      <c r="AF121" s="49" t="n">
        <v>17.94</v>
      </c>
      <c r="AG121" s="49" t="n">
        <v>98.09</v>
      </c>
      <c r="AH121" s="49" t="n">
        <v>573.67</v>
      </c>
      <c r="AI121" s="49" t="n">
        <v>91.06999999999999</v>
      </c>
      <c r="AJ121" s="49" t="n">
        <v>372.36</v>
      </c>
      <c r="AK121" s="49" t="n">
        <v>0</v>
      </c>
      <c r="AL121" s="49" t="n">
        <v>978.04</v>
      </c>
      <c r="AM121" s="49" t="n">
        <v>1105.13</v>
      </c>
      <c r="AN121" s="50">
        <f>SUM(AB121:AM121)</f>
        <v/>
      </c>
    </row>
    <row r="122">
      <c r="A122" s="47" t="inlineStr">
        <is>
          <t>GA</t>
        </is>
      </c>
      <c r="B122" s="48">
        <f>IFERROR(VLOOKUP($A122,Codes!$A:$B,2,FALSE()),"")</f>
        <v/>
      </c>
      <c r="C122" s="5" t="inlineStr">
        <is>
          <t>Employee Recruitment</t>
        </is>
      </c>
      <c r="D122" s="49" t="n">
        <v>114.78</v>
      </c>
      <c r="E122" s="49" t="n">
        <v>551.3200000000001</v>
      </c>
      <c r="F122" s="49" t="n">
        <v>58.89</v>
      </c>
      <c r="G122" s="49" t="n">
        <v>59.15</v>
      </c>
      <c r="H122" s="49" t="n">
        <v>0</v>
      </c>
      <c r="I122" s="49" t="n">
        <v>0</v>
      </c>
      <c r="J122" s="49" t="n">
        <v>0</v>
      </c>
      <c r="K122" s="49" t="n">
        <v>61.93</v>
      </c>
      <c r="L122" s="49" t="n">
        <v>368.09</v>
      </c>
      <c r="M122" s="49" t="n">
        <v>354.71</v>
      </c>
      <c r="N122" s="49" t="n">
        <v>-183.1</v>
      </c>
      <c r="O122" s="49" t="n">
        <v>291</v>
      </c>
      <c r="P122" s="49" t="n">
        <v>0</v>
      </c>
      <c r="Q122" s="49" t="n">
        <v>0</v>
      </c>
      <c r="R122" s="49" t="n">
        <v>0</v>
      </c>
      <c r="S122" s="49" t="n">
        <v>158.66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668.78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356.49</v>
      </c>
      <c r="AD122" s="49" t="n">
        <v>0</v>
      </c>
      <c r="AE122" s="49" t="n">
        <v>0</v>
      </c>
      <c r="AF122" s="49" t="n">
        <v>137.08</v>
      </c>
      <c r="AG122" s="49" t="n">
        <v>56.44</v>
      </c>
      <c r="AH122" s="49" t="n">
        <v>0</v>
      </c>
      <c r="AI122" s="49" t="n">
        <v>0</v>
      </c>
      <c r="AJ122" s="49" t="n">
        <v>103.67</v>
      </c>
      <c r="AK122" s="49" t="n">
        <v>0</v>
      </c>
      <c r="AL122" s="49" t="n">
        <v>0</v>
      </c>
      <c r="AM122" s="49" t="n">
        <v>0</v>
      </c>
      <c r="AN122" s="50">
        <f>SUM(AB122:AM122)</f>
        <v/>
      </c>
    </row>
    <row r="123">
      <c r="A123" s="47" t="inlineStr">
        <is>
          <t>GA</t>
        </is>
      </c>
      <c r="B123" s="48">
        <f>IFERROR(VLOOKUP($A123,Codes!$A:$B,2,FALSE()),"")</f>
        <v/>
      </c>
      <c r="C123" s="5" t="inlineStr">
        <is>
          <t>Employee Recognition</t>
        </is>
      </c>
      <c r="D123" s="49" t="n">
        <v>0.01</v>
      </c>
      <c r="E123" s="49" t="n">
        <v>85</v>
      </c>
      <c r="F123" s="49" t="n">
        <v>17.4</v>
      </c>
      <c r="G123" s="51" t="n">
        <v>2503.26</v>
      </c>
      <c r="H123" s="49" t="n">
        <v>2.01</v>
      </c>
      <c r="I123" s="49" t="n">
        <v>1.97</v>
      </c>
      <c r="J123" s="49" t="n">
        <v>4.94</v>
      </c>
      <c r="K123" s="49" t="n">
        <v>3.91</v>
      </c>
      <c r="L123" s="49" t="n">
        <v>1.93</v>
      </c>
      <c r="M123" s="49" t="n">
        <v>1.94</v>
      </c>
      <c r="N123" s="49" t="n">
        <v>0</v>
      </c>
      <c r="O123" s="49" t="n">
        <v>17.93</v>
      </c>
      <c r="P123" s="49" t="n">
        <v>170.98</v>
      </c>
      <c r="Q123" s="49" t="n">
        <v>226.9</v>
      </c>
      <c r="R123" s="49" t="n">
        <v>850.53</v>
      </c>
      <c r="S123" s="51" t="n">
        <v>2457.58</v>
      </c>
      <c r="T123" s="49" t="n">
        <v>0</v>
      </c>
      <c r="U123" s="49" t="n">
        <v>0</v>
      </c>
      <c r="V123" s="49" t="n">
        <v>114.36</v>
      </c>
      <c r="W123" s="49" t="n">
        <v>20.4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194.95</v>
      </c>
      <c r="AD123" s="49" t="n">
        <v>706.1900000000001</v>
      </c>
      <c r="AE123" s="51" t="n">
        <v>2279.64</v>
      </c>
      <c r="AF123" s="49" t="n">
        <v>184.97</v>
      </c>
      <c r="AG123" s="49" t="n">
        <v>0</v>
      </c>
      <c r="AH123" s="49" t="n">
        <v>0</v>
      </c>
      <c r="AI123" s="49" t="n">
        <v>0</v>
      </c>
      <c r="AJ123" s="49" t="n">
        <v>259.22</v>
      </c>
      <c r="AK123" s="49" t="n">
        <v>0</v>
      </c>
      <c r="AL123" s="49" t="n">
        <v>0</v>
      </c>
      <c r="AM123" s="49" t="n">
        <v>0</v>
      </c>
      <c r="AN123" s="50">
        <f>SUM(AB123:AM123)</f>
        <v/>
      </c>
    </row>
    <row r="124">
      <c r="A124" s="47" t="inlineStr">
        <is>
          <t>GA</t>
        </is>
      </c>
      <c r="B124" s="48">
        <f>IFERROR(VLOOKUP($A124,Codes!$A:$B,2,FALSE()),"")</f>
        <v/>
      </c>
      <c r="C124" s="5" t="inlineStr">
        <is>
          <t>Eviction Fees</t>
        </is>
      </c>
      <c r="D124" s="49" t="n">
        <v>3132.84</v>
      </c>
      <c r="E124" s="49" t="n">
        <v>6690.4</v>
      </c>
      <c r="F124" s="49" t="n">
        <v>14489.36</v>
      </c>
      <c r="G124" s="49" t="n">
        <v>15017.26</v>
      </c>
      <c r="H124" s="49" t="n">
        <v>4622</v>
      </c>
      <c r="I124" s="49" t="n">
        <v>7013.51</v>
      </c>
      <c r="J124" s="49" t="n">
        <v>9244.309999999999</v>
      </c>
      <c r="K124" s="49" t="n">
        <v>10101.3</v>
      </c>
      <c r="L124" s="49" t="n">
        <v>7018.88</v>
      </c>
      <c r="M124" s="49" t="n">
        <v>13821.98</v>
      </c>
      <c r="N124" s="49" t="n">
        <v>8735.02</v>
      </c>
      <c r="O124" s="49" t="n">
        <v>2728.06</v>
      </c>
      <c r="P124" s="49" t="n">
        <v>11389.62</v>
      </c>
      <c r="Q124" s="49" t="n">
        <v>25892.32</v>
      </c>
      <c r="R124" s="49" t="n">
        <v>10136.14</v>
      </c>
      <c r="S124" s="49" t="n">
        <v>8903.15</v>
      </c>
      <c r="T124" s="49" t="n">
        <v>7848.45</v>
      </c>
      <c r="U124" s="49" t="n">
        <v>7511.11</v>
      </c>
      <c r="V124" s="49" t="n">
        <v>15218.02</v>
      </c>
      <c r="W124" s="49" t="n">
        <v>11753.98</v>
      </c>
      <c r="X124" s="49" t="n">
        <v>11851.89</v>
      </c>
      <c r="Y124" s="49" t="n">
        <v>13782.64</v>
      </c>
      <c r="Z124" s="49" t="n">
        <v>9920.35</v>
      </c>
      <c r="AA124" s="49" t="n">
        <v>14939.34</v>
      </c>
      <c r="AB124" s="49" t="n">
        <v>14426.8</v>
      </c>
      <c r="AC124" s="49" t="n">
        <v>10256.05</v>
      </c>
      <c r="AD124" s="49" t="n">
        <v>14823.33</v>
      </c>
      <c r="AE124" s="49" t="n">
        <v>15014.39</v>
      </c>
      <c r="AF124" s="49" t="n">
        <v>20546.11</v>
      </c>
      <c r="AG124" s="49" t="n">
        <v>20117.13</v>
      </c>
      <c r="AH124" s="49" t="n">
        <v>13591.64</v>
      </c>
      <c r="AI124" s="49" t="n">
        <v>10393.12</v>
      </c>
      <c r="AJ124" s="49" t="n">
        <v>16432.09</v>
      </c>
      <c r="AK124" s="49" t="n">
        <v>18036</v>
      </c>
      <c r="AL124" s="49" t="n">
        <v>16921.45</v>
      </c>
      <c r="AM124" s="49" t="n">
        <v>11058.74</v>
      </c>
      <c r="AN124" s="50">
        <f>SUM(AB124:AM124)</f>
        <v/>
      </c>
    </row>
    <row r="125">
      <c r="A125" s="47" t="inlineStr">
        <is>
          <t>GA</t>
        </is>
      </c>
      <c r="B125" s="48">
        <f>IFERROR(VLOOKUP($A125,Codes!$A:$B,2,FALSE()),"")</f>
        <v/>
      </c>
      <c r="C125" s="5" t="inlineStr">
        <is>
          <t>Internet Access</t>
        </is>
      </c>
      <c r="D125" s="49" t="n">
        <v>1526.47</v>
      </c>
      <c r="E125" s="49" t="n">
        <v>381.88</v>
      </c>
      <c r="F125" s="49" t="n">
        <v>1729.58</v>
      </c>
      <c r="G125" s="49" t="n">
        <v>414.12</v>
      </c>
      <c r="H125" s="49" t="n">
        <v>1697.34</v>
      </c>
      <c r="I125" s="49" t="n">
        <v>703.2</v>
      </c>
      <c r="J125" s="49" t="n">
        <v>1044.94</v>
      </c>
      <c r="K125" s="49" t="n">
        <v>1184.99</v>
      </c>
      <c r="L125" s="49" t="n">
        <v>1264.48</v>
      </c>
      <c r="M125" s="49" t="n">
        <v>1534.99</v>
      </c>
      <c r="N125" s="49" t="n">
        <v>1169.56</v>
      </c>
      <c r="O125" s="49" t="n">
        <v>4654.24</v>
      </c>
      <c r="P125" s="49" t="n">
        <v>2682.01</v>
      </c>
      <c r="Q125" s="49" t="n">
        <v>1976.28</v>
      </c>
      <c r="R125" s="49" t="n">
        <v>120.49</v>
      </c>
      <c r="S125" s="49" t="n">
        <v>3832.07</v>
      </c>
      <c r="T125" s="49" t="n">
        <v>1396.54</v>
      </c>
      <c r="U125" s="49" t="n">
        <v>2008.52</v>
      </c>
      <c r="V125" s="49" t="n">
        <v>2523.78</v>
      </c>
      <c r="W125" s="49" t="n">
        <v>1428.78</v>
      </c>
      <c r="X125" s="49" t="n">
        <v>2523.78</v>
      </c>
      <c r="Y125" s="49" t="n">
        <v>1976.28</v>
      </c>
      <c r="Z125" s="49" t="n">
        <v>1316.18</v>
      </c>
      <c r="AA125" s="49" t="n">
        <v>2034.09</v>
      </c>
      <c r="AB125" s="49" t="n">
        <v>1448.65</v>
      </c>
      <c r="AC125" s="49" t="n">
        <v>1736.23</v>
      </c>
      <c r="AD125" s="49" t="n">
        <v>1951.13</v>
      </c>
      <c r="AE125" s="49" t="n">
        <v>1305.94</v>
      </c>
      <c r="AF125" s="49" t="n">
        <v>2603.84</v>
      </c>
      <c r="AG125" s="49" t="n">
        <v>2382.95</v>
      </c>
      <c r="AH125" s="49" t="n">
        <v>2451.5</v>
      </c>
      <c r="AI125" s="49" t="n">
        <v>1904</v>
      </c>
      <c r="AJ125" s="49" t="n">
        <v>32.24</v>
      </c>
      <c r="AK125" s="49" t="n">
        <v>2664.42</v>
      </c>
      <c r="AL125" s="49" t="n">
        <v>4010.5</v>
      </c>
      <c r="AM125" s="49" t="n">
        <v>2462.16</v>
      </c>
      <c r="AN125" s="50">
        <f>SUM(AB125:AM125)</f>
        <v/>
      </c>
    </row>
    <row r="126">
      <c r="A126" s="47" t="inlineStr">
        <is>
          <t>GA</t>
        </is>
      </c>
      <c r="B126" s="48">
        <f>IFERROR(VLOOKUP($A126,Codes!$A:$B,2,FALSE()),"")</f>
        <v/>
      </c>
      <c r="C126" s="5" t="inlineStr">
        <is>
          <t>Music/TV/Video Licensing</t>
        </is>
      </c>
      <c r="D126" s="49" t="n">
        <v>0</v>
      </c>
      <c r="E126" s="49" t="n">
        <v>1157.16</v>
      </c>
      <c r="F126" s="49" t="n">
        <v>0</v>
      </c>
      <c r="G126" s="49" t="n">
        <v>582.0599999999999</v>
      </c>
      <c r="H126" s="49" t="n">
        <v>0</v>
      </c>
      <c r="I126" s="49" t="n">
        <v>0</v>
      </c>
      <c r="J126" s="49" t="n">
        <v>0</v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930.87</v>
      </c>
      <c r="R126" s="49" t="n">
        <v>0</v>
      </c>
      <c r="S126" s="49" t="n">
        <v>0</v>
      </c>
      <c r="T126" s="49" t="n">
        <v>275.77</v>
      </c>
      <c r="U126" s="49" t="n">
        <v>0</v>
      </c>
      <c r="V126" s="49" t="n">
        <v>177.84</v>
      </c>
      <c r="W126" s="49" t="n">
        <v>0</v>
      </c>
      <c r="X126" s="49" t="n">
        <v>624.24</v>
      </c>
      <c r="Y126" s="49" t="n">
        <v>-104.04</v>
      </c>
      <c r="Z126" s="49" t="n">
        <v>52.02</v>
      </c>
      <c r="AA126" s="49" t="n">
        <v>52.02</v>
      </c>
      <c r="AB126" s="51" t="n">
        <v>3650</v>
      </c>
      <c r="AC126" s="49" t="n">
        <v>0</v>
      </c>
      <c r="AD126" s="49" t="n">
        <v>-111.96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50">
        <f>SUM(AB126:AM126)</f>
        <v/>
      </c>
    </row>
    <row r="127">
      <c r="A127" s="47" t="inlineStr">
        <is>
          <t>GA</t>
        </is>
      </c>
      <c r="B127" s="48">
        <f>IFERROR(VLOOKUP($A127,Codes!$A:$B,2,FALSE()),"")</f>
        <v/>
      </c>
      <c r="C127" s="5" t="inlineStr">
        <is>
          <t>Licenses / Fees / Permits</t>
        </is>
      </c>
      <c r="D127" s="51" t="n">
        <v>16221.8</v>
      </c>
      <c r="E127" s="49" t="n">
        <v>1790.4</v>
      </c>
      <c r="F127" s="51" t="n">
        <v>5675.84</v>
      </c>
      <c r="G127" s="49" t="n">
        <v>1576.5</v>
      </c>
      <c r="H127" s="49" t="n">
        <v>2445</v>
      </c>
      <c r="I127" s="51" t="n">
        <v>-7227.34</v>
      </c>
      <c r="J127" s="49" t="n">
        <v>0</v>
      </c>
      <c r="K127" s="49" t="n">
        <v>0</v>
      </c>
      <c r="L127" s="49" t="n">
        <v>200</v>
      </c>
      <c r="M127" s="49" t="n">
        <v>0</v>
      </c>
      <c r="N127" s="49" t="n">
        <v>0</v>
      </c>
      <c r="O127" s="49" t="n">
        <v>0</v>
      </c>
      <c r="P127" s="51" t="n">
        <v>17075</v>
      </c>
      <c r="Q127" s="51" t="n">
        <v>13630</v>
      </c>
      <c r="R127" s="49" t="n">
        <v>-90.61</v>
      </c>
      <c r="S127" s="49" t="n">
        <v>50</v>
      </c>
      <c r="T127" s="49" t="n">
        <v>1755</v>
      </c>
      <c r="U127" s="49" t="n">
        <v>1485</v>
      </c>
      <c r="V127" s="49" t="n">
        <v>-965</v>
      </c>
      <c r="W127" s="49" t="n">
        <v>122.72</v>
      </c>
      <c r="X127" s="49" t="n">
        <v>0</v>
      </c>
      <c r="Y127" s="49" t="n">
        <v>0</v>
      </c>
      <c r="Z127" s="49" t="n">
        <v>-270</v>
      </c>
      <c r="AA127" s="49" t="n">
        <v>0</v>
      </c>
      <c r="AB127" s="49" t="n">
        <v>0</v>
      </c>
      <c r="AC127" s="51" t="n">
        <v>11404</v>
      </c>
      <c r="AD127" s="49" t="n">
        <v>1091.5</v>
      </c>
      <c r="AE127" s="49" t="n">
        <v>0</v>
      </c>
      <c r="AF127" s="49" t="n">
        <v>0</v>
      </c>
      <c r="AG127" s="49" t="n">
        <v>2055</v>
      </c>
      <c r="AH127" s="49" t="n">
        <v>0</v>
      </c>
      <c r="AI127" s="49" t="n">
        <v>-225</v>
      </c>
      <c r="AJ127" s="49" t="n">
        <v>0</v>
      </c>
      <c r="AK127" s="49" t="n">
        <v>275</v>
      </c>
      <c r="AL127" s="49" t="n">
        <v>990</v>
      </c>
      <c r="AM127" s="49" t="n">
        <v>0</v>
      </c>
      <c r="AN127" s="50">
        <f>SUM(AB127:AM127)</f>
        <v/>
      </c>
    </row>
    <row r="128">
      <c r="A128" s="47" t="inlineStr">
        <is>
          <t>GA</t>
        </is>
      </c>
      <c r="B128" s="48">
        <f>IFERROR(VLOOKUP($A128,Codes!$A:$B,2,FALSE()),"")</f>
        <v/>
      </c>
      <c r="C128" s="5" t="inlineStr">
        <is>
          <t>Ops Technology Fee</t>
        </is>
      </c>
      <c r="D128" s="49" t="n">
        <v>36</v>
      </c>
      <c r="E128" s="49" t="n">
        <v>8</v>
      </c>
      <c r="F128" s="49" t="n">
        <v>34</v>
      </c>
      <c r="G128" s="49" t="n">
        <v>16</v>
      </c>
      <c r="H128" s="49" t="n">
        <v>47</v>
      </c>
      <c r="I128" s="49" t="n">
        <v>46</v>
      </c>
      <c r="J128" s="49" t="n">
        <v>78</v>
      </c>
      <c r="K128" s="49" t="n">
        <v>47</v>
      </c>
      <c r="L128" s="49" t="n">
        <v>30</v>
      </c>
      <c r="M128" s="49" t="n">
        <v>40</v>
      </c>
      <c r="N128" s="49" t="n">
        <v>27</v>
      </c>
      <c r="O128" s="49" t="n">
        <v>36</v>
      </c>
      <c r="P128" s="49" t="n">
        <v>34</v>
      </c>
      <c r="Q128" s="49" t="n">
        <v>21</v>
      </c>
      <c r="R128" s="49" t="n">
        <v>29</v>
      </c>
      <c r="S128" s="49" t="n">
        <v>73</v>
      </c>
      <c r="T128" s="49" t="n">
        <v>25</v>
      </c>
      <c r="U128" s="49" t="n">
        <v>36</v>
      </c>
      <c r="V128" s="49" t="n">
        <v>54</v>
      </c>
      <c r="W128" s="49" t="n">
        <v>32</v>
      </c>
      <c r="X128" s="49" t="n">
        <v>55</v>
      </c>
      <c r="Y128" s="49" t="n">
        <v>28</v>
      </c>
      <c r="Z128" s="49" t="n">
        <v>33</v>
      </c>
      <c r="AA128" s="49" t="n">
        <v>26</v>
      </c>
      <c r="AB128" s="49" t="n">
        <v>38</v>
      </c>
      <c r="AC128" s="49" t="n">
        <v>79.16</v>
      </c>
      <c r="AD128" s="49" t="n">
        <v>42.64</v>
      </c>
      <c r="AE128" s="49" t="n">
        <v>90.39</v>
      </c>
      <c r="AF128" s="49" t="n">
        <v>96.31999999999999</v>
      </c>
      <c r="AG128" s="49" t="n">
        <v>87.81</v>
      </c>
      <c r="AH128" s="49" t="n">
        <v>42.08</v>
      </c>
      <c r="AI128" s="49" t="n">
        <v>46.8</v>
      </c>
      <c r="AJ128" s="49" t="n">
        <v>524.42</v>
      </c>
      <c r="AK128" s="49" t="n">
        <v>45.76</v>
      </c>
      <c r="AL128" s="49" t="n">
        <v>32.24</v>
      </c>
      <c r="AM128" s="49" t="n">
        <v>30.16</v>
      </c>
      <c r="AN128" s="50">
        <f>SUM(AB128:AM128)</f>
        <v/>
      </c>
    </row>
    <row r="129">
      <c r="A129" s="47" t="inlineStr">
        <is>
          <t>GA</t>
        </is>
      </c>
      <c r="B129" s="48">
        <f>IFERROR(VLOOKUP($A129,Codes!$A:$B,2,FALSE()),"")</f>
        <v/>
      </c>
      <c r="C129" s="5" t="inlineStr">
        <is>
          <t>Training / Seminars</t>
        </is>
      </c>
      <c r="D129" s="49" t="n">
        <v>959</v>
      </c>
      <c r="E129" s="49" t="n">
        <v>704</v>
      </c>
      <c r="F129" s="49" t="n">
        <v>704</v>
      </c>
      <c r="G129" s="49" t="n">
        <v>1079</v>
      </c>
      <c r="H129" s="49" t="n">
        <v>704</v>
      </c>
      <c r="I129" s="49" t="n">
        <v>704</v>
      </c>
      <c r="J129" s="49" t="n">
        <v>1904</v>
      </c>
      <c r="K129" s="49" t="n">
        <v>1004</v>
      </c>
      <c r="L129" s="49" t="n">
        <v>720.02</v>
      </c>
      <c r="M129" s="49" t="n">
        <v>704</v>
      </c>
      <c r="N129" s="49" t="n">
        <v>944</v>
      </c>
      <c r="O129" s="49" t="n">
        <v>723.1900000000001</v>
      </c>
      <c r="P129" s="49" t="n">
        <v>704</v>
      </c>
      <c r="Q129" s="49" t="n">
        <v>1294</v>
      </c>
      <c r="R129" s="49" t="n">
        <v>789</v>
      </c>
      <c r="S129" s="49" t="n">
        <v>1001</v>
      </c>
      <c r="T129" s="49" t="n">
        <v>704</v>
      </c>
      <c r="U129" s="49" t="n">
        <v>704</v>
      </c>
      <c r="V129" s="49" t="n">
        <v>789</v>
      </c>
      <c r="W129" s="49" t="n">
        <v>789</v>
      </c>
      <c r="X129" s="49" t="n">
        <v>849.39</v>
      </c>
      <c r="Y129" s="49" t="n">
        <v>783.17</v>
      </c>
      <c r="Z129" s="49" t="n">
        <v>704</v>
      </c>
      <c r="AA129" s="49" t="n">
        <v>704</v>
      </c>
      <c r="AB129" s="49" t="n">
        <v>704</v>
      </c>
      <c r="AC129" s="49" t="n">
        <v>723.73</v>
      </c>
      <c r="AD129" s="49" t="n">
        <v>704</v>
      </c>
      <c r="AE129" s="49" t="n">
        <v>704</v>
      </c>
      <c r="AF129" s="49" t="n">
        <v>704</v>
      </c>
      <c r="AG129" s="49" t="n">
        <v>704</v>
      </c>
      <c r="AH129" s="49" t="n">
        <v>724.04</v>
      </c>
      <c r="AI129" s="49" t="n">
        <v>1096.48</v>
      </c>
      <c r="AJ129" s="49" t="n">
        <v>704</v>
      </c>
      <c r="AK129" s="49" t="n">
        <v>709.15</v>
      </c>
      <c r="AL129" s="49" t="n">
        <v>709.61</v>
      </c>
      <c r="AM129" s="49" t="n">
        <v>704</v>
      </c>
      <c r="AN129" s="50">
        <f>SUM(AB129:AM129)</f>
        <v/>
      </c>
    </row>
    <row r="130">
      <c r="A130" s="47" t="inlineStr">
        <is>
          <t>GA</t>
        </is>
      </c>
      <c r="B130" s="48">
        <f>IFERROR(VLOOKUP($A130,Codes!$A:$B,2,FALSE()),"")</f>
        <v/>
      </c>
      <c r="C130" s="5" t="inlineStr">
        <is>
          <t>Uniform Rental / Purchase</t>
        </is>
      </c>
      <c r="D130" s="49" t="n">
        <v>0</v>
      </c>
      <c r="E130" s="49" t="n">
        <v>0</v>
      </c>
      <c r="F130" s="49" t="n">
        <v>168.94</v>
      </c>
      <c r="G130" s="49" t="n">
        <v>116.35</v>
      </c>
      <c r="H130" s="49" t="n">
        <v>0</v>
      </c>
      <c r="I130" s="49" t="n">
        <v>854.25</v>
      </c>
      <c r="J130" s="49" t="n">
        <v>0</v>
      </c>
      <c r="K130" s="49" t="n">
        <v>51.38</v>
      </c>
      <c r="L130" s="49" t="n">
        <v>1678.73</v>
      </c>
      <c r="M130" s="49" t="n">
        <v>0</v>
      </c>
      <c r="N130" s="49" t="n">
        <v>588.79</v>
      </c>
      <c r="O130" s="49" t="n">
        <v>0</v>
      </c>
      <c r="P130" s="49" t="n">
        <v>0</v>
      </c>
      <c r="Q130" s="49" t="n">
        <v>1002.86</v>
      </c>
      <c r="R130" s="49" t="n">
        <v>222.16</v>
      </c>
      <c r="S130" s="49" t="n">
        <v>220.14</v>
      </c>
      <c r="T130" s="49" t="n">
        <v>645.41</v>
      </c>
      <c r="U130" s="49" t="n">
        <v>69.03</v>
      </c>
      <c r="V130" s="49" t="n">
        <v>706.0599999999999</v>
      </c>
      <c r="W130" s="51" t="n">
        <v>2627.46</v>
      </c>
      <c r="X130" s="49" t="n">
        <v>0</v>
      </c>
      <c r="Y130" s="49" t="n">
        <v>278.64</v>
      </c>
      <c r="Z130" s="49" t="n">
        <v>80.73</v>
      </c>
      <c r="AA130" s="49" t="n">
        <v>0</v>
      </c>
      <c r="AB130" s="49" t="n">
        <v>52.32</v>
      </c>
      <c r="AC130" s="51" t="n">
        <v>2170.09</v>
      </c>
      <c r="AD130" s="49" t="n">
        <v>741.59</v>
      </c>
      <c r="AE130" s="49" t="n">
        <v>102.23</v>
      </c>
      <c r="AF130" s="49" t="n">
        <v>0</v>
      </c>
      <c r="AG130" s="49" t="n">
        <v>0</v>
      </c>
      <c r="AH130" s="49" t="n">
        <v>176.43</v>
      </c>
      <c r="AI130" s="49" t="n">
        <v>0</v>
      </c>
      <c r="AJ130" s="49" t="n">
        <v>113.66</v>
      </c>
      <c r="AK130" s="49" t="n">
        <v>0</v>
      </c>
      <c r="AL130" s="49" t="n">
        <v>0</v>
      </c>
      <c r="AM130" s="49" t="n">
        <v>0</v>
      </c>
      <c r="AN130" s="50">
        <f>SUM(AB130:AM130)</f>
        <v/>
      </c>
    </row>
    <row r="131">
      <c r="A131" s="47" t="inlineStr">
        <is>
          <t>GA</t>
        </is>
      </c>
      <c r="B131" s="48">
        <f>IFERROR(VLOOKUP($A131,Codes!$A:$B,2,FALSE()),"")</f>
        <v/>
      </c>
      <c r="C131" s="5" t="inlineStr">
        <is>
          <t>Miscellaneous General / Admin</t>
        </is>
      </c>
      <c r="D131" s="49" t="n">
        <v>250.25</v>
      </c>
      <c r="E131" s="49" t="n">
        <v>250.25</v>
      </c>
      <c r="F131" s="49" t="n">
        <v>250.25</v>
      </c>
      <c r="G131" s="49" t="n">
        <v>250.25</v>
      </c>
      <c r="H131" s="49" t="n">
        <v>250.25</v>
      </c>
      <c r="I131" s="49" t="n">
        <v>250.25</v>
      </c>
      <c r="J131" s="49" t="n">
        <v>250.25</v>
      </c>
      <c r="K131" s="49" t="n">
        <v>250.25</v>
      </c>
      <c r="L131" s="49" t="n">
        <v>250.25</v>
      </c>
      <c r="M131" s="49" t="n">
        <v>246.24</v>
      </c>
      <c r="N131" s="49" t="n">
        <v>250.25</v>
      </c>
      <c r="O131" s="49" t="n">
        <v>250.25</v>
      </c>
      <c r="P131" s="49" t="n">
        <v>111.93</v>
      </c>
      <c r="Q131" s="49" t="n">
        <v>618.25</v>
      </c>
      <c r="R131" s="49" t="n">
        <v>-388.57</v>
      </c>
      <c r="S131" s="49" t="n">
        <v>705.77</v>
      </c>
      <c r="T131" s="49" t="n">
        <v>19.4</v>
      </c>
      <c r="U131" s="49" t="n">
        <v>17.75</v>
      </c>
      <c r="V131" s="49" t="n">
        <v>41.41</v>
      </c>
      <c r="W131" s="49" t="n">
        <v>56.68</v>
      </c>
      <c r="X131" s="49" t="n">
        <v>35.82</v>
      </c>
      <c r="Y131" s="49" t="n">
        <v>36</v>
      </c>
      <c r="Z131" s="49" t="n">
        <v>36</v>
      </c>
      <c r="AA131" s="49" t="n">
        <v>4.1</v>
      </c>
      <c r="AB131" s="49" t="n">
        <v>19.43</v>
      </c>
      <c r="AC131" s="49" t="n">
        <v>-19.43</v>
      </c>
      <c r="AD131" s="49" t="n">
        <v>0</v>
      </c>
      <c r="AE131" s="49" t="n">
        <v>0</v>
      </c>
      <c r="AF131" s="49" t="n">
        <v>0</v>
      </c>
      <c r="AG131" s="49" t="n">
        <v>207.96</v>
      </c>
      <c r="AH131" s="49" t="n">
        <v>39.75</v>
      </c>
      <c r="AI131" s="49" t="n">
        <v>42.71</v>
      </c>
      <c r="AJ131" s="49" t="n">
        <v>23.28</v>
      </c>
      <c r="AK131" s="49" t="n">
        <v>63.82</v>
      </c>
      <c r="AL131" s="49" t="n">
        <v>702.77</v>
      </c>
      <c r="AM131" s="49" t="n">
        <v>-575.1799999999999</v>
      </c>
      <c r="AN131" s="50">
        <f>SUM(AB131:AM131)</f>
        <v/>
      </c>
    </row>
    <row r="132">
      <c r="A132" s="47" t="inlineStr">
        <is>
          <t>UC</t>
        </is>
      </c>
      <c r="B132" s="48">
        <f>IFERROR(VLOOKUP($A132,Codes!$A:$B,2,FALSE()),"")</f>
        <v/>
      </c>
      <c r="C132" s="5" t="inlineStr">
        <is>
          <t>Electric - Common Areas</t>
        </is>
      </c>
      <c r="D132" s="49" t="n">
        <v>10302</v>
      </c>
      <c r="E132" s="49" t="n">
        <v>10469.65</v>
      </c>
      <c r="F132" s="49" t="n">
        <v>11901.78</v>
      </c>
      <c r="G132" s="49" t="n">
        <v>11501.23</v>
      </c>
      <c r="H132" s="49" t="n">
        <v>14000.43</v>
      </c>
      <c r="I132" s="49" t="n">
        <v>13578.39</v>
      </c>
      <c r="J132" s="49" t="n">
        <v>13553.23</v>
      </c>
      <c r="K132" s="49" t="n">
        <v>18399.69</v>
      </c>
      <c r="L132" s="49" t="n">
        <v>14337.35</v>
      </c>
      <c r="M132" s="49" t="n">
        <v>14889.99</v>
      </c>
      <c r="N132" s="49" t="n">
        <v>14429.9</v>
      </c>
      <c r="O132" s="49" t="n">
        <v>9569.57</v>
      </c>
      <c r="P132" s="49" t="n">
        <v>14132.82</v>
      </c>
      <c r="Q132" s="49" t="n">
        <v>11903.19</v>
      </c>
      <c r="R132" s="49" t="n">
        <v>5242.51</v>
      </c>
      <c r="S132" s="49" t="n">
        <v>21570.06</v>
      </c>
      <c r="T132" s="49" t="n">
        <v>15105.38</v>
      </c>
      <c r="U132" s="49" t="n">
        <v>14184.38</v>
      </c>
      <c r="V132" s="49" t="n">
        <v>18561.29</v>
      </c>
      <c r="W132" s="49" t="n">
        <v>18884.28</v>
      </c>
      <c r="X132" s="49" t="n">
        <v>17023.55</v>
      </c>
      <c r="Y132" s="49" t="n">
        <v>16636.14</v>
      </c>
      <c r="Z132" s="49" t="n">
        <v>16096.76</v>
      </c>
      <c r="AA132" s="49" t="n">
        <v>10896.89</v>
      </c>
      <c r="AB132" s="49" t="n">
        <v>12986.63</v>
      </c>
      <c r="AC132" s="49" t="n">
        <v>12744.81</v>
      </c>
      <c r="AD132" s="49" t="n">
        <v>13573.48</v>
      </c>
      <c r="AE132" s="49" t="n">
        <v>13534.7</v>
      </c>
      <c r="AF132" s="49" t="n">
        <v>17345.65</v>
      </c>
      <c r="AG132" s="49" t="n">
        <v>14651.92</v>
      </c>
      <c r="AH132" s="49" t="n">
        <v>15369</v>
      </c>
      <c r="AI132" s="49" t="n">
        <v>16253.58</v>
      </c>
      <c r="AJ132" s="49" t="n">
        <v>19054.94</v>
      </c>
      <c r="AK132" s="49" t="n">
        <v>13982.78</v>
      </c>
      <c r="AL132" s="49" t="n">
        <v>16384.29</v>
      </c>
      <c r="AM132" s="49" t="n">
        <v>27959.36</v>
      </c>
      <c r="AN132" s="50">
        <f>SUM(AB132:AM132)</f>
        <v/>
      </c>
    </row>
    <row r="133">
      <c r="A133" s="47" t="inlineStr">
        <is>
          <t>UC</t>
        </is>
      </c>
      <c r="B133" s="48">
        <f>IFERROR(VLOOKUP($A133,Codes!$A:$B,2,FALSE()),"")</f>
        <v/>
      </c>
      <c r="C133" s="5" t="inlineStr">
        <is>
          <t>Electric - Vacant Units</t>
        </is>
      </c>
      <c r="D133" s="49" t="n">
        <v>4122.08</v>
      </c>
      <c r="E133" s="49" t="n">
        <v>-1426.45</v>
      </c>
      <c r="F133" s="49" t="n">
        <v>5321.5</v>
      </c>
      <c r="G133" s="49" t="n">
        <v>931.91</v>
      </c>
      <c r="H133" s="49" t="n">
        <v>1961.84</v>
      </c>
      <c r="I133" s="49" t="n">
        <v>1079.66</v>
      </c>
      <c r="J133" s="49" t="n">
        <v>7339.52</v>
      </c>
      <c r="K133" s="51" t="n">
        <v>21935.57</v>
      </c>
      <c r="L133" s="49" t="n">
        <v>-1687.44</v>
      </c>
      <c r="M133" s="49" t="n">
        <v>5829.81</v>
      </c>
      <c r="N133" s="49" t="n">
        <v>-2889.18</v>
      </c>
      <c r="O133" s="49" t="n">
        <v>1106.09</v>
      </c>
      <c r="P133" s="49" t="n">
        <v>132.69</v>
      </c>
      <c r="Q133" s="49" t="n">
        <v>-882.41</v>
      </c>
      <c r="R133" s="49" t="n">
        <v>4362.44</v>
      </c>
      <c r="S133" s="49" t="n">
        <v>1778.96</v>
      </c>
      <c r="T133" s="49" t="n">
        <v>768.53</v>
      </c>
      <c r="U133" s="49" t="n">
        <v>3280.61</v>
      </c>
      <c r="V133" s="49" t="n">
        <v>7176.77</v>
      </c>
      <c r="W133" s="49" t="n">
        <v>6335.38</v>
      </c>
      <c r="X133" s="49" t="n">
        <v>3556.76</v>
      </c>
      <c r="Y133" s="49" t="n">
        <v>582.88</v>
      </c>
      <c r="Z133" s="49" t="n">
        <v>4595.55</v>
      </c>
      <c r="AA133" s="49" t="n">
        <v>-3244.46</v>
      </c>
      <c r="AB133" s="49" t="n">
        <v>1038.17</v>
      </c>
      <c r="AC133" s="49" t="n">
        <v>4015.61</v>
      </c>
      <c r="AD133" s="49" t="n">
        <v>2579.94</v>
      </c>
      <c r="AE133" s="49" t="n">
        <v>5457.17</v>
      </c>
      <c r="AF133" s="49" t="n">
        <v>-1492.48</v>
      </c>
      <c r="AG133" s="49" t="n">
        <v>7557.55</v>
      </c>
      <c r="AH133" s="49" t="n">
        <v>6243.8</v>
      </c>
      <c r="AI133" s="49" t="n">
        <v>4359.02</v>
      </c>
      <c r="AJ133" s="49" t="n">
        <v>8955.41</v>
      </c>
      <c r="AK133" s="49" t="n">
        <v>1496.59</v>
      </c>
      <c r="AL133" s="49" t="n">
        <v>3703.67</v>
      </c>
      <c r="AM133" s="49" t="n">
        <v>2955.14</v>
      </c>
      <c r="AN133" s="50">
        <f>SUM(AB133:AM133)</f>
        <v/>
      </c>
    </row>
    <row r="134">
      <c r="A134" s="47" t="inlineStr">
        <is>
          <t>UC</t>
        </is>
      </c>
      <c r="B134" s="48">
        <f>IFERROR(VLOOKUP($A134,Codes!$A:$B,2,FALSE()),"")</f>
        <v/>
      </c>
      <c r="C134" s="5" t="inlineStr">
        <is>
          <t>Gas - Common Areas</t>
        </is>
      </c>
      <c r="D134" s="51" t="n">
        <v>9399.219999999999</v>
      </c>
      <c r="E134" s="51" t="n">
        <v>5117.61</v>
      </c>
      <c r="F134" s="51" t="n">
        <v>7284.6</v>
      </c>
      <c r="G134" s="49" t="n">
        <v>2495.02</v>
      </c>
      <c r="H134" s="49" t="n">
        <v>-1018.37</v>
      </c>
      <c r="I134" s="49" t="n">
        <v>678.1799999999999</v>
      </c>
      <c r="J134" s="49" t="n">
        <v>725.61</v>
      </c>
      <c r="K134" s="49" t="n">
        <v>276.25</v>
      </c>
      <c r="L134" s="49" t="n">
        <v>329.56</v>
      </c>
      <c r="M134" s="49" t="n">
        <v>692.4</v>
      </c>
      <c r="N134" s="49" t="n">
        <v>2776.18</v>
      </c>
      <c r="O134" s="51" t="n">
        <v>8454.02</v>
      </c>
      <c r="P134" s="51" t="n">
        <v>13522.16</v>
      </c>
      <c r="Q134" s="51" t="n">
        <v>5836.87</v>
      </c>
      <c r="R134" s="51" t="n">
        <v>6701.94</v>
      </c>
      <c r="S134" s="51" t="n">
        <v>4949.85</v>
      </c>
      <c r="T134" s="49" t="n">
        <v>-1965.57</v>
      </c>
      <c r="U134" s="49" t="n">
        <v>481.84</v>
      </c>
      <c r="V134" s="49" t="n">
        <v>341.24</v>
      </c>
      <c r="W134" s="49" t="n">
        <v>362.32</v>
      </c>
      <c r="X134" s="49" t="n">
        <v>551.42</v>
      </c>
      <c r="Y134" s="49" t="n">
        <v>791.62</v>
      </c>
      <c r="Z134" s="49" t="n">
        <v>1499.34</v>
      </c>
      <c r="AA134" s="51" t="n">
        <v>13468.84</v>
      </c>
      <c r="AB134" s="51" t="n">
        <v>5116.98</v>
      </c>
      <c r="AC134" s="51" t="n">
        <v>8275.01</v>
      </c>
      <c r="AD134" s="49" t="n">
        <v>2297.62</v>
      </c>
      <c r="AE134" s="49" t="n">
        <v>-197.54</v>
      </c>
      <c r="AF134" s="49" t="n">
        <v>305.94</v>
      </c>
      <c r="AG134" s="49" t="n">
        <v>621.25</v>
      </c>
      <c r="AH134" s="49" t="n">
        <v>456.38</v>
      </c>
      <c r="AI134" s="49" t="n">
        <v>357.83</v>
      </c>
      <c r="AJ134" s="49" t="n">
        <v>908.48</v>
      </c>
      <c r="AK134" s="49" t="n">
        <v>774.49</v>
      </c>
      <c r="AL134" s="49" t="n">
        <v>4001.36</v>
      </c>
      <c r="AM134" s="49" t="n">
        <v>1354.75</v>
      </c>
      <c r="AN134" s="50">
        <f>SUM(AB134:AM134)</f>
        <v/>
      </c>
    </row>
    <row r="135">
      <c r="A135" s="47" t="inlineStr">
        <is>
          <t>UF</t>
        </is>
      </c>
      <c r="B135" s="48">
        <f>IFERROR(VLOOKUP($A135,Codes!$A:$B,2,FALSE()),"")</f>
        <v/>
      </c>
      <c r="C135" s="5" t="inlineStr">
        <is>
          <t>Utility Rebill Service Fees</t>
        </is>
      </c>
      <c r="D135" s="49" t="n">
        <v>3675.36</v>
      </c>
      <c r="E135" s="49" t="n">
        <v>3458.55</v>
      </c>
      <c r="F135" s="49" t="n">
        <v>3587.68</v>
      </c>
      <c r="G135" s="49" t="n">
        <v>4411.75</v>
      </c>
      <c r="H135" s="49" t="n">
        <v>3727.42</v>
      </c>
      <c r="I135" s="49" t="n">
        <v>3889.36</v>
      </c>
      <c r="J135" s="49" t="n">
        <v>3763.5</v>
      </c>
      <c r="K135" s="49" t="n">
        <v>4142.88</v>
      </c>
      <c r="L135" s="49" t="n">
        <v>3612.59</v>
      </c>
      <c r="M135" s="49" t="n">
        <v>3767.93</v>
      </c>
      <c r="N135" s="49" t="n">
        <v>4027.11</v>
      </c>
      <c r="O135" s="49" t="n">
        <v>3060.65</v>
      </c>
      <c r="P135" s="49" t="n">
        <v>3522.86</v>
      </c>
      <c r="Q135" s="49" t="n">
        <v>3655.92</v>
      </c>
      <c r="R135" s="49" t="n">
        <v>4433.1</v>
      </c>
      <c r="S135" s="49" t="n">
        <v>3825.17</v>
      </c>
      <c r="T135" s="49" t="n">
        <v>4275.46</v>
      </c>
      <c r="U135" s="49" t="n">
        <v>4170.6</v>
      </c>
      <c r="V135" s="49" t="n">
        <v>3914.2</v>
      </c>
      <c r="W135" s="49" t="n">
        <v>3735.16</v>
      </c>
      <c r="X135" s="49" t="n">
        <v>4099.1</v>
      </c>
      <c r="Y135" s="49" t="n">
        <v>7863.36</v>
      </c>
      <c r="Z135" s="49" t="n">
        <v>0</v>
      </c>
      <c r="AA135" s="49" t="n">
        <v>11797.59</v>
      </c>
      <c r="AB135" s="49" t="n">
        <v>6000</v>
      </c>
      <c r="AC135" s="49" t="n">
        <v>4081.15</v>
      </c>
      <c r="AD135" s="49" t="n">
        <v>378.28</v>
      </c>
      <c r="AE135" s="49" t="n">
        <v>9308.66</v>
      </c>
      <c r="AF135" s="49" t="n">
        <v>1716.21</v>
      </c>
      <c r="AG135" s="49" t="n">
        <v>12500</v>
      </c>
      <c r="AH135" s="49" t="n">
        <v>-3702.15</v>
      </c>
      <c r="AI135" s="49" t="n">
        <v>4196.74</v>
      </c>
      <c r="AJ135" s="49" t="n">
        <v>-120.97</v>
      </c>
      <c r="AK135" s="49" t="n">
        <v>8553.83</v>
      </c>
      <c r="AL135" s="49" t="n">
        <v>4139.11</v>
      </c>
      <c r="AM135" s="49" t="n">
        <v>3969.45</v>
      </c>
      <c r="AN135" s="50">
        <f>SUM(AB135:AM135)</f>
        <v/>
      </c>
    </row>
    <row r="136">
      <c r="A136" s="47" t="inlineStr">
        <is>
          <t>UWS</t>
        </is>
      </c>
      <c r="B136" s="48">
        <f>IFERROR(VLOOKUP($A136,Codes!$A:$B,2,FALSE()),"")</f>
        <v/>
      </c>
      <c r="C136" s="5" t="inlineStr">
        <is>
          <t>Water / Sewer</t>
        </is>
      </c>
      <c r="D136" s="49" t="n">
        <v>34586.66</v>
      </c>
      <c r="E136" s="49" t="n">
        <v>23528.72</v>
      </c>
      <c r="F136" s="49" t="n">
        <v>5096.57</v>
      </c>
      <c r="G136" s="49" t="n">
        <v>39608.61</v>
      </c>
      <c r="H136" s="49" t="n">
        <v>15859.32</v>
      </c>
      <c r="I136" s="49" t="n">
        <v>25394.26</v>
      </c>
      <c r="J136" s="49" t="n">
        <v>27628.4</v>
      </c>
      <c r="K136" s="49" t="n">
        <v>27353.43</v>
      </c>
      <c r="L136" s="49" t="n">
        <v>22752.52</v>
      </c>
      <c r="M136" s="49" t="n">
        <v>30558.77</v>
      </c>
      <c r="N136" s="49" t="n">
        <v>24540.04</v>
      </c>
      <c r="O136" s="49" t="n">
        <v>29116.05</v>
      </c>
      <c r="P136" s="49" t="n">
        <v>22711.93</v>
      </c>
      <c r="Q136" s="49" t="n">
        <v>21592.63</v>
      </c>
      <c r="R136" s="49" t="n">
        <v>4787.65</v>
      </c>
      <c r="S136" s="49" t="n">
        <v>33440.26</v>
      </c>
      <c r="T136" s="49" t="n">
        <v>26924.09</v>
      </c>
      <c r="U136" s="49" t="n">
        <v>33092.95</v>
      </c>
      <c r="V136" s="49" t="n">
        <v>20869.51</v>
      </c>
      <c r="W136" s="49" t="n">
        <v>26983.24</v>
      </c>
      <c r="X136" s="49" t="n">
        <v>31918.56</v>
      </c>
      <c r="Y136" s="49" t="n">
        <v>38805.89</v>
      </c>
      <c r="Z136" s="49" t="n">
        <v>43081.43</v>
      </c>
      <c r="AA136" s="49" t="n">
        <v>10901.18</v>
      </c>
      <c r="AB136" s="49" t="n">
        <v>15682.32</v>
      </c>
      <c r="AC136" s="49" t="n">
        <v>5095.2</v>
      </c>
      <c r="AD136" s="49" t="n">
        <v>51174.68</v>
      </c>
      <c r="AE136" s="49" t="n">
        <v>73610.24000000001</v>
      </c>
      <c r="AF136" s="49" t="n">
        <v>26805.05</v>
      </c>
      <c r="AG136" s="49" t="n">
        <v>34650.15</v>
      </c>
      <c r="AH136" s="49" t="n">
        <v>30579.87</v>
      </c>
      <c r="AI136" s="49" t="n">
        <v>27393.63</v>
      </c>
      <c r="AJ136" s="49" t="n">
        <v>16496.36</v>
      </c>
      <c r="AK136" s="49" t="n">
        <v>43641.88</v>
      </c>
      <c r="AL136" s="49" t="n">
        <v>21801.79</v>
      </c>
      <c r="AM136" s="49" t="n">
        <v>25433.34</v>
      </c>
      <c r="AN136" s="50">
        <f>SUM(AB136:AM136)</f>
        <v/>
      </c>
    </row>
    <row r="137">
      <c r="A137" s="47" t="inlineStr">
        <is>
          <t>mgt</t>
        </is>
      </c>
      <c r="B137" s="48">
        <f>IFERROR(VLOOKUP($A137,Codes!$A:$B,2,FALSE()),"")</f>
        <v/>
      </c>
      <c r="C137" s="5" t="inlineStr">
        <is>
          <t>Management Fees</t>
        </is>
      </c>
      <c r="D137" s="49" t="n">
        <v>27248.21</v>
      </c>
      <c r="E137" s="49" t="n">
        <v>25607.45</v>
      </c>
      <c r="F137" s="49" t="n">
        <v>27233.33</v>
      </c>
      <c r="G137" s="49" t="n">
        <v>23175.36</v>
      </c>
      <c r="H137" s="49" t="n">
        <v>27035.47</v>
      </c>
      <c r="I137" s="49" t="n">
        <v>28030.8</v>
      </c>
      <c r="J137" s="49" t="n">
        <v>25647.05</v>
      </c>
      <c r="K137" s="49" t="n">
        <v>22861.15</v>
      </c>
      <c r="L137" s="49" t="n">
        <v>24338.63</v>
      </c>
      <c r="M137" s="49" t="n">
        <v>25799.15</v>
      </c>
      <c r="N137" s="49" t="n">
        <v>24680.39</v>
      </c>
      <c r="O137" s="49" t="n">
        <v>24428.22</v>
      </c>
      <c r="P137" s="49" t="n">
        <v>27774.31</v>
      </c>
      <c r="Q137" s="49" t="n">
        <v>26514.79</v>
      </c>
      <c r="R137" s="49" t="n">
        <v>25155.28</v>
      </c>
      <c r="S137" s="49" t="n">
        <v>28598.44</v>
      </c>
      <c r="T137" s="49" t="n">
        <v>26777.78</v>
      </c>
      <c r="U137" s="49" t="n">
        <v>23834.19</v>
      </c>
      <c r="V137" s="49" t="n">
        <v>27491.73</v>
      </c>
      <c r="W137" s="49" t="n">
        <v>25676.23</v>
      </c>
      <c r="X137" s="49" t="n">
        <v>26960.99</v>
      </c>
      <c r="Y137" s="49" t="n">
        <v>26143.13</v>
      </c>
      <c r="Z137" s="49" t="n">
        <v>24020.38</v>
      </c>
      <c r="AA137" s="49" t="n">
        <v>28446.94</v>
      </c>
      <c r="AB137" s="49" t="n">
        <v>32383.35</v>
      </c>
      <c r="AC137" s="49" t="n">
        <v>24678.52</v>
      </c>
      <c r="AD137" s="49" t="n">
        <v>25912.3</v>
      </c>
      <c r="AE137" s="49" t="n">
        <v>24622.04</v>
      </c>
      <c r="AF137" s="49" t="n">
        <v>25083.49</v>
      </c>
      <c r="AG137" s="49" t="n">
        <v>26141.19</v>
      </c>
      <c r="AH137" s="49" t="n">
        <v>25639.05</v>
      </c>
      <c r="AI137" s="49" t="n">
        <v>24094.45</v>
      </c>
      <c r="AJ137" s="49" t="n">
        <v>26196.97</v>
      </c>
      <c r="AK137" s="49" t="n">
        <v>24164.85</v>
      </c>
      <c r="AL137" s="49" t="n">
        <v>21124.52</v>
      </c>
      <c r="AM137" s="49" t="n">
        <v>26506.08</v>
      </c>
      <c r="AN137" s="50">
        <f>SUM(AB137:AM137)</f>
        <v/>
      </c>
    </row>
    <row r="138">
      <c r="A138" s="47" t="inlineStr">
        <is>
          <t>ret</t>
        </is>
      </c>
      <c r="B138" s="48">
        <f>IFERROR(VLOOKUP($A138,Codes!$A:$B,2,FALSE()),"")</f>
        <v/>
      </c>
      <c r="C138" s="5" t="inlineStr">
        <is>
          <t>Ad Valorem Property Taxes</t>
        </is>
      </c>
      <c r="D138" s="49" t="n">
        <v>68710.63</v>
      </c>
      <c r="E138" s="49" t="n">
        <v>68710.63</v>
      </c>
      <c r="F138" s="49" t="n">
        <v>89317</v>
      </c>
      <c r="G138" s="49" t="n">
        <v>75579.38</v>
      </c>
      <c r="H138" s="49" t="n">
        <v>75579.42</v>
      </c>
      <c r="I138" s="49" t="n">
        <v>75579.42</v>
      </c>
      <c r="J138" s="49" t="n">
        <v>75579.42</v>
      </c>
      <c r="K138" s="49" t="n">
        <v>75579.42</v>
      </c>
      <c r="L138" s="49" t="n">
        <v>75579.42</v>
      </c>
      <c r="M138" s="49" t="n">
        <v>75579.42</v>
      </c>
      <c r="N138" s="49" t="n">
        <v>20547.73</v>
      </c>
      <c r="O138" s="49" t="n">
        <v>70576.53999999999</v>
      </c>
      <c r="P138" s="49" t="n">
        <v>74105.36</v>
      </c>
      <c r="Q138" s="49" t="n">
        <v>74105.36</v>
      </c>
      <c r="R138" s="49" t="n">
        <v>74105.36</v>
      </c>
      <c r="S138" s="49" t="n">
        <v>74105.36</v>
      </c>
      <c r="T138" s="49" t="n">
        <v>74105.36</v>
      </c>
      <c r="U138" s="49" t="n">
        <v>74105.36</v>
      </c>
      <c r="V138" s="49" t="n">
        <v>74105.36</v>
      </c>
      <c r="W138" s="49" t="n">
        <v>74105.36</v>
      </c>
      <c r="X138" s="49" t="n">
        <v>63857.6</v>
      </c>
      <c r="Y138" s="49" t="n">
        <v>72966.72</v>
      </c>
      <c r="Z138" s="49" t="n">
        <v>72966.72</v>
      </c>
      <c r="AA138" s="49" t="n">
        <v>72966.69</v>
      </c>
      <c r="AB138" s="49" t="n">
        <v>78913.67</v>
      </c>
      <c r="AC138" s="49" t="n">
        <v>78913.67</v>
      </c>
      <c r="AD138" s="49" t="n">
        <v>78913.67</v>
      </c>
      <c r="AE138" s="49" t="n">
        <v>78913.67</v>
      </c>
      <c r="AF138" s="49" t="n">
        <v>78913.67</v>
      </c>
      <c r="AG138" s="49" t="n">
        <v>78913.67</v>
      </c>
      <c r="AH138" s="49" t="n">
        <v>78913.67</v>
      </c>
      <c r="AI138" s="49" t="n">
        <v>78913.67</v>
      </c>
      <c r="AJ138" s="49" t="n">
        <v>78913.67</v>
      </c>
      <c r="AK138" s="49" t="n">
        <v>45446.65</v>
      </c>
      <c r="AL138" s="49" t="n">
        <v>75566.97</v>
      </c>
      <c r="AM138" s="49" t="n">
        <v>75566.97</v>
      </c>
      <c r="AN138" s="50">
        <f>SUM(AB138:AM138)</f>
        <v/>
      </c>
    </row>
    <row r="139">
      <c r="A139" s="47" t="inlineStr">
        <is>
          <t>ret</t>
        </is>
      </c>
      <c r="B139" s="48">
        <f>IFERROR(VLOOKUP($A139,Codes!$A:$B,2,FALSE()),"")</f>
        <v/>
      </c>
      <c r="C139" s="5" t="inlineStr">
        <is>
          <t>Sales and Use Taxes</t>
        </is>
      </c>
      <c r="D139" s="49" t="n">
        <v>-1780.14</v>
      </c>
      <c r="E139" s="49" t="n">
        <v>1401.87</v>
      </c>
      <c r="F139" s="49" t="n">
        <v>-193</v>
      </c>
      <c r="G139" s="49" t="n">
        <v>3034</v>
      </c>
      <c r="H139" s="49" t="n">
        <v>360.54</v>
      </c>
      <c r="I139" s="49" t="n">
        <v>2367.18</v>
      </c>
      <c r="J139" s="49" t="n">
        <v>2520.58</v>
      </c>
      <c r="K139" s="49" t="n">
        <v>1104.11</v>
      </c>
      <c r="L139" s="49" t="n">
        <v>-1268.75</v>
      </c>
      <c r="M139" s="49" t="n">
        <v>729.65</v>
      </c>
      <c r="N139" s="49" t="n">
        <v>161.32</v>
      </c>
      <c r="O139" s="49" t="n">
        <v>-161.7</v>
      </c>
      <c r="P139" s="49" t="n">
        <v>1289.67</v>
      </c>
      <c r="Q139" s="49" t="n">
        <v>3.26</v>
      </c>
      <c r="R139" s="49" t="n">
        <v>1349.53</v>
      </c>
      <c r="S139" s="49" t="n">
        <v>2695.39</v>
      </c>
      <c r="T139" s="49" t="n">
        <v>942.88</v>
      </c>
      <c r="U139" s="49" t="n">
        <v>982.05</v>
      </c>
      <c r="V139" s="49" t="n">
        <v>1004.29</v>
      </c>
      <c r="W139" s="49" t="n">
        <v>-571.41</v>
      </c>
      <c r="X139" s="49" t="n">
        <v>-979.21</v>
      </c>
      <c r="Y139" s="49" t="n">
        <v>-316.28</v>
      </c>
      <c r="Z139" s="49" t="n">
        <v>-2069.73</v>
      </c>
      <c r="AA139" s="49" t="n">
        <v>2195.33</v>
      </c>
      <c r="AN139" s="50">
        <f>SUM(AB139:AM139)</f>
        <v/>
      </c>
    </row>
    <row r="140">
      <c r="A140" s="47" t="inlineStr">
        <is>
          <t>ins</t>
        </is>
      </c>
      <c r="B140" s="48">
        <f>IFERROR(VLOOKUP($A140,Codes!$A:$B,2,FALSE()),"")</f>
        <v/>
      </c>
      <c r="C140" s="5" t="inlineStr">
        <is>
          <t>Property Insurance</t>
        </is>
      </c>
      <c r="D140" s="49" t="n">
        <v>20071.48</v>
      </c>
      <c r="E140" s="49" t="n">
        <v>20071.48</v>
      </c>
      <c r="F140" s="49" t="n">
        <v>20071.49</v>
      </c>
      <c r="G140" s="49" t="n">
        <v>28450.76</v>
      </c>
      <c r="H140" s="49" t="n">
        <v>28450.82</v>
      </c>
      <c r="I140" s="49" t="n">
        <v>28450.82</v>
      </c>
      <c r="J140" s="49" t="n">
        <v>28450.82</v>
      </c>
      <c r="K140" s="49" t="n">
        <v>28450.82</v>
      </c>
      <c r="L140" s="49" t="n">
        <v>28450.82</v>
      </c>
      <c r="M140" s="49" t="n">
        <v>28450.82</v>
      </c>
      <c r="N140" s="49" t="n">
        <v>28450.82</v>
      </c>
      <c r="O140" s="49" t="n">
        <v>28450.82</v>
      </c>
      <c r="P140" s="49" t="n">
        <v>28450.82</v>
      </c>
      <c r="Q140" s="49" t="n">
        <v>28450.82</v>
      </c>
      <c r="R140" s="49" t="n">
        <v>28450.82</v>
      </c>
      <c r="S140" s="49" t="n">
        <v>26735.62</v>
      </c>
      <c r="T140" s="49" t="n">
        <v>26735.68</v>
      </c>
      <c r="U140" s="49" t="n">
        <v>26735.62</v>
      </c>
      <c r="V140" s="49" t="n">
        <v>26735.62</v>
      </c>
      <c r="W140" s="49" t="n">
        <v>26735.62</v>
      </c>
      <c r="X140" s="49" t="n">
        <v>26735.62</v>
      </c>
      <c r="Y140" s="49" t="n">
        <v>26735.62</v>
      </c>
      <c r="Z140" s="49" t="n">
        <v>26735.62</v>
      </c>
      <c r="AA140" s="49" t="n">
        <v>26735.62</v>
      </c>
      <c r="AB140" s="49" t="n">
        <v>26735.62</v>
      </c>
      <c r="AC140" s="49" t="n">
        <v>26735.62</v>
      </c>
      <c r="AD140" s="49" t="n">
        <v>26735.62</v>
      </c>
      <c r="AE140" s="49" t="n">
        <v>28915.07</v>
      </c>
      <c r="AF140" s="49" t="n">
        <v>20382.53</v>
      </c>
      <c r="AG140" s="49" t="n">
        <v>24648.8</v>
      </c>
      <c r="AH140" s="49" t="n">
        <v>24648.8</v>
      </c>
      <c r="AI140" s="49" t="n">
        <v>24648.8</v>
      </c>
      <c r="AJ140" s="49" t="n">
        <v>24648.8</v>
      </c>
      <c r="AK140" s="49" t="n">
        <v>24648.8</v>
      </c>
      <c r="AL140" s="49" t="n">
        <v>24648.8</v>
      </c>
      <c r="AM140" s="49" t="n">
        <v>24648.82</v>
      </c>
      <c r="AN140" s="50">
        <f>SUM(AB140:AM140)</f>
        <v/>
      </c>
    </row>
    <row r="141">
      <c r="A141" s="47" t="inlineStr">
        <is>
          <t>cont</t>
        </is>
      </c>
      <c r="B141" s="48">
        <f>IFERROR(VLOOKUP($A141,Codes!$A:$B,2,FALSE()),"")</f>
        <v/>
      </c>
      <c r="C141" s="5" t="inlineStr">
        <is>
          <t>Fire Alarm Contract</t>
        </is>
      </c>
      <c r="D141" s="49" t="n">
        <v>248</v>
      </c>
      <c r="E141" s="49" t="n">
        <v>10.32</v>
      </c>
      <c r="F141" s="49" t="n">
        <v>0</v>
      </c>
      <c r="G141" s="49" t="n">
        <v>258.32</v>
      </c>
      <c r="H141" s="49" t="n">
        <v>840</v>
      </c>
      <c r="I141" s="49" t="n">
        <v>0</v>
      </c>
      <c r="J141" s="49" t="n">
        <v>124</v>
      </c>
      <c r="K141" s="49" t="n">
        <v>173.08</v>
      </c>
      <c r="L141" s="49" t="n">
        <v>0</v>
      </c>
      <c r="M141" s="49" t="n">
        <v>124</v>
      </c>
      <c r="N141" s="49" t="n">
        <v>-124</v>
      </c>
      <c r="O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871.2</v>
      </c>
      <c r="AL141" s="49" t="n">
        <v>0</v>
      </c>
      <c r="AM141" s="49" t="n">
        <v>0</v>
      </c>
      <c r="AN141" s="50">
        <f>SUM(AB141:AM141)</f>
        <v/>
      </c>
    </row>
    <row r="142">
      <c r="A142" s="47" t="inlineStr">
        <is>
          <t>adv</t>
        </is>
      </c>
      <c r="B142" s="48">
        <f>IFERROR(VLOOKUP($A142,Codes!$A:$B,2,FALSE()),"")</f>
        <v/>
      </c>
      <c r="C142" s="5" t="inlineStr">
        <is>
          <t>Other Leasing&amp; Marketing - Surveys</t>
        </is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756.75</v>
      </c>
      <c r="AG142" s="49" t="n">
        <v>1135.11</v>
      </c>
      <c r="AH142" s="49" t="n">
        <v>315.31</v>
      </c>
      <c r="AI142" s="49" t="n">
        <v>315.31</v>
      </c>
      <c r="AJ142" s="49" t="n">
        <v>315.31</v>
      </c>
      <c r="AK142" s="51" t="n">
        <v>-2837.79</v>
      </c>
      <c r="AL142" s="49" t="n">
        <v>0</v>
      </c>
      <c r="AM142" s="49" t="n">
        <v>0</v>
      </c>
      <c r="AN142" s="50">
        <f>SUM(AB142:AM142)</f>
        <v/>
      </c>
    </row>
    <row r="143">
      <c r="A143" s="47" t="inlineStr">
        <is>
          <t>GA</t>
        </is>
      </c>
      <c r="B143" s="48">
        <f>IFERROR(VLOOKUP($A143,Codes!$A:$B,2,FALSE()),"")</f>
        <v/>
      </c>
      <c r="C143" s="5" t="inlineStr">
        <is>
          <t>Administrative / Accounting Fees</t>
        </is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238.17</v>
      </c>
      <c r="AG143" s="49" t="n">
        <v>238.17</v>
      </c>
      <c r="AH143" s="49" t="n">
        <v>303.7</v>
      </c>
      <c r="AI143" s="49" t="n">
        <v>-780.04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50">
        <f>SUM(AB143:AM143)</f>
        <v/>
      </c>
    </row>
    <row r="144">
      <c r="A144" s="47" t="inlineStr">
        <is>
          <t>GA</t>
        </is>
      </c>
      <c r="B144" s="48">
        <f>IFERROR(VLOOKUP($A144,Codes!$A:$B,2,FALSE()),"")</f>
        <v/>
      </c>
      <c r="C144" s="5" t="inlineStr">
        <is>
          <t>Tax Preparation Fees</t>
        </is>
      </c>
      <c r="D144" s="49" t="n">
        <v>0</v>
      </c>
      <c r="E144" s="49" t="n">
        <v>0</v>
      </c>
      <c r="F144" s="49" t="n">
        <v>250</v>
      </c>
      <c r="G144" s="49" t="n">
        <v>-250</v>
      </c>
      <c r="H144" s="49" t="n">
        <v>250</v>
      </c>
      <c r="I144" s="49" t="n">
        <v>-250</v>
      </c>
      <c r="J144" s="49" t="n">
        <v>0</v>
      </c>
      <c r="K144" s="49" t="n">
        <v>0</v>
      </c>
      <c r="L144" s="49" t="n">
        <v>500</v>
      </c>
      <c r="M144" s="49" t="n">
        <v>0</v>
      </c>
      <c r="N144" s="49" t="n">
        <v>0</v>
      </c>
      <c r="O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270.4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50">
        <f>SUM(AB144:AM144)</f>
        <v/>
      </c>
    </row>
    <row r="145">
      <c r="A145" s="47" t="inlineStr">
        <is>
          <t>ins</t>
        </is>
      </c>
      <c r="B145" s="48">
        <f>IFERROR(VLOOKUP($A145,Codes!$A:$B,2,FALSE()),"")</f>
        <v/>
      </c>
      <c r="C145" s="5" t="inlineStr">
        <is>
          <t>Environmental Liability Insurance</t>
        </is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427.94</v>
      </c>
      <c r="AH145" s="49" t="n">
        <v>494.34</v>
      </c>
      <c r="AI145" s="49" t="n">
        <v>213.97</v>
      </c>
      <c r="AJ145" s="49" t="n">
        <v>213.97</v>
      </c>
      <c r="AK145" s="49" t="n">
        <v>213.97</v>
      </c>
      <c r="AL145" s="49" t="n">
        <v>213.97</v>
      </c>
      <c r="AM145" s="49" t="n">
        <v>213.97</v>
      </c>
      <c r="AN145" s="50">
        <f>SUM(AB145:AM145)</f>
        <v/>
      </c>
    </row>
    <row r="146">
      <c r="A146" s="47" t="inlineStr">
        <is>
          <t>Pay</t>
        </is>
      </c>
      <c r="B146" s="48">
        <f>IFERROR(VLOOKUP($A146,Codes!$A:$B,2,FALSE()),"")</f>
        <v/>
      </c>
      <c r="C146" s="5" t="inlineStr">
        <is>
          <t>Grounds - Salaries</t>
        </is>
      </c>
      <c r="D146" s="49" t="n">
        <v>0</v>
      </c>
      <c r="E146" s="49" t="n">
        <v>0</v>
      </c>
      <c r="F146" s="49" t="n">
        <v>0</v>
      </c>
      <c r="G146" s="49" t="n">
        <v>0</v>
      </c>
      <c r="H146" s="49" t="n">
        <v>0</v>
      </c>
      <c r="I146" s="49" t="n">
        <v>0</v>
      </c>
      <c r="J146" s="49" t="n">
        <v>0</v>
      </c>
      <c r="K146" s="49" t="n">
        <v>0</v>
      </c>
      <c r="L146" s="49" t="n">
        <v>0</v>
      </c>
      <c r="M146" s="49" t="n">
        <v>829.54</v>
      </c>
      <c r="N146" s="49" t="n">
        <v>1521.93</v>
      </c>
      <c r="O146" s="49" t="n">
        <v>450</v>
      </c>
      <c r="AN146" s="50">
        <f>SUM(AB146:AM146)</f>
        <v/>
      </c>
    </row>
    <row r="147">
      <c r="A147" s="47" t="inlineStr">
        <is>
          <t>GA</t>
        </is>
      </c>
      <c r="B147" s="48">
        <f>IFERROR(VLOOKUP($A147,Codes!$A:$B,2,FALSE()),"")</f>
        <v/>
      </c>
      <c r="C147" s="5" t="inlineStr">
        <is>
          <t>Legal Fees</t>
        </is>
      </c>
      <c r="D147" s="49" t="n">
        <v>0</v>
      </c>
      <c r="E147" s="49" t="n">
        <v>0</v>
      </c>
      <c r="F147" s="49" t="n">
        <v>0</v>
      </c>
      <c r="G147" s="49" t="n">
        <v>0</v>
      </c>
      <c r="H147" s="49" t="n">
        <v>0.93</v>
      </c>
      <c r="I147" s="49" t="n">
        <v>1120.65</v>
      </c>
      <c r="J147" s="49" t="n">
        <v>1081.55</v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AN147" s="50">
        <f>SUM(AB147:AM147)</f>
        <v/>
      </c>
    </row>
    <row r="148">
      <c r="A148" s="47" t="inlineStr">
        <is>
          <t>GA</t>
        </is>
      </c>
      <c r="B148" s="48">
        <f>IFERROR(VLOOKUP($A148,Codes!$A:$B,2,FALSE()),"")</f>
        <v/>
      </c>
      <c r="C148" s="5" t="inlineStr">
        <is>
          <t>Mileage Expense</t>
        </is>
      </c>
      <c r="D148" s="49" t="n">
        <v>0</v>
      </c>
      <c r="E148" s="49" t="n">
        <v>0</v>
      </c>
      <c r="F148" s="49" t="n">
        <v>0</v>
      </c>
      <c r="G148" s="49" t="n">
        <v>0</v>
      </c>
      <c r="H148" s="49" t="n">
        <v>0</v>
      </c>
      <c r="I148" s="49" t="n">
        <v>0</v>
      </c>
      <c r="J148" s="49" t="n">
        <v>0</v>
      </c>
      <c r="K148" s="49" t="n">
        <v>0</v>
      </c>
      <c r="L148" s="49" t="n">
        <v>206.98</v>
      </c>
      <c r="M148" s="49" t="n">
        <v>-0.01</v>
      </c>
      <c r="N148" s="49" t="n">
        <v>0</v>
      </c>
      <c r="O148" s="49" t="n">
        <v>0</v>
      </c>
      <c r="AN148" s="50">
        <f>SUM(AB148:AM148)</f>
        <v/>
      </c>
    </row>
    <row r="149">
      <c r="A149" s="45" t="n"/>
      <c r="B149" s="45" t="n"/>
      <c r="C149" s="46" t="inlineStr">
        <is>
          <t>NON-OPERATING EXPENSES</t>
        </is>
      </c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  <c r="AA149" s="45" t="n"/>
      <c r="AB149" s="45" t="n"/>
      <c r="AC149" s="45" t="n"/>
      <c r="AD149" s="45" t="n"/>
      <c r="AE149" s="45" t="n"/>
      <c r="AF149" s="45" t="n"/>
      <c r="AG149" s="45" t="n"/>
      <c r="AH149" s="45" t="n"/>
      <c r="AI149" s="45" t="n"/>
      <c r="AJ149" s="45" t="n"/>
      <c r="AK149" s="45" t="n"/>
      <c r="AL149" s="45" t="n"/>
      <c r="AM149" s="45" t="n"/>
      <c r="AN149" s="45" t="n"/>
    </row>
    <row r="150">
      <c r="A150" s="47" t="inlineStr">
        <is>
          <t>onoe</t>
        </is>
      </c>
      <c r="B150" s="48">
        <f>IFERROR(VLOOKUP($A150,Codes!$A:$B,2,FALSE()),"")</f>
        <v/>
      </c>
      <c r="C150" s="5" t="inlineStr">
        <is>
          <t>Administrative / Supervision Fees</t>
        </is>
      </c>
      <c r="D150" s="49" t="n">
        <v>0</v>
      </c>
      <c r="E150" s="49" t="n">
        <v>0</v>
      </c>
      <c r="F150" s="49" t="n">
        <v>6860.09</v>
      </c>
      <c r="G150" s="49" t="n">
        <v>0</v>
      </c>
      <c r="H150" s="49" t="n">
        <v>7873.84</v>
      </c>
      <c r="I150" s="49" t="n">
        <v>-14733.93</v>
      </c>
      <c r="J150" s="49" t="n">
        <v>0</v>
      </c>
      <c r="K150" s="49" t="n">
        <v>6524.56</v>
      </c>
      <c r="L150" s="49" t="n">
        <v>7015.96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68.90000000000001</v>
      </c>
      <c r="T150" s="49" t="n">
        <v>63.6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N150" s="50">
        <f>SUM(AB150:AM150)</f>
        <v/>
      </c>
    </row>
    <row r="151">
      <c r="A151" s="47" t="inlineStr">
        <is>
          <t>onoe</t>
        </is>
      </c>
      <c r="B151" s="48">
        <f>IFERROR(VLOOKUP($A151,Codes!$A:$B,2,FALSE()),"")</f>
        <v/>
      </c>
      <c r="C151" s="5" t="inlineStr">
        <is>
          <t>Partnership / Owner Expense - Other 2nd</t>
        </is>
      </c>
      <c r="D151" s="49" t="n">
        <v>0</v>
      </c>
      <c r="E151" s="49" t="n">
        <v>973.3</v>
      </c>
      <c r="F151" s="49" t="n">
        <v>486.65</v>
      </c>
      <c r="G151" s="49" t="n">
        <v>486.65</v>
      </c>
      <c r="H151" s="49" t="n">
        <v>486.65</v>
      </c>
      <c r="I151" s="49" t="n">
        <v>498.25</v>
      </c>
      <c r="J151" s="49" t="n">
        <v>0</v>
      </c>
      <c r="K151" s="49" t="n">
        <v>996.5</v>
      </c>
      <c r="L151" s="49" t="n">
        <v>498.25</v>
      </c>
      <c r="M151" s="49" t="n">
        <v>498.25</v>
      </c>
      <c r="N151" s="49" t="n">
        <v>498.25</v>
      </c>
      <c r="O151" s="49" t="n">
        <v>0</v>
      </c>
      <c r="P151" s="49" t="n">
        <v>996.5</v>
      </c>
      <c r="Q151" s="51" t="n">
        <v>16995.53</v>
      </c>
      <c r="R151" s="49" t="n">
        <v>863.4400000000001</v>
      </c>
      <c r="S151" s="49" t="n">
        <v>-935.97</v>
      </c>
      <c r="T151" s="49" t="n">
        <v>-991.77</v>
      </c>
      <c r="U151" s="49" t="n">
        <v>607.04</v>
      </c>
      <c r="V151" s="51" t="n">
        <v>23727.65</v>
      </c>
      <c r="W151" s="51" t="n">
        <v>-5497.32</v>
      </c>
      <c r="X151" s="51" t="n">
        <v>3294.01</v>
      </c>
      <c r="Y151" s="49" t="n">
        <v>1888.13</v>
      </c>
      <c r="Z151" s="49" t="n">
        <v>509.85</v>
      </c>
      <c r="AA151" s="49" t="n">
        <v>509.85</v>
      </c>
      <c r="AB151" s="51" t="n">
        <v>4057.82</v>
      </c>
      <c r="AC151" s="49" t="n">
        <v>509.85</v>
      </c>
      <c r="AD151" s="49" t="n">
        <v>265.13</v>
      </c>
      <c r="AE151" s="49" t="n">
        <v>1174.68</v>
      </c>
      <c r="AF151" s="49" t="n">
        <v>1019.7</v>
      </c>
      <c r="AG151" s="49" t="n">
        <v>0</v>
      </c>
      <c r="AH151" s="49" t="n">
        <v>533.01</v>
      </c>
      <c r="AI151" s="51" t="n">
        <v>5847.21</v>
      </c>
      <c r="AJ151" s="49" t="n">
        <v>533.01</v>
      </c>
      <c r="AK151" s="49" t="n">
        <v>1302.73</v>
      </c>
      <c r="AL151" s="49" t="n">
        <v>539.01</v>
      </c>
      <c r="AM151" s="49" t="n">
        <v>539.01</v>
      </c>
      <c r="AN151" s="50">
        <f>SUM(AB151:AM151)</f>
        <v/>
      </c>
    </row>
    <row r="152">
      <c r="A152" s="47" t="inlineStr">
        <is>
          <t>intex</t>
        </is>
      </c>
      <c r="B152" s="48">
        <f>IFERROR(VLOOKUP($A152,Codes!$A:$B,2,FALSE()),"")</f>
        <v/>
      </c>
      <c r="C152" s="5" t="inlineStr">
        <is>
          <t>Interest Expense - 1st Mortgage</t>
        </is>
      </c>
      <c r="D152" s="49" t="n">
        <v>164621.68</v>
      </c>
      <c r="E152" s="49" t="n">
        <v>148690.55</v>
      </c>
      <c r="F152" s="49" t="n">
        <v>164621.68</v>
      </c>
      <c r="G152" s="49" t="n">
        <v>159312.12</v>
      </c>
      <c r="H152" s="49" t="n">
        <v>164620.87</v>
      </c>
      <c r="I152" s="49" t="n">
        <v>159311.31</v>
      </c>
      <c r="J152" s="49" t="n">
        <v>164621.68</v>
      </c>
      <c r="K152" s="49" t="n">
        <v>164621.68</v>
      </c>
      <c r="L152" s="49" t="n">
        <v>159311.31</v>
      </c>
      <c r="M152" s="49" t="n">
        <v>164621.68</v>
      </c>
      <c r="N152" s="49" t="n">
        <v>159311.31</v>
      </c>
      <c r="O152" s="49" t="n">
        <v>164621.68</v>
      </c>
      <c r="P152" s="49" t="n">
        <v>164621.68</v>
      </c>
      <c r="Q152" s="49" t="n">
        <v>154000.93</v>
      </c>
      <c r="R152" s="49" t="n">
        <v>164621.68</v>
      </c>
      <c r="S152" s="49" t="n">
        <v>159311.31</v>
      </c>
      <c r="T152" s="49" t="n">
        <v>164621.68</v>
      </c>
      <c r="U152" s="49" t="n">
        <v>159311.31</v>
      </c>
      <c r="V152" s="49" t="n">
        <v>164621.68</v>
      </c>
      <c r="W152" s="49" t="n">
        <v>164621.68</v>
      </c>
      <c r="X152" s="49" t="n">
        <v>159311.31</v>
      </c>
      <c r="Y152" s="49" t="n">
        <v>164621.68</v>
      </c>
      <c r="Z152" s="49" t="n">
        <v>161311.31</v>
      </c>
      <c r="AA152" s="49" t="n">
        <v>0</v>
      </c>
      <c r="AN152" s="50">
        <f>SUM(AB152:AM152)</f>
        <v/>
      </c>
    </row>
    <row r="153">
      <c r="A153" s="47" t="inlineStr">
        <is>
          <t>intex</t>
        </is>
      </c>
      <c r="B153" s="48">
        <f>IFERROR(VLOOKUP($A153,Codes!$A:$B,2,FALSE()),"")</f>
        <v/>
      </c>
      <c r="C153" s="5" t="inlineStr">
        <is>
          <t>Interest Expense - 2nd Mortgage</t>
        </is>
      </c>
      <c r="D153" s="49" t="n">
        <v>45398.53</v>
      </c>
      <c r="E153" s="49" t="n">
        <v>40934.35</v>
      </c>
      <c r="F153" s="49" t="n">
        <v>45223.16</v>
      </c>
      <c r="G153" s="49" t="n">
        <v>43687.8</v>
      </c>
      <c r="H153" s="49" t="n">
        <v>45058.56</v>
      </c>
      <c r="I153" s="49" t="n">
        <v>43527.85</v>
      </c>
      <c r="J153" s="49" t="n">
        <v>44892.6</v>
      </c>
      <c r="K153" s="49" t="n">
        <v>44812.13</v>
      </c>
      <c r="L153" s="49" t="n">
        <v>43288.38</v>
      </c>
      <c r="M153" s="49" t="n">
        <v>44374.15</v>
      </c>
      <c r="N153" s="49" t="n">
        <v>43125.14</v>
      </c>
      <c r="O153" s="49" t="n">
        <v>44744.79</v>
      </c>
      <c r="P153" s="49" t="n">
        <v>44392.57</v>
      </c>
      <c r="Q153" s="49" t="n">
        <v>41451.29</v>
      </c>
      <c r="R153" s="49" t="n">
        <v>44215.14</v>
      </c>
      <c r="S153" s="49" t="n">
        <v>42708.23</v>
      </c>
      <c r="T153" s="49" t="n">
        <v>44042.24</v>
      </c>
      <c r="U153" s="49" t="n">
        <v>42540.21</v>
      </c>
      <c r="V153" s="49" t="n">
        <v>43867.9</v>
      </c>
      <c r="W153" s="49" t="n">
        <v>43743.4</v>
      </c>
      <c r="X153" s="49" t="n">
        <v>42328.18</v>
      </c>
      <c r="Y153" s="49" t="n">
        <v>43606.68</v>
      </c>
      <c r="Z153" s="49" t="n">
        <v>43116.94</v>
      </c>
      <c r="AA153" s="49" t="n">
        <v>0</v>
      </c>
      <c r="AN153" s="50">
        <f>SUM(AB153:AM153)</f>
        <v/>
      </c>
    </row>
    <row r="154">
      <c r="A154" s="47" t="inlineStr">
        <is>
          <t>intex</t>
        </is>
      </c>
      <c r="B154" s="48">
        <f>IFERROR(VLOOKUP($A154,Codes!$A:$B,2,FALSE()),"")</f>
        <v/>
      </c>
      <c r="C154" s="5" t="inlineStr">
        <is>
          <t>Interest Expense - 3rd Mortgage</t>
        </is>
      </c>
      <c r="D154" s="49" t="n">
        <v>56420.22</v>
      </c>
      <c r="E154" s="49" t="n">
        <v>50898.39</v>
      </c>
      <c r="F154" s="49" t="n">
        <v>56256.73</v>
      </c>
      <c r="G154" s="49" t="n">
        <v>54375</v>
      </c>
      <c r="H154" s="49" t="n">
        <v>56109.21</v>
      </c>
      <c r="I154" s="49" t="n">
        <v>54231.56</v>
      </c>
      <c r="J154" s="49" t="n">
        <v>55960.29</v>
      </c>
      <c r="K154" s="49" t="n">
        <v>55889.64</v>
      </c>
      <c r="L154" s="49" t="n">
        <v>54018.04</v>
      </c>
      <c r="M154" s="49" t="n">
        <v>55738.62</v>
      </c>
      <c r="N154" s="49" t="n">
        <v>53871.19</v>
      </c>
      <c r="O154" s="49" t="n">
        <v>55586.18</v>
      </c>
      <c r="P154" s="49" t="n">
        <v>55513.72</v>
      </c>
      <c r="Q154" s="49" t="n">
        <v>51864.08</v>
      </c>
      <c r="R154" s="49" t="n">
        <v>55350.51</v>
      </c>
      <c r="S154" s="49" t="n">
        <v>53493.79</v>
      </c>
      <c r="T154" s="49" t="n">
        <v>55194.37</v>
      </c>
      <c r="U154" s="49" t="n">
        <v>53341.96</v>
      </c>
      <c r="V154" s="49" t="n">
        <v>55036.74</v>
      </c>
      <c r="W154" s="49" t="n">
        <v>54961.64</v>
      </c>
      <c r="X154" s="49" t="n">
        <v>53115.64</v>
      </c>
      <c r="Y154" s="49" t="n">
        <v>54801.8</v>
      </c>
      <c r="Z154" s="49" t="n">
        <v>53960.22</v>
      </c>
      <c r="AA154" s="49" t="n">
        <v>0</v>
      </c>
      <c r="AN154" s="50">
        <f>SUM(AB154:AM154)</f>
        <v/>
      </c>
    </row>
    <row r="155">
      <c r="A155" s="47" t="inlineStr">
        <is>
          <t>intex</t>
        </is>
      </c>
      <c r="B155" s="48">
        <f>IFERROR(VLOOKUP($A155,Codes!$A:$B,2,FALSE()),"")</f>
        <v/>
      </c>
      <c r="C155" s="5" t="inlineStr">
        <is>
          <t>Interest Expense - Other</t>
        </is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703769.29</v>
      </c>
      <c r="AB155" s="49" t="n">
        <v>532793.85</v>
      </c>
      <c r="AC155" s="49" t="n">
        <v>466306.66</v>
      </c>
      <c r="AD155" s="49" t="n">
        <v>518577.15</v>
      </c>
      <c r="AE155" s="49" t="n">
        <v>500352.59</v>
      </c>
      <c r="AF155" s="49" t="n">
        <v>518414.65</v>
      </c>
      <c r="AG155" s="49" t="n">
        <v>498614.94</v>
      </c>
      <c r="AH155" s="49" t="n">
        <v>515861.85</v>
      </c>
      <c r="AI155" s="49" t="n">
        <v>517626.55</v>
      </c>
      <c r="AJ155" s="49" t="n">
        <v>502010.81</v>
      </c>
      <c r="AK155" s="49" t="n">
        <v>514912.08</v>
      </c>
      <c r="AL155" s="49" t="n">
        <v>489989.59</v>
      </c>
      <c r="AM155" s="49" t="n">
        <v>490619.86</v>
      </c>
      <c r="AN155" s="50">
        <f>SUM(AB155:AM155)</f>
        <v/>
      </c>
    </row>
    <row r="156">
      <c r="A156" s="47" t="inlineStr">
        <is>
          <t>prin</t>
        </is>
      </c>
      <c r="B156" s="48">
        <f>IFERROR(VLOOKUP($A156,Codes!$A:$B,2,FALSE()),"")</f>
        <v/>
      </c>
      <c r="C156" s="5" t="inlineStr">
        <is>
          <t>Amortization</t>
        </is>
      </c>
      <c r="D156" s="49" t="n">
        <v>12538.5</v>
      </c>
      <c r="E156" s="49" t="n">
        <v>12538.5</v>
      </c>
      <c r="F156" s="49" t="n">
        <v>12538.5</v>
      </c>
      <c r="G156" s="49" t="n">
        <v>12538.5</v>
      </c>
      <c r="H156" s="49" t="n">
        <v>12538.5</v>
      </c>
      <c r="I156" s="49" t="n">
        <v>12538.5</v>
      </c>
      <c r="J156" s="49" t="n">
        <v>12538.5</v>
      </c>
      <c r="K156" s="49" t="n">
        <v>12538.5</v>
      </c>
      <c r="L156" s="49" t="n">
        <v>12538.5</v>
      </c>
      <c r="M156" s="49" t="n">
        <v>12538.5</v>
      </c>
      <c r="N156" s="49" t="n">
        <v>12538.5</v>
      </c>
      <c r="O156" s="49" t="n">
        <v>12538.5</v>
      </c>
      <c r="P156" s="49" t="n">
        <v>12538.5</v>
      </c>
      <c r="Q156" s="49" t="n">
        <v>12538.5</v>
      </c>
      <c r="R156" s="49" t="n">
        <v>12538.5</v>
      </c>
      <c r="S156" s="49" t="n">
        <v>12538.5</v>
      </c>
      <c r="T156" s="49" t="n">
        <v>12538.5</v>
      </c>
      <c r="U156" s="49" t="n">
        <v>12538.5</v>
      </c>
      <c r="V156" s="49" t="n">
        <v>12538.5</v>
      </c>
      <c r="W156" s="49" t="n">
        <v>12538.5</v>
      </c>
      <c r="X156" s="49" t="n">
        <v>12538.5</v>
      </c>
      <c r="Y156" s="49" t="n">
        <v>12538.5</v>
      </c>
      <c r="Z156" s="49" t="n">
        <v>12538.48</v>
      </c>
      <c r="AA156" s="49" t="n">
        <v>10033.38</v>
      </c>
      <c r="AB156" s="49" t="n">
        <v>10033.38</v>
      </c>
      <c r="AC156" s="49" t="n">
        <v>10033.38</v>
      </c>
      <c r="AD156" s="49" t="n">
        <v>10033.38</v>
      </c>
      <c r="AE156" s="49" t="n">
        <v>10033.38</v>
      </c>
      <c r="AF156" s="49" t="n">
        <v>10033.38</v>
      </c>
      <c r="AG156" s="49" t="n">
        <v>10033.38</v>
      </c>
      <c r="AH156" s="49" t="n">
        <v>10033.38</v>
      </c>
      <c r="AI156" s="49" t="n">
        <v>10033.38</v>
      </c>
      <c r="AJ156" s="49" t="n">
        <v>10033.38</v>
      </c>
      <c r="AK156" s="49" t="n">
        <v>10033.38</v>
      </c>
      <c r="AL156" s="49" t="n">
        <v>10033.38</v>
      </c>
      <c r="AM156" s="49" t="n">
        <v>10033.38</v>
      </c>
      <c r="AN156" s="50">
        <f>SUM(AB156:AM156)</f>
        <v/>
      </c>
    </row>
    <row r="157">
      <c r="A157" s="47" t="inlineStr">
        <is>
          <t>onoe</t>
        </is>
      </c>
      <c r="B157" s="48">
        <f>IFERROR(VLOOKUP($A157,Codes!$A:$B,2,FALSE()),"")</f>
        <v/>
      </c>
      <c r="C157" s="5" t="inlineStr">
        <is>
          <t>Tax Escrow</t>
        </is>
      </c>
      <c r="D157" s="49" t="n">
        <v>-73369.7</v>
      </c>
      <c r="E157" s="49" t="n">
        <v>-73369.7</v>
      </c>
      <c r="F157" s="49" t="n">
        <v>-73369.7</v>
      </c>
      <c r="G157" s="51" t="n">
        <v>338894.04</v>
      </c>
      <c r="H157" s="49" t="n">
        <v>-73369.7</v>
      </c>
      <c r="I157" s="49" t="n">
        <v>-74119.45</v>
      </c>
      <c r="J157" s="49" t="n">
        <v>-74119.45</v>
      </c>
      <c r="K157" s="49" t="n">
        <v>-64866.28</v>
      </c>
      <c r="L157" s="49" t="n">
        <v>-64866.28</v>
      </c>
      <c r="M157" s="49" t="n">
        <v>-64866.28</v>
      </c>
      <c r="N157" s="51" t="n">
        <v>358592.95</v>
      </c>
      <c r="O157" s="49" t="n">
        <v>-64866.28</v>
      </c>
      <c r="P157" s="49" t="n">
        <v>-64866.28</v>
      </c>
      <c r="Q157" s="49" t="n">
        <v>-64866.28</v>
      </c>
      <c r="R157" s="49" t="n">
        <v>-64866.28</v>
      </c>
      <c r="S157" s="49" t="n">
        <v>-64866.28</v>
      </c>
      <c r="T157" s="51" t="n">
        <v>358592.95</v>
      </c>
      <c r="U157" s="49" t="n">
        <v>-72146.17999999999</v>
      </c>
      <c r="V157" s="49" t="n">
        <v>-72146.17999999999</v>
      </c>
      <c r="W157" s="49" t="n">
        <v>-73005.50999999999</v>
      </c>
      <c r="X157" s="49" t="n">
        <v>-73005.50999999999</v>
      </c>
      <c r="Y157" s="49" t="n">
        <v>-73005.50999999999</v>
      </c>
      <c r="Z157" s="49" t="n">
        <v>72927.8</v>
      </c>
      <c r="AA157" s="49" t="n">
        <v>161642.13</v>
      </c>
      <c r="AB157" s="49" t="n">
        <v>-72966.75</v>
      </c>
      <c r="AC157" s="49" t="n">
        <v>-72966.75</v>
      </c>
      <c r="AD157" s="49" t="n">
        <v>-72966.75</v>
      </c>
      <c r="AE157" s="49" t="n">
        <v>-72966.75</v>
      </c>
      <c r="AF157" s="49" t="n">
        <v>-72966.75</v>
      </c>
      <c r="AG157" s="49" t="n">
        <v>-54971.68</v>
      </c>
      <c r="AH157" s="49" t="n">
        <v>-72966.74000000001</v>
      </c>
      <c r="AI157" s="49" t="n">
        <v>-31902.37</v>
      </c>
      <c r="AJ157" s="49" t="n">
        <v>-31902.37</v>
      </c>
      <c r="AK157" s="51" t="n">
        <v>421499.43</v>
      </c>
      <c r="AL157" s="49" t="n">
        <v>-31902.37</v>
      </c>
      <c r="AM157" s="49" t="n">
        <v>-31902.37</v>
      </c>
      <c r="AN157" s="50">
        <f>SUM(AB157:AM157)</f>
        <v/>
      </c>
    </row>
    <row r="158">
      <c r="A158" s="47" t="inlineStr">
        <is>
          <t>onoe</t>
        </is>
      </c>
      <c r="B158" s="48">
        <f>IFERROR(VLOOKUP($A158,Codes!$A:$B,2,FALSE()),"")</f>
        <v/>
      </c>
      <c r="C158" s="5" t="inlineStr">
        <is>
          <t>Insurance Escrow</t>
        </is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51" t="n">
        <v>-213884.97</v>
      </c>
      <c r="AA158" s="49" t="n">
        <v>0</v>
      </c>
      <c r="AB158" s="49" t="n">
        <v>-26735.62</v>
      </c>
      <c r="AC158" s="49" t="n">
        <v>-26735.62</v>
      </c>
      <c r="AD158" s="49" t="n">
        <v>-26735.62</v>
      </c>
      <c r="AE158" s="49" t="n">
        <v>-26735.62</v>
      </c>
      <c r="AF158" s="51" t="n">
        <v>269050</v>
      </c>
      <c r="AG158" s="49" t="n">
        <v>-44730.69</v>
      </c>
      <c r="AH158" s="49" t="n">
        <v>-26735.63</v>
      </c>
      <c r="AI158" s="49" t="n">
        <v>-24648.84</v>
      </c>
      <c r="AJ158" s="49" t="n">
        <v>-24648.84</v>
      </c>
      <c r="AK158" s="49" t="n">
        <v>-24648.84</v>
      </c>
      <c r="AL158" s="49" t="n">
        <v>-24648.84</v>
      </c>
      <c r="AM158" s="49" t="n">
        <v>-24648.84</v>
      </c>
      <c r="AN158" s="50">
        <f>SUM(AB158:AM158)</f>
        <v/>
      </c>
    </row>
    <row r="159">
      <c r="A159" s="47" t="inlineStr">
        <is>
          <t>onoe</t>
        </is>
      </c>
      <c r="B159" s="48">
        <f>IFERROR(VLOOKUP($A159,Codes!$A:$B,2,FALSE()),"")</f>
        <v/>
      </c>
      <c r="C159" s="5" t="inlineStr">
        <is>
          <t>Replacement / Rehab Escrow</t>
        </is>
      </c>
      <c r="D159" s="49" t="n">
        <v>-15230</v>
      </c>
      <c r="E159" s="51" t="n">
        <v>128359.54</v>
      </c>
      <c r="F159" s="49" t="n">
        <v>-15230</v>
      </c>
      <c r="G159" s="51" t="n">
        <v>63841.9</v>
      </c>
      <c r="H159" s="49" t="n">
        <v>-15230</v>
      </c>
      <c r="I159" s="49" t="n">
        <v>-15230</v>
      </c>
      <c r="J159" s="49" t="n">
        <v>-15230</v>
      </c>
      <c r="K159" s="49" t="n">
        <v>-15230</v>
      </c>
      <c r="L159" s="49" t="n">
        <v>-15230</v>
      </c>
      <c r="M159" s="49" t="n">
        <v>49069.16</v>
      </c>
      <c r="N159" s="51" t="n">
        <v>53991.76</v>
      </c>
      <c r="O159" s="49" t="n">
        <v>-15230</v>
      </c>
      <c r="P159" s="49" t="n">
        <v>-15230</v>
      </c>
      <c r="Q159" s="49" t="n">
        <v>-15230</v>
      </c>
      <c r="R159" s="49" t="n">
        <v>23307.08</v>
      </c>
      <c r="S159" s="49" t="n">
        <v>-15230</v>
      </c>
      <c r="T159" s="49" t="n">
        <v>-15230</v>
      </c>
      <c r="U159" s="49" t="n">
        <v>-15230</v>
      </c>
      <c r="V159" s="49" t="n">
        <v>20575.1</v>
      </c>
      <c r="W159" s="49" t="n">
        <v>-15230</v>
      </c>
      <c r="X159" s="49" t="n">
        <v>4670.82</v>
      </c>
      <c r="Y159" s="49" t="n">
        <v>-15230</v>
      </c>
      <c r="Z159" s="51" t="n">
        <v>-275098</v>
      </c>
      <c r="AA159" s="51" t="n">
        <v>213853.04</v>
      </c>
      <c r="AB159" s="49" t="n">
        <v>-8938</v>
      </c>
      <c r="AC159" s="49" t="n">
        <v>-8938</v>
      </c>
      <c r="AD159" s="49" t="n">
        <v>-8938</v>
      </c>
      <c r="AE159" s="49" t="n">
        <v>-8938</v>
      </c>
      <c r="AF159" s="49" t="n">
        <v>-8938</v>
      </c>
      <c r="AG159" s="49" t="n">
        <v>-8938</v>
      </c>
      <c r="AH159" s="49" t="n">
        <v>-8938</v>
      </c>
      <c r="AI159" s="49" t="n">
        <v>-8938</v>
      </c>
      <c r="AJ159" s="49" t="n">
        <v>-8938</v>
      </c>
      <c r="AK159" s="49" t="n">
        <v>-8938</v>
      </c>
      <c r="AL159" s="49" t="n">
        <v>-8938</v>
      </c>
      <c r="AM159" s="51" t="n">
        <v>268935.68</v>
      </c>
      <c r="AN159" s="50">
        <f>SUM(AB159:AM159)</f>
        <v/>
      </c>
    </row>
    <row r="160">
      <c r="A160" s="47" t="inlineStr">
        <is>
          <t>onoe</t>
        </is>
      </c>
      <c r="B160" s="48">
        <f>IFERROR(VLOOKUP($A160,Codes!$A:$B,2,FALSE()),"")</f>
        <v/>
      </c>
      <c r="C160" s="5" t="inlineStr">
        <is>
          <t>Accounts Receivable</t>
        </is>
      </c>
      <c r="D160" s="49" t="n">
        <v>6055.93</v>
      </c>
      <c r="E160" s="49" t="n">
        <v>-4241.95</v>
      </c>
      <c r="F160" s="49" t="n">
        <v>-72.47</v>
      </c>
      <c r="G160" s="49" t="n">
        <v>-6521.37</v>
      </c>
      <c r="H160" s="49" t="n">
        <v>22185.6</v>
      </c>
      <c r="I160" s="49" t="n">
        <v>-5969.26</v>
      </c>
      <c r="J160" s="49" t="n">
        <v>-11637.84</v>
      </c>
      <c r="K160" s="49" t="n">
        <v>8739.379999999999</v>
      </c>
      <c r="L160" s="49" t="n">
        <v>-16241.24</v>
      </c>
      <c r="M160" s="49" t="n">
        <v>11516.85</v>
      </c>
      <c r="N160" s="49" t="n">
        <v>-15836.98</v>
      </c>
      <c r="O160" s="49" t="n">
        <v>499.54</v>
      </c>
      <c r="P160" s="49" t="n">
        <v>13915.29</v>
      </c>
      <c r="Q160" s="49" t="n">
        <v>-14225.59</v>
      </c>
      <c r="R160" s="49" t="n">
        <v>16599.75</v>
      </c>
      <c r="S160" s="49" t="n">
        <v>913.16</v>
      </c>
      <c r="T160" s="49" t="n">
        <v>3944.55</v>
      </c>
      <c r="U160" s="49" t="n">
        <v>1798.85</v>
      </c>
      <c r="V160" s="49" t="n">
        <v>-8743.67</v>
      </c>
      <c r="W160" s="49" t="n">
        <v>-7363.47</v>
      </c>
      <c r="X160" s="49" t="n">
        <v>-1034.9</v>
      </c>
      <c r="Y160" s="49" t="n">
        <v>21148.49</v>
      </c>
      <c r="Z160" s="49" t="n">
        <v>-25791.47</v>
      </c>
      <c r="AA160" s="49" t="n">
        <v>-5596.64</v>
      </c>
      <c r="AB160" s="49" t="n">
        <v>19810.04</v>
      </c>
      <c r="AC160" s="49" t="n">
        <v>2312.05</v>
      </c>
      <c r="AD160" s="49" t="n">
        <v>-13089.6</v>
      </c>
      <c r="AE160" s="49" t="n">
        <v>12963.37</v>
      </c>
      <c r="AF160" s="49" t="n">
        <v>-10209.19</v>
      </c>
      <c r="AG160" s="49" t="n">
        <v>-6855.43</v>
      </c>
      <c r="AH160" s="49" t="n">
        <v>6675.12</v>
      </c>
      <c r="AI160" s="49" t="n">
        <v>4110.39</v>
      </c>
      <c r="AJ160" s="49" t="n">
        <v>13604.54</v>
      </c>
      <c r="AK160" s="49" t="n">
        <v>-18046.45</v>
      </c>
      <c r="AL160" s="49" t="n">
        <v>304</v>
      </c>
      <c r="AM160" s="49" t="n">
        <v>22629.6</v>
      </c>
      <c r="AN160" s="50">
        <f>SUM(AB160:AM160)</f>
        <v/>
      </c>
    </row>
    <row r="161">
      <c r="A161" s="47" t="inlineStr">
        <is>
          <t>onoe</t>
        </is>
      </c>
      <c r="B161" s="48">
        <f>IFERROR(VLOOKUP($A161,Codes!$A:$B,2,FALSE()),"")</f>
        <v/>
      </c>
      <c r="C161" s="5" t="inlineStr">
        <is>
          <t>A/R - Other</t>
        </is>
      </c>
      <c r="D161" s="51" t="n">
        <v>144774.65</v>
      </c>
      <c r="E161" s="49" t="n">
        <v>0</v>
      </c>
      <c r="F161" s="49" t="n">
        <v>0</v>
      </c>
      <c r="G161" s="49" t="n">
        <v>0</v>
      </c>
      <c r="H161" s="49" t="n">
        <v>0</v>
      </c>
      <c r="I161" s="49" t="n">
        <v>0</v>
      </c>
      <c r="J161" s="49" t="n">
        <v>0</v>
      </c>
      <c r="K161" s="49" t="n">
        <v>0</v>
      </c>
      <c r="L161" s="49" t="n">
        <v>10594.63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51" t="n">
        <v>-38537.08</v>
      </c>
      <c r="S161" s="49" t="n">
        <v>0</v>
      </c>
      <c r="T161" s="49" t="n">
        <v>-514.5</v>
      </c>
      <c r="U161" s="51" t="n">
        <v>38794.33</v>
      </c>
      <c r="V161" s="49" t="n">
        <v>-150.33</v>
      </c>
      <c r="W161" s="49" t="n">
        <v>407.58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-2364.21</v>
      </c>
      <c r="AC161" s="49" t="n">
        <v>908.61</v>
      </c>
      <c r="AD161" s="49" t="n">
        <v>1455.6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-453.98</v>
      </c>
      <c r="AJ161" s="49" t="n">
        <v>0</v>
      </c>
      <c r="AK161" s="49" t="n">
        <v>-3066.02</v>
      </c>
      <c r="AL161" s="51" t="n">
        <v>277873.68</v>
      </c>
      <c r="AM161" s="51" t="n">
        <v>-277873.68</v>
      </c>
      <c r="AN161" s="50">
        <f>SUM(AB161:AM161)</f>
        <v/>
      </c>
    </row>
    <row r="162">
      <c r="A162" s="47" t="inlineStr">
        <is>
          <t>onoe</t>
        </is>
      </c>
      <c r="B162" s="48">
        <f>IFERROR(VLOOKUP($A162,Codes!$A:$B,2,FALSE()),"")</f>
        <v/>
      </c>
      <c r="C162" s="5" t="inlineStr">
        <is>
          <t>Intra-Company A/R - A/P</t>
        </is>
      </c>
      <c r="D162" s="49" t="n">
        <v>0</v>
      </c>
      <c r="E162" s="49" t="n">
        <v>-0.02</v>
      </c>
      <c r="F162" s="49" t="n">
        <v>0.02</v>
      </c>
      <c r="G162" s="49" t="n">
        <v>0</v>
      </c>
      <c r="H162" s="49" t="n">
        <v>0</v>
      </c>
      <c r="I162" s="49" t="n">
        <v>0</v>
      </c>
      <c r="J162" s="49" t="n">
        <v>0</v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0.03</v>
      </c>
      <c r="AA162" s="49" t="n">
        <v>-0.03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51" t="n">
        <v>10224.94</v>
      </c>
      <c r="AG162" s="51" t="n">
        <v>-10224.94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50">
        <f>SUM(AB162:AM162)</f>
        <v/>
      </c>
    </row>
    <row r="163">
      <c r="A163" s="47" t="inlineStr">
        <is>
          <t>onoe</t>
        </is>
      </c>
      <c r="B163" s="48">
        <f>IFERROR(VLOOKUP($A163,Codes!$A:$B,2,FALSE()),"")</f>
        <v/>
      </c>
      <c r="C163" s="5" t="inlineStr">
        <is>
          <t>Accrued Receivables</t>
        </is>
      </c>
      <c r="D163" s="51" t="n">
        <v>-67444.7</v>
      </c>
      <c r="E163" s="51" t="n">
        <v>-89451.67</v>
      </c>
      <c r="F163" s="49" t="n">
        <v>-2555.72</v>
      </c>
      <c r="G163" s="49" t="n">
        <v>4289.5</v>
      </c>
      <c r="H163" s="49" t="n">
        <v>-4644.78</v>
      </c>
      <c r="I163" s="49" t="n">
        <v>13911.73</v>
      </c>
      <c r="J163" s="49" t="n">
        <v>516.15</v>
      </c>
      <c r="K163" s="49" t="n">
        <v>8350.99</v>
      </c>
      <c r="L163" s="49" t="n">
        <v>-8307.610000000001</v>
      </c>
      <c r="M163" s="49" t="n">
        <v>1003.49</v>
      </c>
      <c r="N163" s="49" t="n">
        <v>2719.43</v>
      </c>
      <c r="O163" s="49" t="n">
        <v>-10791.95</v>
      </c>
      <c r="P163" s="49" t="n">
        <v>-148.71</v>
      </c>
      <c r="Q163" s="49" t="n">
        <v>-11448.07</v>
      </c>
      <c r="R163" s="49" t="n">
        <v>-9757.51</v>
      </c>
      <c r="S163" s="49" t="n">
        <v>4130.9</v>
      </c>
      <c r="T163" s="49" t="n">
        <v>-2659.49</v>
      </c>
      <c r="U163" s="49" t="n">
        <v>8749.809999999999</v>
      </c>
      <c r="V163" s="49" t="n">
        <v>6385.08</v>
      </c>
      <c r="W163" s="49" t="n">
        <v>3298.96</v>
      </c>
      <c r="X163" s="49" t="n">
        <v>26.3</v>
      </c>
      <c r="Y163" s="49" t="n">
        <v>-1834.03</v>
      </c>
      <c r="Z163" s="49" t="n">
        <v>-977.48</v>
      </c>
      <c r="AA163" s="49" t="n">
        <v>-12624.22</v>
      </c>
      <c r="AB163" s="49" t="n">
        <v>706.3200000000001</v>
      </c>
      <c r="AC163" s="49" t="n">
        <v>-17202.85</v>
      </c>
      <c r="AD163" s="49" t="n">
        <v>-3494.61</v>
      </c>
      <c r="AE163" s="49" t="n">
        <v>-7168.46</v>
      </c>
      <c r="AF163" s="49" t="n">
        <v>6917.65</v>
      </c>
      <c r="AG163" s="49" t="n">
        <v>6114.27</v>
      </c>
      <c r="AH163" s="49" t="n">
        <v>-10316.76</v>
      </c>
      <c r="AI163" s="49" t="n">
        <v>-3473.12</v>
      </c>
      <c r="AJ163" s="49" t="n">
        <v>18625.12</v>
      </c>
      <c r="AK163" s="49" t="n">
        <v>-7455.88</v>
      </c>
      <c r="AL163" s="49" t="n">
        <v>-3249.83</v>
      </c>
      <c r="AM163" s="49" t="n">
        <v>4254.22</v>
      </c>
      <c r="AN163" s="50">
        <f>SUM(AB163:AM163)</f>
        <v/>
      </c>
    </row>
    <row r="164">
      <c r="A164" s="47" t="inlineStr">
        <is>
          <t>onoe</t>
        </is>
      </c>
      <c r="B164" s="48">
        <f>IFERROR(VLOOKUP($A164,Codes!$A:$B,2,FALSE()),"")</f>
        <v/>
      </c>
      <c r="C164" s="5" t="inlineStr">
        <is>
          <t>Prepaid Insurance</t>
        </is>
      </c>
      <c r="D164" s="49" t="n">
        <v>20071.48</v>
      </c>
      <c r="E164" s="49" t="n">
        <v>20071.48</v>
      </c>
      <c r="F164" s="49" t="n">
        <v>20071.49</v>
      </c>
      <c r="G164" s="51" t="n">
        <v>-312959.02</v>
      </c>
      <c r="H164" s="49" t="n">
        <v>28450.82</v>
      </c>
      <c r="I164" s="49" t="n">
        <v>28450.82</v>
      </c>
      <c r="J164" s="49" t="n">
        <v>28450.82</v>
      </c>
      <c r="K164" s="49" t="n">
        <v>28450.82</v>
      </c>
      <c r="L164" s="49" t="n">
        <v>28450.82</v>
      </c>
      <c r="M164" s="49" t="n">
        <v>28450.82</v>
      </c>
      <c r="N164" s="49" t="n">
        <v>28450.82</v>
      </c>
      <c r="O164" s="49" t="n">
        <v>28450.82</v>
      </c>
      <c r="P164" s="49" t="n">
        <v>28450.82</v>
      </c>
      <c r="Q164" s="49" t="n">
        <v>28450.82</v>
      </c>
      <c r="R164" s="49" t="n">
        <v>28450.82</v>
      </c>
      <c r="S164" s="49" t="n">
        <v>0</v>
      </c>
      <c r="T164" s="51" t="n">
        <v>-267356.2</v>
      </c>
      <c r="U164" s="49" t="n">
        <v>26735.62</v>
      </c>
      <c r="V164" s="49" t="n">
        <v>26735.62</v>
      </c>
      <c r="W164" s="49" t="n">
        <v>26735.62</v>
      </c>
      <c r="X164" s="49" t="n">
        <v>26735.62</v>
      </c>
      <c r="Y164" s="49" t="n">
        <v>26735.62</v>
      </c>
      <c r="Z164" s="49" t="n">
        <v>26735.62</v>
      </c>
      <c r="AA164" s="49" t="n">
        <v>26735.62</v>
      </c>
      <c r="AB164" s="49" t="n">
        <v>26735.62</v>
      </c>
      <c r="AC164" s="49" t="n">
        <v>26735.62</v>
      </c>
      <c r="AD164" s="49" t="n">
        <v>26735.62</v>
      </c>
      <c r="AE164" s="49" t="n">
        <v>0</v>
      </c>
      <c r="AF164" s="51" t="n">
        <v>-246488.02</v>
      </c>
      <c r="AG164" s="49" t="n">
        <v>24648.8</v>
      </c>
      <c r="AH164" s="49" t="n">
        <v>17587.79</v>
      </c>
      <c r="AI164" s="49" t="n">
        <v>24862.77</v>
      </c>
      <c r="AJ164" s="49" t="n">
        <v>24862.77</v>
      </c>
      <c r="AK164" s="49" t="n">
        <v>24862.77</v>
      </c>
      <c r="AL164" s="49" t="n">
        <v>24862.77</v>
      </c>
      <c r="AM164" s="49" t="n">
        <v>24862.79</v>
      </c>
      <c r="AN164" s="50">
        <f>SUM(AB164:AM164)</f>
        <v/>
      </c>
    </row>
    <row r="165">
      <c r="A165" s="47" t="inlineStr">
        <is>
          <t>onoe</t>
        </is>
      </c>
      <c r="B165" s="48">
        <f>IFERROR(VLOOKUP($A165,Codes!$A:$B,2,FALSE()),"")</f>
        <v/>
      </c>
      <c r="C165" s="5" t="inlineStr">
        <is>
          <t>Prepaid Real Property Taxes</t>
        </is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-72966.69</v>
      </c>
      <c r="AA165" s="49" t="n">
        <v>72966.69</v>
      </c>
      <c r="AN165" s="50">
        <f>SUM(AB165:AM165)</f>
        <v/>
      </c>
    </row>
    <row r="166">
      <c r="A166" s="47" t="inlineStr">
        <is>
          <t>onoe</t>
        </is>
      </c>
      <c r="B166" s="48">
        <f>IFERROR(VLOOKUP($A166,Codes!$A:$B,2,FALSE()),"")</f>
        <v/>
      </c>
      <c r="C166" s="5" t="inlineStr">
        <is>
          <t>Prepaid - Other</t>
        </is>
      </c>
      <c r="D166" s="49" t="n">
        <v>0</v>
      </c>
      <c r="E166" s="49" t="n">
        <v>0</v>
      </c>
      <c r="F166" s="49" t="n">
        <v>0</v>
      </c>
      <c r="G166" s="49" t="n">
        <v>0</v>
      </c>
      <c r="H166" s="51" t="n">
        <v>-7000</v>
      </c>
      <c r="I166" s="51" t="n">
        <v>7000</v>
      </c>
      <c r="J166" s="49" t="n">
        <v>-507.08</v>
      </c>
      <c r="K166" s="49" t="n">
        <v>85.68000000000001</v>
      </c>
      <c r="L166" s="49" t="n">
        <v>421.4</v>
      </c>
      <c r="M166" s="49" t="n">
        <v>0</v>
      </c>
      <c r="N166" s="51" t="n">
        <v>-6487.95</v>
      </c>
      <c r="O166" s="51" t="n">
        <v>6066.55</v>
      </c>
      <c r="P166" s="49" t="n">
        <v>421.4</v>
      </c>
      <c r="Q166" s="49" t="n">
        <v>-421.4</v>
      </c>
      <c r="R166" s="49" t="n">
        <v>-196.38</v>
      </c>
      <c r="S166" s="49" t="n">
        <v>454.45</v>
      </c>
      <c r="T166" s="49" t="n">
        <v>20.42</v>
      </c>
      <c r="U166" s="49" t="n">
        <v>20.42</v>
      </c>
      <c r="V166" s="49" t="n">
        <v>20.42</v>
      </c>
      <c r="W166" s="49" t="n">
        <v>20.42</v>
      </c>
      <c r="X166" s="49" t="n">
        <v>-191.22</v>
      </c>
      <c r="Y166" s="51" t="n">
        <v>-5532.41</v>
      </c>
      <c r="Z166" s="51" t="n">
        <v>2415.37</v>
      </c>
      <c r="AA166" s="49" t="n">
        <v>72.41</v>
      </c>
      <c r="AB166" s="51" t="n">
        <v>3317.5</v>
      </c>
      <c r="AC166" s="49" t="n">
        <v>-1506.82</v>
      </c>
      <c r="AD166" s="49" t="n">
        <v>426.36</v>
      </c>
      <c r="AE166" s="51" t="n">
        <v>-7421.52</v>
      </c>
      <c r="AF166" s="51" t="n">
        <v>6009.02</v>
      </c>
      <c r="AG166" s="51" t="n">
        <v>2145.2</v>
      </c>
      <c r="AH166" s="49" t="n">
        <v>38.64</v>
      </c>
      <c r="AI166" s="49" t="n">
        <v>38.64</v>
      </c>
      <c r="AJ166" s="49" t="n">
        <v>38.64</v>
      </c>
      <c r="AK166" s="49" t="n">
        <v>38.64</v>
      </c>
      <c r="AL166" s="49" t="n">
        <v>38.64</v>
      </c>
      <c r="AM166" s="49" t="n">
        <v>-136.86</v>
      </c>
      <c r="AN166" s="50">
        <f>SUM(AB166:AM166)</f>
        <v/>
      </c>
    </row>
    <row r="167">
      <c r="A167" s="47" t="inlineStr">
        <is>
          <t>capx</t>
        </is>
      </c>
      <c r="B167" s="48">
        <f>IFERROR(VLOOKUP($A167,Codes!$A:$B,2,FALSE()),"")</f>
        <v/>
      </c>
      <c r="C167" s="5" t="inlineStr">
        <is>
          <t>Maj. Repairs - Landscape</t>
        </is>
      </c>
      <c r="D167" s="49" t="n">
        <v>0</v>
      </c>
      <c r="E167" s="49" t="n">
        <v>0</v>
      </c>
      <c r="F167" s="49" t="n">
        <v>0</v>
      </c>
      <c r="G167" s="49" t="n">
        <v>-5575</v>
      </c>
      <c r="H167" s="51" t="n">
        <v>-19820</v>
      </c>
      <c r="I167" s="49" t="n">
        <v>-2820</v>
      </c>
      <c r="J167" s="49" t="n">
        <v>-2820</v>
      </c>
      <c r="K167" s="49" t="n">
        <v>0</v>
      </c>
      <c r="L167" s="49" t="n">
        <v>0</v>
      </c>
      <c r="M167" s="49" t="n">
        <v>0</v>
      </c>
      <c r="N167" s="49" t="n">
        <v>-900</v>
      </c>
      <c r="O167" s="49" t="n">
        <v>-7156</v>
      </c>
      <c r="P167" s="49" t="n">
        <v>0</v>
      </c>
      <c r="Q167" s="49" t="n">
        <v>-17718.25</v>
      </c>
      <c r="R167" s="49" t="n">
        <v>-17718.25</v>
      </c>
      <c r="S167" s="49" t="n">
        <v>-2520</v>
      </c>
      <c r="T167" s="51" t="n">
        <v>-23464.75</v>
      </c>
      <c r="U167" s="49" t="n">
        <v>15198.75</v>
      </c>
      <c r="V167" s="49" t="n">
        <v>0</v>
      </c>
      <c r="W167" s="51" t="n">
        <v>-22058.32</v>
      </c>
      <c r="X167" s="49" t="n">
        <v>0</v>
      </c>
      <c r="Y167" s="49" t="n">
        <v>-5966</v>
      </c>
      <c r="Z167" s="49" t="n">
        <v>-19454.75</v>
      </c>
      <c r="AA167" s="49" t="n">
        <v>-1190.43</v>
      </c>
      <c r="AB167" s="49" t="n">
        <v>-4140</v>
      </c>
      <c r="AC167" s="49" t="n">
        <v>0</v>
      </c>
      <c r="AD167" s="49" t="n">
        <v>0</v>
      </c>
      <c r="AE167" s="51" t="n">
        <v>-20730</v>
      </c>
      <c r="AF167" s="49" t="n">
        <v>-5206</v>
      </c>
      <c r="AG167" s="49" t="n">
        <v>0</v>
      </c>
      <c r="AH167" s="49" t="n">
        <v>-1190</v>
      </c>
      <c r="AI167" s="49" t="n">
        <v>0</v>
      </c>
      <c r="AJ167" s="49" t="n">
        <v>-378.97</v>
      </c>
      <c r="AK167" s="49" t="n">
        <v>-6715.83</v>
      </c>
      <c r="AL167" s="49" t="n">
        <v>-1736</v>
      </c>
      <c r="AM167" s="49" t="n">
        <v>-990</v>
      </c>
      <c r="AN167" s="50">
        <f>SUM(AB167:AM167)</f>
        <v/>
      </c>
    </row>
    <row r="168">
      <c r="A168" s="47" t="inlineStr">
        <is>
          <t>capx</t>
        </is>
      </c>
      <c r="B168" s="48">
        <f>IFERROR(VLOOKUP($A168,Codes!$A:$B,2,FALSE()),"")</f>
        <v/>
      </c>
      <c r="C168" s="5" t="inlineStr">
        <is>
          <t>Major Repairs - Roof</t>
        </is>
      </c>
      <c r="D168" s="49" t="n">
        <v>-489</v>
      </c>
      <c r="E168" s="49" t="n">
        <v>-4449.39</v>
      </c>
      <c r="F168" s="49" t="n">
        <v>-2770.78</v>
      </c>
      <c r="G168" s="49" t="n">
        <v>-784.39</v>
      </c>
      <c r="H168" s="49" t="n">
        <v>0</v>
      </c>
      <c r="I168" s="49" t="n">
        <v>0</v>
      </c>
      <c r="J168" s="49" t="n">
        <v>0</v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-1446.39</v>
      </c>
      <c r="Q168" s="49" t="n">
        <v>0</v>
      </c>
      <c r="R168" s="49" t="n">
        <v>0</v>
      </c>
      <c r="S168" s="51" t="n">
        <v>-7431.78</v>
      </c>
      <c r="T168" s="49" t="n">
        <v>-2894.78</v>
      </c>
      <c r="U168" s="49" t="n">
        <v>0</v>
      </c>
      <c r="V168" s="49" t="n">
        <v>0</v>
      </c>
      <c r="W168" s="49" t="n">
        <v>-1326.39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-1735.78</v>
      </c>
      <c r="AF168" s="49" t="n">
        <v>0</v>
      </c>
      <c r="AG168" s="49" t="n">
        <v>0</v>
      </c>
      <c r="AH168" s="49" t="n">
        <v>-904.39</v>
      </c>
      <c r="AI168" s="49" t="n">
        <v>0</v>
      </c>
      <c r="AJ168" s="49" t="n">
        <v>-1130.39</v>
      </c>
      <c r="AK168" s="49" t="n">
        <v>-451</v>
      </c>
      <c r="AL168" s="49" t="n">
        <v>-2554.39</v>
      </c>
      <c r="AM168" s="49" t="n">
        <v>-756.4</v>
      </c>
      <c r="AN168" s="50">
        <f>SUM(AB168:AM168)</f>
        <v/>
      </c>
    </row>
    <row r="169">
      <c r="A169" s="47" t="inlineStr">
        <is>
          <t>capx</t>
        </is>
      </c>
      <c r="B169" s="48">
        <f>IFERROR(VLOOKUP($A169,Codes!$A:$B,2,FALSE()),"")</f>
        <v/>
      </c>
      <c r="C169" s="5" t="inlineStr">
        <is>
          <t>Major Repairs - Model / Office</t>
        </is>
      </c>
      <c r="D169" s="49" t="n">
        <v>0</v>
      </c>
      <c r="E169" s="49" t="n">
        <v>-7006.38</v>
      </c>
      <c r="F169" s="51" t="n">
        <v>-70779.07000000001</v>
      </c>
      <c r="G169" s="51" t="n">
        <v>-108483.71</v>
      </c>
      <c r="H169" s="51" t="n">
        <v>-86938</v>
      </c>
      <c r="I169" s="49" t="n">
        <v>-25301.1</v>
      </c>
      <c r="J169" s="51" t="n">
        <v>-85283.39999999999</v>
      </c>
      <c r="K169" s="49" t="n">
        <v>-14054.41</v>
      </c>
      <c r="L169" s="51" t="n">
        <v>-81535.42</v>
      </c>
      <c r="M169" s="49" t="n">
        <v>-47035.19</v>
      </c>
      <c r="N169" s="49" t="n">
        <v>-11366.01</v>
      </c>
      <c r="O169" s="49" t="n">
        <v>-3420.72</v>
      </c>
      <c r="P169" s="49" t="n">
        <v>-2061.67</v>
      </c>
      <c r="Q169" s="51" t="n">
        <v>-74194.13</v>
      </c>
      <c r="R169" s="51" t="n">
        <v>50000</v>
      </c>
      <c r="S169" s="49" t="n">
        <v>136.61</v>
      </c>
      <c r="T169" s="49" t="n">
        <v>0</v>
      </c>
      <c r="U169" s="49" t="n">
        <v>-950</v>
      </c>
      <c r="V169" s="49" t="n">
        <v>-34800</v>
      </c>
      <c r="W169" s="49" t="n">
        <v>-10212.77</v>
      </c>
      <c r="X169" s="49" t="n">
        <v>-14609.69</v>
      </c>
      <c r="Y169" s="49" t="n">
        <v>-2746.55</v>
      </c>
      <c r="Z169" s="49" t="n">
        <v>-14080.49</v>
      </c>
      <c r="AA169" s="49" t="n">
        <v>-32244.59</v>
      </c>
      <c r="AB169" s="49" t="n">
        <v>-7000</v>
      </c>
      <c r="AC169" s="49" t="n">
        <v>446.13</v>
      </c>
      <c r="AD169" s="49" t="n">
        <v>1708.01</v>
      </c>
      <c r="AE169" s="49" t="n">
        <v>-167.3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-47.5</v>
      </c>
      <c r="AL169" s="49" t="n">
        <v>0</v>
      </c>
      <c r="AM169" s="49" t="n">
        <v>-7000</v>
      </c>
      <c r="AN169" s="50">
        <f>SUM(AB169:AM169)</f>
        <v/>
      </c>
    </row>
    <row r="170">
      <c r="A170" s="47" t="inlineStr">
        <is>
          <t>capx</t>
        </is>
      </c>
      <c r="B170" s="48">
        <f>IFERROR(VLOOKUP($A170,Codes!$A:$B,2,FALSE()),"")</f>
        <v/>
      </c>
      <c r="C170" s="5" t="inlineStr">
        <is>
          <t>Major Repairs - Electrical</t>
        </is>
      </c>
      <c r="D170" s="49" t="n">
        <v>0</v>
      </c>
      <c r="E170" s="49" t="n">
        <v>0</v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n">
        <v>0</v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-398.58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-615</v>
      </c>
      <c r="X170" s="49" t="n">
        <v>0</v>
      </c>
      <c r="Y170" s="49" t="n">
        <v>0</v>
      </c>
      <c r="Z170" s="49" t="n">
        <v>0</v>
      </c>
      <c r="AA170" s="49" t="n">
        <v>0</v>
      </c>
      <c r="AN170" s="50">
        <f>SUM(AB170:AM170)</f>
        <v/>
      </c>
    </row>
    <row r="171">
      <c r="A171" s="47" t="inlineStr">
        <is>
          <t>capx</t>
        </is>
      </c>
      <c r="B171" s="48">
        <f>IFERROR(VLOOKUP($A171,Codes!$A:$B,2,FALSE()),"")</f>
        <v/>
      </c>
      <c r="C171" s="5" t="inlineStr">
        <is>
          <t>Major Repairs - Garage / Carport</t>
        </is>
      </c>
      <c r="D171" s="49" t="n">
        <v>0</v>
      </c>
      <c r="E171" s="49" t="n">
        <v>0</v>
      </c>
      <c r="F171" s="49" t="n">
        <v>0</v>
      </c>
      <c r="G171" s="49" t="n">
        <v>-975</v>
      </c>
      <c r="H171" s="49" t="n">
        <v>0</v>
      </c>
      <c r="I171" s="49" t="n">
        <v>0</v>
      </c>
      <c r="J171" s="49" t="n">
        <v>0</v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-2808</v>
      </c>
      <c r="V171" s="49" t="n">
        <v>0</v>
      </c>
      <c r="W171" s="49" t="n">
        <v>-1000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-2196.48</v>
      </c>
      <c r="AG171" s="49" t="n">
        <v>-2255.24</v>
      </c>
      <c r="AH171" s="49" t="n">
        <v>0</v>
      </c>
      <c r="AI171" s="49" t="n">
        <v>0</v>
      </c>
      <c r="AJ171" s="49" t="n">
        <v>-503.55</v>
      </c>
      <c r="AK171" s="51" t="n">
        <v>-9735.639999999999</v>
      </c>
      <c r="AL171" s="49" t="n">
        <v>-2162.75</v>
      </c>
      <c r="AM171" s="49" t="n">
        <v>-4924.61</v>
      </c>
      <c r="AN171" s="50">
        <f>SUM(AB171:AM171)</f>
        <v/>
      </c>
    </row>
    <row r="172">
      <c r="A172" s="47" t="inlineStr">
        <is>
          <t>capx</t>
        </is>
      </c>
      <c r="B172" s="48">
        <f>IFERROR(VLOOKUP($A172,Codes!$A:$B,2,FALSE()),"")</f>
        <v/>
      </c>
      <c r="C172" s="5" t="inlineStr">
        <is>
          <t>Major Repairs  -  Common Areas</t>
        </is>
      </c>
      <c r="D172" s="49" t="n">
        <v>0</v>
      </c>
      <c r="E172" s="49" t="n">
        <v>-7392.29</v>
      </c>
      <c r="F172" s="49" t="n">
        <v>0</v>
      </c>
      <c r="G172" s="49" t="n">
        <v>-444.3</v>
      </c>
      <c r="H172" s="49" t="n">
        <v>0</v>
      </c>
      <c r="I172" s="49" t="n">
        <v>-11438.53</v>
      </c>
      <c r="J172" s="49" t="n">
        <v>-1733.47</v>
      </c>
      <c r="K172" s="49" t="n">
        <v>-10063.11</v>
      </c>
      <c r="L172" s="49" t="n">
        <v>-7293.23</v>
      </c>
      <c r="M172" s="49" t="n">
        <v>-14869.82</v>
      </c>
      <c r="N172" s="49" t="n">
        <v>-14736</v>
      </c>
      <c r="O172" s="51" t="n">
        <v>-99931.64</v>
      </c>
      <c r="P172" s="51" t="n">
        <v>-51961.99</v>
      </c>
      <c r="Q172" s="49" t="n">
        <v>36297.3</v>
      </c>
      <c r="R172" s="49" t="n">
        <v>-1816.36</v>
      </c>
      <c r="S172" s="49" t="n">
        <v>-36125.54</v>
      </c>
      <c r="T172" s="49" t="n">
        <v>-10678.93</v>
      </c>
      <c r="U172" s="51" t="n">
        <v>-46237.02</v>
      </c>
      <c r="V172" s="49" t="n">
        <v>-7534.62</v>
      </c>
      <c r="W172" s="49" t="n">
        <v>-3801.01</v>
      </c>
      <c r="X172" s="49" t="n">
        <v>-4961.38</v>
      </c>
      <c r="Y172" s="49" t="n">
        <v>-631.25</v>
      </c>
      <c r="Z172" s="49" t="n">
        <v>-11491.1</v>
      </c>
      <c r="AA172" s="49" t="n">
        <v>-379.34</v>
      </c>
      <c r="AB172" s="49" t="n">
        <v>-23946.95</v>
      </c>
      <c r="AC172" s="49" t="n">
        <v>17435</v>
      </c>
      <c r="AD172" s="49" t="n">
        <v>-5762.83</v>
      </c>
      <c r="AE172" s="49" t="n">
        <v>-13439</v>
      </c>
      <c r="AF172" s="49" t="n">
        <v>-30215.02</v>
      </c>
      <c r="AG172" s="49" t="n">
        <v>-8357.030000000001</v>
      </c>
      <c r="AH172" s="49" t="n">
        <v>-15438.88</v>
      </c>
      <c r="AI172" s="49" t="n">
        <v>-18124.58</v>
      </c>
      <c r="AJ172" s="49" t="n">
        <v>2926.52</v>
      </c>
      <c r="AK172" s="51" t="n">
        <v>89740.3</v>
      </c>
      <c r="AL172" s="49" t="n">
        <v>-3495</v>
      </c>
      <c r="AM172" s="49" t="n">
        <v>0</v>
      </c>
      <c r="AN172" s="50">
        <f>SUM(AB172:AM172)</f>
        <v/>
      </c>
    </row>
    <row r="173">
      <c r="A173" s="47" t="inlineStr">
        <is>
          <t>capx</t>
        </is>
      </c>
      <c r="B173" s="48">
        <f>IFERROR(VLOOKUP($A173,Codes!$A:$B,2,FALSE()),"")</f>
        <v/>
      </c>
      <c r="C173" s="5" t="inlineStr">
        <is>
          <t>Renovation Costs</t>
        </is>
      </c>
      <c r="D173" s="51" t="n">
        <v>-74055.5</v>
      </c>
      <c r="E173" s="49" t="n">
        <v>-4779.17</v>
      </c>
      <c r="F173" s="49" t="n">
        <v>0</v>
      </c>
      <c r="G173" s="49" t="n">
        <v>0</v>
      </c>
      <c r="H173" s="49" t="n">
        <v>0</v>
      </c>
      <c r="I173" s="49" t="n">
        <v>0</v>
      </c>
      <c r="J173" s="49" t="n">
        <v>0</v>
      </c>
      <c r="K173" s="49" t="n">
        <v>0</v>
      </c>
      <c r="L173" s="49" t="n">
        <v>0</v>
      </c>
      <c r="M173" s="49" t="n">
        <v>0</v>
      </c>
      <c r="N173" s="49" t="n">
        <v>255</v>
      </c>
      <c r="O173" s="49" t="n">
        <v>-1759.46</v>
      </c>
      <c r="P173" s="49" t="n">
        <v>-2335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N173" s="50">
        <f>SUM(AB173:AM173)</f>
        <v/>
      </c>
    </row>
    <row r="174">
      <c r="A174" s="47" t="inlineStr">
        <is>
          <t>capx</t>
        </is>
      </c>
      <c r="B174" s="48">
        <f>IFERROR(VLOOKUP($A174,Codes!$A:$B,2,FALSE()),"")</f>
        <v/>
      </c>
      <c r="C174" s="5" t="inlineStr">
        <is>
          <t>Signage</t>
        </is>
      </c>
      <c r="D174" s="49" t="n">
        <v>-33851.64</v>
      </c>
      <c r="E174" s="49" t="n">
        <v>0</v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n">
        <v>0</v>
      </c>
      <c r="K174" s="49" t="n">
        <v>0</v>
      </c>
      <c r="L174" s="49" t="n">
        <v>0</v>
      </c>
      <c r="M174" s="49" t="n">
        <v>0</v>
      </c>
      <c r="N174" s="49" t="n">
        <v>0</v>
      </c>
      <c r="O174" s="51" t="n">
        <v>-46923</v>
      </c>
      <c r="P174" s="49" t="n">
        <v>0</v>
      </c>
      <c r="Q174" s="49" t="n">
        <v>15279.96</v>
      </c>
      <c r="R174" s="49" t="n">
        <v>0</v>
      </c>
      <c r="S174" s="49" t="n">
        <v>-3421.46</v>
      </c>
      <c r="T174" s="49" t="n">
        <v>9735.620000000001</v>
      </c>
      <c r="U174" s="49" t="n">
        <v>0</v>
      </c>
      <c r="V174" s="49" t="n">
        <v>-6842.92</v>
      </c>
      <c r="W174" s="49" t="n">
        <v>-3421.46</v>
      </c>
      <c r="X174" s="49" t="n">
        <v>-6842.92</v>
      </c>
      <c r="Y174" s="49" t="n">
        <v>0</v>
      </c>
      <c r="Z174" s="49" t="n">
        <v>-6842.92</v>
      </c>
      <c r="AA174" s="49" t="n">
        <v>0</v>
      </c>
      <c r="AB174" s="49" t="n">
        <v>-27870.27</v>
      </c>
      <c r="AC174" s="49" t="n">
        <v>-24980.41</v>
      </c>
      <c r="AD174" s="49" t="n">
        <v>0.02</v>
      </c>
      <c r="AE174" s="49" t="n">
        <v>-22163.75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-107.34</v>
      </c>
      <c r="AM174" s="49" t="n">
        <v>0</v>
      </c>
      <c r="AN174" s="50">
        <f>SUM(AB174:AM174)</f>
        <v/>
      </c>
    </row>
    <row r="175">
      <c r="A175" s="47" t="inlineStr">
        <is>
          <t>capx</t>
        </is>
      </c>
      <c r="B175" s="48">
        <f>IFERROR(VLOOKUP($A175,Codes!$A:$B,2,FALSE()),"")</f>
        <v/>
      </c>
      <c r="C175" s="5" t="inlineStr">
        <is>
          <t>Vehicles</t>
        </is>
      </c>
      <c r="D175" s="49" t="n">
        <v>0</v>
      </c>
      <c r="E175" s="51" t="n">
        <v>-8191.95</v>
      </c>
      <c r="F175" s="49" t="n">
        <v>0</v>
      </c>
      <c r="G175" s="49" t="n">
        <v>0</v>
      </c>
      <c r="H175" s="49" t="n">
        <v>0</v>
      </c>
      <c r="I175" s="49" t="n">
        <v>0</v>
      </c>
      <c r="J175" s="49" t="n">
        <v>0</v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-218.23</v>
      </c>
      <c r="P175" s="49" t="n">
        <v>0</v>
      </c>
      <c r="Q175" s="49" t="n">
        <v>0</v>
      </c>
      <c r="R175" s="49" t="n">
        <v>-1152.78</v>
      </c>
      <c r="S175" s="49" t="n">
        <v>-1305.19</v>
      </c>
      <c r="T175" s="49" t="n">
        <v>0</v>
      </c>
      <c r="U175" s="49" t="n">
        <v>0</v>
      </c>
      <c r="V175" s="49" t="n">
        <v>-638.2</v>
      </c>
      <c r="W175" s="51" t="n">
        <v>-17441.77</v>
      </c>
      <c r="X175" s="49" t="n">
        <v>0</v>
      </c>
      <c r="Y175" s="49" t="n">
        <v>-756.35</v>
      </c>
      <c r="Z175" s="49" t="n">
        <v>0</v>
      </c>
      <c r="AA175" s="49" t="n">
        <v>-150</v>
      </c>
      <c r="AB175" s="49" t="n">
        <v>0</v>
      </c>
      <c r="AC175" s="49" t="n">
        <v>150</v>
      </c>
      <c r="AD175" s="49" t="n">
        <v>0</v>
      </c>
      <c r="AE175" s="49" t="n">
        <v>-1407.12</v>
      </c>
      <c r="AF175" s="49" t="n">
        <v>0</v>
      </c>
      <c r="AG175" s="49" t="n">
        <v>0</v>
      </c>
      <c r="AH175" s="49" t="n">
        <v>-114.21</v>
      </c>
      <c r="AI175" s="49" t="n">
        <v>-1322.12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50">
        <f>SUM(AB175:AM175)</f>
        <v/>
      </c>
    </row>
    <row r="176">
      <c r="A176" s="47" t="inlineStr">
        <is>
          <t>capx</t>
        </is>
      </c>
      <c r="B176" s="48">
        <f>IFERROR(VLOOKUP($A176,Codes!$A:$B,2,FALSE()),"")</f>
        <v/>
      </c>
      <c r="C176" s="5" t="inlineStr">
        <is>
          <t>Appliances</t>
        </is>
      </c>
      <c r="D176" s="49" t="n">
        <v>-9273.82</v>
      </c>
      <c r="E176" s="49" t="n">
        <v>-5081.18</v>
      </c>
      <c r="F176" s="49" t="n">
        <v>-4729.68</v>
      </c>
      <c r="G176" s="49" t="n">
        <v>-4482.48</v>
      </c>
      <c r="H176" s="49" t="n">
        <v>-3629.66</v>
      </c>
      <c r="I176" s="49" t="n">
        <v>-24206.41</v>
      </c>
      <c r="J176" s="49" t="n">
        <v>-8075.27</v>
      </c>
      <c r="K176" s="49" t="n">
        <v>-1176.19</v>
      </c>
      <c r="L176" s="49" t="n">
        <v>-2521.15</v>
      </c>
      <c r="M176" s="49" t="n">
        <v>-7681.26</v>
      </c>
      <c r="N176" s="49" t="n">
        <v>-4296.61</v>
      </c>
      <c r="O176" s="49" t="n">
        <v>-8925.790000000001</v>
      </c>
      <c r="P176" s="49" t="n">
        <v>-13403.75</v>
      </c>
      <c r="Q176" s="49" t="n">
        <v>-4028.16</v>
      </c>
      <c r="R176" s="49" t="n">
        <v>-7788.16</v>
      </c>
      <c r="S176" s="49" t="n">
        <v>-4329.17</v>
      </c>
      <c r="T176" s="49" t="n">
        <v>-10935.49</v>
      </c>
      <c r="U176" s="49" t="n">
        <v>-3671.86</v>
      </c>
      <c r="V176" s="49" t="n">
        <v>-11464.77</v>
      </c>
      <c r="W176" s="49" t="n">
        <v>-1331.52</v>
      </c>
      <c r="X176" s="49" t="n">
        <v>-9744.15</v>
      </c>
      <c r="Y176" s="49" t="n">
        <v>-6155.75</v>
      </c>
      <c r="Z176" s="49" t="n">
        <v>-6534.9</v>
      </c>
      <c r="AA176" s="49" t="n">
        <v>-8234.33</v>
      </c>
      <c r="AB176" s="49" t="n">
        <v>-7252.2</v>
      </c>
      <c r="AC176" s="49" t="n">
        <v>-9201.76</v>
      </c>
      <c r="AD176" s="49" t="n">
        <v>-12780.58</v>
      </c>
      <c r="AE176" s="49" t="n">
        <v>-6401.98</v>
      </c>
      <c r="AF176" s="49" t="n">
        <v>-11332</v>
      </c>
      <c r="AG176" s="49" t="n">
        <v>-11183.19</v>
      </c>
      <c r="AH176" s="49" t="n">
        <v>-5962.59</v>
      </c>
      <c r="AI176" s="49" t="n">
        <v>-5481.67</v>
      </c>
      <c r="AJ176" s="49" t="n">
        <v>1113.65</v>
      </c>
      <c r="AK176" s="51" t="n">
        <v>69323.23</v>
      </c>
      <c r="AL176" s="49" t="n">
        <v>0</v>
      </c>
      <c r="AM176" s="49" t="n">
        <v>0</v>
      </c>
      <c r="AN176" s="50">
        <f>SUM(AB176:AM176)</f>
        <v/>
      </c>
    </row>
    <row r="177">
      <c r="A177" s="47" t="inlineStr">
        <is>
          <t>capx</t>
        </is>
      </c>
      <c r="B177" s="48">
        <f>IFERROR(VLOOKUP($A177,Codes!$A:$B,2,FALSE()),"")</f>
        <v/>
      </c>
      <c r="C177" s="5" t="inlineStr">
        <is>
          <t>Appliances - Water Heaters</t>
        </is>
      </c>
      <c r="D177" s="49" t="n">
        <v>-2749.73</v>
      </c>
      <c r="E177" s="49" t="n">
        <v>-1890.73</v>
      </c>
      <c r="F177" s="49" t="n">
        <v>-5306.7</v>
      </c>
      <c r="G177" s="49" t="n">
        <v>-2777.85</v>
      </c>
      <c r="H177" s="49" t="n">
        <v>-2363.57</v>
      </c>
      <c r="I177" s="49" t="n">
        <v>-1757.22</v>
      </c>
      <c r="J177" s="49" t="n">
        <v>-1890.67</v>
      </c>
      <c r="K177" s="49" t="n">
        <v>0</v>
      </c>
      <c r="L177" s="49" t="n">
        <v>-3781.59</v>
      </c>
      <c r="M177" s="49" t="n">
        <v>-1890.75</v>
      </c>
      <c r="N177" s="49" t="n">
        <v>-4258.79</v>
      </c>
      <c r="O177" s="49" t="n">
        <v>-4903.78</v>
      </c>
      <c r="P177" s="49" t="n">
        <v>-5754.19</v>
      </c>
      <c r="Q177" s="49" t="n">
        <v>-3112.94</v>
      </c>
      <c r="R177" s="49" t="n">
        <v>-8621.690000000001</v>
      </c>
      <c r="S177" s="49" t="n">
        <v>-4384.99</v>
      </c>
      <c r="T177" s="49" t="n">
        <v>-5004.52</v>
      </c>
      <c r="U177" s="49" t="n">
        <v>-4464.47</v>
      </c>
      <c r="V177" s="49" t="n">
        <v>-4490.77</v>
      </c>
      <c r="W177" s="49" t="n">
        <v>-966.12</v>
      </c>
      <c r="X177" s="49" t="n">
        <v>-4290.44</v>
      </c>
      <c r="Y177" s="49" t="n">
        <v>-203.03</v>
      </c>
      <c r="Z177" s="49" t="n">
        <v>-4280.16</v>
      </c>
      <c r="AA177" s="49" t="n">
        <v>-2382.53</v>
      </c>
      <c r="AB177" s="49" t="n">
        <v>-3835.8</v>
      </c>
      <c r="AC177" s="49" t="n">
        <v>-1760.33</v>
      </c>
      <c r="AD177" s="49" t="n">
        <v>-4083.34</v>
      </c>
      <c r="AE177" s="49" t="n">
        <v>-7017.72</v>
      </c>
      <c r="AF177" s="49" t="n">
        <v>-1121.85</v>
      </c>
      <c r="AG177" s="49" t="n">
        <v>-2971.69</v>
      </c>
      <c r="AH177" s="49" t="n">
        <v>-3908.82</v>
      </c>
      <c r="AI177" s="49" t="n">
        <v>-210.84</v>
      </c>
      <c r="AJ177" s="49" t="n">
        <v>-3037.85</v>
      </c>
      <c r="AK177" s="49" t="n">
        <v>-3202.74</v>
      </c>
      <c r="AL177" s="49" t="n">
        <v>-1458</v>
      </c>
      <c r="AM177" s="49" t="n">
        <v>-5494.88</v>
      </c>
      <c r="AN177" s="50">
        <f>SUM(AB177:AM177)</f>
        <v/>
      </c>
    </row>
    <row r="178">
      <c r="A178" s="47" t="inlineStr">
        <is>
          <t>capx</t>
        </is>
      </c>
      <c r="B178" s="48">
        <f>IFERROR(VLOOKUP($A178,Codes!$A:$B,2,FALSE()),"")</f>
        <v/>
      </c>
      <c r="C178" s="5" t="inlineStr">
        <is>
          <t>Building - Interior</t>
        </is>
      </c>
      <c r="D178" s="49" t="n">
        <v>-15341.36</v>
      </c>
      <c r="E178" s="49" t="n">
        <v>-47186.14</v>
      </c>
      <c r="F178" s="49" t="n">
        <v>-27751.15</v>
      </c>
      <c r="G178" s="51" t="n">
        <v>-68345.81</v>
      </c>
      <c r="H178" s="49" t="n">
        <v>-600.62</v>
      </c>
      <c r="I178" s="49" t="n">
        <v>-23585.2</v>
      </c>
      <c r="J178" s="49" t="n">
        <v>-13171.41</v>
      </c>
      <c r="K178" s="49" t="n">
        <v>-23847.6</v>
      </c>
      <c r="L178" s="49" t="n">
        <v>-16917.06</v>
      </c>
      <c r="M178" s="49" t="n">
        <v>-14220.82</v>
      </c>
      <c r="N178" s="49" t="n">
        <v>-18842.23</v>
      </c>
      <c r="O178" s="49" t="n">
        <v>-5576.3</v>
      </c>
      <c r="P178" s="49" t="n">
        <v>-20160.48</v>
      </c>
      <c r="Q178" s="49" t="n">
        <v>-21117.4</v>
      </c>
      <c r="R178" s="49" t="n">
        <v>-24421.7</v>
      </c>
      <c r="S178" s="49" t="n">
        <v>-21305.99</v>
      </c>
      <c r="T178" s="49" t="n">
        <v>-8883.389999999999</v>
      </c>
      <c r="U178" s="49" t="n">
        <v>-12070.45</v>
      </c>
      <c r="V178" s="49" t="n">
        <v>-11887.64</v>
      </c>
      <c r="W178" s="49" t="n">
        <v>-12560.48</v>
      </c>
      <c r="X178" s="49" t="n">
        <v>-11039.03</v>
      </c>
      <c r="Y178" s="49" t="n">
        <v>-15132.31</v>
      </c>
      <c r="Z178" s="49" t="n">
        <v>-20890.58</v>
      </c>
      <c r="AA178" s="49" t="n">
        <v>-21726.25</v>
      </c>
      <c r="AB178" s="49" t="n">
        <v>-11742.97</v>
      </c>
      <c r="AC178" s="49" t="n">
        <v>-25860.7</v>
      </c>
      <c r="AD178" s="49" t="n">
        <v>-15845</v>
      </c>
      <c r="AE178" s="49" t="n">
        <v>-11210.01</v>
      </c>
      <c r="AF178" s="49" t="n">
        <v>-15933.6</v>
      </c>
      <c r="AG178" s="49" t="n">
        <v>-21445.6</v>
      </c>
      <c r="AH178" s="49" t="n">
        <v>-16952.25</v>
      </c>
      <c r="AI178" s="49" t="n">
        <v>-30349.99</v>
      </c>
      <c r="AJ178" s="49" t="n">
        <v>20189.33</v>
      </c>
      <c r="AK178" s="51" t="n">
        <v>96192.19</v>
      </c>
      <c r="AL178" s="49" t="n">
        <v>-12822.39</v>
      </c>
      <c r="AM178" s="49" t="n">
        <v>-11170.68</v>
      </c>
      <c r="AN178" s="50">
        <f>SUM(AB178:AM178)</f>
        <v/>
      </c>
    </row>
    <row r="179">
      <c r="A179" s="47" t="inlineStr">
        <is>
          <t>capx</t>
        </is>
      </c>
      <c r="B179" s="48">
        <f>IFERROR(VLOOKUP($A179,Codes!$A:$B,2,FALSE()),"")</f>
        <v/>
      </c>
      <c r="C179" s="5" t="inlineStr">
        <is>
          <t>Carpets</t>
        </is>
      </c>
      <c r="D179" s="49" t="n">
        <v>-29178.74</v>
      </c>
      <c r="E179" s="49" t="n">
        <v>-23197.06</v>
      </c>
      <c r="F179" s="49" t="n">
        <v>-27750.09</v>
      </c>
      <c r="G179" s="49" t="n">
        <v>-27328.23</v>
      </c>
      <c r="H179" s="49" t="n">
        <v>-23801.01</v>
      </c>
      <c r="I179" s="49" t="n">
        <v>-20856.42</v>
      </c>
      <c r="J179" s="49" t="n">
        <v>-28732.46</v>
      </c>
      <c r="K179" s="49" t="n">
        <v>-20369.55</v>
      </c>
      <c r="L179" s="49" t="n">
        <v>-21320.97</v>
      </c>
      <c r="M179" s="49" t="n">
        <v>-26255.35</v>
      </c>
      <c r="N179" s="49" t="n">
        <v>-11376.38</v>
      </c>
      <c r="O179" s="49" t="n">
        <v>-14238.27</v>
      </c>
      <c r="P179" s="49" t="n">
        <v>-27664.49</v>
      </c>
      <c r="Q179" s="49" t="n">
        <v>-27578.83</v>
      </c>
      <c r="R179" s="49" t="n">
        <v>-21318.02</v>
      </c>
      <c r="S179" s="49" t="n">
        <v>-20452.82</v>
      </c>
      <c r="T179" s="49" t="n">
        <v>-9101.360000000001</v>
      </c>
      <c r="U179" s="49" t="n">
        <v>-22698.95</v>
      </c>
      <c r="V179" s="49" t="n">
        <v>-21689.88</v>
      </c>
      <c r="W179" s="49" t="n">
        <v>-18569.1</v>
      </c>
      <c r="X179" s="49" t="n">
        <v>-17633.12</v>
      </c>
      <c r="Y179" s="49" t="n">
        <v>-20522.6</v>
      </c>
      <c r="Z179" s="49" t="n">
        <v>-11176.25</v>
      </c>
      <c r="AA179" s="49" t="n">
        <v>-17583.3</v>
      </c>
      <c r="AB179" s="49" t="n">
        <v>-32358.38</v>
      </c>
      <c r="AC179" s="49" t="n">
        <v>-18033.74</v>
      </c>
      <c r="AD179" s="49" t="n">
        <v>-12503.8</v>
      </c>
      <c r="AE179" s="49" t="n">
        <v>-11000.32</v>
      </c>
      <c r="AF179" s="49" t="n">
        <v>-13906.33</v>
      </c>
      <c r="AG179" s="49" t="n">
        <v>-15732.34</v>
      </c>
      <c r="AH179" s="49" t="n">
        <v>-13395.91</v>
      </c>
      <c r="AI179" s="49" t="n">
        <v>-12969.87</v>
      </c>
      <c r="AJ179" s="49" t="n">
        <v>-15069.38</v>
      </c>
      <c r="AK179" s="49" t="n">
        <v>-6998.68</v>
      </c>
      <c r="AL179" s="49" t="n">
        <v>-10140.14</v>
      </c>
      <c r="AM179" s="49" t="n">
        <v>-17796.66</v>
      </c>
      <c r="AN179" s="50">
        <f>SUM(AB179:AM179)</f>
        <v/>
      </c>
    </row>
    <row r="180">
      <c r="A180" s="47" t="inlineStr">
        <is>
          <t>capx</t>
        </is>
      </c>
      <c r="B180" s="48">
        <f>IFERROR(VLOOKUP($A180,Codes!$A:$B,2,FALSE()),"")</f>
        <v/>
      </c>
      <c r="C180" s="5" t="inlineStr">
        <is>
          <t>Floor / Tile</t>
        </is>
      </c>
      <c r="D180" s="49" t="n">
        <v>-2258.32</v>
      </c>
      <c r="E180" s="49" t="n">
        <v>0</v>
      </c>
      <c r="F180" s="49" t="n">
        <v>-670.42</v>
      </c>
      <c r="G180" s="49" t="n">
        <v>-1961.27</v>
      </c>
      <c r="H180" s="49" t="n">
        <v>-2290.4</v>
      </c>
      <c r="I180" s="51" t="n">
        <v>-16168.55</v>
      </c>
      <c r="J180" s="49" t="n">
        <v>-198.38</v>
      </c>
      <c r="K180" s="49" t="n">
        <v>0</v>
      </c>
      <c r="L180" s="49" t="n">
        <v>-270</v>
      </c>
      <c r="M180" s="49" t="n">
        <v>0</v>
      </c>
      <c r="N180" s="49" t="n">
        <v>0</v>
      </c>
      <c r="O180" s="49" t="n">
        <v>0</v>
      </c>
      <c r="P180" s="49" t="n">
        <v>-380</v>
      </c>
      <c r="Q180" s="49" t="n">
        <v>-3256.04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-1872.01</v>
      </c>
      <c r="W180" s="49" t="n">
        <v>0</v>
      </c>
      <c r="X180" s="49" t="n">
        <v>-2833.83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-1233.5</v>
      </c>
      <c r="AE180" s="49" t="n">
        <v>0</v>
      </c>
      <c r="AF180" s="49" t="n">
        <v>0</v>
      </c>
      <c r="AG180" s="49" t="n">
        <v>0</v>
      </c>
      <c r="AH180" s="49" t="n">
        <v>-2259.35</v>
      </c>
      <c r="AI180" s="49" t="n">
        <v>-5944.84</v>
      </c>
      <c r="AJ180" s="49" t="n">
        <v>4959.15</v>
      </c>
      <c r="AK180" s="49" t="n">
        <v>0</v>
      </c>
      <c r="AL180" s="49" t="n">
        <v>0</v>
      </c>
      <c r="AM180" s="49" t="n">
        <v>0</v>
      </c>
      <c r="AN180" s="50">
        <f>SUM(AB180:AM180)</f>
        <v/>
      </c>
    </row>
    <row r="181">
      <c r="A181" s="47" t="inlineStr">
        <is>
          <t>capx</t>
        </is>
      </c>
      <c r="B181" s="48">
        <f>IFERROR(VLOOKUP($A181,Codes!$A:$B,2,FALSE()),"")</f>
        <v/>
      </c>
      <c r="C181" s="5" t="inlineStr">
        <is>
          <t>Electrical</t>
        </is>
      </c>
      <c r="D181" s="49" t="n">
        <v>0</v>
      </c>
      <c r="E181" s="49" t="n">
        <v>0</v>
      </c>
      <c r="F181" s="49" t="n">
        <v>0</v>
      </c>
      <c r="G181" s="49" t="n">
        <v>0</v>
      </c>
      <c r="H181" s="49" t="n">
        <v>0</v>
      </c>
      <c r="I181" s="49" t="n">
        <v>0</v>
      </c>
      <c r="J181" s="49" t="n">
        <v>0</v>
      </c>
      <c r="K181" s="49" t="n">
        <v>-296.81</v>
      </c>
      <c r="L181" s="49" t="n">
        <v>0</v>
      </c>
      <c r="M181" s="49" t="n">
        <v>-292.03</v>
      </c>
      <c r="N181" s="49" t="n">
        <v>0</v>
      </c>
      <c r="O181" s="49" t="n">
        <v>0</v>
      </c>
      <c r="P181" s="49" t="n">
        <v>-84.78</v>
      </c>
      <c r="Q181" s="49" t="n">
        <v>-78.26000000000001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N181" s="50">
        <f>SUM(AB181:AM181)</f>
        <v/>
      </c>
    </row>
    <row r="182">
      <c r="A182" s="47" t="inlineStr">
        <is>
          <t>capx</t>
        </is>
      </c>
      <c r="B182" s="48">
        <f>IFERROR(VLOOKUP($A182,Codes!$A:$B,2,FALSE()),"")</f>
        <v/>
      </c>
      <c r="C182" s="5" t="inlineStr">
        <is>
          <t>HVAC</t>
        </is>
      </c>
      <c r="D182" s="49" t="n">
        <v>0</v>
      </c>
      <c r="E182" s="49" t="n">
        <v>-1103</v>
      </c>
      <c r="F182" s="49" t="n">
        <v>-4373.14</v>
      </c>
      <c r="G182" s="49" t="n">
        <v>-984.47</v>
      </c>
      <c r="H182" s="49" t="n">
        <v>-16791.34</v>
      </c>
      <c r="I182" s="49" t="n">
        <v>-4664.03</v>
      </c>
      <c r="J182" s="49" t="n">
        <v>-11331.5</v>
      </c>
      <c r="K182" s="49" t="n">
        <v>-9501.639999999999</v>
      </c>
      <c r="L182" s="49" t="n">
        <v>-15654.56</v>
      </c>
      <c r="M182" s="49" t="n">
        <v>-1386.52</v>
      </c>
      <c r="N182" s="49" t="n">
        <v>-9567.309999999999</v>
      </c>
      <c r="O182" s="49" t="n">
        <v>-625</v>
      </c>
      <c r="P182" s="49" t="n">
        <v>-3497.47</v>
      </c>
      <c r="Q182" s="49" t="n">
        <v>-69.06</v>
      </c>
      <c r="R182" s="49" t="n">
        <v>-1124.21</v>
      </c>
      <c r="S182" s="49" t="n">
        <v>-5601.68</v>
      </c>
      <c r="T182" s="49" t="n">
        <v>-4290.44</v>
      </c>
      <c r="U182" s="49" t="n">
        <v>-3245.85</v>
      </c>
      <c r="V182" s="51" t="n">
        <v>-23439.74</v>
      </c>
      <c r="W182" s="49" t="n">
        <v>173.75</v>
      </c>
      <c r="X182" s="49" t="n">
        <v>-7923.07</v>
      </c>
      <c r="Y182" s="49" t="n">
        <v>-1096.09</v>
      </c>
      <c r="Z182" s="49" t="n">
        <v>-3264.77</v>
      </c>
      <c r="AA182" s="49" t="n">
        <v>-7405.74</v>
      </c>
      <c r="AB182" s="49" t="n">
        <v>0</v>
      </c>
      <c r="AC182" s="49" t="n">
        <v>-405.49</v>
      </c>
      <c r="AD182" s="49" t="n">
        <v>-6787.44</v>
      </c>
      <c r="AE182" s="49" t="n">
        <v>-4011.69</v>
      </c>
      <c r="AF182" s="49" t="n">
        <v>-5771.59</v>
      </c>
      <c r="AG182" s="49" t="n">
        <v>-9330.75</v>
      </c>
      <c r="AH182" s="49" t="n">
        <v>-5674.54</v>
      </c>
      <c r="AI182" s="49" t="n">
        <v>-17544.88</v>
      </c>
      <c r="AJ182" s="49" t="n">
        <v>-9991.379999999999</v>
      </c>
      <c r="AK182" s="49" t="n">
        <v>-6180.67</v>
      </c>
      <c r="AL182" s="49" t="n">
        <v>-2877.88</v>
      </c>
      <c r="AM182" s="49" t="n">
        <v>-5560</v>
      </c>
      <c r="AN182" s="50">
        <f>SUM(AB182:AM182)</f>
        <v/>
      </c>
    </row>
    <row r="183">
      <c r="A183" s="47" t="inlineStr">
        <is>
          <t>capx</t>
        </is>
      </c>
      <c r="B183" s="48">
        <f>IFERROR(VLOOKUP($A183,Codes!$A:$B,2,FALSE()),"")</f>
        <v/>
      </c>
      <c r="C183" s="5" t="inlineStr">
        <is>
          <t>Mini Blinds / Drapes</t>
        </is>
      </c>
      <c r="D183" s="49" t="n">
        <v>-876.3099999999999</v>
      </c>
      <c r="E183" s="49" t="n">
        <v>-250.7</v>
      </c>
      <c r="F183" s="49" t="n">
        <v>-2097.89</v>
      </c>
      <c r="G183" s="49" t="n">
        <v>-227.24</v>
      </c>
      <c r="H183" s="49" t="n">
        <v>-1485.09</v>
      </c>
      <c r="I183" s="49" t="n">
        <v>-573.86</v>
      </c>
      <c r="J183" s="49" t="n">
        <v>-528.37</v>
      </c>
      <c r="K183" s="49" t="n">
        <v>-1133.46</v>
      </c>
      <c r="L183" s="49" t="n">
        <v>-804.02</v>
      </c>
      <c r="M183" s="49" t="n">
        <v>-1476.5</v>
      </c>
      <c r="N183" s="49" t="n">
        <v>-1773.5</v>
      </c>
      <c r="O183" s="49" t="n">
        <v>-374.13</v>
      </c>
      <c r="P183" s="49" t="n">
        <v>-1628.06</v>
      </c>
      <c r="Q183" s="49" t="n">
        <v>-1967.54</v>
      </c>
      <c r="R183" s="49" t="n">
        <v>-264.99</v>
      </c>
      <c r="S183" s="49" t="n">
        <v>-579.36</v>
      </c>
      <c r="T183" s="49" t="n">
        <v>-791.08</v>
      </c>
      <c r="U183" s="49" t="n">
        <v>-883.55</v>
      </c>
      <c r="V183" s="49" t="n">
        <v>-315.56</v>
      </c>
      <c r="W183" s="49" t="n">
        <v>-2458.39</v>
      </c>
      <c r="X183" s="49" t="n">
        <v>-258.06</v>
      </c>
      <c r="Y183" s="49" t="n">
        <v>-1117.49</v>
      </c>
      <c r="Z183" s="49" t="n">
        <v>-693.95</v>
      </c>
      <c r="AA183" s="49" t="n">
        <v>-1146.52</v>
      </c>
      <c r="AB183" s="49" t="n">
        <v>-1105.06</v>
      </c>
      <c r="AC183" s="49" t="n">
        <v>-1771.8</v>
      </c>
      <c r="AD183" s="49" t="n">
        <v>-1756.28</v>
      </c>
      <c r="AE183" s="49" t="n">
        <v>-2809.82</v>
      </c>
      <c r="AF183" s="49" t="n">
        <v>302.95</v>
      </c>
      <c r="AG183" s="49" t="n">
        <v>-1057.02</v>
      </c>
      <c r="AH183" s="49" t="n">
        <v>-715.23</v>
      </c>
      <c r="AI183" s="49" t="n">
        <v>-2305.21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50">
        <f>SUM(AB183:AM183)</f>
        <v/>
      </c>
    </row>
    <row r="184">
      <c r="A184" s="47" t="inlineStr">
        <is>
          <t>capx</t>
        </is>
      </c>
      <c r="B184" s="48">
        <f>IFERROR(VLOOKUP($A184,Codes!$A:$B,2,FALSE()),"")</f>
        <v/>
      </c>
      <c r="C184" s="5" t="inlineStr">
        <is>
          <t>Plumbing</t>
        </is>
      </c>
      <c r="D184" s="49" t="n">
        <v>-1966.36</v>
      </c>
      <c r="E184" s="49" t="n">
        <v>-2024.6</v>
      </c>
      <c r="F184" s="49" t="n">
        <v>-2168.76</v>
      </c>
      <c r="G184" s="49" t="n">
        <v>-2994.05</v>
      </c>
      <c r="H184" s="49" t="n">
        <v>-1476.13</v>
      </c>
      <c r="I184" s="51" t="n">
        <v>-12417.62</v>
      </c>
      <c r="J184" s="49" t="n">
        <v>-2307.74</v>
      </c>
      <c r="K184" s="49" t="n">
        <v>-2712.21</v>
      </c>
      <c r="L184" s="49" t="n">
        <v>-4031.54</v>
      </c>
      <c r="M184" s="49" t="n">
        <v>-6135.63</v>
      </c>
      <c r="N184" s="49" t="n">
        <v>-2502.86</v>
      </c>
      <c r="O184" s="49" t="n">
        <v>-2799.8</v>
      </c>
      <c r="P184" s="49" t="n">
        <v>-2736.76</v>
      </c>
      <c r="Q184" s="49" t="n">
        <v>-2259.23</v>
      </c>
      <c r="R184" s="49" t="n">
        <v>-3617.2</v>
      </c>
      <c r="S184" s="49" t="n">
        <v>-2630.75</v>
      </c>
      <c r="T184" s="49" t="n">
        <v>-1384.09</v>
      </c>
      <c r="U184" s="49" t="n">
        <v>-4937.82</v>
      </c>
      <c r="V184" s="49" t="n">
        <v>-2574.47</v>
      </c>
      <c r="W184" s="49" t="n">
        <v>-276.88</v>
      </c>
      <c r="X184" s="49" t="n">
        <v>-1265.42</v>
      </c>
      <c r="Y184" s="49" t="n">
        <v>-2928.78</v>
      </c>
      <c r="Z184" s="49" t="n">
        <v>-2194.97</v>
      </c>
      <c r="AA184" s="49" t="n">
        <v>-1197.02</v>
      </c>
      <c r="AB184" s="49" t="n">
        <v>-2010.17</v>
      </c>
      <c r="AC184" s="49" t="n">
        <v>-2995.43</v>
      </c>
      <c r="AD184" s="49" t="n">
        <v>-2845.12</v>
      </c>
      <c r="AE184" s="49" t="n">
        <v>-1515.97</v>
      </c>
      <c r="AF184" s="49" t="n">
        <v>-3448.42</v>
      </c>
      <c r="AG184" s="49" t="n">
        <v>-2722.86</v>
      </c>
      <c r="AH184" s="49" t="n">
        <v>-2923.76</v>
      </c>
      <c r="AI184" s="49" t="n">
        <v>-2334.49</v>
      </c>
      <c r="AJ184" s="49" t="n">
        <v>947.36</v>
      </c>
      <c r="AK184" s="51" t="n">
        <v>14231.42</v>
      </c>
      <c r="AL184" s="49" t="n">
        <v>0</v>
      </c>
      <c r="AM184" s="49" t="n">
        <v>0</v>
      </c>
      <c r="AN184" s="50">
        <f>SUM(AB184:AM184)</f>
        <v/>
      </c>
    </row>
    <row r="185">
      <c r="A185" s="47" t="inlineStr">
        <is>
          <t>capx</t>
        </is>
      </c>
      <c r="B185" s="48">
        <f>IFERROR(VLOOKUP($A185,Codes!$A:$B,2,FALSE()),"")</f>
        <v/>
      </c>
      <c r="C185" s="5" t="inlineStr">
        <is>
          <t>Roof Repairs</t>
        </is>
      </c>
      <c r="D185" s="49" t="n">
        <v>0</v>
      </c>
      <c r="E185" s="49" t="n">
        <v>-2346.39</v>
      </c>
      <c r="F185" s="49" t="n">
        <v>0</v>
      </c>
      <c r="G185" s="49" t="n">
        <v>0</v>
      </c>
      <c r="H185" s="49" t="n">
        <v>0</v>
      </c>
      <c r="I185" s="49" t="n">
        <v>0</v>
      </c>
      <c r="J185" s="49" t="n">
        <v>0</v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-457.39</v>
      </c>
      <c r="AA185" s="49" t="n">
        <v>0</v>
      </c>
      <c r="AB185" s="49" t="n">
        <v>0</v>
      </c>
      <c r="AC185" s="49" t="n">
        <v>-129.39</v>
      </c>
      <c r="AD185" s="49" t="n">
        <v>0</v>
      </c>
      <c r="AE185" s="49" t="n">
        <v>0</v>
      </c>
      <c r="AF185" s="49" t="n">
        <v>-991.39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50">
        <f>SUM(AB185:AM185)</f>
        <v/>
      </c>
    </row>
    <row r="186">
      <c r="A186" s="47" t="inlineStr">
        <is>
          <t>capx</t>
        </is>
      </c>
      <c r="B186" s="48">
        <f>IFERROR(VLOOKUP($A186,Codes!$A:$B,2,FALSE()),"")</f>
        <v/>
      </c>
      <c r="C186" s="5" t="inlineStr">
        <is>
          <t>Termite Treatment</t>
        </is>
      </c>
      <c r="D186" s="49" t="n">
        <v>0</v>
      </c>
      <c r="E186" s="49" t="n">
        <v>0</v>
      </c>
      <c r="F186" s="49" t="n">
        <v>-3000</v>
      </c>
      <c r="G186" s="49" t="n">
        <v>-5637.5</v>
      </c>
      <c r="H186" s="49" t="n">
        <v>-5637.5</v>
      </c>
      <c r="I186" s="49" t="n">
        <v>-3000</v>
      </c>
      <c r="J186" s="49" t="n">
        <v>0</v>
      </c>
      <c r="K186" s="49" t="n">
        <v>0</v>
      </c>
      <c r="L186" s="49" t="n">
        <v>-3000</v>
      </c>
      <c r="M186" s="49" t="n">
        <v>0</v>
      </c>
      <c r="N186" s="49" t="n">
        <v>0</v>
      </c>
      <c r="O186" s="49" t="n">
        <v>-16478.72</v>
      </c>
      <c r="P186" s="49" t="n">
        <v>0</v>
      </c>
      <c r="Q186" s="49" t="n">
        <v>0</v>
      </c>
      <c r="R186" s="49" t="n">
        <v>-6000</v>
      </c>
      <c r="S186" s="49" t="n">
        <v>0</v>
      </c>
      <c r="T186" s="49" t="n">
        <v>0</v>
      </c>
      <c r="U186" s="49" t="n">
        <v>-6000</v>
      </c>
      <c r="V186" s="49" t="n">
        <v>0</v>
      </c>
      <c r="W186" s="49" t="n">
        <v>0</v>
      </c>
      <c r="X186" s="49" t="n">
        <v>-6000</v>
      </c>
      <c r="Y186" s="49" t="n">
        <v>0</v>
      </c>
      <c r="Z186" s="49" t="n">
        <v>0</v>
      </c>
      <c r="AA186" s="49" t="n">
        <v>-16478.72</v>
      </c>
      <c r="AB186" s="49" t="n">
        <v>0</v>
      </c>
      <c r="AC186" s="49" t="n">
        <v>0</v>
      </c>
      <c r="AD186" s="49" t="n">
        <v>-6000</v>
      </c>
      <c r="AE186" s="49" t="n">
        <v>-11721</v>
      </c>
      <c r="AF186" s="49" t="n">
        <v>0</v>
      </c>
      <c r="AG186" s="49" t="n">
        <v>-6000</v>
      </c>
      <c r="AH186" s="49" t="n">
        <v>0</v>
      </c>
      <c r="AI186" s="49" t="n">
        <v>0</v>
      </c>
      <c r="AJ186" s="49" t="n">
        <v>-17000</v>
      </c>
      <c r="AK186" s="49" t="n">
        <v>0</v>
      </c>
      <c r="AL186" s="49" t="n">
        <v>0</v>
      </c>
      <c r="AM186" s="49" t="n">
        <v>-16478.72</v>
      </c>
      <c r="AN186" s="50">
        <f>SUM(AB186:AM186)</f>
        <v/>
      </c>
    </row>
    <row r="187">
      <c r="A187" s="47" t="inlineStr">
        <is>
          <t>prin</t>
        </is>
      </c>
      <c r="B187" s="48">
        <f>IFERROR(VLOOKUP($A187,Codes!$A:$B,2,FALSE()),"")</f>
        <v/>
      </c>
      <c r="C187" s="5" t="inlineStr">
        <is>
          <t>Accumulated Amortization - Deferred Financing</t>
        </is>
      </c>
      <c r="D187" s="49" t="n">
        <v>12538.5</v>
      </c>
      <c r="E187" s="49" t="n">
        <v>12538.5</v>
      </c>
      <c r="F187" s="49" t="n">
        <v>12538.5</v>
      </c>
      <c r="G187" s="49" t="n">
        <v>12538.5</v>
      </c>
      <c r="H187" s="49" t="n">
        <v>12538.5</v>
      </c>
      <c r="I187" s="49" t="n">
        <v>12538.5</v>
      </c>
      <c r="J187" s="49" t="n">
        <v>12538.5</v>
      </c>
      <c r="K187" s="49" t="n">
        <v>12538.5</v>
      </c>
      <c r="L187" s="49" t="n">
        <v>12538.5</v>
      </c>
      <c r="M187" s="49" t="n">
        <v>12538.5</v>
      </c>
      <c r="N187" s="49" t="n">
        <v>12538.5</v>
      </c>
      <c r="O187" s="49" t="n">
        <v>12538.5</v>
      </c>
      <c r="P187" s="49" t="n">
        <v>12538.5</v>
      </c>
      <c r="Q187" s="49" t="n">
        <v>12538.5</v>
      </c>
      <c r="R187" s="49" t="n">
        <v>12538.5</v>
      </c>
      <c r="S187" s="49" t="n">
        <v>12538.5</v>
      </c>
      <c r="T187" s="49" t="n">
        <v>12538.5</v>
      </c>
      <c r="U187" s="49" t="n">
        <v>12538.5</v>
      </c>
      <c r="V187" s="49" t="n">
        <v>12538.5</v>
      </c>
      <c r="W187" s="49" t="n">
        <v>12538.5</v>
      </c>
      <c r="X187" s="49" t="n">
        <v>12538.5</v>
      </c>
      <c r="Y187" s="49" t="n">
        <v>12538.5</v>
      </c>
      <c r="Z187" s="49" t="n">
        <v>12538.48</v>
      </c>
      <c r="AA187" s="49" t="n">
        <v>0</v>
      </c>
      <c r="AN187" s="50">
        <f>SUM(AB187:AM187)</f>
        <v/>
      </c>
    </row>
    <row r="188">
      <c r="A188" s="47" t="inlineStr">
        <is>
          <t>othdf</t>
        </is>
      </c>
      <c r="B188" s="48">
        <f>IFERROR(VLOOKUP($A188,Codes!$A:$B,2,FALSE()),"")</f>
        <v/>
      </c>
      <c r="C188" s="5" t="inlineStr">
        <is>
          <t>Loan Costs</t>
        </is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-602002.5</v>
      </c>
      <c r="AA188" s="49" t="n">
        <v>0</v>
      </c>
      <c r="AN188" s="50">
        <f>SUM(AB188:AM188)</f>
        <v/>
      </c>
    </row>
    <row r="189">
      <c r="A189" s="47" t="inlineStr">
        <is>
          <t>othdf</t>
        </is>
      </c>
      <c r="B189" s="48">
        <f>IFERROR(VLOOKUP($A189,Codes!$A:$B,2,FALSE()),"")</f>
        <v/>
      </c>
      <c r="C189" s="5" t="inlineStr">
        <is>
          <t>Accum Amort - Loan Costs</t>
        </is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10033.38</v>
      </c>
      <c r="AB189" s="49" t="n">
        <v>10033.38</v>
      </c>
      <c r="AC189" s="49" t="n">
        <v>10033.38</v>
      </c>
      <c r="AD189" s="49" t="n">
        <v>10033.38</v>
      </c>
      <c r="AE189" s="49" t="n">
        <v>10033.38</v>
      </c>
      <c r="AF189" s="49" t="n">
        <v>10033.38</v>
      </c>
      <c r="AG189" s="49" t="n">
        <v>10033.38</v>
      </c>
      <c r="AH189" s="49" t="n">
        <v>10033.38</v>
      </c>
      <c r="AI189" s="49" t="n">
        <v>10033.38</v>
      </c>
      <c r="AJ189" s="49" t="n">
        <v>10033.38</v>
      </c>
      <c r="AK189" s="49" t="n">
        <v>10033.38</v>
      </c>
      <c r="AL189" s="49" t="n">
        <v>10033.38</v>
      </c>
      <c r="AM189" s="49" t="n">
        <v>10033.38</v>
      </c>
      <c r="AN189" s="50">
        <f>SUM(AB189:AM189)</f>
        <v/>
      </c>
    </row>
    <row r="190">
      <c r="A190" s="47" t="inlineStr">
        <is>
          <t>onoe</t>
        </is>
      </c>
      <c r="B190" s="48">
        <f>IFERROR(VLOOKUP($A190,Codes!$A:$B,2,FALSE()),"")</f>
        <v/>
      </c>
      <c r="C190" s="5" t="inlineStr">
        <is>
          <t>Refinance Cost - Rate Cap</t>
        </is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-95500</v>
      </c>
      <c r="AA190" s="49" t="n">
        <v>0</v>
      </c>
      <c r="AN190" s="50">
        <f>SUM(AB190:AM190)</f>
        <v/>
      </c>
    </row>
    <row r="191">
      <c r="A191" s="47" t="inlineStr">
        <is>
          <t>onoe</t>
        </is>
      </c>
      <c r="B191" s="48">
        <f>IFERROR(VLOOKUP($A191,Codes!$A:$B,2,FALSE()),"")</f>
        <v/>
      </c>
      <c r="C191" s="5" t="inlineStr">
        <is>
          <t>Trade Accounts Payable</t>
        </is>
      </c>
      <c r="D191" s="49" t="n">
        <v>5579.06</v>
      </c>
      <c r="E191" s="49" t="n">
        <v>-27811.1</v>
      </c>
      <c r="F191" s="49" t="n">
        <v>-25327.98</v>
      </c>
      <c r="G191" s="49" t="n">
        <v>97370.75</v>
      </c>
      <c r="H191" s="49" t="n">
        <v>-84526.02</v>
      </c>
      <c r="I191" s="49" t="n">
        <v>-1507.8</v>
      </c>
      <c r="J191" s="49" t="n">
        <v>31994.99</v>
      </c>
      <c r="K191" s="49" t="n">
        <v>-42705.75</v>
      </c>
      <c r="L191" s="49" t="n">
        <v>-2462.05</v>
      </c>
      <c r="M191" s="51" t="n">
        <v>116230.88</v>
      </c>
      <c r="N191" s="51" t="n">
        <v>-116865.11</v>
      </c>
      <c r="O191" s="49" t="n">
        <v>97156.67</v>
      </c>
      <c r="P191" s="49" t="n">
        <v>-96156.2</v>
      </c>
      <c r="Q191" s="49" t="n">
        <v>26367.96</v>
      </c>
      <c r="R191" s="49" t="n">
        <v>959.46</v>
      </c>
      <c r="S191" s="49" t="n">
        <v>-30825.98</v>
      </c>
      <c r="T191" s="49" t="n">
        <v>30331.21</v>
      </c>
      <c r="U191" s="49" t="n">
        <v>-29158.01</v>
      </c>
      <c r="V191" s="49" t="n">
        <v>26869.64</v>
      </c>
      <c r="W191" s="49" t="n">
        <v>-25344.37</v>
      </c>
      <c r="X191" s="49" t="n">
        <v>12943.29</v>
      </c>
      <c r="Y191" s="49" t="n">
        <v>-6957.26</v>
      </c>
      <c r="Z191" s="49" t="n">
        <v>-1282.36</v>
      </c>
      <c r="AA191" s="49" t="n">
        <v>27592.86</v>
      </c>
      <c r="AB191" s="49" t="n">
        <v>29746.22</v>
      </c>
      <c r="AC191" s="49" t="n">
        <v>-61186.48</v>
      </c>
      <c r="AD191" s="49" t="n">
        <v>76882.16</v>
      </c>
      <c r="AE191" s="49" t="n">
        <v>-54636.81</v>
      </c>
      <c r="AF191" s="49" t="n">
        <v>59057.03</v>
      </c>
      <c r="AG191" s="49" t="n">
        <v>9775.1</v>
      </c>
      <c r="AH191" s="49" t="n">
        <v>-49365.21</v>
      </c>
      <c r="AI191" s="49" t="n">
        <v>5378.77</v>
      </c>
      <c r="AJ191" s="49" t="n">
        <v>3014.15</v>
      </c>
      <c r="AK191" s="49" t="n">
        <v>-25712.27</v>
      </c>
      <c r="AL191" s="49" t="n">
        <v>6476.87</v>
      </c>
      <c r="AM191" s="49" t="n">
        <v>-32766.23</v>
      </c>
      <c r="AN191" s="50">
        <f>SUM(AB191:AM191)</f>
        <v/>
      </c>
    </row>
    <row r="192">
      <c r="A192" s="47" t="inlineStr">
        <is>
          <t>onoe</t>
        </is>
      </c>
      <c r="B192" s="48">
        <f>IFERROR(VLOOKUP($A192,Codes!$A:$B,2,FALSE()),"")</f>
        <v/>
      </c>
      <c r="C192" s="5" t="inlineStr">
        <is>
          <t>Accrued Management Fees</t>
        </is>
      </c>
      <c r="D192" s="49" t="n">
        <v>2455.1</v>
      </c>
      <c r="E192" s="49" t="n">
        <v>-1640.76</v>
      </c>
      <c r="F192" s="49" t="n">
        <v>1625.88</v>
      </c>
      <c r="G192" s="49" t="n">
        <v>-4057.97</v>
      </c>
      <c r="H192" s="49" t="n">
        <v>3860.11</v>
      </c>
      <c r="I192" s="49" t="n">
        <v>-1265.06</v>
      </c>
      <c r="J192" s="49" t="n">
        <v>-123.36</v>
      </c>
      <c r="K192" s="49" t="n">
        <v>-525.51</v>
      </c>
      <c r="L192" s="49" t="n">
        <v>-782.91</v>
      </c>
      <c r="M192" s="49" t="n">
        <v>1460.52</v>
      </c>
      <c r="N192" s="49" t="n">
        <v>-1118.76</v>
      </c>
      <c r="O192" s="49" t="n">
        <v>-252.17</v>
      </c>
      <c r="P192" s="49" t="n">
        <v>3213.59</v>
      </c>
      <c r="Q192" s="49" t="n">
        <v>-1127.02</v>
      </c>
      <c r="R192" s="49" t="n">
        <v>-1359.51</v>
      </c>
      <c r="S192" s="49" t="n">
        <v>3512.06</v>
      </c>
      <c r="T192" s="49" t="n">
        <v>-1825.96</v>
      </c>
      <c r="U192" s="49" t="n">
        <v>-3007.19</v>
      </c>
      <c r="V192" s="49" t="n">
        <v>3657.54</v>
      </c>
      <c r="W192" s="49" t="n">
        <v>-1815.5</v>
      </c>
      <c r="X192" s="49" t="n">
        <v>1284.76</v>
      </c>
      <c r="Y192" s="49" t="n">
        <v>-817.86</v>
      </c>
      <c r="Z192" s="49" t="n">
        <v>-2122.75</v>
      </c>
      <c r="AA192" s="49" t="n">
        <v>4426.56</v>
      </c>
      <c r="AB192" s="49" t="n">
        <v>3936.41</v>
      </c>
      <c r="AC192" s="51" t="n">
        <v>-7704.83</v>
      </c>
      <c r="AD192" s="49" t="n">
        <v>1233.78</v>
      </c>
      <c r="AE192" s="49" t="n">
        <v>-1290.26</v>
      </c>
      <c r="AF192" s="49" t="n">
        <v>461.45</v>
      </c>
      <c r="AG192" s="49" t="n">
        <v>1057.7</v>
      </c>
      <c r="AH192" s="49" t="n">
        <v>-502.14</v>
      </c>
      <c r="AI192" s="49" t="n">
        <v>-1544.6</v>
      </c>
      <c r="AJ192" s="49" t="n">
        <v>2102.52</v>
      </c>
      <c r="AK192" s="49" t="n">
        <v>-2032.12</v>
      </c>
      <c r="AL192" s="49" t="n">
        <v>-3040.16</v>
      </c>
      <c r="AM192" s="49" t="n">
        <v>5381.39</v>
      </c>
      <c r="AN192" s="50">
        <f>SUM(AB192:AM192)</f>
        <v/>
      </c>
    </row>
    <row r="193">
      <c r="A193" s="47" t="inlineStr">
        <is>
          <t>onoe</t>
        </is>
      </c>
      <c r="B193" s="48">
        <f>IFERROR(VLOOKUP($A193,Codes!$A:$B,2,FALSE()),"")</f>
        <v/>
      </c>
      <c r="C193" s="5" t="inlineStr">
        <is>
          <t>Accrued Expense</t>
        </is>
      </c>
      <c r="D193" s="51" t="n">
        <v>-76714.42999999999</v>
      </c>
      <c r="E193" s="51" t="n">
        <v>98128.09</v>
      </c>
      <c r="F193" s="49" t="n">
        <v>-15317.17</v>
      </c>
      <c r="G193" s="49" t="n">
        <v>18157.63</v>
      </c>
      <c r="H193" s="49" t="n">
        <v>-38840</v>
      </c>
      <c r="I193" s="49" t="n">
        <v>7646.92</v>
      </c>
      <c r="J193" s="49" t="n">
        <v>18181.14</v>
      </c>
      <c r="K193" s="49" t="n">
        <v>27555.4</v>
      </c>
      <c r="L193" s="49" t="n">
        <v>-14054.4</v>
      </c>
      <c r="M193" s="49" t="n">
        <v>-2535.34</v>
      </c>
      <c r="N193" s="49" t="n">
        <v>-8664.049999999999</v>
      </c>
      <c r="O193" s="49" t="n">
        <v>34520.64</v>
      </c>
      <c r="P193" s="49" t="n">
        <v>-392.22</v>
      </c>
      <c r="Q193" s="49" t="n">
        <v>8706.77</v>
      </c>
      <c r="R193" s="49" t="n">
        <v>-38560.31</v>
      </c>
      <c r="S193" s="49" t="n">
        <v>-18979.46</v>
      </c>
      <c r="T193" s="49" t="n">
        <v>-15454.31</v>
      </c>
      <c r="U193" s="49" t="n">
        <v>28337.3</v>
      </c>
      <c r="V193" s="49" t="n">
        <v>-15610.45</v>
      </c>
      <c r="W193" s="49" t="n">
        <v>7645.09</v>
      </c>
      <c r="X193" s="49" t="n">
        <v>-26022.23</v>
      </c>
      <c r="Y193" s="49" t="n">
        <v>18175.81</v>
      </c>
      <c r="Z193" s="49" t="n">
        <v>26904.38</v>
      </c>
      <c r="AA193" s="49" t="n">
        <v>2467.22</v>
      </c>
      <c r="AB193" s="49" t="n">
        <v>-24641.32</v>
      </c>
      <c r="AC193" s="49" t="n">
        <v>14108.23</v>
      </c>
      <c r="AD193" s="49" t="n">
        <v>-5982.4</v>
      </c>
      <c r="AE193" s="49" t="n">
        <v>14244.66</v>
      </c>
      <c r="AF193" s="49" t="n">
        <v>-10808.35</v>
      </c>
      <c r="AG193" s="49" t="n">
        <v>22797.64</v>
      </c>
      <c r="AH193" s="49" t="n">
        <v>-29069.87</v>
      </c>
      <c r="AI193" s="49" t="n">
        <v>28438.86</v>
      </c>
      <c r="AJ193" s="49" t="n">
        <v>-13385.97</v>
      </c>
      <c r="AK193" s="49" t="n">
        <v>6717.82</v>
      </c>
      <c r="AL193" s="49" t="n">
        <v>-2260.07</v>
      </c>
      <c r="AM193" s="49" t="n">
        <v>-5433.05</v>
      </c>
      <c r="AN193" s="50">
        <f>SUM(AB193:AM193)</f>
        <v/>
      </c>
    </row>
    <row r="194">
      <c r="A194" s="47" t="inlineStr">
        <is>
          <t>capx</t>
        </is>
      </c>
      <c r="B194" s="48">
        <f>IFERROR(VLOOKUP($A194,Codes!$A:$B,2,FALSE()),"")</f>
        <v/>
      </c>
      <c r="C194" s="5" t="inlineStr">
        <is>
          <t>Accrued Capital Asset</t>
        </is>
      </c>
      <c r="D194" s="49" t="n">
        <v>53895.19</v>
      </c>
      <c r="E194" s="49" t="n">
        <v>37289.21</v>
      </c>
      <c r="F194" s="49" t="n">
        <v>444.19</v>
      </c>
      <c r="G194" s="49" t="n">
        <v>-36550.09</v>
      </c>
      <c r="H194" s="49" t="n">
        <v>-27121.52</v>
      </c>
      <c r="I194" s="49" t="n">
        <v>-6354.2</v>
      </c>
      <c r="J194" s="49" t="n">
        <v>75800.13</v>
      </c>
      <c r="K194" s="49" t="n">
        <v>-70181.52</v>
      </c>
      <c r="L194" s="49" t="n">
        <v>4921.25</v>
      </c>
      <c r="M194" s="49" t="n">
        <v>-34997.79</v>
      </c>
      <c r="N194" s="49" t="n">
        <v>12699.46</v>
      </c>
      <c r="O194" s="51" t="n">
        <v>133219.54</v>
      </c>
      <c r="P194" s="49" t="n">
        <v>107222.52</v>
      </c>
      <c r="Q194" s="49" t="n">
        <v>-66627.03</v>
      </c>
      <c r="R194" s="49" t="n">
        <v>-39797.84</v>
      </c>
      <c r="S194" s="49" t="n">
        <v>-72536.78</v>
      </c>
      <c r="T194" s="49" t="n">
        <v>-38440.45</v>
      </c>
      <c r="U194" s="49" t="n">
        <v>41839.15</v>
      </c>
      <c r="V194" s="49" t="n">
        <v>-22947.25</v>
      </c>
      <c r="W194" s="49" t="n">
        <v>1523.71</v>
      </c>
      <c r="X194" s="49" t="n">
        <v>-36370.67</v>
      </c>
      <c r="Y194" s="49" t="n">
        <v>-20897.47</v>
      </c>
      <c r="Z194" s="49" t="n">
        <v>55263.8</v>
      </c>
      <c r="AA194" s="49" t="n">
        <v>28628.68</v>
      </c>
      <c r="AB194" s="49" t="n">
        <v>38303.02</v>
      </c>
      <c r="AC194" s="49" t="n">
        <v>6276.54</v>
      </c>
      <c r="AD194" s="49" t="n">
        <v>-121718.72</v>
      </c>
      <c r="AE194" s="49" t="n">
        <v>52202.78</v>
      </c>
      <c r="AF194" s="49" t="n">
        <v>-15414.18</v>
      </c>
      <c r="AG194" s="49" t="n">
        <v>-42273.18</v>
      </c>
      <c r="AH194" s="49" t="n">
        <v>18945.28</v>
      </c>
      <c r="AI194" s="49" t="n">
        <v>18226.5</v>
      </c>
      <c r="AJ194" s="49" t="n">
        <v>-11964.11</v>
      </c>
      <c r="AK194" s="49" t="n">
        <v>-3767.16</v>
      </c>
      <c r="AL194" s="51" t="n">
        <v>449475.78</v>
      </c>
      <c r="AM194" s="51" t="n">
        <v>-411786.4</v>
      </c>
      <c r="AN194" s="50">
        <f>SUM(AB194:AM194)</f>
        <v/>
      </c>
    </row>
    <row r="195">
      <c r="A195" s="47" t="inlineStr">
        <is>
          <t>onoe</t>
        </is>
      </c>
      <c r="B195" s="48">
        <f>IFERROR(VLOOKUP($A195,Codes!$A:$B,2,FALSE()),"")</f>
        <v/>
      </c>
      <c r="C195" s="5" t="inlineStr">
        <is>
          <t>Accrued Real Property Taxes</t>
        </is>
      </c>
      <c r="D195" s="49" t="n">
        <v>68710.63</v>
      </c>
      <c r="E195" s="49" t="n">
        <v>68710.63</v>
      </c>
      <c r="F195" s="49" t="n">
        <v>89317</v>
      </c>
      <c r="G195" s="51" t="n">
        <v>-336684.36</v>
      </c>
      <c r="H195" s="49" t="n">
        <v>75579.42</v>
      </c>
      <c r="I195" s="49" t="n">
        <v>75579.42</v>
      </c>
      <c r="J195" s="49" t="n">
        <v>75579.42</v>
      </c>
      <c r="K195" s="49" t="n">
        <v>75579.42</v>
      </c>
      <c r="L195" s="49" t="n">
        <v>75579.42</v>
      </c>
      <c r="M195" s="49" t="n">
        <v>75579.42</v>
      </c>
      <c r="N195" s="51" t="n">
        <v>-402911.5</v>
      </c>
      <c r="O195" s="49" t="n">
        <v>70576.53999999999</v>
      </c>
      <c r="P195" s="49" t="n">
        <v>74105.36</v>
      </c>
      <c r="Q195" s="49" t="n">
        <v>74105.36</v>
      </c>
      <c r="R195" s="49" t="n">
        <v>74105.36</v>
      </c>
      <c r="S195" s="49" t="n">
        <v>74105.36</v>
      </c>
      <c r="T195" s="51" t="n">
        <v>-349353.87</v>
      </c>
      <c r="U195" s="49" t="n">
        <v>74105.36</v>
      </c>
      <c r="V195" s="49" t="n">
        <v>74105.36</v>
      </c>
      <c r="W195" s="49" t="n">
        <v>74105.36</v>
      </c>
      <c r="X195" s="49" t="n">
        <v>63857.6</v>
      </c>
      <c r="Y195" s="49" t="n">
        <v>72966.72</v>
      </c>
      <c r="Z195" s="51" t="n">
        <v>-729667.21</v>
      </c>
      <c r="AA195" s="49" t="n">
        <v>0</v>
      </c>
      <c r="AB195" s="49" t="n">
        <v>78913.67</v>
      </c>
      <c r="AC195" s="49" t="n">
        <v>78913.67</v>
      </c>
      <c r="AD195" s="49" t="n">
        <v>78913.67</v>
      </c>
      <c r="AE195" s="49" t="n">
        <v>78913.67</v>
      </c>
      <c r="AF195" s="49" t="n">
        <v>78913.67</v>
      </c>
      <c r="AG195" s="49" t="n">
        <v>78913.67</v>
      </c>
      <c r="AH195" s="49" t="n">
        <v>78913.67</v>
      </c>
      <c r="AI195" s="49" t="n">
        <v>78913.67</v>
      </c>
      <c r="AJ195" s="49" t="n">
        <v>78913.67</v>
      </c>
      <c r="AK195" s="51" t="n">
        <v>-407955.15</v>
      </c>
      <c r="AL195" s="49" t="n">
        <v>75566.97</v>
      </c>
      <c r="AM195" s="49" t="n">
        <v>75566.97</v>
      </c>
      <c r="AN195" s="50">
        <f>SUM(AB195:AM195)</f>
        <v/>
      </c>
    </row>
    <row r="196">
      <c r="A196" s="47" t="inlineStr">
        <is>
          <t>onoe</t>
        </is>
      </c>
      <c r="B196" s="48">
        <f>IFERROR(VLOOKUP($A196,Codes!$A:$B,2,FALSE()),"")</f>
        <v/>
      </c>
      <c r="C196" s="5" t="inlineStr">
        <is>
          <t>Accrued Insurance</t>
        </is>
      </c>
      <c r="P196" s="49" t="n">
        <v>0</v>
      </c>
      <c r="Q196" s="49" t="n">
        <v>0</v>
      </c>
      <c r="R196" s="49" t="n">
        <v>0</v>
      </c>
      <c r="S196" s="49" t="n">
        <v>26735.62</v>
      </c>
      <c r="T196" s="49" t="n">
        <v>-26735.62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28915.07</v>
      </c>
      <c r="AF196" s="49" t="n">
        <v>-28915.07</v>
      </c>
      <c r="AG196" s="49" t="n">
        <v>427.94</v>
      </c>
      <c r="AH196" s="49" t="n">
        <v>-427.94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50">
        <f>SUM(AB196:AM196)</f>
        <v/>
      </c>
    </row>
    <row r="197">
      <c r="A197" s="47" t="inlineStr">
        <is>
          <t>onoe</t>
        </is>
      </c>
      <c r="B197" s="48">
        <f>IFERROR(VLOOKUP($A197,Codes!$A:$B,2,FALSE()),"")</f>
        <v/>
      </c>
      <c r="C197" s="5" t="inlineStr">
        <is>
          <t>Accrued Payroll</t>
        </is>
      </c>
      <c r="D197" s="49" t="n">
        <v>5351</v>
      </c>
      <c r="E197" s="49" t="n">
        <v>1191</v>
      </c>
      <c r="F197" s="49" t="n">
        <v>8145</v>
      </c>
      <c r="G197" s="49" t="n">
        <v>3703</v>
      </c>
      <c r="H197" s="49" t="n">
        <v>-23364</v>
      </c>
      <c r="I197" s="49" t="n">
        <v>5916</v>
      </c>
      <c r="J197" s="49" t="n">
        <v>3808</v>
      </c>
      <c r="K197" s="49" t="n">
        <v>8761</v>
      </c>
      <c r="L197" s="49" t="n">
        <v>5159</v>
      </c>
      <c r="M197" s="49" t="n">
        <v>7263</v>
      </c>
      <c r="N197" s="51" t="n">
        <v>-27872</v>
      </c>
      <c r="O197" s="49" t="n">
        <v>16860</v>
      </c>
      <c r="P197" s="51" t="n">
        <v>30188.01</v>
      </c>
      <c r="Q197" s="51" t="n">
        <v>-29892.01</v>
      </c>
      <c r="R197" s="49" t="n">
        <v>3391</v>
      </c>
      <c r="S197" s="49" t="n">
        <v>8704</v>
      </c>
      <c r="T197" s="49" t="n">
        <v>-24911</v>
      </c>
      <c r="U197" s="49" t="n">
        <v>932</v>
      </c>
      <c r="V197" s="49" t="n">
        <v>15022.95</v>
      </c>
      <c r="W197" s="49" t="n">
        <v>937.05</v>
      </c>
      <c r="X197" s="49" t="n">
        <v>4250</v>
      </c>
      <c r="Y197" s="49" t="n">
        <v>-21285.43</v>
      </c>
      <c r="Z197" s="49" t="n">
        <v>-445.57</v>
      </c>
      <c r="AA197" s="49" t="n">
        <v>5939</v>
      </c>
      <c r="AB197" s="49" t="n">
        <v>11110</v>
      </c>
      <c r="AC197" s="49" t="n">
        <v>1938</v>
      </c>
      <c r="AD197" s="49" t="n">
        <v>2817</v>
      </c>
      <c r="AE197" s="51" t="n">
        <v>-35201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50">
        <f>SUM(AB197:AM197)</f>
        <v/>
      </c>
    </row>
    <row r="198">
      <c r="A198" s="47" t="inlineStr">
        <is>
          <t>onoe</t>
        </is>
      </c>
      <c r="B198" s="48">
        <f>IFERROR(VLOOKUP($A198,Codes!$A:$B,2,FALSE()),"")</f>
        <v/>
      </c>
      <c r="C198" s="5" t="inlineStr">
        <is>
          <t>Sales Tax Payable</t>
        </is>
      </c>
      <c r="D198" s="49" t="n">
        <v>815</v>
      </c>
      <c r="E198" s="49" t="n">
        <v>-384.24</v>
      </c>
      <c r="F198" s="49" t="n">
        <v>-1289.38</v>
      </c>
      <c r="G198" s="49" t="n">
        <v>438.96</v>
      </c>
      <c r="H198" s="49" t="n">
        <v>-132.47</v>
      </c>
      <c r="I198" s="49" t="n">
        <v>-1644.55</v>
      </c>
      <c r="J198" s="49" t="n">
        <v>2523.13</v>
      </c>
      <c r="K198" s="49" t="n">
        <v>-529.47</v>
      </c>
      <c r="L198" s="49" t="n">
        <v>-1049.02</v>
      </c>
      <c r="M198" s="49" t="n">
        <v>1611.12</v>
      </c>
      <c r="N198" s="49" t="n">
        <v>-1025.55</v>
      </c>
      <c r="O198" s="49" t="n">
        <v>-442.7</v>
      </c>
      <c r="P198" s="51" t="n">
        <v>3311.91</v>
      </c>
      <c r="Q198" s="49" t="n">
        <v>-1000.82</v>
      </c>
      <c r="R198" s="49" t="n">
        <v>-59.87</v>
      </c>
      <c r="S198" s="49" t="n">
        <v>1235.43</v>
      </c>
      <c r="T198" s="49" t="n">
        <v>-1541.89</v>
      </c>
      <c r="U198" s="49" t="n">
        <v>99.63</v>
      </c>
      <c r="V198" s="49" t="n">
        <v>8.630000000000001</v>
      </c>
      <c r="W198" s="49" t="n">
        <v>-1334.48</v>
      </c>
      <c r="X198" s="49" t="n">
        <v>29.25</v>
      </c>
      <c r="Y198" s="49" t="n">
        <v>-11.26</v>
      </c>
      <c r="Z198" s="49" t="n">
        <v>-1647.81</v>
      </c>
      <c r="AA198" s="51" t="n">
        <v>4750.47</v>
      </c>
      <c r="AB198" s="51" t="n">
        <v>-30779.83</v>
      </c>
      <c r="AC198" s="49" t="n">
        <v>93.78</v>
      </c>
      <c r="AD198" s="49" t="n">
        <v>-22.73</v>
      </c>
      <c r="AE198" s="49" t="n">
        <v>0</v>
      </c>
      <c r="AF198" s="49" t="n">
        <v>0</v>
      </c>
      <c r="AG198" s="49" t="n">
        <v>516.58</v>
      </c>
      <c r="AH198" s="49" t="n">
        <v>34.01</v>
      </c>
      <c r="AI198" s="49" t="n">
        <v>-550.59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50">
        <f>SUM(AB198:AM198)</f>
        <v/>
      </c>
    </row>
    <row r="199">
      <c r="A199" s="47" t="inlineStr">
        <is>
          <t>onoe</t>
        </is>
      </c>
      <c r="B199" s="48">
        <f>IFERROR(VLOOKUP($A199,Codes!$A:$B,2,FALSE()),"")</f>
        <v/>
      </c>
      <c r="C199" s="5" t="inlineStr">
        <is>
          <t>Interest Payable - 4th Mortgage</t>
        </is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51" t="n">
        <v>-159755.16</v>
      </c>
      <c r="AA199" s="51" t="n">
        <v>703769.29</v>
      </c>
      <c r="AB199" s="49" t="n">
        <v>-11220.28</v>
      </c>
      <c r="AC199" s="51" t="n">
        <v>-66487.19</v>
      </c>
      <c r="AD199" s="49" t="n">
        <v>52270.49</v>
      </c>
      <c r="AE199" s="49" t="n">
        <v>-18224.56</v>
      </c>
      <c r="AF199" s="49" t="n">
        <v>18062.06</v>
      </c>
      <c r="AG199" s="49" t="n">
        <v>-19799.71</v>
      </c>
      <c r="AH199" s="49" t="n">
        <v>17246.91</v>
      </c>
      <c r="AI199" s="49" t="n">
        <v>1764.7</v>
      </c>
      <c r="AJ199" s="49" t="n">
        <v>-15615.74</v>
      </c>
      <c r="AK199" s="49" t="n">
        <v>12901.26</v>
      </c>
      <c r="AL199" s="49" t="n">
        <v>-24922.48</v>
      </c>
      <c r="AM199" s="49" t="n">
        <v>630.27</v>
      </c>
      <c r="AN199" s="50">
        <f>SUM(AB199:AM199)</f>
        <v/>
      </c>
    </row>
    <row r="200">
      <c r="A200" s="47" t="inlineStr">
        <is>
          <t>onoe</t>
        </is>
      </c>
      <c r="B200" s="48">
        <f>IFERROR(VLOOKUP($A200,Codes!$A:$B,2,FALSE()),"")</f>
        <v/>
      </c>
      <c r="C200" s="5" t="inlineStr">
        <is>
          <t>Accrued Interest Expense</t>
        </is>
      </c>
      <c r="D200" s="49" t="n">
        <v>-146.14</v>
      </c>
      <c r="E200" s="49" t="n">
        <v>-25917.14</v>
      </c>
      <c r="F200" s="49" t="n">
        <v>25578.28</v>
      </c>
      <c r="G200" s="49" t="n">
        <v>-8726.65</v>
      </c>
      <c r="H200" s="49" t="n">
        <v>8414.530000000001</v>
      </c>
      <c r="I200" s="49" t="n">
        <v>-8718.73</v>
      </c>
      <c r="J200" s="49" t="n">
        <v>8403.85</v>
      </c>
      <c r="K200" s="49" t="n">
        <v>-151.12</v>
      </c>
      <c r="L200" s="49" t="n">
        <v>-8705.719999999999</v>
      </c>
      <c r="M200" s="49" t="n">
        <v>8116.72</v>
      </c>
      <c r="N200" s="49" t="n">
        <v>-8696.809999999999</v>
      </c>
      <c r="O200" s="49" t="n">
        <v>8645.01</v>
      </c>
      <c r="P200" s="49" t="n">
        <v>-154.68</v>
      </c>
      <c r="Q200" s="49" t="n">
        <v>-17211.67</v>
      </c>
      <c r="R200" s="49" t="n">
        <v>16871.03</v>
      </c>
      <c r="S200" s="49" t="n">
        <v>-8674</v>
      </c>
      <c r="T200" s="49" t="n">
        <v>8344.959999999999</v>
      </c>
      <c r="U200" s="49" t="n">
        <v>-8664.809999999999</v>
      </c>
      <c r="V200" s="49" t="n">
        <v>8332.84</v>
      </c>
      <c r="W200" s="49" t="n">
        <v>-159.85</v>
      </c>
      <c r="X200" s="49" t="n">
        <v>-8651.09</v>
      </c>
      <c r="Y200" s="49" t="n">
        <v>8314.780000000001</v>
      </c>
      <c r="Z200" s="51" t="n">
        <v>-263030.16</v>
      </c>
      <c r="AA200" s="49" t="n">
        <v>0</v>
      </c>
      <c r="AN200" s="50">
        <f>SUM(AB200:AM200)</f>
        <v/>
      </c>
    </row>
    <row r="201">
      <c r="A201" s="47" t="inlineStr">
        <is>
          <t>onoe</t>
        </is>
      </c>
      <c r="B201" s="48">
        <f>IFERROR(VLOOKUP($A201,Codes!$A:$B,2,FALSE()),"")</f>
        <v/>
      </c>
      <c r="C201" s="5" t="inlineStr">
        <is>
          <t>Prepaid Rent</t>
        </is>
      </c>
      <c r="D201" s="49" t="n">
        <v>37355.18</v>
      </c>
      <c r="E201" s="49" t="n">
        <v>-12527.48</v>
      </c>
      <c r="F201" s="49" t="n">
        <v>68135.82000000001</v>
      </c>
      <c r="G201" s="49" t="n">
        <v>-115020.03</v>
      </c>
      <c r="H201" s="49" t="n">
        <v>52911.23</v>
      </c>
      <c r="I201" s="49" t="n">
        <v>14688.34</v>
      </c>
      <c r="J201" s="49" t="n">
        <v>21444.18</v>
      </c>
      <c r="K201" s="49" t="n">
        <v>-26736.92</v>
      </c>
      <c r="L201" s="49" t="n">
        <v>-42668.31</v>
      </c>
      <c r="M201" s="49" t="n">
        <v>7557.33</v>
      </c>
      <c r="N201" s="49" t="n">
        <v>-17248.21</v>
      </c>
      <c r="O201" s="49" t="n">
        <v>-40410.96</v>
      </c>
      <c r="P201" s="49" t="n">
        <v>45222.56</v>
      </c>
      <c r="Q201" s="49" t="n">
        <v>14122.71</v>
      </c>
      <c r="R201" s="49" t="n">
        <v>-63810.37</v>
      </c>
      <c r="S201" s="49" t="n">
        <v>106418.26</v>
      </c>
      <c r="T201" s="49" t="n">
        <v>14477.15</v>
      </c>
      <c r="U201" s="49" t="n">
        <v>-111198.56</v>
      </c>
      <c r="V201" s="49" t="n">
        <v>65115.92</v>
      </c>
      <c r="W201" s="49" t="n">
        <v>-19264.47</v>
      </c>
      <c r="X201" s="49" t="n">
        <v>17880.04</v>
      </c>
      <c r="Y201" s="49" t="n">
        <v>-6888.86</v>
      </c>
      <c r="Z201" s="49" t="n">
        <v>-78805.89</v>
      </c>
      <c r="AA201" s="49" t="n">
        <v>78775</v>
      </c>
      <c r="AB201" s="49" t="n">
        <v>41715.01</v>
      </c>
      <c r="AC201" s="49" t="n">
        <v>-25053.85</v>
      </c>
      <c r="AD201" s="49" t="n">
        <v>23005.61</v>
      </c>
      <c r="AE201" s="49" t="n">
        <v>-60766.04</v>
      </c>
      <c r="AF201" s="49" t="n">
        <v>-17663.59</v>
      </c>
      <c r="AG201" s="49" t="n">
        <v>31419.4</v>
      </c>
      <c r="AH201" s="49" t="n">
        <v>-7018.36</v>
      </c>
      <c r="AI201" s="49" t="n">
        <v>-48239.26</v>
      </c>
      <c r="AJ201" s="49" t="n">
        <v>47095.18</v>
      </c>
      <c r="AK201" s="49" t="n">
        <v>15933.33</v>
      </c>
      <c r="AL201" s="49" t="n">
        <v>-104764.86</v>
      </c>
      <c r="AM201" s="49" t="n">
        <v>95247.62</v>
      </c>
      <c r="AN201" s="50">
        <f>SUM(AB201:AM201)</f>
        <v/>
      </c>
    </row>
    <row r="202">
      <c r="A202" s="47" t="inlineStr">
        <is>
          <t>onoe</t>
        </is>
      </c>
      <c r="B202" s="48">
        <f>IFERROR(VLOOKUP($A202,Codes!$A:$B,2,FALSE()),"")</f>
        <v/>
      </c>
      <c r="C202" s="5" t="inlineStr">
        <is>
          <t>Security Deposits</t>
        </is>
      </c>
      <c r="D202" s="49" t="n">
        <v>10734.5</v>
      </c>
      <c r="E202" s="49" t="n">
        <v>-2061.29</v>
      </c>
      <c r="F202" s="49" t="n">
        <v>-1358.98</v>
      </c>
      <c r="G202" s="49" t="n">
        <v>4340</v>
      </c>
      <c r="H202" s="49" t="n">
        <v>-2504.5</v>
      </c>
      <c r="I202" s="49" t="n">
        <v>-5789.8</v>
      </c>
      <c r="J202" s="49" t="n">
        <v>-4369</v>
      </c>
      <c r="K202" s="49" t="n">
        <v>5903</v>
      </c>
      <c r="L202" s="49" t="n">
        <v>5473</v>
      </c>
      <c r="M202" s="49" t="n">
        <v>-2083</v>
      </c>
      <c r="N202" s="49" t="n">
        <v>3495</v>
      </c>
      <c r="O202" s="49" t="n">
        <v>2768</v>
      </c>
      <c r="P202" s="49" t="n">
        <v>-9585</v>
      </c>
      <c r="Q202" s="49" t="n">
        <v>12196</v>
      </c>
      <c r="R202" s="49" t="n">
        <v>9769</v>
      </c>
      <c r="S202" s="49" t="n">
        <v>-2439</v>
      </c>
      <c r="T202" s="49" t="n">
        <v>-1569</v>
      </c>
      <c r="U202" s="49" t="n">
        <v>1994</v>
      </c>
      <c r="V202" s="49" t="n">
        <v>2251</v>
      </c>
      <c r="W202" s="49" t="n">
        <v>-5857.53</v>
      </c>
      <c r="X202" s="49" t="n">
        <v>-49.47</v>
      </c>
      <c r="Y202" s="49" t="n">
        <v>-5784</v>
      </c>
      <c r="Z202" s="49" t="n">
        <v>10359.5</v>
      </c>
      <c r="AA202" s="49" t="n">
        <v>-1358</v>
      </c>
      <c r="AB202" s="49" t="n">
        <v>-2755</v>
      </c>
      <c r="AC202" s="49" t="n">
        <v>-3728</v>
      </c>
      <c r="AD202" s="49" t="n">
        <v>1468</v>
      </c>
      <c r="AE202" s="49" t="n">
        <v>2608</v>
      </c>
      <c r="AF202" s="49" t="n">
        <v>-3020.5</v>
      </c>
      <c r="AG202" s="49" t="n">
        <v>828</v>
      </c>
      <c r="AH202" s="49" t="n">
        <v>-3167</v>
      </c>
      <c r="AI202" s="49" t="n">
        <v>-6515</v>
      </c>
      <c r="AJ202" s="49" t="n">
        <v>-8793</v>
      </c>
      <c r="AK202" s="49" t="n">
        <v>3510</v>
      </c>
      <c r="AL202" s="49" t="n">
        <v>-2414</v>
      </c>
      <c r="AM202" s="51" t="n">
        <v>12607</v>
      </c>
      <c r="AN202" s="50">
        <f>SUM(AB202:AM202)</f>
        <v/>
      </c>
    </row>
    <row r="203">
      <c r="A203" s="47" t="inlineStr">
        <is>
          <t>onoe</t>
        </is>
      </c>
      <c r="B203" s="48">
        <f>IFERROR(VLOOKUP($A203,Codes!$A:$B,2,FALSE()),"")</f>
        <v/>
      </c>
      <c r="C203" s="5" t="inlineStr">
        <is>
          <t>Security Deposits - Clearing</t>
        </is>
      </c>
      <c r="P203" s="49" t="n">
        <v>0</v>
      </c>
      <c r="Q203" s="49" t="n">
        <v>0</v>
      </c>
      <c r="R203" s="49" t="n">
        <v>0</v>
      </c>
      <c r="S203" s="49" t="n">
        <v>-257.25</v>
      </c>
      <c r="T203" s="49" t="n">
        <v>257.25</v>
      </c>
      <c r="U203" s="49" t="n">
        <v>0</v>
      </c>
      <c r="V203" s="49" t="n">
        <v>697.99</v>
      </c>
      <c r="W203" s="49" t="n">
        <v>-697.99</v>
      </c>
      <c r="X203" s="49" t="n">
        <v>0</v>
      </c>
      <c r="Y203" s="49" t="n">
        <v>0</v>
      </c>
      <c r="Z203" s="49" t="n">
        <v>0</v>
      </c>
      <c r="AA203" s="49" t="n">
        <v>0</v>
      </c>
      <c r="AN203" s="50">
        <f>SUM(AB203:AM203)</f>
        <v/>
      </c>
    </row>
    <row r="204">
      <c r="A204" s="47" t="inlineStr">
        <is>
          <t>onoe</t>
        </is>
      </c>
      <c r="B204" s="48">
        <f>IFERROR(VLOOKUP($A204,Codes!$A:$B,2,FALSE()),"")</f>
        <v/>
      </c>
      <c r="C204" s="5" t="inlineStr">
        <is>
          <t>Unclaimed Property Payable</t>
        </is>
      </c>
      <c r="D204" s="49" t="n">
        <v>0</v>
      </c>
      <c r="E204" s="49" t="n">
        <v>20.88</v>
      </c>
      <c r="F204" s="49" t="n">
        <v>568.88</v>
      </c>
      <c r="G204" s="49" t="n">
        <v>-20.88</v>
      </c>
      <c r="H204" s="49" t="n">
        <v>0</v>
      </c>
      <c r="I204" s="49" t="n">
        <v>0</v>
      </c>
      <c r="J204" s="49" t="n">
        <v>0</v>
      </c>
      <c r="K204" s="49" t="n">
        <v>0</v>
      </c>
      <c r="L204" s="49" t="n">
        <v>0</v>
      </c>
      <c r="M204" s="49" t="n">
        <v>476.51</v>
      </c>
      <c r="N204" s="49" t="n">
        <v>858.5599999999999</v>
      </c>
      <c r="O204" s="49" t="n">
        <v>1545.97</v>
      </c>
      <c r="P204" s="49" t="n">
        <v>869.73</v>
      </c>
      <c r="Q204" s="49" t="n">
        <v>0</v>
      </c>
      <c r="R204" s="49" t="n">
        <v>-90.18000000000001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-256.25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200</v>
      </c>
      <c r="AJ204" s="49" t="n">
        <v>0</v>
      </c>
      <c r="AK204" s="51" t="n">
        <v>-5036.1</v>
      </c>
      <c r="AL204" s="49" t="n">
        <v>0</v>
      </c>
      <c r="AM204" s="49" t="n">
        <v>0</v>
      </c>
      <c r="AN204" s="50">
        <f>SUM(AB204:AM204)</f>
        <v/>
      </c>
    </row>
    <row r="205">
      <c r="A205" s="47" t="inlineStr">
        <is>
          <t>onoe</t>
        </is>
      </c>
      <c r="B205" s="48">
        <f>IFERROR(VLOOKUP($A205,Codes!$A:$B,2,FALSE()),"")</f>
        <v/>
      </c>
      <c r="C205" s="5" t="inlineStr">
        <is>
          <t>1st Mortgage Payable</t>
        </is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-46289000</v>
      </c>
      <c r="AA205" s="49" t="n">
        <v>0</v>
      </c>
      <c r="AN205" s="50">
        <f>SUM(AB205:AM205)</f>
        <v/>
      </c>
    </row>
    <row r="206">
      <c r="A206" s="47" t="inlineStr">
        <is>
          <t>onoe</t>
        </is>
      </c>
      <c r="B206" s="48">
        <f>IFERROR(VLOOKUP($A206,Codes!$A:$B,2,FALSE()),"")</f>
        <v/>
      </c>
      <c r="C206" s="5" t="inlineStr">
        <is>
          <t>2nd Mortgage Payable</t>
        </is>
      </c>
      <c r="D206" s="49" t="n">
        <v>-18660.48</v>
      </c>
      <c r="E206" s="49" t="n">
        <v>-18738.51</v>
      </c>
      <c r="F206" s="49" t="n">
        <v>-23202.69</v>
      </c>
      <c r="G206" s="49" t="n">
        <v>-18913.88</v>
      </c>
      <c r="H206" s="49" t="n">
        <v>-20449.24</v>
      </c>
      <c r="I206" s="49" t="n">
        <v>-19078.48</v>
      </c>
      <c r="J206" s="49" t="n">
        <v>-20609.19</v>
      </c>
      <c r="K206" s="49" t="n">
        <v>-19244.44</v>
      </c>
      <c r="L206" s="49" t="n">
        <v>-19324.91</v>
      </c>
      <c r="M206" s="49" t="n">
        <v>-20848.66</v>
      </c>
      <c r="N206" s="49" t="n">
        <v>-19492.89</v>
      </c>
      <c r="O206" s="49" t="n">
        <v>-21011.9</v>
      </c>
      <c r="P206" s="49" t="n">
        <v>-19662.25</v>
      </c>
      <c r="Q206" s="49" t="n">
        <v>-19744.47</v>
      </c>
      <c r="R206" s="49" t="n">
        <v>-22685.75</v>
      </c>
      <c r="S206" s="49" t="n">
        <v>-19921.9</v>
      </c>
      <c r="T206" s="49" t="n">
        <v>-21428.81</v>
      </c>
      <c r="U206" s="49" t="n">
        <v>-20094.8</v>
      </c>
      <c r="V206" s="49" t="n">
        <v>-21596.83</v>
      </c>
      <c r="W206" s="49" t="n">
        <v>-20308.89</v>
      </c>
      <c r="X206" s="49" t="n">
        <v>-20314.14</v>
      </c>
      <c r="Y206" s="49" t="n">
        <v>-21848.61</v>
      </c>
      <c r="Z206" s="51" t="n">
        <v>-10428512.47</v>
      </c>
      <c r="AA206" s="49" t="n">
        <v>0</v>
      </c>
      <c r="AN206" s="50">
        <f>SUM(AB206:AM206)</f>
        <v/>
      </c>
    </row>
    <row r="207">
      <c r="A207" s="47" t="inlineStr">
        <is>
          <t>onoe</t>
        </is>
      </c>
      <c r="B207" s="48">
        <f>IFERROR(VLOOKUP($A207,Codes!$A:$B,2,FALSE()),"")</f>
        <v/>
      </c>
      <c r="C207" s="5" t="inlineStr">
        <is>
          <t>3rd Mortgage Payable</t>
        </is>
      </c>
      <c r="D207" s="49" t="n">
        <v>-14123.39</v>
      </c>
      <c r="E207" s="49" t="n">
        <v>-14191.5</v>
      </c>
      <c r="F207" s="49" t="n">
        <v>-19713.33</v>
      </c>
      <c r="G207" s="49" t="n">
        <v>-14354.99</v>
      </c>
      <c r="H207" s="49" t="n">
        <v>-16236.72</v>
      </c>
      <c r="I207" s="49" t="n">
        <v>-14502.51</v>
      </c>
      <c r="J207" s="49" t="n">
        <v>-16380.16</v>
      </c>
      <c r="K207" s="49" t="n">
        <v>-14651.43</v>
      </c>
      <c r="L207" s="49" t="n">
        <v>-14722.08</v>
      </c>
      <c r="M207" s="49" t="n">
        <v>-16593.68</v>
      </c>
      <c r="N207" s="49" t="n">
        <v>-14873.1</v>
      </c>
      <c r="O207" s="49" t="n">
        <v>-16740.53</v>
      </c>
      <c r="P207" s="49" t="n">
        <v>-15025.54</v>
      </c>
      <c r="Q207" s="49" t="n">
        <v>-15098</v>
      </c>
      <c r="R207" s="49" t="n">
        <v>-18747.64</v>
      </c>
      <c r="S207" s="49" t="n">
        <v>-15261.21</v>
      </c>
      <c r="T207" s="49" t="n">
        <v>-17117.93</v>
      </c>
      <c r="U207" s="49" t="n">
        <v>-15417.35</v>
      </c>
      <c r="V207" s="49" t="n">
        <v>-17269.76</v>
      </c>
      <c r="W207" s="49" t="n">
        <v>-15574.98</v>
      </c>
      <c r="X207" s="49" t="n">
        <v>-15650.08</v>
      </c>
      <c r="Y207" s="49" t="n">
        <v>-17496.08</v>
      </c>
      <c r="Z207" s="51" t="n">
        <v>-11364428.29</v>
      </c>
      <c r="AA207" s="49" t="n">
        <v>0</v>
      </c>
      <c r="AN207" s="50">
        <f>SUM(AB207:AM207)</f>
        <v/>
      </c>
    </row>
    <row r="208">
      <c r="A208" s="47" t="inlineStr">
        <is>
          <t>onoe</t>
        </is>
      </c>
      <c r="B208" s="48">
        <f>IFERROR(VLOOKUP($A208,Codes!$A:$B,2,FALSE()),"")</f>
        <v/>
      </c>
      <c r="C208" s="5" t="inlineStr">
        <is>
          <t>Loan Payable</t>
        </is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94352000</v>
      </c>
      <c r="AA208" s="49" t="n">
        <v>0</v>
      </c>
      <c r="AN208" s="50">
        <f>SUM(AB208:AM208)</f>
        <v/>
      </c>
    </row>
    <row r="209">
      <c r="A209" s="47" t="inlineStr">
        <is>
          <t>icd</t>
        </is>
      </c>
      <c r="B209" s="48">
        <f>IFERROR(VLOOKUP($A209,Codes!$A:$B,2,FALSE()),"")</f>
        <v/>
      </c>
      <c r="C209" s="5" t="inlineStr">
        <is>
          <t>Contributions</t>
        </is>
      </c>
      <c r="D209" s="49" t="n">
        <v>0</v>
      </c>
      <c r="E209" s="49" t="n">
        <v>0</v>
      </c>
      <c r="F209" s="49" t="n">
        <v>0</v>
      </c>
      <c r="G209" s="49" t="n">
        <v>0</v>
      </c>
      <c r="H209" s="49" t="n">
        <v>0</v>
      </c>
      <c r="I209" s="49" t="n">
        <v>352041</v>
      </c>
      <c r="J209" s="49" t="n">
        <v>0</v>
      </c>
      <c r="K209" s="49" t="n">
        <v>0</v>
      </c>
      <c r="L209" s="49" t="n">
        <v>267848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121208</v>
      </c>
      <c r="AA209" s="49" t="n">
        <v>0</v>
      </c>
      <c r="AN209" s="50">
        <f>SUM(AB209:AM209)</f>
        <v/>
      </c>
    </row>
    <row r="210">
      <c r="A210" s="47" t="inlineStr">
        <is>
          <t>icd</t>
        </is>
      </c>
      <c r="B210" s="48">
        <f>IFERROR(VLOOKUP($A210,Codes!$A:$B,2,FALSE()),"")</f>
        <v/>
      </c>
      <c r="C210" s="5" t="inlineStr">
        <is>
          <t>Distributions</t>
        </is>
      </c>
      <c r="D210" s="49" t="n">
        <v>0</v>
      </c>
      <c r="E210" s="49" t="n">
        <v>0</v>
      </c>
      <c r="F210" s="49" t="n">
        <v>-1414000</v>
      </c>
      <c r="G210" s="49" t="n">
        <v>0</v>
      </c>
      <c r="H210" s="49" t="n">
        <v>-161096.57</v>
      </c>
      <c r="I210" s="49" t="n">
        <v>-721593.09</v>
      </c>
      <c r="J210" s="49" t="n">
        <v>0</v>
      </c>
      <c r="K210" s="49" t="n">
        <v>0</v>
      </c>
      <c r="L210" s="49" t="n">
        <v>-1435000</v>
      </c>
      <c r="M210" s="49" t="n">
        <v>0</v>
      </c>
      <c r="N210" s="49" t="n">
        <v>0</v>
      </c>
      <c r="O210" s="49" t="n">
        <v>-1068000</v>
      </c>
      <c r="P210" s="49" t="n">
        <v>0</v>
      </c>
      <c r="Q210" s="49" t="n">
        <v>0</v>
      </c>
      <c r="R210" s="49" t="n">
        <v>-1425000</v>
      </c>
      <c r="S210" s="49" t="n">
        <v>0</v>
      </c>
      <c r="T210" s="49" t="n">
        <v>0</v>
      </c>
      <c r="U210" s="49" t="n">
        <v>-689000</v>
      </c>
      <c r="V210" s="49" t="n">
        <v>0</v>
      </c>
      <c r="W210" s="49" t="n">
        <v>0</v>
      </c>
      <c r="X210" s="49" t="n">
        <v>-1219000</v>
      </c>
      <c r="Y210" s="49" t="n">
        <v>0</v>
      </c>
      <c r="Z210" s="51" t="n">
        <v>-24972541.11</v>
      </c>
      <c r="AA210" s="49" t="n">
        <v>-839576.36</v>
      </c>
      <c r="AB210" s="49" t="n">
        <v>0</v>
      </c>
      <c r="AC210" s="49" t="n">
        <v>0</v>
      </c>
      <c r="AD210" s="49" t="n">
        <v>-704000</v>
      </c>
      <c r="AE210" s="49" t="n">
        <v>0</v>
      </c>
      <c r="AF210" s="49" t="n">
        <v>0</v>
      </c>
      <c r="AG210" s="49" t="n">
        <v>-349000</v>
      </c>
      <c r="AH210" s="49" t="n">
        <v>0</v>
      </c>
      <c r="AI210" s="49" t="n">
        <v>0</v>
      </c>
      <c r="AJ210" s="49" t="n">
        <v>-586000</v>
      </c>
      <c r="AK210" s="49" t="n">
        <v>0</v>
      </c>
      <c r="AL210" s="49" t="n">
        <v>0</v>
      </c>
      <c r="AM210" s="49" t="n">
        <v>-99000</v>
      </c>
      <c r="AN210" s="50">
        <f>SUM(AB210:AM210)</f>
        <v/>
      </c>
    </row>
    <row r="211">
      <c r="A211" s="47" t="inlineStr">
        <is>
          <t>onoe</t>
        </is>
      </c>
      <c r="B211" s="48">
        <f>IFERROR(VLOOKUP($A211,Codes!$A:$B,2,FALSE()),"")</f>
        <v/>
      </c>
      <c r="C211" s="5" t="inlineStr">
        <is>
          <t>Construction Management Fees</t>
        </is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840</v>
      </c>
      <c r="AK211" s="49" t="n">
        <v>0</v>
      </c>
      <c r="AL211" s="49" t="n">
        <v>0</v>
      </c>
      <c r="AM211" s="49" t="n">
        <v>924.49</v>
      </c>
      <c r="AN211" s="50">
        <f>SUM(AB211:AM211)</f>
        <v/>
      </c>
    </row>
    <row r="212">
      <c r="A212" s="47" t="inlineStr">
        <is>
          <t>onoe</t>
        </is>
      </c>
      <c r="B212" s="48">
        <f>IFERROR(VLOOKUP($A212,Codes!$A:$B,2,FALSE()),"")</f>
        <v/>
      </c>
      <c r="C212" s="5" t="inlineStr">
        <is>
          <t>Prior Year Expenses</t>
        </is>
      </c>
      <c r="D212" s="49" t="n">
        <v>0</v>
      </c>
      <c r="E212" s="49" t="n">
        <v>0</v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n">
        <v>0</v>
      </c>
      <c r="K212" s="49" t="n">
        <v>0</v>
      </c>
      <c r="L212" s="51" t="n">
        <v>10594.63</v>
      </c>
      <c r="M212" s="49" t="n">
        <v>0</v>
      </c>
      <c r="N212" s="49" t="n">
        <v>0</v>
      </c>
      <c r="O212" s="49" t="n">
        <v>0</v>
      </c>
      <c r="AB212" s="49" t="n">
        <v>41.94</v>
      </c>
      <c r="AC212" s="51" t="n">
        <v>7342.86</v>
      </c>
      <c r="AD212" s="49" t="n">
        <v>912.49</v>
      </c>
      <c r="AE212" s="49" t="n">
        <v>-400.87</v>
      </c>
      <c r="AF212" s="49" t="n">
        <v>-202.9</v>
      </c>
      <c r="AG212" s="49" t="n">
        <v>638.87</v>
      </c>
      <c r="AH212" s="49" t="n">
        <v>0</v>
      </c>
      <c r="AI212" s="49" t="n">
        <v>-550.59</v>
      </c>
      <c r="AJ212" s="49" t="n">
        <v>-209.69</v>
      </c>
      <c r="AK212" s="49" t="n">
        <v>-5.44</v>
      </c>
      <c r="AL212" s="49" t="n">
        <v>-111.84</v>
      </c>
      <c r="AM212" s="49" t="n">
        <v>0</v>
      </c>
      <c r="AN212" s="50">
        <f>SUM(AB212:AM212)</f>
        <v/>
      </c>
    </row>
    <row r="213">
      <c r="A213" s="47" t="inlineStr">
        <is>
          <t>onoe</t>
        </is>
      </c>
      <c r="B213" s="48">
        <f>IFERROR(VLOOKUP($A213,Codes!$A:$B,2,FALSE()),"")</f>
        <v/>
      </c>
      <c r="C213" s="5" t="inlineStr">
        <is>
          <t>Utility Deposits</t>
        </is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2465</v>
      </c>
      <c r="AK213" s="49" t="n">
        <v>0</v>
      </c>
      <c r="AL213" s="49" t="n">
        <v>0</v>
      </c>
      <c r="AM213" s="49" t="n">
        <v>0</v>
      </c>
      <c r="AN213" s="50">
        <f>SUM(AB213:AM213)</f>
        <v/>
      </c>
    </row>
    <row r="214">
      <c r="A214" s="47" t="inlineStr">
        <is>
          <t>onoe</t>
        </is>
      </c>
      <c r="B214" s="48">
        <f>IFERROR(VLOOKUP($A214,Codes!$A:$B,2,FALSE()),"")</f>
        <v/>
      </c>
      <c r="C214" s="5" t="inlineStr">
        <is>
          <t>Water / Sewer Deposits</t>
        </is>
      </c>
      <c r="AB214" s="49" t="n">
        <v>0</v>
      </c>
      <c r="AC214" s="49" t="n">
        <v>1440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50">
        <f>SUM(AB214:AM214)</f>
        <v/>
      </c>
    </row>
    <row r="215">
      <c r="A215" s="47" t="inlineStr">
        <is>
          <t>onoe</t>
        </is>
      </c>
      <c r="B215" s="48">
        <f>IFERROR(VLOOKUP($A215,Codes!$A:$B,2,FALSE()),"")</f>
        <v/>
      </c>
      <c r="C215" s="5" t="inlineStr">
        <is>
          <t>Replacement / Rehab Escrow 2nd</t>
        </is>
      </c>
      <c r="AB215" s="49" t="n">
        <v>-2916.67</v>
      </c>
      <c r="AC215" s="49" t="n">
        <v>-2916.67</v>
      </c>
      <c r="AD215" s="49" t="n">
        <v>-2916.67</v>
      </c>
      <c r="AE215" s="49" t="n">
        <v>-2916.67</v>
      </c>
      <c r="AF215" s="49" t="n">
        <v>-2916.67</v>
      </c>
      <c r="AG215" s="49" t="n">
        <v>-2916.67</v>
      </c>
      <c r="AH215" s="49" t="n">
        <v>-838.37</v>
      </c>
      <c r="AI215" s="49" t="n">
        <v>-838.37</v>
      </c>
      <c r="AJ215" s="49" t="n">
        <v>-838.37</v>
      </c>
      <c r="AK215" s="49" t="n">
        <v>-838.37</v>
      </c>
      <c r="AL215" s="49" t="n">
        <v>-838.37</v>
      </c>
      <c r="AM215" s="49" t="n">
        <v>-838.37</v>
      </c>
      <c r="AN215" s="50">
        <f>SUM(AB215:AM215)</f>
        <v/>
      </c>
    </row>
    <row r="216">
      <c r="A216" s="47" t="inlineStr">
        <is>
          <t>capx</t>
        </is>
      </c>
      <c r="B216" s="48">
        <f>IFERROR(VLOOKUP($A216,Codes!$A:$B,2,FALSE()),"")</f>
        <v/>
      </c>
      <c r="C216" s="5" t="inlineStr">
        <is>
          <t>Maj. Repairs - Pool</t>
        </is>
      </c>
      <c r="D216" s="49" t="n">
        <v>0</v>
      </c>
      <c r="E216" s="49" t="n">
        <v>0</v>
      </c>
      <c r="F216" s="49" t="n">
        <v>0</v>
      </c>
      <c r="G216" s="49" t="n">
        <v>0</v>
      </c>
      <c r="H216" s="49" t="n">
        <v>0</v>
      </c>
      <c r="I216" s="49" t="n">
        <v>-1984.3</v>
      </c>
      <c r="J216" s="49" t="n">
        <v>0</v>
      </c>
      <c r="K216" s="49" t="n">
        <v>0</v>
      </c>
      <c r="L216" s="49" t="n">
        <v>0</v>
      </c>
      <c r="M216" s="49" t="n">
        <v>0</v>
      </c>
      <c r="N216" s="49" t="n">
        <v>-2920.73</v>
      </c>
      <c r="O216" s="49" t="n">
        <v>-466.8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-4269.64</v>
      </c>
      <c r="AK216" s="51" t="n">
        <v>-23964.02</v>
      </c>
      <c r="AL216" s="49" t="n">
        <v>84.65000000000001</v>
      </c>
      <c r="AM216" s="49" t="n">
        <v>0</v>
      </c>
      <c r="AN216" s="50">
        <f>SUM(AB216:AM216)</f>
        <v/>
      </c>
    </row>
    <row r="217">
      <c r="A217" s="47" t="inlineStr">
        <is>
          <t>capx</t>
        </is>
      </c>
      <c r="B217" s="48">
        <f>IFERROR(VLOOKUP($A217,Codes!$A:$B,2,FALSE()),"")</f>
        <v/>
      </c>
      <c r="C217" s="5" t="inlineStr">
        <is>
          <t>Maj. Repairs - Parking Lot</t>
        </is>
      </c>
      <c r="AB217" s="49" t="n">
        <v>0</v>
      </c>
      <c r="AC217" s="49" t="n">
        <v>0</v>
      </c>
      <c r="AD217" s="49" t="n">
        <v>-4350</v>
      </c>
      <c r="AE217" s="49" t="n">
        <v>-4341.21</v>
      </c>
      <c r="AF217" s="49" t="n">
        <v>0</v>
      </c>
      <c r="AG217" s="49" t="n">
        <v>0</v>
      </c>
      <c r="AH217" s="49" t="n">
        <v>0</v>
      </c>
      <c r="AI217" s="49" t="n">
        <v>-12000</v>
      </c>
      <c r="AJ217" s="49" t="n">
        <v>-55.06</v>
      </c>
      <c r="AK217" s="49" t="n">
        <v>-2848.32</v>
      </c>
      <c r="AL217" s="49" t="n">
        <v>-14827.94</v>
      </c>
      <c r="AM217" s="49" t="n">
        <v>0</v>
      </c>
      <c r="AN217" s="50">
        <f>SUM(AB217:AM217)</f>
        <v/>
      </c>
    </row>
    <row r="218">
      <c r="A218" s="47" t="inlineStr">
        <is>
          <t>capx</t>
        </is>
      </c>
      <c r="B218" s="48">
        <f>IFERROR(VLOOKUP($A218,Codes!$A:$B,2,FALSE()),"")</f>
        <v/>
      </c>
      <c r="C218" s="5" t="inlineStr">
        <is>
          <t>Computer Software</t>
        </is>
      </c>
      <c r="D218" s="49" t="n">
        <v>0</v>
      </c>
      <c r="E218" s="49" t="n">
        <v>0</v>
      </c>
      <c r="F218" s="49" t="n">
        <v>0</v>
      </c>
      <c r="G218" s="49" t="n">
        <v>0</v>
      </c>
      <c r="H218" s="49" t="n">
        <v>0</v>
      </c>
      <c r="I218" s="49" t="n">
        <v>0</v>
      </c>
      <c r="J218" s="49" t="n">
        <v>0</v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-8577.6</v>
      </c>
      <c r="AB218" s="49" t="n">
        <v>-2000</v>
      </c>
      <c r="AC218" s="49" t="n">
        <v>-4760</v>
      </c>
      <c r="AD218" s="49" t="n">
        <v>6760</v>
      </c>
      <c r="AE218" s="49" t="n">
        <v>0</v>
      </c>
      <c r="AF218" s="49" t="n">
        <v>0</v>
      </c>
      <c r="AG218" s="49" t="n">
        <v>-5020.96</v>
      </c>
      <c r="AH218" s="49" t="n">
        <v>-1971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50">
        <f>SUM(AB218:AM218)</f>
        <v/>
      </c>
    </row>
    <row r="219">
      <c r="A219" s="47" t="inlineStr">
        <is>
          <t>capx</t>
        </is>
      </c>
      <c r="B219" s="48">
        <f>IFERROR(VLOOKUP($A219,Codes!$A:$B,2,FALSE()),"")</f>
        <v/>
      </c>
      <c r="C219" s="5" t="inlineStr">
        <is>
          <t>Mini Blinds / Drapes</t>
        </is>
      </c>
      <c r="D219" s="49" t="n">
        <v>-430.4</v>
      </c>
      <c r="E219" s="49" t="n">
        <v>0</v>
      </c>
      <c r="F219" s="49" t="n">
        <v>0</v>
      </c>
      <c r="G219" s="49" t="n">
        <v>0</v>
      </c>
      <c r="H219" s="49" t="n">
        <v>0</v>
      </c>
      <c r="I219" s="49" t="n">
        <v>0</v>
      </c>
      <c r="J219" s="49" t="n">
        <v>0</v>
      </c>
      <c r="K219" s="49" t="n">
        <v>0</v>
      </c>
      <c r="L219" s="49" t="n">
        <v>-689.63</v>
      </c>
      <c r="M219" s="49" t="n">
        <v>-93.54000000000001</v>
      </c>
      <c r="N219" s="49" t="n">
        <v>0</v>
      </c>
      <c r="O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51" t="n">
        <v>-2745.62</v>
      </c>
      <c r="AK219" s="51" t="n">
        <v>-3351.96</v>
      </c>
      <c r="AL219" s="49" t="n">
        <v>-212.2</v>
      </c>
      <c r="AM219" s="49" t="n">
        <v>-212.21</v>
      </c>
      <c r="AN219" s="50">
        <f>SUM(AB219:AM219)</f>
        <v/>
      </c>
    </row>
    <row r="220">
      <c r="A220" s="47" t="inlineStr">
        <is>
          <t>capx</t>
        </is>
      </c>
      <c r="B220" s="48">
        <f>IFERROR(VLOOKUP($A220,Codes!$A:$B,2,FALSE()),"")</f>
        <v/>
      </c>
      <c r="C220" s="5" t="inlineStr">
        <is>
          <t>Plumbing - Major</t>
        </is>
      </c>
      <c r="D220" s="49" t="n">
        <v>0</v>
      </c>
      <c r="E220" s="49" t="n">
        <v>0</v>
      </c>
      <c r="F220" s="49" t="n">
        <v>0</v>
      </c>
      <c r="G220" s="49" t="n">
        <v>0</v>
      </c>
      <c r="H220" s="49" t="n">
        <v>0</v>
      </c>
      <c r="I220" s="49" t="n">
        <v>0</v>
      </c>
      <c r="J220" s="49" t="n">
        <v>0</v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-231.44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-4275</v>
      </c>
      <c r="AH220" s="49" t="n">
        <v>0</v>
      </c>
      <c r="AI220" s="49" t="n">
        <v>0</v>
      </c>
      <c r="AJ220" s="49" t="n">
        <v>0</v>
      </c>
      <c r="AK220" s="49" t="n">
        <v>4275</v>
      </c>
      <c r="AL220" s="49" t="n">
        <v>0</v>
      </c>
      <c r="AM220" s="49" t="n">
        <v>0</v>
      </c>
      <c r="AN220" s="50">
        <f>SUM(AB220:AM220)</f>
        <v/>
      </c>
    </row>
    <row r="221">
      <c r="A221" s="47" t="inlineStr">
        <is>
          <t>onoe</t>
        </is>
      </c>
      <c r="B221" s="48">
        <f>IFERROR(VLOOKUP($A221,Codes!$A:$B,2,FALSE()),"")</f>
        <v/>
      </c>
      <c r="C221" s="5" t="inlineStr">
        <is>
          <t>Income Strategy-Smart Home</t>
        </is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-448841.68</v>
      </c>
      <c r="AM221" s="49" t="n">
        <v>0</v>
      </c>
      <c r="AN221" s="50">
        <f>SUM(AB221:AM221)</f>
        <v/>
      </c>
    </row>
    <row r="222">
      <c r="A222" s="47" t="inlineStr">
        <is>
          <t>onoe</t>
        </is>
      </c>
      <c r="B222" s="48">
        <f>IFERROR(VLOOKUP($A222,Codes!$A:$B,2,FALSE()),"")</f>
        <v/>
      </c>
      <c r="C222" s="5" t="inlineStr">
        <is>
          <t>Access Gates</t>
        </is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-10336.54</v>
      </c>
      <c r="AL222" s="49" t="n">
        <v>0</v>
      </c>
      <c r="AM222" s="49" t="n">
        <v>0</v>
      </c>
      <c r="AN222" s="50">
        <f>SUM(AB222:AM222)</f>
        <v/>
      </c>
    </row>
    <row r="223">
      <c r="A223" s="47" t="inlineStr">
        <is>
          <t>capx</t>
        </is>
      </c>
      <c r="B223" s="48">
        <f>IFERROR(VLOOKUP($A223,Codes!$A:$B,2,FALSE()),"")</f>
        <v/>
      </c>
      <c r="C223" s="5" t="inlineStr">
        <is>
          <t>Appliances - Refrigerators</t>
        </is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-2214.25</v>
      </c>
      <c r="AK223" s="51" t="n">
        <v>-13031.11</v>
      </c>
      <c r="AL223" s="49" t="n">
        <v>-1396.25</v>
      </c>
      <c r="AM223" s="49" t="n">
        <v>-1910.74</v>
      </c>
      <c r="AN223" s="50">
        <f>SUM(AB223:AM223)</f>
        <v/>
      </c>
    </row>
    <row r="224">
      <c r="A224" s="47" t="inlineStr">
        <is>
          <t>capx</t>
        </is>
      </c>
      <c r="B224" s="48">
        <f>IFERROR(VLOOKUP($A224,Codes!$A:$B,2,FALSE()),"")</f>
        <v/>
      </c>
      <c r="C224" s="5" t="inlineStr">
        <is>
          <t>Appliances - Stoves / Microwaves</t>
        </is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-639.14</v>
      </c>
      <c r="AK224" s="49" t="n">
        <v>-17449.18</v>
      </c>
      <c r="AL224" s="49" t="n">
        <v>-1861.2</v>
      </c>
      <c r="AM224" s="49" t="n">
        <v>0</v>
      </c>
      <c r="AN224" s="50">
        <f>SUM(AB224:AM224)</f>
        <v/>
      </c>
    </row>
    <row r="225">
      <c r="A225" s="47" t="inlineStr">
        <is>
          <t>capx</t>
        </is>
      </c>
      <c r="B225" s="48">
        <f>IFERROR(VLOOKUP($A225,Codes!$A:$B,2,FALSE()),"")</f>
        <v/>
      </c>
      <c r="C225" s="5" t="inlineStr">
        <is>
          <t>Appliances - Microwaves</t>
        </is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-12713.08</v>
      </c>
      <c r="AL225" s="49" t="n">
        <v>406.48</v>
      </c>
      <c r="AM225" s="49" t="n">
        <v>-2127.96</v>
      </c>
      <c r="AN225" s="50">
        <f>SUM(AB225:AM225)</f>
        <v/>
      </c>
    </row>
    <row r="226">
      <c r="A226" s="47" t="inlineStr">
        <is>
          <t>capx</t>
        </is>
      </c>
      <c r="B226" s="48">
        <f>IFERROR(VLOOKUP($A226,Codes!$A:$B,2,FALSE()),"")</f>
        <v/>
      </c>
      <c r="C226" s="5" t="inlineStr">
        <is>
          <t>Appliances - Dishwashers</t>
        </is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-435.2</v>
      </c>
      <c r="AK226" s="49" t="n">
        <v>-10364.02</v>
      </c>
      <c r="AL226" s="49" t="n">
        <v>-2711.4</v>
      </c>
      <c r="AM226" s="49" t="n">
        <v>0</v>
      </c>
      <c r="AN226" s="50">
        <f>SUM(AB226:AM226)</f>
        <v/>
      </c>
    </row>
    <row r="227">
      <c r="A227" s="47" t="inlineStr">
        <is>
          <t>capx</t>
        </is>
      </c>
      <c r="B227" s="48">
        <f>IFERROR(VLOOKUP($A227,Codes!$A:$B,2,FALSE()),"")</f>
        <v/>
      </c>
      <c r="C227" s="5" t="inlineStr">
        <is>
          <t>Appliances - Washers / Dryers</t>
        </is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-2192.32</v>
      </c>
      <c r="AK227" s="51" t="n">
        <v>-22371.95</v>
      </c>
      <c r="AL227" s="49" t="n">
        <v>-1096.31</v>
      </c>
      <c r="AM227" s="49" t="n">
        <v>-2884.22</v>
      </c>
      <c r="AN227" s="50">
        <f>SUM(AB227:AM227)</f>
        <v/>
      </c>
    </row>
    <row r="228">
      <c r="A228" s="47" t="inlineStr">
        <is>
          <t>onoe</t>
        </is>
      </c>
      <c r="B228" s="48">
        <f>IFERROR(VLOOKUP($A228,Codes!$A:$B,2,FALSE()),"")</f>
        <v/>
      </c>
      <c r="C228" s="5" t="inlineStr">
        <is>
          <t>Kitchen/Bath Fixtures</t>
        </is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-1302.12</v>
      </c>
      <c r="AK228" s="51" t="n">
        <v>-15074.03</v>
      </c>
      <c r="AL228" s="49" t="n">
        <v>-1874.77</v>
      </c>
      <c r="AM228" s="49" t="n">
        <v>-1598.19</v>
      </c>
      <c r="AN228" s="50">
        <f>SUM(AB228:AM228)</f>
        <v/>
      </c>
    </row>
    <row r="229">
      <c r="A229" s="47" t="inlineStr">
        <is>
          <t>capx</t>
        </is>
      </c>
      <c r="B229" s="48">
        <f>IFERROR(VLOOKUP($A229,Codes!$A:$B,2,FALSE()),"")</f>
        <v/>
      </c>
      <c r="C229" s="5" t="inlineStr">
        <is>
          <t>Building - Exterior</t>
        </is>
      </c>
      <c r="D229" s="49" t="n">
        <v>-82.81999999999999</v>
      </c>
      <c r="E229" s="49" t="n">
        <v>0</v>
      </c>
      <c r="F229" s="49" t="n">
        <v>0</v>
      </c>
      <c r="G229" s="49" t="n">
        <v>0</v>
      </c>
      <c r="H229" s="49" t="n">
        <v>0</v>
      </c>
      <c r="I229" s="49" t="n">
        <v>0</v>
      </c>
      <c r="J229" s="49" t="n">
        <v>0</v>
      </c>
      <c r="K229" s="49" t="n">
        <v>-4152.59</v>
      </c>
      <c r="L229" s="49" t="n">
        <v>0</v>
      </c>
      <c r="M229" s="49" t="n">
        <v>0</v>
      </c>
      <c r="N229" s="49" t="n">
        <v>0</v>
      </c>
      <c r="O229" s="49" t="n">
        <v>0</v>
      </c>
      <c r="AB229" s="49" t="n">
        <v>0</v>
      </c>
      <c r="AC229" s="49" t="n">
        <v>0</v>
      </c>
      <c r="AD229" s="49" t="n">
        <v>-1024.8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-1670.19</v>
      </c>
      <c r="AL229" s="49" t="n">
        <v>0</v>
      </c>
      <c r="AM229" s="49" t="n">
        <v>0</v>
      </c>
      <c r="AN229" s="50">
        <f>SUM(AB229:AM229)</f>
        <v/>
      </c>
    </row>
    <row r="230">
      <c r="A230" s="47" t="inlineStr">
        <is>
          <t>onoe</t>
        </is>
      </c>
      <c r="B230" s="48">
        <f>IFERROR(VLOOKUP($A230,Codes!$A:$B,2,FALSE()),"")</f>
        <v/>
      </c>
      <c r="C230" s="5" t="inlineStr">
        <is>
          <t>Cabinets</t>
        </is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-97.77</v>
      </c>
      <c r="AL230" s="49" t="n">
        <v>0</v>
      </c>
      <c r="AM230" s="49" t="n">
        <v>0</v>
      </c>
      <c r="AN230" s="50">
        <f>SUM(AB230:AM230)</f>
        <v/>
      </c>
    </row>
    <row r="231">
      <c r="A231" s="47" t="inlineStr">
        <is>
          <t>onoe</t>
        </is>
      </c>
      <c r="B231" s="48">
        <f>IFERROR(VLOOKUP($A231,Codes!$A:$B,2,FALSE()),"")</f>
        <v/>
      </c>
      <c r="C231" s="5" t="inlineStr">
        <is>
          <t>Ceiling Fans</t>
        </is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-131.3</v>
      </c>
      <c r="AK231" s="49" t="n">
        <v>-1972.71</v>
      </c>
      <c r="AL231" s="49" t="n">
        <v>0</v>
      </c>
      <c r="AM231" s="49" t="n">
        <v>-305.47</v>
      </c>
      <c r="AN231" s="50">
        <f>SUM(AB231:AM231)</f>
        <v/>
      </c>
    </row>
    <row r="232">
      <c r="A232" s="47" t="inlineStr">
        <is>
          <t>onoe</t>
        </is>
      </c>
      <c r="B232" s="48">
        <f>IFERROR(VLOOKUP($A232,Codes!$A:$B,2,FALSE()),"")</f>
        <v/>
      </c>
      <c r="C232" s="5" t="inlineStr">
        <is>
          <t>Countertops</t>
        </is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-2300.41</v>
      </c>
      <c r="AK232" s="49" t="n">
        <v>0</v>
      </c>
      <c r="AL232" s="49" t="n">
        <v>0</v>
      </c>
      <c r="AM232" s="49" t="n">
        <v>0</v>
      </c>
      <c r="AN232" s="50">
        <f>SUM(AB232:AM232)</f>
        <v/>
      </c>
    </row>
    <row r="233">
      <c r="A233" s="47" t="inlineStr">
        <is>
          <t>onoe</t>
        </is>
      </c>
      <c r="B233" s="48">
        <f>IFERROR(VLOOKUP($A233,Codes!$A:$B,2,FALSE()),"")</f>
        <v/>
      </c>
      <c r="C233" s="5" t="inlineStr">
        <is>
          <t>Doors &amp; Hardware</t>
        </is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-1088.28</v>
      </c>
      <c r="AK233" s="49" t="n">
        <v>-3923.84</v>
      </c>
      <c r="AL233" s="49" t="n">
        <v>0</v>
      </c>
      <c r="AM233" s="49" t="n">
        <v>0</v>
      </c>
      <c r="AN233" s="50">
        <f>SUM(AB233:AM233)</f>
        <v/>
      </c>
    </row>
    <row r="234">
      <c r="A234" s="47" t="inlineStr">
        <is>
          <t>onoe</t>
        </is>
      </c>
      <c r="B234" s="48">
        <f>IFERROR(VLOOKUP($A234,Codes!$A:$B,2,FALSE()),"")</f>
        <v/>
      </c>
      <c r="C234" s="5" t="inlineStr">
        <is>
          <t>Fencing</t>
        </is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-30220</v>
      </c>
      <c r="AL234" s="49" t="n">
        <v>0</v>
      </c>
      <c r="AM234" s="49" t="n">
        <v>0</v>
      </c>
      <c r="AN234" s="50">
        <f>SUM(AB234:AM234)</f>
        <v/>
      </c>
    </row>
    <row r="235">
      <c r="A235" s="47" t="inlineStr">
        <is>
          <t>onoe</t>
        </is>
      </c>
      <c r="B235" s="48">
        <f>IFERROR(VLOOKUP($A235,Codes!$A:$B,2,FALSE()),"")</f>
        <v/>
      </c>
      <c r="C235" s="5" t="inlineStr">
        <is>
          <t>Fitness Center</t>
        </is>
      </c>
      <c r="AB235" s="51" t="n">
        <v>-22000</v>
      </c>
      <c r="AC235" s="49" t="n">
        <v>0</v>
      </c>
      <c r="AD235" s="51" t="n">
        <v>22000</v>
      </c>
      <c r="AE235" s="49" t="n">
        <v>0</v>
      </c>
      <c r="AF235" s="49" t="n">
        <v>-1390.88</v>
      </c>
      <c r="AG235" s="49" t="n">
        <v>-2240.3</v>
      </c>
      <c r="AH235" s="49" t="n">
        <v>0</v>
      </c>
      <c r="AI235" s="49" t="n">
        <v>0</v>
      </c>
      <c r="AJ235" s="49" t="n">
        <v>-175.43</v>
      </c>
      <c r="AK235" s="49" t="n">
        <v>-1269.62</v>
      </c>
      <c r="AL235" s="51" t="n">
        <v>-15107.72</v>
      </c>
      <c r="AM235" s="49" t="n">
        <v>-783.3</v>
      </c>
      <c r="AN235" s="50">
        <f>SUM(AB235:AM235)</f>
        <v/>
      </c>
    </row>
    <row r="236">
      <c r="A236" s="47" t="inlineStr">
        <is>
          <t>capx</t>
        </is>
      </c>
      <c r="B236" s="48">
        <f>IFERROR(VLOOKUP($A236,Codes!$A:$B,2,FALSE()),"")</f>
        <v/>
      </c>
      <c r="C236" s="5" t="inlineStr">
        <is>
          <t>Floor / Vinyl</t>
        </is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-6409.37</v>
      </c>
      <c r="AK236" s="49" t="n">
        <v>-4747.21</v>
      </c>
      <c r="AL236" s="49" t="n">
        <v>-2093.24</v>
      </c>
      <c r="AM236" s="49" t="n">
        <v>-10307.5</v>
      </c>
      <c r="AN236" s="50">
        <f>SUM(AB236:AM236)</f>
        <v/>
      </c>
    </row>
    <row r="237">
      <c r="A237" s="47" t="inlineStr">
        <is>
          <t>onoe</t>
        </is>
      </c>
      <c r="B237" s="48">
        <f>IFERROR(VLOOKUP($A237,Codes!$A:$B,2,FALSE()),"")</f>
        <v/>
      </c>
      <c r="C237" s="5" t="inlineStr">
        <is>
          <t>Glass &amp; Screen</t>
        </is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-1480.59</v>
      </c>
      <c r="AL237" s="49" t="n">
        <v>-88.98999999999999</v>
      </c>
      <c r="AM237" s="49" t="n">
        <v>0</v>
      </c>
      <c r="AN237" s="50">
        <f>SUM(AB237:AM237)</f>
        <v/>
      </c>
    </row>
    <row r="238">
      <c r="A238" s="47" t="inlineStr">
        <is>
          <t>onoe</t>
        </is>
      </c>
      <c r="B238" s="48">
        <f>IFERROR(VLOOKUP($A238,Codes!$A:$B,2,FALSE()),"")</f>
        <v/>
      </c>
      <c r="C238" s="5" t="inlineStr">
        <is>
          <t>Garbage Disposal</t>
        </is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-1093.15</v>
      </c>
      <c r="AK238" s="49" t="n">
        <v>-3328.34</v>
      </c>
      <c r="AL238" s="49" t="n">
        <v>-840.04</v>
      </c>
      <c r="AM238" s="49" t="n">
        <v>0</v>
      </c>
      <c r="AN238" s="50">
        <f>SUM(AB238:AM238)</f>
        <v/>
      </c>
    </row>
    <row r="239">
      <c r="A239" s="47" t="inlineStr">
        <is>
          <t>onoe</t>
        </is>
      </c>
      <c r="B239" s="48">
        <f>IFERROR(VLOOKUP($A239,Codes!$A:$B,2,FALSE()),"")</f>
        <v/>
      </c>
      <c r="C239" s="5" t="inlineStr">
        <is>
          <t>Interior Lighting</t>
        </is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-395.38</v>
      </c>
      <c r="AL239" s="49" t="n">
        <v>0</v>
      </c>
      <c r="AM239" s="49" t="n">
        <v>-1246.84</v>
      </c>
      <c r="AN239" s="50">
        <f>SUM(AB239:AM239)</f>
        <v/>
      </c>
    </row>
    <row r="240">
      <c r="A240" s="47" t="inlineStr">
        <is>
          <t>onoe</t>
        </is>
      </c>
      <c r="B240" s="48">
        <f>IFERROR(VLOOKUP($A240,Codes!$A:$B,2,FALSE()),"")</f>
        <v/>
      </c>
      <c r="C240" s="5" t="inlineStr">
        <is>
          <t>Painting - Interior</t>
        </is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-1133.42</v>
      </c>
      <c r="AJ240" s="49" t="n">
        <v>-58075.46</v>
      </c>
      <c r="AK240" s="51" t="n">
        <v>-160792.77</v>
      </c>
      <c r="AL240" s="49" t="n">
        <v>-13864.88</v>
      </c>
      <c r="AM240" s="49" t="n">
        <v>-19243.24</v>
      </c>
      <c r="AN240" s="50">
        <f>SUM(AB240:AM240)</f>
        <v/>
      </c>
    </row>
    <row r="241">
      <c r="A241" s="47" t="inlineStr">
        <is>
          <t>onoe</t>
        </is>
      </c>
      <c r="B241" s="48">
        <f>IFERROR(VLOOKUP($A241,Codes!$A:$B,2,FALSE()),"")</f>
        <v/>
      </c>
      <c r="C241" s="5" t="inlineStr">
        <is>
          <t>Other  Replacements</t>
        </is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-488.3</v>
      </c>
      <c r="AL241" s="49" t="n">
        <v>253.92</v>
      </c>
      <c r="AM241" s="49" t="n">
        <v>0</v>
      </c>
      <c r="AN241" s="50">
        <f>SUM(AB241:AM241)</f>
        <v/>
      </c>
    </row>
    <row r="242">
      <c r="A242" s="47" t="inlineStr">
        <is>
          <t>onoe</t>
        </is>
      </c>
      <c r="B242" s="48">
        <f>IFERROR(VLOOKUP($A242,Codes!$A:$B,2,FALSE()),"")</f>
        <v/>
      </c>
      <c r="C242" s="5" t="inlineStr">
        <is>
          <t>Windows</t>
        </is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-3289.97</v>
      </c>
      <c r="AL242" s="49" t="n">
        <v>0</v>
      </c>
      <c r="AM242" s="49" t="n">
        <v>0</v>
      </c>
      <c r="AN242" s="50">
        <f>SUM(AB242:AM242)</f>
        <v/>
      </c>
    </row>
    <row r="243">
      <c r="A243" s="47" t="inlineStr">
        <is>
          <t>onoe</t>
        </is>
      </c>
      <c r="B243" s="48">
        <f>IFERROR(VLOOKUP($A243,Codes!$A:$B,2,FALSE()),"")</f>
        <v/>
      </c>
      <c r="C243" s="5" t="inlineStr">
        <is>
          <t>COVID-19 Expense</t>
        </is>
      </c>
      <c r="D243" s="49" t="n">
        <v>0</v>
      </c>
      <c r="E243" s="49" t="n">
        <v>0</v>
      </c>
      <c r="F243" s="49" t="n">
        <v>-85</v>
      </c>
      <c r="G243" s="49" t="n">
        <v>0</v>
      </c>
      <c r="H243" s="49" t="n">
        <v>0</v>
      </c>
      <c r="I243" s="49" t="n">
        <v>0</v>
      </c>
      <c r="J243" s="49" t="n">
        <v>0</v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AN243" s="50">
        <f>SUM(AB243:AM243)</f>
        <v/>
      </c>
    </row>
    <row r="244">
      <c r="A244" s="47" t="inlineStr">
        <is>
          <t>onoe</t>
        </is>
      </c>
      <c r="B244" s="48">
        <f>IFERROR(VLOOKUP($A244,Codes!$A:$B,2,FALSE()),"")</f>
        <v/>
      </c>
      <c r="C244" s="5" t="inlineStr">
        <is>
          <t>Allowance for Doubtful Accounts</t>
        </is>
      </c>
      <c r="D244" s="49" t="n">
        <v>-107.92</v>
      </c>
      <c r="E244" s="49" t="n">
        <v>0</v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n">
        <v>0</v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AN244" s="50">
        <f>SUM(AB244:AM244)</f>
        <v/>
      </c>
    </row>
    <row r="245">
      <c r="A245" s="47" t="inlineStr">
        <is>
          <t>capx</t>
        </is>
      </c>
      <c r="B245" s="48">
        <f>IFERROR(VLOOKUP($A245,Codes!$A:$B,2,FALSE()),"")</f>
        <v/>
      </c>
      <c r="C245" s="5" t="inlineStr">
        <is>
          <t>Fire &amp; Life</t>
        </is>
      </c>
      <c r="D245" s="49" t="n">
        <v>0</v>
      </c>
      <c r="E245" s="49" t="n">
        <v>0</v>
      </c>
      <c r="F245" s="49" t="n">
        <v>0</v>
      </c>
      <c r="G245" s="49" t="n">
        <v>0</v>
      </c>
      <c r="H245" s="49" t="n">
        <v>0</v>
      </c>
      <c r="I245" s="49" t="n">
        <v>-7227.34</v>
      </c>
      <c r="J245" s="49" t="n">
        <v>0</v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AN245" s="50">
        <f>SUM(AB245:AM245)</f>
        <v/>
      </c>
    </row>
    <row r="246">
      <c r="A246" s="47" t="inlineStr">
        <is>
          <t>onoe</t>
        </is>
      </c>
      <c r="B246" s="48">
        <f>IFERROR(VLOOKUP($A246,Codes!$A:$B,2,FALSE()),"")</f>
        <v/>
      </c>
      <c r="C246" s="5" t="inlineStr">
        <is>
          <t>A/P - Other</t>
        </is>
      </c>
      <c r="D246" s="49" t="n">
        <v>0</v>
      </c>
      <c r="E246" s="49" t="n">
        <v>0</v>
      </c>
      <c r="F246" s="49" t="n">
        <v>0</v>
      </c>
      <c r="G246" s="49" t="n">
        <v>0</v>
      </c>
      <c r="H246" s="49" t="n">
        <v>0</v>
      </c>
      <c r="I246" s="49" t="n">
        <v>107.65</v>
      </c>
      <c r="J246" s="49" t="n">
        <v>0</v>
      </c>
      <c r="K246" s="49" t="n">
        <v>0</v>
      </c>
      <c r="L246" s="49" t="n">
        <v>0</v>
      </c>
      <c r="M246" s="49" t="n">
        <v>-107.65</v>
      </c>
      <c r="N246" s="49" t="n">
        <v>0</v>
      </c>
      <c r="O246" s="49" t="n">
        <v>0</v>
      </c>
      <c r="AN246" s="50">
        <f>SUM(AB246:AM246)</f>
        <v/>
      </c>
    </row>
    <row r="248">
      <c r="A248" s="27" t="inlineStr">
        <is>
          <t>Outliers &amp; Notable Patterns  (amber month cells = &gt; 3.5× that line's median)</t>
        </is>
      </c>
    </row>
    <row r="249" ht="28" customHeight="1">
      <c r="A249" s="38" t="inlineStr">
        <is>
          <t>•  Loss-to-Lease moved from $-72,859 (Jan 2023) to $89,986 (Dec 2025) as contract rents reset toward market.</t>
        </is>
      </c>
    </row>
    <row r="250">
      <c r="A250" s="38" t="inlineStr">
        <is>
          <t>•  Intra-Company A/R - A/P: May 2025 = $10,225  (340831.3× the line's median) — one-off / reclass worth checking.</t>
        </is>
      </c>
    </row>
    <row r="251">
      <c r="A251" s="38" t="inlineStr">
        <is>
          <t>•  Intra-Company A/R - A/P: Jun 2025 = $-10,225  (340831.3× the line's median) — one-off / reclass worth checking.</t>
        </is>
      </c>
    </row>
    <row r="252">
      <c r="A252" s="38" t="inlineStr">
        <is>
          <t>•  3rd Mortgage Payable: Nov 2024 = $-11,364,428  (729.7× the line's median) — one-off / reclass worth checking.</t>
        </is>
      </c>
    </row>
    <row r="253">
      <c r="A253" s="38" t="inlineStr">
        <is>
          <t>•  2nd Mortgage Payable: Nov 2024 = $-10,428,512  (513.5× the line's median) — one-off / reclass worth checking.</t>
        </is>
      </c>
    </row>
    <row r="254">
      <c r="A254" s="38" t="inlineStr">
        <is>
          <t>•  Miscellaneous Income: Jul 2023 = $6,522  (326.1× the line's median) — one-off / reclass worth checking.</t>
        </is>
      </c>
    </row>
    <row r="255">
      <c r="A255" s="38" t="inlineStr">
        <is>
          <t>•  Miscellaneous Income: Aug 2024 = $3,842  (192.1× the line's median) — one-off / reclass worth checking.</t>
        </is>
      </c>
    </row>
    <row r="256">
      <c r="A256" s="38" t="inlineStr">
        <is>
          <t>•  A/R - Other: Nov 2025 = $277,874  (90.6× the line's median) — one-off / reclass worth checking.</t>
        </is>
      </c>
    </row>
    <row r="257">
      <c r="A257" s="38" t="inlineStr">
        <is>
          <t>•  A/R - Other: Dec 2025 = $-277,874  (90.6× the line's median) — one-off / reclass worth checking.</t>
        </is>
      </c>
    </row>
  </sheetData>
  <mergeCells count="10">
    <mergeCell ref="A256:L256"/>
    <mergeCell ref="A248:L248"/>
    <mergeCell ref="A252:L252"/>
    <mergeCell ref="A251:L251"/>
    <mergeCell ref="A257:L257"/>
    <mergeCell ref="A255:L255"/>
    <mergeCell ref="A254:L254"/>
    <mergeCell ref="A250:L250"/>
    <mergeCell ref="A249:L249"/>
    <mergeCell ref="A253:L253"/>
  </mergeCells>
  <dataValidations count="1">
    <dataValidation sqref="A2:A246" showDropDown="0" showInputMessage="0" showErrorMessage="0" allowBlank="1" errorTitle="Invalid code" error="Pick a standardized code from the list (or clear to exclude)." promptTitle="Editable code" prompt="Edit this code to re-map the line. OS Summary updates automatically." type="list">
      <formula1>CodeList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B1" s="52" t="inlineStr">
        <is>
          <t>Bella Mirage</t>
        </is>
      </c>
    </row>
    <row r="2">
      <c r="B2" s="2" t="inlineStr">
        <is>
          <t>Operating Statement — Standardized (live rollup)</t>
        </is>
      </c>
    </row>
    <row r="3">
      <c r="B3" s="53" t="inlineStr">
        <is>
          <t>Adjusted Amounts ($ totals) — most recent 12 months · model paste target (A1:Q77)</t>
        </is>
      </c>
    </row>
    <row r="4">
      <c r="C4" s="54" t="inlineStr">
        <is>
          <t>Annual</t>
        </is>
      </c>
      <c r="D4" s="54" t="inlineStr">
        <is>
          <t>Annual</t>
        </is>
      </c>
      <c r="E4" s="54" t="inlineStr">
        <is>
          <t>Annual</t>
        </is>
      </c>
      <c r="F4" s="55" t="inlineStr">
        <is>
          <t>Monthly</t>
        </is>
      </c>
      <c r="G4" s="55" t="inlineStr">
        <is>
          <t>Monthly</t>
        </is>
      </c>
      <c r="H4" s="55" t="inlineStr">
        <is>
          <t>Monthly</t>
        </is>
      </c>
      <c r="I4" s="55" t="inlineStr">
        <is>
          <t>Monthly</t>
        </is>
      </c>
      <c r="J4" s="55" t="inlineStr">
        <is>
          <t>Monthly</t>
        </is>
      </c>
      <c r="K4" s="55" t="inlineStr">
        <is>
          <t>Monthly</t>
        </is>
      </c>
      <c r="L4" s="55" t="inlineStr">
        <is>
          <t>Monthly</t>
        </is>
      </c>
      <c r="M4" s="55" t="inlineStr">
        <is>
          <t>Monthly</t>
        </is>
      </c>
      <c r="N4" s="55" t="inlineStr">
        <is>
          <t>Monthly</t>
        </is>
      </c>
      <c r="O4" s="55" t="inlineStr">
        <is>
          <t>Monthly</t>
        </is>
      </c>
      <c r="P4" s="55" t="inlineStr">
        <is>
          <t>Monthly</t>
        </is>
      </c>
      <c r="Q4" s="55" t="inlineStr">
        <is>
          <t>Monthly</t>
        </is>
      </c>
    </row>
    <row r="5">
      <c r="F5" s="44" t="n">
        <v>45658</v>
      </c>
      <c r="G5" s="44" t="n">
        <v>45689</v>
      </c>
      <c r="H5" s="44" t="n">
        <v>45717</v>
      </c>
      <c r="I5" s="44" t="n">
        <v>45748</v>
      </c>
      <c r="J5" s="44" t="n">
        <v>45778</v>
      </c>
      <c r="K5" s="44" t="n">
        <v>45809</v>
      </c>
      <c r="L5" s="44" t="n">
        <v>45839</v>
      </c>
      <c r="M5" s="44" t="n">
        <v>45870</v>
      </c>
      <c r="N5" s="44" t="n">
        <v>45901</v>
      </c>
      <c r="O5" s="44" t="n">
        <v>45931</v>
      </c>
      <c r="P5" s="44" t="n">
        <v>45962</v>
      </c>
      <c r="Q5" s="44" t="n">
        <v>45992</v>
      </c>
    </row>
    <row r="6">
      <c r="A6" s="43" t="inlineStr">
        <is>
          <t>Code</t>
        </is>
      </c>
      <c r="B6" s="39" t="inlineStr">
        <is>
          <t>Effective Gross Revenue</t>
        </is>
      </c>
    </row>
    <row r="7">
      <c r="A7" s="56" t="inlineStr">
        <is>
          <t>Rentinc</t>
        </is>
      </c>
      <c r="B7" s="5" t="inlineStr">
        <is>
          <t>Rental Income</t>
        </is>
      </c>
      <c r="F7" s="57">
        <f>SUMIFS('T12 Categorized'!AB:AB,'T12 Categorized'!$A:$A,$A7)</f>
        <v/>
      </c>
      <c r="G7" s="57">
        <f>SUMIFS('T12 Categorized'!AC:AC,'T12 Categorized'!$A:$A,$A7)</f>
        <v/>
      </c>
      <c r="H7" s="57">
        <f>SUMIFS('T12 Categorized'!AD:AD,'T12 Categorized'!$A:$A,$A7)</f>
        <v/>
      </c>
      <c r="I7" s="57">
        <f>SUMIFS('T12 Categorized'!AE:AE,'T12 Categorized'!$A:$A,$A7)</f>
        <v/>
      </c>
      <c r="J7" s="57">
        <f>SUMIFS('T12 Categorized'!AF:AF,'T12 Categorized'!$A:$A,$A7)</f>
        <v/>
      </c>
      <c r="K7" s="57">
        <f>SUMIFS('T12 Categorized'!AG:AG,'T12 Categorized'!$A:$A,$A7)</f>
        <v/>
      </c>
      <c r="L7" s="57">
        <f>SUMIFS('T12 Categorized'!AH:AH,'T12 Categorized'!$A:$A,$A7)</f>
        <v/>
      </c>
      <c r="M7" s="57">
        <f>SUMIFS('T12 Categorized'!AI:AI,'T12 Categorized'!$A:$A,$A7)</f>
        <v/>
      </c>
      <c r="N7" s="57">
        <f>SUMIFS('T12 Categorized'!AJ:AJ,'T12 Categorized'!$A:$A,$A7)</f>
        <v/>
      </c>
      <c r="O7" s="57">
        <f>SUMIFS('T12 Categorized'!AK:AK,'T12 Categorized'!$A:$A,$A7)</f>
        <v/>
      </c>
      <c r="P7" s="57">
        <f>SUMIFS('T12 Categorized'!AL:AL,'T12 Categorized'!$A:$A,$A7)</f>
        <v/>
      </c>
      <c r="Q7" s="57">
        <f>SUMIFS('T12 Categorized'!AM:AM,'T12 Categorized'!$A:$A,$A7)</f>
        <v/>
      </c>
    </row>
    <row r="8">
      <c r="A8" s="56" t="inlineStr">
        <is>
          <t>OI</t>
        </is>
      </c>
      <c r="B8" s="5" t="inlineStr">
        <is>
          <t>Other Income</t>
        </is>
      </c>
      <c r="F8" s="57">
        <f>SUMIFS('T12 Categorized'!AB:AB,'T12 Categorized'!$A:$A,$A8)</f>
        <v/>
      </c>
      <c r="G8" s="57">
        <f>SUMIFS('T12 Categorized'!AC:AC,'T12 Categorized'!$A:$A,$A8)</f>
        <v/>
      </c>
      <c r="H8" s="57">
        <f>SUMIFS('T12 Categorized'!AD:AD,'T12 Categorized'!$A:$A,$A8)</f>
        <v/>
      </c>
      <c r="I8" s="57">
        <f>SUMIFS('T12 Categorized'!AE:AE,'T12 Categorized'!$A:$A,$A8)</f>
        <v/>
      </c>
      <c r="J8" s="57">
        <f>SUMIFS('T12 Categorized'!AF:AF,'T12 Categorized'!$A:$A,$A8)</f>
        <v/>
      </c>
      <c r="K8" s="57">
        <f>SUMIFS('T12 Categorized'!AG:AG,'T12 Categorized'!$A:$A,$A8)</f>
        <v/>
      </c>
      <c r="L8" s="57">
        <f>SUMIFS('T12 Categorized'!AH:AH,'T12 Categorized'!$A:$A,$A8)</f>
        <v/>
      </c>
      <c r="M8" s="57">
        <f>SUMIFS('T12 Categorized'!AI:AI,'T12 Categorized'!$A:$A,$A8)</f>
        <v/>
      </c>
      <c r="N8" s="57">
        <f>SUMIFS('T12 Categorized'!AJ:AJ,'T12 Categorized'!$A:$A,$A8)</f>
        <v/>
      </c>
      <c r="O8" s="57">
        <f>SUMIFS('T12 Categorized'!AK:AK,'T12 Categorized'!$A:$A,$A8)</f>
        <v/>
      </c>
      <c r="P8" s="57">
        <f>SUMIFS('T12 Categorized'!AL:AL,'T12 Categorized'!$A:$A,$A8)</f>
        <v/>
      </c>
      <c r="Q8" s="57">
        <f>SUMIFS('T12 Categorized'!AM:AM,'T12 Categorized'!$A:$A,$A8)</f>
        <v/>
      </c>
    </row>
    <row r="9">
      <c r="A9" s="56" t="inlineStr">
        <is>
          <t>RWS</t>
        </is>
      </c>
      <c r="B9" s="5" t="inlineStr">
        <is>
          <t>Rubs Water / Sewage</t>
        </is>
      </c>
      <c r="F9" s="57">
        <f>SUMIFS('T12 Categorized'!AB:AB,'T12 Categorized'!$A:$A,$A9)</f>
        <v/>
      </c>
      <c r="G9" s="57">
        <f>SUMIFS('T12 Categorized'!AC:AC,'T12 Categorized'!$A:$A,$A9)</f>
        <v/>
      </c>
      <c r="H9" s="57">
        <f>SUMIFS('T12 Categorized'!AD:AD,'T12 Categorized'!$A:$A,$A9)</f>
        <v/>
      </c>
      <c r="I9" s="57">
        <f>SUMIFS('T12 Categorized'!AE:AE,'T12 Categorized'!$A:$A,$A9)</f>
        <v/>
      </c>
      <c r="J9" s="57">
        <f>SUMIFS('T12 Categorized'!AF:AF,'T12 Categorized'!$A:$A,$A9)</f>
        <v/>
      </c>
      <c r="K9" s="57">
        <f>SUMIFS('T12 Categorized'!AG:AG,'T12 Categorized'!$A:$A,$A9)</f>
        <v/>
      </c>
      <c r="L9" s="57">
        <f>SUMIFS('T12 Categorized'!AH:AH,'T12 Categorized'!$A:$A,$A9)</f>
        <v/>
      </c>
      <c r="M9" s="57">
        <f>SUMIFS('T12 Categorized'!AI:AI,'T12 Categorized'!$A:$A,$A9)</f>
        <v/>
      </c>
      <c r="N9" s="57">
        <f>SUMIFS('T12 Categorized'!AJ:AJ,'T12 Categorized'!$A:$A,$A9)</f>
        <v/>
      </c>
      <c r="O9" s="57">
        <f>SUMIFS('T12 Categorized'!AK:AK,'T12 Categorized'!$A:$A,$A9)</f>
        <v/>
      </c>
      <c r="P9" s="57">
        <f>SUMIFS('T12 Categorized'!AL:AL,'T12 Categorized'!$A:$A,$A9)</f>
        <v/>
      </c>
      <c r="Q9" s="57">
        <f>SUMIFS('T12 Categorized'!AM:AM,'T12 Categorized'!$A:$A,$A9)</f>
        <v/>
      </c>
    </row>
    <row r="10">
      <c r="A10" s="56" t="inlineStr">
        <is>
          <t>RT</t>
        </is>
      </c>
      <c r="B10" s="5" t="inlineStr">
        <is>
          <t>Rubs Trash</t>
        </is>
      </c>
      <c r="F10" s="57">
        <f>SUMIFS('T12 Categorized'!AB:AB,'T12 Categorized'!$A:$A,$A10)</f>
        <v/>
      </c>
      <c r="G10" s="57">
        <f>SUMIFS('T12 Categorized'!AC:AC,'T12 Categorized'!$A:$A,$A10)</f>
        <v/>
      </c>
      <c r="H10" s="57">
        <f>SUMIFS('T12 Categorized'!AD:AD,'T12 Categorized'!$A:$A,$A10)</f>
        <v/>
      </c>
      <c r="I10" s="57">
        <f>SUMIFS('T12 Categorized'!AE:AE,'T12 Categorized'!$A:$A,$A10)</f>
        <v/>
      </c>
      <c r="J10" s="57">
        <f>SUMIFS('T12 Categorized'!AF:AF,'T12 Categorized'!$A:$A,$A10)</f>
        <v/>
      </c>
      <c r="K10" s="57">
        <f>SUMIFS('T12 Categorized'!AG:AG,'T12 Categorized'!$A:$A,$A10)</f>
        <v/>
      </c>
      <c r="L10" s="57">
        <f>SUMIFS('T12 Categorized'!AH:AH,'T12 Categorized'!$A:$A,$A10)</f>
        <v/>
      </c>
      <c r="M10" s="57">
        <f>SUMIFS('T12 Categorized'!AI:AI,'T12 Categorized'!$A:$A,$A10)</f>
        <v/>
      </c>
      <c r="N10" s="57">
        <f>SUMIFS('T12 Categorized'!AJ:AJ,'T12 Categorized'!$A:$A,$A10)</f>
        <v/>
      </c>
      <c r="O10" s="57">
        <f>SUMIFS('T12 Categorized'!AK:AK,'T12 Categorized'!$A:$A,$A10)</f>
        <v/>
      </c>
      <c r="P10" s="57">
        <f>SUMIFS('T12 Categorized'!AL:AL,'T12 Categorized'!$A:$A,$A10)</f>
        <v/>
      </c>
      <c r="Q10" s="57">
        <f>SUMIFS('T12 Categorized'!AM:AM,'T12 Categorized'!$A:$A,$A10)</f>
        <v/>
      </c>
    </row>
    <row r="11">
      <c r="A11" s="56" t="inlineStr">
        <is>
          <t>RF</t>
        </is>
      </c>
      <c r="B11" s="5" t="inlineStr">
        <is>
          <t>Rubs Fees</t>
        </is>
      </c>
      <c r="F11" s="57">
        <f>SUMIFS('T12 Categorized'!AB:AB,'T12 Categorized'!$A:$A,$A11)</f>
        <v/>
      </c>
      <c r="G11" s="57">
        <f>SUMIFS('T12 Categorized'!AC:AC,'T12 Categorized'!$A:$A,$A11)</f>
        <v/>
      </c>
      <c r="H11" s="57">
        <f>SUMIFS('T12 Categorized'!AD:AD,'T12 Categorized'!$A:$A,$A11)</f>
        <v/>
      </c>
      <c r="I11" s="57">
        <f>SUMIFS('T12 Categorized'!AE:AE,'T12 Categorized'!$A:$A,$A11)</f>
        <v/>
      </c>
      <c r="J11" s="57">
        <f>SUMIFS('T12 Categorized'!AF:AF,'T12 Categorized'!$A:$A,$A11)</f>
        <v/>
      </c>
      <c r="K11" s="57">
        <f>SUMIFS('T12 Categorized'!AG:AG,'T12 Categorized'!$A:$A,$A11)</f>
        <v/>
      </c>
      <c r="L11" s="57">
        <f>SUMIFS('T12 Categorized'!AH:AH,'T12 Categorized'!$A:$A,$A11)</f>
        <v/>
      </c>
      <c r="M11" s="57">
        <f>SUMIFS('T12 Categorized'!AI:AI,'T12 Categorized'!$A:$A,$A11)</f>
        <v/>
      </c>
      <c r="N11" s="57">
        <f>SUMIFS('T12 Categorized'!AJ:AJ,'T12 Categorized'!$A:$A,$A11)</f>
        <v/>
      </c>
      <c r="O11" s="57">
        <f>SUMIFS('T12 Categorized'!AK:AK,'T12 Categorized'!$A:$A,$A11)</f>
        <v/>
      </c>
      <c r="P11" s="57">
        <f>SUMIFS('T12 Categorized'!AL:AL,'T12 Categorized'!$A:$A,$A11)</f>
        <v/>
      </c>
      <c r="Q11" s="57">
        <f>SUMIFS('T12 Categorized'!AM:AM,'T12 Categorized'!$A:$A,$A11)</f>
        <v/>
      </c>
    </row>
    <row r="12">
      <c r="A12" s="56" t="inlineStr">
        <is>
          <t>park</t>
        </is>
      </c>
      <c r="B12" s="5" t="inlineStr">
        <is>
          <t>Garage / Parking</t>
        </is>
      </c>
      <c r="F12" s="57">
        <f>SUMIFS('T12 Categorized'!AB:AB,'T12 Categorized'!$A:$A,$A12)</f>
        <v/>
      </c>
      <c r="G12" s="57">
        <f>SUMIFS('T12 Categorized'!AC:AC,'T12 Categorized'!$A:$A,$A12)</f>
        <v/>
      </c>
      <c r="H12" s="57">
        <f>SUMIFS('T12 Categorized'!AD:AD,'T12 Categorized'!$A:$A,$A12)</f>
        <v/>
      </c>
      <c r="I12" s="57">
        <f>SUMIFS('T12 Categorized'!AE:AE,'T12 Categorized'!$A:$A,$A12)</f>
        <v/>
      </c>
      <c r="J12" s="57">
        <f>SUMIFS('T12 Categorized'!AF:AF,'T12 Categorized'!$A:$A,$A12)</f>
        <v/>
      </c>
      <c r="K12" s="57">
        <f>SUMIFS('T12 Categorized'!AG:AG,'T12 Categorized'!$A:$A,$A12)</f>
        <v/>
      </c>
      <c r="L12" s="57">
        <f>SUMIFS('T12 Categorized'!AH:AH,'T12 Categorized'!$A:$A,$A12)</f>
        <v/>
      </c>
      <c r="M12" s="57">
        <f>SUMIFS('T12 Categorized'!AI:AI,'T12 Categorized'!$A:$A,$A12)</f>
        <v/>
      </c>
      <c r="N12" s="57">
        <f>SUMIFS('T12 Categorized'!AJ:AJ,'T12 Categorized'!$A:$A,$A12)</f>
        <v/>
      </c>
      <c r="O12" s="57">
        <f>SUMIFS('T12 Categorized'!AK:AK,'T12 Categorized'!$A:$A,$A12)</f>
        <v/>
      </c>
      <c r="P12" s="57">
        <f>SUMIFS('T12 Categorized'!AL:AL,'T12 Categorized'!$A:$A,$A12)</f>
        <v/>
      </c>
      <c r="Q12" s="57">
        <f>SUMIFS('T12 Categorized'!AM:AM,'T12 Categorized'!$A:$A,$A12)</f>
        <v/>
      </c>
    </row>
    <row r="13">
      <c r="A13" s="56" t="inlineStr">
        <is>
          <t>CI</t>
        </is>
      </c>
      <c r="B13" s="5" t="inlineStr">
        <is>
          <t>Corporate Income</t>
        </is>
      </c>
      <c r="F13" s="57">
        <f>SUMIFS('T12 Categorized'!AB:AB,'T12 Categorized'!$A:$A,$A13)</f>
        <v/>
      </c>
      <c r="G13" s="57">
        <f>SUMIFS('T12 Categorized'!AC:AC,'T12 Categorized'!$A:$A,$A13)</f>
        <v/>
      </c>
      <c r="H13" s="57">
        <f>SUMIFS('T12 Categorized'!AD:AD,'T12 Categorized'!$A:$A,$A13)</f>
        <v/>
      </c>
      <c r="I13" s="57">
        <f>SUMIFS('T12 Categorized'!AE:AE,'T12 Categorized'!$A:$A,$A13)</f>
        <v/>
      </c>
      <c r="J13" s="57">
        <f>SUMIFS('T12 Categorized'!AF:AF,'T12 Categorized'!$A:$A,$A13)</f>
        <v/>
      </c>
      <c r="K13" s="57">
        <f>SUMIFS('T12 Categorized'!AG:AG,'T12 Categorized'!$A:$A,$A13)</f>
        <v/>
      </c>
      <c r="L13" s="57">
        <f>SUMIFS('T12 Categorized'!AH:AH,'T12 Categorized'!$A:$A,$A13)</f>
        <v/>
      </c>
      <c r="M13" s="57">
        <f>SUMIFS('T12 Categorized'!AI:AI,'T12 Categorized'!$A:$A,$A13)</f>
        <v/>
      </c>
      <c r="N13" s="57">
        <f>SUMIFS('T12 Categorized'!AJ:AJ,'T12 Categorized'!$A:$A,$A13)</f>
        <v/>
      </c>
      <c r="O13" s="57">
        <f>SUMIFS('T12 Categorized'!AK:AK,'T12 Categorized'!$A:$A,$A13)</f>
        <v/>
      </c>
      <c r="P13" s="57">
        <f>SUMIFS('T12 Categorized'!AL:AL,'T12 Categorized'!$A:$A,$A13)</f>
        <v/>
      </c>
      <c r="Q13" s="57">
        <f>SUMIFS('T12 Categorized'!AM:AM,'T12 Categorized'!$A:$A,$A13)</f>
        <v/>
      </c>
    </row>
    <row r="14">
      <c r="A14" s="56" t="inlineStr">
        <is>
          <t>cable</t>
        </is>
      </c>
      <c r="B14" s="5" t="inlineStr">
        <is>
          <t>Cable Income</t>
        </is>
      </c>
      <c r="F14" s="57">
        <f>SUMIFS('T12 Categorized'!AB:AB,'T12 Categorized'!$A:$A,$A14)</f>
        <v/>
      </c>
      <c r="G14" s="57">
        <f>SUMIFS('T12 Categorized'!AC:AC,'T12 Categorized'!$A:$A,$A14)</f>
        <v/>
      </c>
      <c r="H14" s="57">
        <f>SUMIFS('T12 Categorized'!AD:AD,'T12 Categorized'!$A:$A,$A14)</f>
        <v/>
      </c>
      <c r="I14" s="57">
        <f>SUMIFS('T12 Categorized'!AE:AE,'T12 Categorized'!$A:$A,$A14)</f>
        <v/>
      </c>
      <c r="J14" s="57">
        <f>SUMIFS('T12 Categorized'!AF:AF,'T12 Categorized'!$A:$A,$A14)</f>
        <v/>
      </c>
      <c r="K14" s="57">
        <f>SUMIFS('T12 Categorized'!AG:AG,'T12 Categorized'!$A:$A,$A14)</f>
        <v/>
      </c>
      <c r="L14" s="57">
        <f>SUMIFS('T12 Categorized'!AH:AH,'T12 Categorized'!$A:$A,$A14)</f>
        <v/>
      </c>
      <c r="M14" s="57">
        <f>SUMIFS('T12 Categorized'!AI:AI,'T12 Categorized'!$A:$A,$A14)</f>
        <v/>
      </c>
      <c r="N14" s="57">
        <f>SUMIFS('T12 Categorized'!AJ:AJ,'T12 Categorized'!$A:$A,$A14)</f>
        <v/>
      </c>
      <c r="O14" s="57">
        <f>SUMIFS('T12 Categorized'!AK:AK,'T12 Categorized'!$A:$A,$A14)</f>
        <v/>
      </c>
      <c r="P14" s="57">
        <f>SUMIFS('T12 Categorized'!AL:AL,'T12 Categorized'!$A:$A,$A14)</f>
        <v/>
      </c>
      <c r="Q14" s="57">
        <f>SUMIFS('T12 Categorized'!AM:AM,'T12 Categorized'!$A:$A,$A14)</f>
        <v/>
      </c>
    </row>
    <row r="15">
      <c r="A15" s="56" t="inlineStr">
        <is>
          <t>ltl</t>
        </is>
      </c>
      <c r="B15" s="5" t="inlineStr">
        <is>
          <t>(Loss to Lease) / Gain to Lease</t>
        </is>
      </c>
      <c r="F15" s="57">
        <f>SUMIFS('T12 Categorized'!AB:AB,'T12 Categorized'!$A:$A,$A15)</f>
        <v/>
      </c>
      <c r="G15" s="57">
        <f>SUMIFS('T12 Categorized'!AC:AC,'T12 Categorized'!$A:$A,$A15)</f>
        <v/>
      </c>
      <c r="H15" s="57">
        <f>SUMIFS('T12 Categorized'!AD:AD,'T12 Categorized'!$A:$A,$A15)</f>
        <v/>
      </c>
      <c r="I15" s="57">
        <f>SUMIFS('T12 Categorized'!AE:AE,'T12 Categorized'!$A:$A,$A15)</f>
        <v/>
      </c>
      <c r="J15" s="57">
        <f>SUMIFS('T12 Categorized'!AF:AF,'T12 Categorized'!$A:$A,$A15)</f>
        <v/>
      </c>
      <c r="K15" s="57">
        <f>SUMIFS('T12 Categorized'!AG:AG,'T12 Categorized'!$A:$A,$A15)</f>
        <v/>
      </c>
      <c r="L15" s="57">
        <f>SUMIFS('T12 Categorized'!AH:AH,'T12 Categorized'!$A:$A,$A15)</f>
        <v/>
      </c>
      <c r="M15" s="57">
        <f>SUMIFS('T12 Categorized'!AI:AI,'T12 Categorized'!$A:$A,$A15)</f>
        <v/>
      </c>
      <c r="N15" s="57">
        <f>SUMIFS('T12 Categorized'!AJ:AJ,'T12 Categorized'!$A:$A,$A15)</f>
        <v/>
      </c>
      <c r="O15" s="57">
        <f>SUMIFS('T12 Categorized'!AK:AK,'T12 Categorized'!$A:$A,$A15)</f>
        <v/>
      </c>
      <c r="P15" s="57">
        <f>SUMIFS('T12 Categorized'!AL:AL,'T12 Categorized'!$A:$A,$A15)</f>
        <v/>
      </c>
      <c r="Q15" s="57">
        <f>SUMIFS('T12 Categorized'!AM:AM,'T12 Categorized'!$A:$A,$A15)</f>
        <v/>
      </c>
    </row>
    <row r="16">
      <c r="A16" s="56" t="inlineStr">
        <is>
          <t>vac</t>
        </is>
      </c>
      <c r="B16" s="5" t="inlineStr">
        <is>
          <t>Vacancy</t>
        </is>
      </c>
      <c r="F16" s="57">
        <f>SUMIFS('T12 Categorized'!AB:AB,'T12 Categorized'!$A:$A,$A16)</f>
        <v/>
      </c>
      <c r="G16" s="57">
        <f>SUMIFS('T12 Categorized'!AC:AC,'T12 Categorized'!$A:$A,$A16)</f>
        <v/>
      </c>
      <c r="H16" s="57">
        <f>SUMIFS('T12 Categorized'!AD:AD,'T12 Categorized'!$A:$A,$A16)</f>
        <v/>
      </c>
      <c r="I16" s="57">
        <f>SUMIFS('T12 Categorized'!AE:AE,'T12 Categorized'!$A:$A,$A16)</f>
        <v/>
      </c>
      <c r="J16" s="57">
        <f>SUMIFS('T12 Categorized'!AF:AF,'T12 Categorized'!$A:$A,$A16)</f>
        <v/>
      </c>
      <c r="K16" s="57">
        <f>SUMIFS('T12 Categorized'!AG:AG,'T12 Categorized'!$A:$A,$A16)</f>
        <v/>
      </c>
      <c r="L16" s="57">
        <f>SUMIFS('T12 Categorized'!AH:AH,'T12 Categorized'!$A:$A,$A16)</f>
        <v/>
      </c>
      <c r="M16" s="57">
        <f>SUMIFS('T12 Categorized'!AI:AI,'T12 Categorized'!$A:$A,$A16)</f>
        <v/>
      </c>
      <c r="N16" s="57">
        <f>SUMIFS('T12 Categorized'!AJ:AJ,'T12 Categorized'!$A:$A,$A16)</f>
        <v/>
      </c>
      <c r="O16" s="57">
        <f>SUMIFS('T12 Categorized'!AK:AK,'T12 Categorized'!$A:$A,$A16)</f>
        <v/>
      </c>
      <c r="P16" s="57">
        <f>SUMIFS('T12 Categorized'!AL:AL,'T12 Categorized'!$A:$A,$A16)</f>
        <v/>
      </c>
      <c r="Q16" s="57">
        <f>SUMIFS('T12 Categorized'!AM:AM,'T12 Categorized'!$A:$A,$A16)</f>
        <v/>
      </c>
    </row>
    <row r="17">
      <c r="A17" s="56" t="inlineStr">
        <is>
          <t>cl</t>
        </is>
      </c>
      <c r="B17" s="5" t="inlineStr">
        <is>
          <t>Collection Loss / Bad Debt</t>
        </is>
      </c>
      <c r="F17" s="57">
        <f>SUMIFS('T12 Categorized'!AB:AB,'T12 Categorized'!$A:$A,$A17)</f>
        <v/>
      </c>
      <c r="G17" s="57">
        <f>SUMIFS('T12 Categorized'!AC:AC,'T12 Categorized'!$A:$A,$A17)</f>
        <v/>
      </c>
      <c r="H17" s="57">
        <f>SUMIFS('T12 Categorized'!AD:AD,'T12 Categorized'!$A:$A,$A17)</f>
        <v/>
      </c>
      <c r="I17" s="57">
        <f>SUMIFS('T12 Categorized'!AE:AE,'T12 Categorized'!$A:$A,$A17)</f>
        <v/>
      </c>
      <c r="J17" s="57">
        <f>SUMIFS('T12 Categorized'!AF:AF,'T12 Categorized'!$A:$A,$A17)</f>
        <v/>
      </c>
      <c r="K17" s="57">
        <f>SUMIFS('T12 Categorized'!AG:AG,'T12 Categorized'!$A:$A,$A17)</f>
        <v/>
      </c>
      <c r="L17" s="57">
        <f>SUMIFS('T12 Categorized'!AH:AH,'T12 Categorized'!$A:$A,$A17)</f>
        <v/>
      </c>
      <c r="M17" s="57">
        <f>SUMIFS('T12 Categorized'!AI:AI,'T12 Categorized'!$A:$A,$A17)</f>
        <v/>
      </c>
      <c r="N17" s="57">
        <f>SUMIFS('T12 Categorized'!AJ:AJ,'T12 Categorized'!$A:$A,$A17)</f>
        <v/>
      </c>
      <c r="O17" s="57">
        <f>SUMIFS('T12 Categorized'!AK:AK,'T12 Categorized'!$A:$A,$A17)</f>
        <v/>
      </c>
      <c r="P17" s="57">
        <f>SUMIFS('T12 Categorized'!AL:AL,'T12 Categorized'!$A:$A,$A17)</f>
        <v/>
      </c>
      <c r="Q17" s="57">
        <f>SUMIFS('T12 Categorized'!AM:AM,'T12 Categorized'!$A:$A,$A17)</f>
        <v/>
      </c>
    </row>
    <row r="18">
      <c r="A18" s="56" t="inlineStr">
        <is>
          <t>nr</t>
        </is>
      </c>
      <c r="B18" s="5" t="inlineStr">
        <is>
          <t>Non-Revenue Units</t>
        </is>
      </c>
      <c r="F18" s="57">
        <f>SUMIFS('T12 Categorized'!AB:AB,'T12 Categorized'!$A:$A,$A18)</f>
        <v/>
      </c>
      <c r="G18" s="57">
        <f>SUMIFS('T12 Categorized'!AC:AC,'T12 Categorized'!$A:$A,$A18)</f>
        <v/>
      </c>
      <c r="H18" s="57">
        <f>SUMIFS('T12 Categorized'!AD:AD,'T12 Categorized'!$A:$A,$A18)</f>
        <v/>
      </c>
      <c r="I18" s="57">
        <f>SUMIFS('T12 Categorized'!AE:AE,'T12 Categorized'!$A:$A,$A18)</f>
        <v/>
      </c>
      <c r="J18" s="57">
        <f>SUMIFS('T12 Categorized'!AF:AF,'T12 Categorized'!$A:$A,$A18)</f>
        <v/>
      </c>
      <c r="K18" s="57">
        <f>SUMIFS('T12 Categorized'!AG:AG,'T12 Categorized'!$A:$A,$A18)</f>
        <v/>
      </c>
      <c r="L18" s="57">
        <f>SUMIFS('T12 Categorized'!AH:AH,'T12 Categorized'!$A:$A,$A18)</f>
        <v/>
      </c>
      <c r="M18" s="57">
        <f>SUMIFS('T12 Categorized'!AI:AI,'T12 Categorized'!$A:$A,$A18)</f>
        <v/>
      </c>
      <c r="N18" s="57">
        <f>SUMIFS('T12 Categorized'!AJ:AJ,'T12 Categorized'!$A:$A,$A18)</f>
        <v/>
      </c>
      <c r="O18" s="57">
        <f>SUMIFS('T12 Categorized'!AK:AK,'T12 Categorized'!$A:$A,$A18)</f>
        <v/>
      </c>
      <c r="P18" s="57">
        <f>SUMIFS('T12 Categorized'!AL:AL,'T12 Categorized'!$A:$A,$A18)</f>
        <v/>
      </c>
      <c r="Q18" s="57">
        <f>SUMIFS('T12 Categorized'!AM:AM,'T12 Categorized'!$A:$A,$A18)</f>
        <v/>
      </c>
    </row>
    <row r="19">
      <c r="A19" s="56" t="inlineStr">
        <is>
          <t>conc</t>
        </is>
      </c>
      <c r="B19" s="5" t="inlineStr">
        <is>
          <t>Concessions</t>
        </is>
      </c>
      <c r="F19" s="57">
        <f>SUMIFS('T12 Categorized'!AB:AB,'T12 Categorized'!$A:$A,$A19)</f>
        <v/>
      </c>
      <c r="G19" s="57">
        <f>SUMIFS('T12 Categorized'!AC:AC,'T12 Categorized'!$A:$A,$A19)</f>
        <v/>
      </c>
      <c r="H19" s="57">
        <f>SUMIFS('T12 Categorized'!AD:AD,'T12 Categorized'!$A:$A,$A19)</f>
        <v/>
      </c>
      <c r="I19" s="57">
        <f>SUMIFS('T12 Categorized'!AE:AE,'T12 Categorized'!$A:$A,$A19)</f>
        <v/>
      </c>
      <c r="J19" s="57">
        <f>SUMIFS('T12 Categorized'!AF:AF,'T12 Categorized'!$A:$A,$A19)</f>
        <v/>
      </c>
      <c r="K19" s="57">
        <f>SUMIFS('T12 Categorized'!AG:AG,'T12 Categorized'!$A:$A,$A19)</f>
        <v/>
      </c>
      <c r="L19" s="57">
        <f>SUMIFS('T12 Categorized'!AH:AH,'T12 Categorized'!$A:$A,$A19)</f>
        <v/>
      </c>
      <c r="M19" s="57">
        <f>SUMIFS('T12 Categorized'!AI:AI,'T12 Categorized'!$A:$A,$A19)</f>
        <v/>
      </c>
      <c r="N19" s="57">
        <f>SUMIFS('T12 Categorized'!AJ:AJ,'T12 Categorized'!$A:$A,$A19)</f>
        <v/>
      </c>
      <c r="O19" s="57">
        <f>SUMIFS('T12 Categorized'!AK:AK,'T12 Categorized'!$A:$A,$A19)</f>
        <v/>
      </c>
      <c r="P19" s="57">
        <f>SUMIFS('T12 Categorized'!AL:AL,'T12 Categorized'!$A:$A,$A19)</f>
        <v/>
      </c>
      <c r="Q19" s="57">
        <f>SUMIFS('T12 Categorized'!AM:AM,'T12 Categorized'!$A:$A,$A19)</f>
        <v/>
      </c>
    </row>
    <row r="20">
      <c r="A20" s="45" t="n"/>
      <c r="B20" s="46" t="inlineStr">
        <is>
          <t>Effective Gross Revenue</t>
        </is>
      </c>
      <c r="F20" s="58">
        <f>SUM(F7:F19)</f>
        <v/>
      </c>
      <c r="G20" s="58">
        <f>SUM(G7:G19)</f>
        <v/>
      </c>
      <c r="H20" s="58">
        <f>SUM(H7:H19)</f>
        <v/>
      </c>
      <c r="I20" s="58">
        <f>SUM(I7:I19)</f>
        <v/>
      </c>
      <c r="J20" s="58">
        <f>SUM(J7:J19)</f>
        <v/>
      </c>
      <c r="K20" s="58">
        <f>SUM(K7:K19)</f>
        <v/>
      </c>
      <c r="L20" s="58">
        <f>SUM(L7:L19)</f>
        <v/>
      </c>
      <c r="M20" s="58">
        <f>SUM(M7:M19)</f>
        <v/>
      </c>
      <c r="N20" s="58">
        <f>SUM(N7:N19)</f>
        <v/>
      </c>
      <c r="O20" s="58">
        <f>SUM(O7:O19)</f>
        <v/>
      </c>
      <c r="P20" s="58">
        <f>SUM(P7:P19)</f>
        <v/>
      </c>
      <c r="Q20" s="58">
        <f>SUM(Q7:Q19)</f>
        <v/>
      </c>
    </row>
    <row r="22">
      <c r="A22" s="40" t="n"/>
      <c r="B22" s="39" t="inlineStr">
        <is>
          <t>Operating Expenses</t>
        </is>
      </c>
    </row>
    <row r="23">
      <c r="A23" s="56" t="inlineStr">
        <is>
          <t>Pay</t>
        </is>
      </c>
      <c r="B23" s="5" t="inlineStr">
        <is>
          <t>Payroll</t>
        </is>
      </c>
      <c r="F23" s="57">
        <f>SUMIFS('T12 Categorized'!AB:AB,'T12 Categorized'!$A:$A,$A23)</f>
        <v/>
      </c>
      <c r="G23" s="57">
        <f>SUMIFS('T12 Categorized'!AC:AC,'T12 Categorized'!$A:$A,$A23)</f>
        <v/>
      </c>
      <c r="H23" s="57">
        <f>SUMIFS('T12 Categorized'!AD:AD,'T12 Categorized'!$A:$A,$A23)</f>
        <v/>
      </c>
      <c r="I23" s="57">
        <f>SUMIFS('T12 Categorized'!AE:AE,'T12 Categorized'!$A:$A,$A23)</f>
        <v/>
      </c>
      <c r="J23" s="57">
        <f>SUMIFS('T12 Categorized'!AF:AF,'T12 Categorized'!$A:$A,$A23)</f>
        <v/>
      </c>
      <c r="K23" s="57">
        <f>SUMIFS('T12 Categorized'!AG:AG,'T12 Categorized'!$A:$A,$A23)</f>
        <v/>
      </c>
      <c r="L23" s="57">
        <f>SUMIFS('T12 Categorized'!AH:AH,'T12 Categorized'!$A:$A,$A23)</f>
        <v/>
      </c>
      <c r="M23" s="57">
        <f>SUMIFS('T12 Categorized'!AI:AI,'T12 Categorized'!$A:$A,$A23)</f>
        <v/>
      </c>
      <c r="N23" s="57">
        <f>SUMIFS('T12 Categorized'!AJ:AJ,'T12 Categorized'!$A:$A,$A23)</f>
        <v/>
      </c>
      <c r="O23" s="57">
        <f>SUMIFS('T12 Categorized'!AK:AK,'T12 Categorized'!$A:$A,$A23)</f>
        <v/>
      </c>
      <c r="P23" s="57">
        <f>SUMIFS('T12 Categorized'!AL:AL,'T12 Categorized'!$A:$A,$A23)</f>
        <v/>
      </c>
      <c r="Q23" s="57">
        <f>SUMIFS('T12 Categorized'!AM:AM,'T12 Categorized'!$A:$A,$A23)</f>
        <v/>
      </c>
    </row>
    <row r="24">
      <c r="A24" s="56" t="inlineStr">
        <is>
          <t>PB</t>
        </is>
      </c>
      <c r="B24" s="5" t="inlineStr">
        <is>
          <t>Payroll Burden</t>
        </is>
      </c>
      <c r="F24" s="57">
        <f>SUMIFS('T12 Categorized'!AB:AB,'T12 Categorized'!$A:$A,$A24)</f>
        <v/>
      </c>
      <c r="G24" s="57">
        <f>SUMIFS('T12 Categorized'!AC:AC,'T12 Categorized'!$A:$A,$A24)</f>
        <v/>
      </c>
      <c r="H24" s="57">
        <f>SUMIFS('T12 Categorized'!AD:AD,'T12 Categorized'!$A:$A,$A24)</f>
        <v/>
      </c>
      <c r="I24" s="57">
        <f>SUMIFS('T12 Categorized'!AE:AE,'T12 Categorized'!$A:$A,$A24)</f>
        <v/>
      </c>
      <c r="J24" s="57">
        <f>SUMIFS('T12 Categorized'!AF:AF,'T12 Categorized'!$A:$A,$A24)</f>
        <v/>
      </c>
      <c r="K24" s="57">
        <f>SUMIFS('T12 Categorized'!AG:AG,'T12 Categorized'!$A:$A,$A24)</f>
        <v/>
      </c>
      <c r="L24" s="57">
        <f>SUMIFS('T12 Categorized'!AH:AH,'T12 Categorized'!$A:$A,$A24)</f>
        <v/>
      </c>
      <c r="M24" s="57">
        <f>SUMIFS('T12 Categorized'!AI:AI,'T12 Categorized'!$A:$A,$A24)</f>
        <v/>
      </c>
      <c r="N24" s="57">
        <f>SUMIFS('T12 Categorized'!AJ:AJ,'T12 Categorized'!$A:$A,$A24)</f>
        <v/>
      </c>
      <c r="O24" s="57">
        <f>SUMIFS('T12 Categorized'!AK:AK,'T12 Categorized'!$A:$A,$A24)</f>
        <v/>
      </c>
      <c r="P24" s="57">
        <f>SUMIFS('T12 Categorized'!AL:AL,'T12 Categorized'!$A:$A,$A24)</f>
        <v/>
      </c>
      <c r="Q24" s="57">
        <f>SUMIFS('T12 Categorized'!AM:AM,'T12 Categorized'!$A:$A,$A24)</f>
        <v/>
      </c>
    </row>
    <row r="25">
      <c r="A25" s="56" t="inlineStr">
        <is>
          <t>PBo</t>
        </is>
      </c>
      <c r="B25" s="5" t="inlineStr">
        <is>
          <t>Payroll Bonuses</t>
        </is>
      </c>
      <c r="F25" s="57">
        <f>SUMIFS('T12 Categorized'!AB:AB,'T12 Categorized'!$A:$A,$A25)</f>
        <v/>
      </c>
      <c r="G25" s="57">
        <f>SUMIFS('T12 Categorized'!AC:AC,'T12 Categorized'!$A:$A,$A25)</f>
        <v/>
      </c>
      <c r="H25" s="57">
        <f>SUMIFS('T12 Categorized'!AD:AD,'T12 Categorized'!$A:$A,$A25)</f>
        <v/>
      </c>
      <c r="I25" s="57">
        <f>SUMIFS('T12 Categorized'!AE:AE,'T12 Categorized'!$A:$A,$A25)</f>
        <v/>
      </c>
      <c r="J25" s="57">
        <f>SUMIFS('T12 Categorized'!AF:AF,'T12 Categorized'!$A:$A,$A25)</f>
        <v/>
      </c>
      <c r="K25" s="57">
        <f>SUMIFS('T12 Categorized'!AG:AG,'T12 Categorized'!$A:$A,$A25)</f>
        <v/>
      </c>
      <c r="L25" s="57">
        <f>SUMIFS('T12 Categorized'!AH:AH,'T12 Categorized'!$A:$A,$A25)</f>
        <v/>
      </c>
      <c r="M25" s="57">
        <f>SUMIFS('T12 Categorized'!AI:AI,'T12 Categorized'!$A:$A,$A25)</f>
        <v/>
      </c>
      <c r="N25" s="57">
        <f>SUMIFS('T12 Categorized'!AJ:AJ,'T12 Categorized'!$A:$A,$A25)</f>
        <v/>
      </c>
      <c r="O25" s="57">
        <f>SUMIFS('T12 Categorized'!AK:AK,'T12 Categorized'!$A:$A,$A25)</f>
        <v/>
      </c>
      <c r="P25" s="57">
        <f>SUMIFS('T12 Categorized'!AL:AL,'T12 Categorized'!$A:$A,$A25)</f>
        <v/>
      </c>
      <c r="Q25" s="57">
        <f>SUMIFS('T12 Categorized'!AM:AM,'T12 Categorized'!$A:$A,$A25)</f>
        <v/>
      </c>
    </row>
    <row r="26">
      <c r="A26" s="56" t="inlineStr">
        <is>
          <t>adv</t>
        </is>
      </c>
      <c r="B26" s="5" t="inlineStr">
        <is>
          <t>Marketing / Advertising</t>
        </is>
      </c>
      <c r="F26" s="57">
        <f>SUMIFS('T12 Categorized'!AB:AB,'T12 Categorized'!$A:$A,$A26)</f>
        <v/>
      </c>
      <c r="G26" s="57">
        <f>SUMIFS('T12 Categorized'!AC:AC,'T12 Categorized'!$A:$A,$A26)</f>
        <v/>
      </c>
      <c r="H26" s="57">
        <f>SUMIFS('T12 Categorized'!AD:AD,'T12 Categorized'!$A:$A,$A26)</f>
        <v/>
      </c>
      <c r="I26" s="57">
        <f>SUMIFS('T12 Categorized'!AE:AE,'T12 Categorized'!$A:$A,$A26)</f>
        <v/>
      </c>
      <c r="J26" s="57">
        <f>SUMIFS('T12 Categorized'!AF:AF,'T12 Categorized'!$A:$A,$A26)</f>
        <v/>
      </c>
      <c r="K26" s="57">
        <f>SUMIFS('T12 Categorized'!AG:AG,'T12 Categorized'!$A:$A,$A26)</f>
        <v/>
      </c>
      <c r="L26" s="57">
        <f>SUMIFS('T12 Categorized'!AH:AH,'T12 Categorized'!$A:$A,$A26)</f>
        <v/>
      </c>
      <c r="M26" s="57">
        <f>SUMIFS('T12 Categorized'!AI:AI,'T12 Categorized'!$A:$A,$A26)</f>
        <v/>
      </c>
      <c r="N26" s="57">
        <f>SUMIFS('T12 Categorized'!AJ:AJ,'T12 Categorized'!$A:$A,$A26)</f>
        <v/>
      </c>
      <c r="O26" s="57">
        <f>SUMIFS('T12 Categorized'!AK:AK,'T12 Categorized'!$A:$A,$A26)</f>
        <v/>
      </c>
      <c r="P26" s="57">
        <f>SUMIFS('T12 Categorized'!AL:AL,'T12 Categorized'!$A:$A,$A26)</f>
        <v/>
      </c>
      <c r="Q26" s="57">
        <f>SUMIFS('T12 Categorized'!AM:AM,'T12 Categorized'!$A:$A,$A26)</f>
        <v/>
      </c>
    </row>
    <row r="27">
      <c r="A27" s="56" t="inlineStr">
        <is>
          <t>GA</t>
        </is>
      </c>
      <c r="B27" s="5" t="inlineStr">
        <is>
          <t>General &amp; Administrative</t>
        </is>
      </c>
      <c r="F27" s="57">
        <f>SUMIFS('T12 Categorized'!AB:AB,'T12 Categorized'!$A:$A,$A27)</f>
        <v/>
      </c>
      <c r="G27" s="57">
        <f>SUMIFS('T12 Categorized'!AC:AC,'T12 Categorized'!$A:$A,$A27)</f>
        <v/>
      </c>
      <c r="H27" s="57">
        <f>SUMIFS('T12 Categorized'!AD:AD,'T12 Categorized'!$A:$A,$A27)</f>
        <v/>
      </c>
      <c r="I27" s="57">
        <f>SUMIFS('T12 Categorized'!AE:AE,'T12 Categorized'!$A:$A,$A27)</f>
        <v/>
      </c>
      <c r="J27" s="57">
        <f>SUMIFS('T12 Categorized'!AF:AF,'T12 Categorized'!$A:$A,$A27)</f>
        <v/>
      </c>
      <c r="K27" s="57">
        <f>SUMIFS('T12 Categorized'!AG:AG,'T12 Categorized'!$A:$A,$A27)</f>
        <v/>
      </c>
      <c r="L27" s="57">
        <f>SUMIFS('T12 Categorized'!AH:AH,'T12 Categorized'!$A:$A,$A27)</f>
        <v/>
      </c>
      <c r="M27" s="57">
        <f>SUMIFS('T12 Categorized'!AI:AI,'T12 Categorized'!$A:$A,$A27)</f>
        <v/>
      </c>
      <c r="N27" s="57">
        <f>SUMIFS('T12 Categorized'!AJ:AJ,'T12 Categorized'!$A:$A,$A27)</f>
        <v/>
      </c>
      <c r="O27" s="57">
        <f>SUMIFS('T12 Categorized'!AK:AK,'T12 Categorized'!$A:$A,$A27)</f>
        <v/>
      </c>
      <c r="P27" s="57">
        <f>SUMIFS('T12 Categorized'!AL:AL,'T12 Categorized'!$A:$A,$A27)</f>
        <v/>
      </c>
      <c r="Q27" s="57">
        <f>SUMIFS('T12 Categorized'!AM:AM,'T12 Categorized'!$A:$A,$A27)</f>
        <v/>
      </c>
    </row>
    <row r="28">
      <c r="A28" s="56" t="inlineStr">
        <is>
          <t>turn</t>
        </is>
      </c>
      <c r="B28" s="5" t="inlineStr">
        <is>
          <t>Turnover</t>
        </is>
      </c>
      <c r="F28" s="57">
        <f>SUMIFS('T12 Categorized'!AB:AB,'T12 Categorized'!$A:$A,$A28)</f>
        <v/>
      </c>
      <c r="G28" s="57">
        <f>SUMIFS('T12 Categorized'!AC:AC,'T12 Categorized'!$A:$A,$A28)</f>
        <v/>
      </c>
      <c r="H28" s="57">
        <f>SUMIFS('T12 Categorized'!AD:AD,'T12 Categorized'!$A:$A,$A28)</f>
        <v/>
      </c>
      <c r="I28" s="57">
        <f>SUMIFS('T12 Categorized'!AE:AE,'T12 Categorized'!$A:$A,$A28)</f>
        <v/>
      </c>
      <c r="J28" s="57">
        <f>SUMIFS('T12 Categorized'!AF:AF,'T12 Categorized'!$A:$A,$A28)</f>
        <v/>
      </c>
      <c r="K28" s="57">
        <f>SUMIFS('T12 Categorized'!AG:AG,'T12 Categorized'!$A:$A,$A28)</f>
        <v/>
      </c>
      <c r="L28" s="57">
        <f>SUMIFS('T12 Categorized'!AH:AH,'T12 Categorized'!$A:$A,$A28)</f>
        <v/>
      </c>
      <c r="M28" s="57">
        <f>SUMIFS('T12 Categorized'!AI:AI,'T12 Categorized'!$A:$A,$A28)</f>
        <v/>
      </c>
      <c r="N28" s="57">
        <f>SUMIFS('T12 Categorized'!AJ:AJ,'T12 Categorized'!$A:$A,$A28)</f>
        <v/>
      </c>
      <c r="O28" s="57">
        <f>SUMIFS('T12 Categorized'!AK:AK,'T12 Categorized'!$A:$A,$A28)</f>
        <v/>
      </c>
      <c r="P28" s="57">
        <f>SUMIFS('T12 Categorized'!AL:AL,'T12 Categorized'!$A:$A,$A28)</f>
        <v/>
      </c>
      <c r="Q28" s="57">
        <f>SUMIFS('T12 Categorized'!AM:AM,'T12 Categorized'!$A:$A,$A28)</f>
        <v/>
      </c>
    </row>
    <row r="29">
      <c r="A29" s="56" t="inlineStr">
        <is>
          <t>inter/exte</t>
        </is>
      </c>
      <c r="B29" s="5" t="inlineStr">
        <is>
          <t>R&amp;M Interior / Exterior</t>
        </is>
      </c>
      <c r="F29" s="57">
        <f>SUMIFS('T12 Categorized'!AB:AB,'T12 Categorized'!$A:$A,$A29)</f>
        <v/>
      </c>
      <c r="G29" s="57">
        <f>SUMIFS('T12 Categorized'!AC:AC,'T12 Categorized'!$A:$A,$A29)</f>
        <v/>
      </c>
      <c r="H29" s="57">
        <f>SUMIFS('T12 Categorized'!AD:AD,'T12 Categorized'!$A:$A,$A29)</f>
        <v/>
      </c>
      <c r="I29" s="57">
        <f>SUMIFS('T12 Categorized'!AE:AE,'T12 Categorized'!$A:$A,$A29)</f>
        <v/>
      </c>
      <c r="J29" s="57">
        <f>SUMIFS('T12 Categorized'!AF:AF,'T12 Categorized'!$A:$A,$A29)</f>
        <v/>
      </c>
      <c r="K29" s="57">
        <f>SUMIFS('T12 Categorized'!AG:AG,'T12 Categorized'!$A:$A,$A29)</f>
        <v/>
      </c>
      <c r="L29" s="57">
        <f>SUMIFS('T12 Categorized'!AH:AH,'T12 Categorized'!$A:$A,$A29)</f>
        <v/>
      </c>
      <c r="M29" s="57">
        <f>SUMIFS('T12 Categorized'!AI:AI,'T12 Categorized'!$A:$A,$A29)</f>
        <v/>
      </c>
      <c r="N29" s="57">
        <f>SUMIFS('T12 Categorized'!AJ:AJ,'T12 Categorized'!$A:$A,$A29)</f>
        <v/>
      </c>
      <c r="O29" s="57">
        <f>SUMIFS('T12 Categorized'!AK:AK,'T12 Categorized'!$A:$A,$A29)</f>
        <v/>
      </c>
      <c r="P29" s="57">
        <f>SUMIFS('T12 Categorized'!AL:AL,'T12 Categorized'!$A:$A,$A29)</f>
        <v/>
      </c>
      <c r="Q29" s="57">
        <f>SUMIFS('T12 Categorized'!AM:AM,'T12 Categorized'!$A:$A,$A29)</f>
        <v/>
      </c>
    </row>
    <row r="30">
      <c r="A30" s="56" t="inlineStr">
        <is>
          <t>cont</t>
        </is>
      </c>
      <c r="B30" s="5" t="inlineStr">
        <is>
          <t>Contract</t>
        </is>
      </c>
      <c r="F30" s="57">
        <f>SUMIFS('T12 Categorized'!AB:AB,'T12 Categorized'!$A:$A,$A30)</f>
        <v/>
      </c>
      <c r="G30" s="57">
        <f>SUMIFS('T12 Categorized'!AC:AC,'T12 Categorized'!$A:$A,$A30)</f>
        <v/>
      </c>
      <c r="H30" s="57">
        <f>SUMIFS('T12 Categorized'!AD:AD,'T12 Categorized'!$A:$A,$A30)</f>
        <v/>
      </c>
      <c r="I30" s="57">
        <f>SUMIFS('T12 Categorized'!AE:AE,'T12 Categorized'!$A:$A,$A30)</f>
        <v/>
      </c>
      <c r="J30" s="57">
        <f>SUMIFS('T12 Categorized'!AF:AF,'T12 Categorized'!$A:$A,$A30)</f>
        <v/>
      </c>
      <c r="K30" s="57">
        <f>SUMIFS('T12 Categorized'!AG:AG,'T12 Categorized'!$A:$A,$A30)</f>
        <v/>
      </c>
      <c r="L30" s="57">
        <f>SUMIFS('T12 Categorized'!AH:AH,'T12 Categorized'!$A:$A,$A30)</f>
        <v/>
      </c>
      <c r="M30" s="57">
        <f>SUMIFS('T12 Categorized'!AI:AI,'T12 Categorized'!$A:$A,$A30)</f>
        <v/>
      </c>
      <c r="N30" s="57">
        <f>SUMIFS('T12 Categorized'!AJ:AJ,'T12 Categorized'!$A:$A,$A30)</f>
        <v/>
      </c>
      <c r="O30" s="57">
        <f>SUMIFS('T12 Categorized'!AK:AK,'T12 Categorized'!$A:$A,$A30)</f>
        <v/>
      </c>
      <c r="P30" s="57">
        <f>SUMIFS('T12 Categorized'!AL:AL,'T12 Categorized'!$A:$A,$A30)</f>
        <v/>
      </c>
      <c r="Q30" s="57">
        <f>SUMIFS('T12 Categorized'!AM:AM,'T12 Categorized'!$A:$A,$A30)</f>
        <v/>
      </c>
    </row>
    <row r="31">
      <c r="A31" s="56" t="inlineStr">
        <is>
          <t>Safe</t>
        </is>
      </c>
      <c r="B31" s="5" t="inlineStr">
        <is>
          <t>Life Safety / Elevators</t>
        </is>
      </c>
      <c r="F31" s="57">
        <f>SUMIFS('T12 Categorized'!AB:AB,'T12 Categorized'!$A:$A,$A31)</f>
        <v/>
      </c>
      <c r="G31" s="57">
        <f>SUMIFS('T12 Categorized'!AC:AC,'T12 Categorized'!$A:$A,$A31)</f>
        <v/>
      </c>
      <c r="H31" s="57">
        <f>SUMIFS('T12 Categorized'!AD:AD,'T12 Categorized'!$A:$A,$A31)</f>
        <v/>
      </c>
      <c r="I31" s="57">
        <f>SUMIFS('T12 Categorized'!AE:AE,'T12 Categorized'!$A:$A,$A31)</f>
        <v/>
      </c>
      <c r="J31" s="57">
        <f>SUMIFS('T12 Categorized'!AF:AF,'T12 Categorized'!$A:$A,$A31)</f>
        <v/>
      </c>
      <c r="K31" s="57">
        <f>SUMIFS('T12 Categorized'!AG:AG,'T12 Categorized'!$A:$A,$A31)</f>
        <v/>
      </c>
      <c r="L31" s="57">
        <f>SUMIFS('T12 Categorized'!AH:AH,'T12 Categorized'!$A:$A,$A31)</f>
        <v/>
      </c>
      <c r="M31" s="57">
        <f>SUMIFS('T12 Categorized'!AI:AI,'T12 Categorized'!$A:$A,$A31)</f>
        <v/>
      </c>
      <c r="N31" s="57">
        <f>SUMIFS('T12 Categorized'!AJ:AJ,'T12 Categorized'!$A:$A,$A31)</f>
        <v/>
      </c>
      <c r="O31" s="57">
        <f>SUMIFS('T12 Categorized'!AK:AK,'T12 Categorized'!$A:$A,$A31)</f>
        <v/>
      </c>
      <c r="P31" s="57">
        <f>SUMIFS('T12 Categorized'!AL:AL,'T12 Categorized'!$A:$A,$A31)</f>
        <v/>
      </c>
      <c r="Q31" s="57">
        <f>SUMIFS('T12 Categorized'!AM:AM,'T12 Categorized'!$A:$A,$A31)</f>
        <v/>
      </c>
    </row>
    <row r="32">
      <c r="A32" s="56" t="inlineStr">
        <is>
          <t>HAF</t>
        </is>
      </c>
      <c r="B32" s="5" t="inlineStr">
        <is>
          <t>Homeowners Association Fees</t>
        </is>
      </c>
      <c r="F32" s="57">
        <f>SUMIFS('T12 Categorized'!AB:AB,'T12 Categorized'!$A:$A,$A32)</f>
        <v/>
      </c>
      <c r="G32" s="57">
        <f>SUMIFS('T12 Categorized'!AC:AC,'T12 Categorized'!$A:$A,$A32)</f>
        <v/>
      </c>
      <c r="H32" s="57">
        <f>SUMIFS('T12 Categorized'!AD:AD,'T12 Categorized'!$A:$A,$A32)</f>
        <v/>
      </c>
      <c r="I32" s="57">
        <f>SUMIFS('T12 Categorized'!AE:AE,'T12 Categorized'!$A:$A,$A32)</f>
        <v/>
      </c>
      <c r="J32" s="57">
        <f>SUMIFS('T12 Categorized'!AF:AF,'T12 Categorized'!$A:$A,$A32)</f>
        <v/>
      </c>
      <c r="K32" s="57">
        <f>SUMIFS('T12 Categorized'!AG:AG,'T12 Categorized'!$A:$A,$A32)</f>
        <v/>
      </c>
      <c r="L32" s="57">
        <f>SUMIFS('T12 Categorized'!AH:AH,'T12 Categorized'!$A:$A,$A32)</f>
        <v/>
      </c>
      <c r="M32" s="57">
        <f>SUMIFS('T12 Categorized'!AI:AI,'T12 Categorized'!$A:$A,$A32)</f>
        <v/>
      </c>
      <c r="N32" s="57">
        <f>SUMIFS('T12 Categorized'!AJ:AJ,'T12 Categorized'!$A:$A,$A32)</f>
        <v/>
      </c>
      <c r="O32" s="57">
        <f>SUMIFS('T12 Categorized'!AK:AK,'T12 Categorized'!$A:$A,$A32)</f>
        <v/>
      </c>
      <c r="P32" s="57">
        <f>SUMIFS('T12 Categorized'!AL:AL,'T12 Categorized'!$A:$A,$A32)</f>
        <v/>
      </c>
      <c r="Q32" s="57">
        <f>SUMIFS('T12 Categorized'!AM:AM,'T12 Categorized'!$A:$A,$A32)</f>
        <v/>
      </c>
    </row>
    <row r="33">
      <c r="A33" s="56" t="inlineStr">
        <is>
          <t>UT</t>
        </is>
      </c>
      <c r="B33" s="5" t="inlineStr">
        <is>
          <t>Utilities Trash</t>
        </is>
      </c>
      <c r="F33" s="57">
        <f>SUMIFS('T12 Categorized'!AB:AB,'T12 Categorized'!$A:$A,$A33)</f>
        <v/>
      </c>
      <c r="G33" s="57">
        <f>SUMIFS('T12 Categorized'!AC:AC,'T12 Categorized'!$A:$A,$A33)</f>
        <v/>
      </c>
      <c r="H33" s="57">
        <f>SUMIFS('T12 Categorized'!AD:AD,'T12 Categorized'!$A:$A,$A33)</f>
        <v/>
      </c>
      <c r="I33" s="57">
        <f>SUMIFS('T12 Categorized'!AE:AE,'T12 Categorized'!$A:$A,$A33)</f>
        <v/>
      </c>
      <c r="J33" s="57">
        <f>SUMIFS('T12 Categorized'!AF:AF,'T12 Categorized'!$A:$A,$A33)</f>
        <v/>
      </c>
      <c r="K33" s="57">
        <f>SUMIFS('T12 Categorized'!AG:AG,'T12 Categorized'!$A:$A,$A33)</f>
        <v/>
      </c>
      <c r="L33" s="57">
        <f>SUMIFS('T12 Categorized'!AH:AH,'T12 Categorized'!$A:$A,$A33)</f>
        <v/>
      </c>
      <c r="M33" s="57">
        <f>SUMIFS('T12 Categorized'!AI:AI,'T12 Categorized'!$A:$A,$A33)</f>
        <v/>
      </c>
      <c r="N33" s="57">
        <f>SUMIFS('T12 Categorized'!AJ:AJ,'T12 Categorized'!$A:$A,$A33)</f>
        <v/>
      </c>
      <c r="O33" s="57">
        <f>SUMIFS('T12 Categorized'!AK:AK,'T12 Categorized'!$A:$A,$A33)</f>
        <v/>
      </c>
      <c r="P33" s="57">
        <f>SUMIFS('T12 Categorized'!AL:AL,'T12 Categorized'!$A:$A,$A33)</f>
        <v/>
      </c>
      <c r="Q33" s="57">
        <f>SUMIFS('T12 Categorized'!AM:AM,'T12 Categorized'!$A:$A,$A33)</f>
        <v/>
      </c>
    </row>
    <row r="34">
      <c r="A34" s="56" t="inlineStr">
        <is>
          <t>UWS</t>
        </is>
      </c>
      <c r="B34" s="5" t="inlineStr">
        <is>
          <t>Utilities Water Sewer</t>
        </is>
      </c>
      <c r="F34" s="57">
        <f>SUMIFS('T12 Categorized'!AB:AB,'T12 Categorized'!$A:$A,$A34)</f>
        <v/>
      </c>
      <c r="G34" s="57">
        <f>SUMIFS('T12 Categorized'!AC:AC,'T12 Categorized'!$A:$A,$A34)</f>
        <v/>
      </c>
      <c r="H34" s="57">
        <f>SUMIFS('T12 Categorized'!AD:AD,'T12 Categorized'!$A:$A,$A34)</f>
        <v/>
      </c>
      <c r="I34" s="57">
        <f>SUMIFS('T12 Categorized'!AE:AE,'T12 Categorized'!$A:$A,$A34)</f>
        <v/>
      </c>
      <c r="J34" s="57">
        <f>SUMIFS('T12 Categorized'!AF:AF,'T12 Categorized'!$A:$A,$A34)</f>
        <v/>
      </c>
      <c r="K34" s="57">
        <f>SUMIFS('T12 Categorized'!AG:AG,'T12 Categorized'!$A:$A,$A34)</f>
        <v/>
      </c>
      <c r="L34" s="57">
        <f>SUMIFS('T12 Categorized'!AH:AH,'T12 Categorized'!$A:$A,$A34)</f>
        <v/>
      </c>
      <c r="M34" s="57">
        <f>SUMIFS('T12 Categorized'!AI:AI,'T12 Categorized'!$A:$A,$A34)</f>
        <v/>
      </c>
      <c r="N34" s="57">
        <f>SUMIFS('T12 Categorized'!AJ:AJ,'T12 Categorized'!$A:$A,$A34)</f>
        <v/>
      </c>
      <c r="O34" s="57">
        <f>SUMIFS('T12 Categorized'!AK:AK,'T12 Categorized'!$A:$A,$A34)</f>
        <v/>
      </c>
      <c r="P34" s="57">
        <f>SUMIFS('T12 Categorized'!AL:AL,'T12 Categorized'!$A:$A,$A34)</f>
        <v/>
      </c>
      <c r="Q34" s="57">
        <f>SUMIFS('T12 Categorized'!AM:AM,'T12 Categorized'!$A:$A,$A34)</f>
        <v/>
      </c>
    </row>
    <row r="35">
      <c r="A35" s="56" t="inlineStr">
        <is>
          <t>UC</t>
        </is>
      </c>
      <c r="B35" s="5" t="inlineStr">
        <is>
          <t>Utilities Common</t>
        </is>
      </c>
      <c r="F35" s="57">
        <f>SUMIFS('T12 Categorized'!AB:AB,'T12 Categorized'!$A:$A,$A35)</f>
        <v/>
      </c>
      <c r="G35" s="57">
        <f>SUMIFS('T12 Categorized'!AC:AC,'T12 Categorized'!$A:$A,$A35)</f>
        <v/>
      </c>
      <c r="H35" s="57">
        <f>SUMIFS('T12 Categorized'!AD:AD,'T12 Categorized'!$A:$A,$A35)</f>
        <v/>
      </c>
      <c r="I35" s="57">
        <f>SUMIFS('T12 Categorized'!AE:AE,'T12 Categorized'!$A:$A,$A35)</f>
        <v/>
      </c>
      <c r="J35" s="57">
        <f>SUMIFS('T12 Categorized'!AF:AF,'T12 Categorized'!$A:$A,$A35)</f>
        <v/>
      </c>
      <c r="K35" s="57">
        <f>SUMIFS('T12 Categorized'!AG:AG,'T12 Categorized'!$A:$A,$A35)</f>
        <v/>
      </c>
      <c r="L35" s="57">
        <f>SUMIFS('T12 Categorized'!AH:AH,'T12 Categorized'!$A:$A,$A35)</f>
        <v/>
      </c>
      <c r="M35" s="57">
        <f>SUMIFS('T12 Categorized'!AI:AI,'T12 Categorized'!$A:$A,$A35)</f>
        <v/>
      </c>
      <c r="N35" s="57">
        <f>SUMIFS('T12 Categorized'!AJ:AJ,'T12 Categorized'!$A:$A,$A35)</f>
        <v/>
      </c>
      <c r="O35" s="57">
        <f>SUMIFS('T12 Categorized'!AK:AK,'T12 Categorized'!$A:$A,$A35)</f>
        <v/>
      </c>
      <c r="P35" s="57">
        <f>SUMIFS('T12 Categorized'!AL:AL,'T12 Categorized'!$A:$A,$A35)</f>
        <v/>
      </c>
      <c r="Q35" s="57">
        <f>SUMIFS('T12 Categorized'!AM:AM,'T12 Categorized'!$A:$A,$A35)</f>
        <v/>
      </c>
    </row>
    <row r="36">
      <c r="A36" s="56" t="inlineStr">
        <is>
          <t>UF</t>
        </is>
      </c>
      <c r="B36" s="5" t="inlineStr">
        <is>
          <t>Utilities Fees</t>
        </is>
      </c>
      <c r="F36" s="57">
        <f>SUMIFS('T12 Categorized'!AB:AB,'T12 Categorized'!$A:$A,$A36)</f>
        <v/>
      </c>
      <c r="G36" s="57">
        <f>SUMIFS('T12 Categorized'!AC:AC,'T12 Categorized'!$A:$A,$A36)</f>
        <v/>
      </c>
      <c r="H36" s="57">
        <f>SUMIFS('T12 Categorized'!AD:AD,'T12 Categorized'!$A:$A,$A36)</f>
        <v/>
      </c>
      <c r="I36" s="57">
        <f>SUMIFS('T12 Categorized'!AE:AE,'T12 Categorized'!$A:$A,$A36)</f>
        <v/>
      </c>
      <c r="J36" s="57">
        <f>SUMIFS('T12 Categorized'!AF:AF,'T12 Categorized'!$A:$A,$A36)</f>
        <v/>
      </c>
      <c r="K36" s="57">
        <f>SUMIFS('T12 Categorized'!AG:AG,'T12 Categorized'!$A:$A,$A36)</f>
        <v/>
      </c>
      <c r="L36" s="57">
        <f>SUMIFS('T12 Categorized'!AH:AH,'T12 Categorized'!$A:$A,$A36)</f>
        <v/>
      </c>
      <c r="M36" s="57">
        <f>SUMIFS('T12 Categorized'!AI:AI,'T12 Categorized'!$A:$A,$A36)</f>
        <v/>
      </c>
      <c r="N36" s="57">
        <f>SUMIFS('T12 Categorized'!AJ:AJ,'T12 Categorized'!$A:$A,$A36)</f>
        <v/>
      </c>
      <c r="O36" s="57">
        <f>SUMIFS('T12 Categorized'!AK:AK,'T12 Categorized'!$A:$A,$A36)</f>
        <v/>
      </c>
      <c r="P36" s="57">
        <f>SUMIFS('T12 Categorized'!AL:AL,'T12 Categorized'!$A:$A,$A36)</f>
        <v/>
      </c>
      <c r="Q36" s="57">
        <f>SUMIFS('T12 Categorized'!AM:AM,'T12 Categorized'!$A:$A,$A36)</f>
        <v/>
      </c>
    </row>
    <row r="37">
      <c r="A37" s="56" t="inlineStr">
        <is>
          <t>mgt</t>
        </is>
      </c>
      <c r="B37" s="5" t="inlineStr">
        <is>
          <t>Property Management Fee</t>
        </is>
      </c>
      <c r="F37" s="57">
        <f>SUMIFS('T12 Categorized'!AB:AB,'T12 Categorized'!$A:$A,$A37)</f>
        <v/>
      </c>
      <c r="G37" s="57">
        <f>SUMIFS('T12 Categorized'!AC:AC,'T12 Categorized'!$A:$A,$A37)</f>
        <v/>
      </c>
      <c r="H37" s="57">
        <f>SUMIFS('T12 Categorized'!AD:AD,'T12 Categorized'!$A:$A,$A37)</f>
        <v/>
      </c>
      <c r="I37" s="57">
        <f>SUMIFS('T12 Categorized'!AE:AE,'T12 Categorized'!$A:$A,$A37)</f>
        <v/>
      </c>
      <c r="J37" s="57">
        <f>SUMIFS('T12 Categorized'!AF:AF,'T12 Categorized'!$A:$A,$A37)</f>
        <v/>
      </c>
      <c r="K37" s="57">
        <f>SUMIFS('T12 Categorized'!AG:AG,'T12 Categorized'!$A:$A,$A37)</f>
        <v/>
      </c>
      <c r="L37" s="57">
        <f>SUMIFS('T12 Categorized'!AH:AH,'T12 Categorized'!$A:$A,$A37)</f>
        <v/>
      </c>
      <c r="M37" s="57">
        <f>SUMIFS('T12 Categorized'!AI:AI,'T12 Categorized'!$A:$A,$A37)</f>
        <v/>
      </c>
      <c r="N37" s="57">
        <f>SUMIFS('T12 Categorized'!AJ:AJ,'T12 Categorized'!$A:$A,$A37)</f>
        <v/>
      </c>
      <c r="O37" s="57">
        <f>SUMIFS('T12 Categorized'!AK:AK,'T12 Categorized'!$A:$A,$A37)</f>
        <v/>
      </c>
      <c r="P37" s="57">
        <f>SUMIFS('T12 Categorized'!AL:AL,'T12 Categorized'!$A:$A,$A37)</f>
        <v/>
      </c>
      <c r="Q37" s="57">
        <f>SUMIFS('T12 Categorized'!AM:AM,'T12 Categorized'!$A:$A,$A37)</f>
        <v/>
      </c>
    </row>
    <row r="38">
      <c r="A38" s="56" t="inlineStr">
        <is>
          <t>ins</t>
        </is>
      </c>
      <c r="B38" s="5" t="inlineStr">
        <is>
          <t>Insurance</t>
        </is>
      </c>
      <c r="F38" s="57">
        <f>SUMIFS('T12 Categorized'!AB:AB,'T12 Categorized'!$A:$A,$A38)</f>
        <v/>
      </c>
      <c r="G38" s="57">
        <f>SUMIFS('T12 Categorized'!AC:AC,'T12 Categorized'!$A:$A,$A38)</f>
        <v/>
      </c>
      <c r="H38" s="57">
        <f>SUMIFS('T12 Categorized'!AD:AD,'T12 Categorized'!$A:$A,$A38)</f>
        <v/>
      </c>
      <c r="I38" s="57">
        <f>SUMIFS('T12 Categorized'!AE:AE,'T12 Categorized'!$A:$A,$A38)</f>
        <v/>
      </c>
      <c r="J38" s="57">
        <f>SUMIFS('T12 Categorized'!AF:AF,'T12 Categorized'!$A:$A,$A38)</f>
        <v/>
      </c>
      <c r="K38" s="57">
        <f>SUMIFS('T12 Categorized'!AG:AG,'T12 Categorized'!$A:$A,$A38)</f>
        <v/>
      </c>
      <c r="L38" s="57">
        <f>SUMIFS('T12 Categorized'!AH:AH,'T12 Categorized'!$A:$A,$A38)</f>
        <v/>
      </c>
      <c r="M38" s="57">
        <f>SUMIFS('T12 Categorized'!AI:AI,'T12 Categorized'!$A:$A,$A38)</f>
        <v/>
      </c>
      <c r="N38" s="57">
        <f>SUMIFS('T12 Categorized'!AJ:AJ,'T12 Categorized'!$A:$A,$A38)</f>
        <v/>
      </c>
      <c r="O38" s="57">
        <f>SUMIFS('T12 Categorized'!AK:AK,'T12 Categorized'!$A:$A,$A38)</f>
        <v/>
      </c>
      <c r="P38" s="57">
        <f>SUMIFS('T12 Categorized'!AL:AL,'T12 Categorized'!$A:$A,$A38)</f>
        <v/>
      </c>
      <c r="Q38" s="57">
        <f>SUMIFS('T12 Categorized'!AM:AM,'T12 Categorized'!$A:$A,$A38)</f>
        <v/>
      </c>
    </row>
    <row r="39">
      <c r="A39" s="56" t="inlineStr">
        <is>
          <t>ret</t>
        </is>
      </c>
      <c r="B39" s="5" t="inlineStr">
        <is>
          <t>Real Estate Taxes</t>
        </is>
      </c>
      <c r="F39" s="57">
        <f>SUMIFS('T12 Categorized'!AB:AB,'T12 Categorized'!$A:$A,$A39)</f>
        <v/>
      </c>
      <c r="G39" s="57">
        <f>SUMIFS('T12 Categorized'!AC:AC,'T12 Categorized'!$A:$A,$A39)</f>
        <v/>
      </c>
      <c r="H39" s="57">
        <f>SUMIFS('T12 Categorized'!AD:AD,'T12 Categorized'!$A:$A,$A39)</f>
        <v/>
      </c>
      <c r="I39" s="57">
        <f>SUMIFS('T12 Categorized'!AE:AE,'T12 Categorized'!$A:$A,$A39)</f>
        <v/>
      </c>
      <c r="J39" s="57">
        <f>SUMIFS('T12 Categorized'!AF:AF,'T12 Categorized'!$A:$A,$A39)</f>
        <v/>
      </c>
      <c r="K39" s="57">
        <f>SUMIFS('T12 Categorized'!AG:AG,'T12 Categorized'!$A:$A,$A39)</f>
        <v/>
      </c>
      <c r="L39" s="57">
        <f>SUMIFS('T12 Categorized'!AH:AH,'T12 Categorized'!$A:$A,$A39)</f>
        <v/>
      </c>
      <c r="M39" s="57">
        <f>SUMIFS('T12 Categorized'!AI:AI,'T12 Categorized'!$A:$A,$A39)</f>
        <v/>
      </c>
      <c r="N39" s="57">
        <f>SUMIFS('T12 Categorized'!AJ:AJ,'T12 Categorized'!$A:$A,$A39)</f>
        <v/>
      </c>
      <c r="O39" s="57">
        <f>SUMIFS('T12 Categorized'!AK:AK,'T12 Categorized'!$A:$A,$A39)</f>
        <v/>
      </c>
      <c r="P39" s="57">
        <f>SUMIFS('T12 Categorized'!AL:AL,'T12 Categorized'!$A:$A,$A39)</f>
        <v/>
      </c>
      <c r="Q39" s="57">
        <f>SUMIFS('T12 Categorized'!AM:AM,'T12 Categorized'!$A:$A,$A39)</f>
        <v/>
      </c>
    </row>
    <row r="40">
      <c r="A40" s="56" t="inlineStr">
        <is>
          <t>NI</t>
        </is>
      </c>
      <c r="B40" s="5" t="inlineStr">
        <is>
          <t>Not Included</t>
        </is>
      </c>
      <c r="F40" s="57">
        <f>SUMIFS('T12 Categorized'!AB:AB,'T12 Categorized'!$A:$A,$A40)</f>
        <v/>
      </c>
      <c r="G40" s="57">
        <f>SUMIFS('T12 Categorized'!AC:AC,'T12 Categorized'!$A:$A,$A40)</f>
        <v/>
      </c>
      <c r="H40" s="57">
        <f>SUMIFS('T12 Categorized'!AD:AD,'T12 Categorized'!$A:$A,$A40)</f>
        <v/>
      </c>
      <c r="I40" s="57">
        <f>SUMIFS('T12 Categorized'!AE:AE,'T12 Categorized'!$A:$A,$A40)</f>
        <v/>
      </c>
      <c r="J40" s="57">
        <f>SUMIFS('T12 Categorized'!AF:AF,'T12 Categorized'!$A:$A,$A40)</f>
        <v/>
      </c>
      <c r="K40" s="57">
        <f>SUMIFS('T12 Categorized'!AG:AG,'T12 Categorized'!$A:$A,$A40)</f>
        <v/>
      </c>
      <c r="L40" s="57">
        <f>SUMIFS('T12 Categorized'!AH:AH,'T12 Categorized'!$A:$A,$A40)</f>
        <v/>
      </c>
      <c r="M40" s="57">
        <f>SUMIFS('T12 Categorized'!AI:AI,'T12 Categorized'!$A:$A,$A40)</f>
        <v/>
      </c>
      <c r="N40" s="57">
        <f>SUMIFS('T12 Categorized'!AJ:AJ,'T12 Categorized'!$A:$A,$A40)</f>
        <v/>
      </c>
      <c r="O40" s="57">
        <f>SUMIFS('T12 Categorized'!AK:AK,'T12 Categorized'!$A:$A,$A40)</f>
        <v/>
      </c>
      <c r="P40" s="57">
        <f>SUMIFS('T12 Categorized'!AL:AL,'T12 Categorized'!$A:$A,$A40)</f>
        <v/>
      </c>
      <c r="Q40" s="57">
        <f>SUMIFS('T12 Categorized'!AM:AM,'T12 Categorized'!$A:$A,$A40)</f>
        <v/>
      </c>
    </row>
    <row r="41">
      <c r="A41" s="56" t="inlineStr">
        <is>
          <t>site</t>
        </is>
      </c>
      <c r="B41" s="5" t="inlineStr">
        <is>
          <t>R&amp;M Site</t>
        </is>
      </c>
      <c r="F41" s="57">
        <f>SUMIFS('T12 Categorized'!AB:AB,'T12 Categorized'!$A:$A,$A41)</f>
        <v/>
      </c>
      <c r="G41" s="57">
        <f>SUMIFS('T12 Categorized'!AC:AC,'T12 Categorized'!$A:$A,$A41)</f>
        <v/>
      </c>
      <c r="H41" s="57">
        <f>SUMIFS('T12 Categorized'!AD:AD,'T12 Categorized'!$A:$A,$A41)</f>
        <v/>
      </c>
      <c r="I41" s="57">
        <f>SUMIFS('T12 Categorized'!AE:AE,'T12 Categorized'!$A:$A,$A41)</f>
        <v/>
      </c>
      <c r="J41" s="57">
        <f>SUMIFS('T12 Categorized'!AF:AF,'T12 Categorized'!$A:$A,$A41)</f>
        <v/>
      </c>
      <c r="K41" s="57">
        <f>SUMIFS('T12 Categorized'!AG:AG,'T12 Categorized'!$A:$A,$A41)</f>
        <v/>
      </c>
      <c r="L41" s="57">
        <f>SUMIFS('T12 Categorized'!AH:AH,'T12 Categorized'!$A:$A,$A41)</f>
        <v/>
      </c>
      <c r="M41" s="57">
        <f>SUMIFS('T12 Categorized'!AI:AI,'T12 Categorized'!$A:$A,$A41)</f>
        <v/>
      </c>
      <c r="N41" s="57">
        <f>SUMIFS('T12 Categorized'!AJ:AJ,'T12 Categorized'!$A:$A,$A41)</f>
        <v/>
      </c>
      <c r="O41" s="57">
        <f>SUMIFS('T12 Categorized'!AK:AK,'T12 Categorized'!$A:$A,$A41)</f>
        <v/>
      </c>
      <c r="P41" s="57">
        <f>SUMIFS('T12 Categorized'!AL:AL,'T12 Categorized'!$A:$A,$A41)</f>
        <v/>
      </c>
      <c r="Q41" s="57">
        <f>SUMIFS('T12 Categorized'!AM:AM,'T12 Categorized'!$A:$A,$A41)</f>
        <v/>
      </c>
    </row>
    <row r="42">
      <c r="A42" s="45" t="n"/>
      <c r="B42" s="46" t="inlineStr">
        <is>
          <t>Operating Expenses</t>
        </is>
      </c>
      <c r="F42" s="58">
        <f>SUM(F23:F41)</f>
        <v/>
      </c>
      <c r="G42" s="58">
        <f>SUM(G23:G41)</f>
        <v/>
      </c>
      <c r="H42" s="58">
        <f>SUM(H23:H41)</f>
        <v/>
      </c>
      <c r="I42" s="58">
        <f>SUM(I23:I41)</f>
        <v/>
      </c>
      <c r="J42" s="58">
        <f>SUM(J23:J41)</f>
        <v/>
      </c>
      <c r="K42" s="58">
        <f>SUM(K23:K41)</f>
        <v/>
      </c>
      <c r="L42" s="58">
        <f>SUM(L23:L41)</f>
        <v/>
      </c>
      <c r="M42" s="58">
        <f>SUM(M23:M41)</f>
        <v/>
      </c>
      <c r="N42" s="58">
        <f>SUM(N23:N41)</f>
        <v/>
      </c>
      <c r="O42" s="58">
        <f>SUM(O23:O41)</f>
        <v/>
      </c>
      <c r="P42" s="58">
        <f>SUM(P23:P41)</f>
        <v/>
      </c>
      <c r="Q42" s="58">
        <f>SUM(Q23:Q41)</f>
        <v/>
      </c>
    </row>
    <row r="44">
      <c r="A44" s="40" t="n"/>
      <c r="B44" s="59" t="inlineStr">
        <is>
          <t>Net Operating Income</t>
        </is>
      </c>
      <c r="F44" s="60">
        <f>F20-F42</f>
        <v/>
      </c>
      <c r="G44" s="60">
        <f>G20-G42</f>
        <v/>
      </c>
      <c r="H44" s="60">
        <f>H20-H42</f>
        <v/>
      </c>
      <c r="I44" s="60">
        <f>I20-I42</f>
        <v/>
      </c>
      <c r="J44" s="60">
        <f>J20-J42</f>
        <v/>
      </c>
      <c r="K44" s="60">
        <f>K20-K42</f>
        <v/>
      </c>
      <c r="L44" s="60">
        <f>L20-L42</f>
        <v/>
      </c>
      <c r="M44" s="60">
        <f>M20-M42</f>
        <v/>
      </c>
      <c r="N44" s="60">
        <f>N20-N42</f>
        <v/>
      </c>
      <c r="O44" s="60">
        <f>O20-O42</f>
        <v/>
      </c>
      <c r="P44" s="60">
        <f>P20-P42</f>
        <v/>
      </c>
      <c r="Q44" s="60">
        <f>Q20-Q42</f>
        <v/>
      </c>
    </row>
    <row r="46">
      <c r="A46" s="40" t="n"/>
      <c r="B46" s="39" t="inlineStr">
        <is>
          <t>Non-Operating Revenue</t>
        </is>
      </c>
    </row>
    <row r="47">
      <c r="A47" s="56" t="inlineStr">
        <is>
          <t>dispro</t>
        </is>
      </c>
      <c r="B47" s="5" t="inlineStr">
        <is>
          <t>Disposition Proceeds</t>
        </is>
      </c>
      <c r="F47" s="57">
        <f>SUMIFS('T12 Categorized'!AB:AB,'T12 Categorized'!$A:$A,$A47)</f>
        <v/>
      </c>
      <c r="G47" s="57">
        <f>SUMIFS('T12 Categorized'!AC:AC,'T12 Categorized'!$A:$A,$A47)</f>
        <v/>
      </c>
      <c r="H47" s="57">
        <f>SUMIFS('T12 Categorized'!AD:AD,'T12 Categorized'!$A:$A,$A47)</f>
        <v/>
      </c>
      <c r="I47" s="57">
        <f>SUMIFS('T12 Categorized'!AE:AE,'T12 Categorized'!$A:$A,$A47)</f>
        <v/>
      </c>
      <c r="J47" s="57">
        <f>SUMIFS('T12 Categorized'!AF:AF,'T12 Categorized'!$A:$A,$A47)</f>
        <v/>
      </c>
      <c r="K47" s="57">
        <f>SUMIFS('T12 Categorized'!AG:AG,'T12 Categorized'!$A:$A,$A47)</f>
        <v/>
      </c>
      <c r="L47" s="57">
        <f>SUMIFS('T12 Categorized'!AH:AH,'T12 Categorized'!$A:$A,$A47)</f>
        <v/>
      </c>
      <c r="M47" s="57">
        <f>SUMIFS('T12 Categorized'!AI:AI,'T12 Categorized'!$A:$A,$A47)</f>
        <v/>
      </c>
      <c r="N47" s="57">
        <f>SUMIFS('T12 Categorized'!AJ:AJ,'T12 Categorized'!$A:$A,$A47)</f>
        <v/>
      </c>
      <c r="O47" s="57">
        <f>SUMIFS('T12 Categorized'!AK:AK,'T12 Categorized'!$A:$A,$A47)</f>
        <v/>
      </c>
      <c r="P47" s="57">
        <f>SUMIFS('T12 Categorized'!AL:AL,'T12 Categorized'!$A:$A,$A47)</f>
        <v/>
      </c>
      <c r="Q47" s="57">
        <f>SUMIFS('T12 Categorized'!AM:AM,'T12 Categorized'!$A:$A,$A47)</f>
        <v/>
      </c>
    </row>
    <row r="48">
      <c r="A48" s="45" t="n"/>
      <c r="B48" s="46" t="inlineStr">
        <is>
          <t>Non-Operating Revenue</t>
        </is>
      </c>
      <c r="F48" s="58">
        <f>SUM(F47:F47)</f>
        <v/>
      </c>
      <c r="G48" s="58">
        <f>SUM(G47:G47)</f>
        <v/>
      </c>
      <c r="H48" s="58">
        <f>SUM(H47:H47)</f>
        <v/>
      </c>
      <c r="I48" s="58">
        <f>SUM(I47:I47)</f>
        <v/>
      </c>
      <c r="J48" s="58">
        <f>SUM(J47:J47)</f>
        <v/>
      </c>
      <c r="K48" s="58">
        <f>SUM(K47:K47)</f>
        <v/>
      </c>
      <c r="L48" s="58">
        <f>SUM(L47:L47)</f>
        <v/>
      </c>
      <c r="M48" s="58">
        <f>SUM(M47:M47)</f>
        <v/>
      </c>
      <c r="N48" s="58">
        <f>SUM(N47:N47)</f>
        <v/>
      </c>
      <c r="O48" s="58">
        <f>SUM(O47:O47)</f>
        <v/>
      </c>
      <c r="P48" s="58">
        <f>SUM(P47:P47)</f>
        <v/>
      </c>
      <c r="Q48" s="58">
        <f>SUM(Q47:Q47)</f>
        <v/>
      </c>
    </row>
    <row r="50">
      <c r="A50" s="40" t="n"/>
      <c r="B50" s="39" t="inlineStr">
        <is>
          <t>Non-Operating Expenses</t>
        </is>
      </c>
    </row>
    <row r="51">
      <c r="A51" s="56" t="inlineStr">
        <is>
          <t>rd</t>
        </is>
      </c>
      <c r="B51" s="5" t="inlineStr">
        <is>
          <t>Replacement Reserve Deposits</t>
        </is>
      </c>
      <c r="F51" s="57">
        <f>SUMIFS('T12 Categorized'!AB:AB,'T12 Categorized'!$A:$A,$A51)</f>
        <v/>
      </c>
      <c r="G51" s="57">
        <f>SUMIFS('T12 Categorized'!AC:AC,'T12 Categorized'!$A:$A,$A51)</f>
        <v/>
      </c>
      <c r="H51" s="57">
        <f>SUMIFS('T12 Categorized'!AD:AD,'T12 Categorized'!$A:$A,$A51)</f>
        <v/>
      </c>
      <c r="I51" s="57">
        <f>SUMIFS('T12 Categorized'!AE:AE,'T12 Categorized'!$A:$A,$A51)</f>
        <v/>
      </c>
      <c r="J51" s="57">
        <f>SUMIFS('T12 Categorized'!AF:AF,'T12 Categorized'!$A:$A,$A51)</f>
        <v/>
      </c>
      <c r="K51" s="57">
        <f>SUMIFS('T12 Categorized'!AG:AG,'T12 Categorized'!$A:$A,$A51)</f>
        <v/>
      </c>
      <c r="L51" s="57">
        <f>SUMIFS('T12 Categorized'!AH:AH,'T12 Categorized'!$A:$A,$A51)</f>
        <v/>
      </c>
      <c r="M51" s="57">
        <f>SUMIFS('T12 Categorized'!AI:AI,'T12 Categorized'!$A:$A,$A51)</f>
        <v/>
      </c>
      <c r="N51" s="57">
        <f>SUMIFS('T12 Categorized'!AJ:AJ,'T12 Categorized'!$A:$A,$A51)</f>
        <v/>
      </c>
      <c r="O51" s="57">
        <f>SUMIFS('T12 Categorized'!AK:AK,'T12 Categorized'!$A:$A,$A51)</f>
        <v/>
      </c>
      <c r="P51" s="57">
        <f>SUMIFS('T12 Categorized'!AL:AL,'T12 Categorized'!$A:$A,$A51)</f>
        <v/>
      </c>
      <c r="Q51" s="57">
        <f>SUMIFS('T12 Categorized'!AM:AM,'T12 Categorized'!$A:$A,$A51)</f>
        <v/>
      </c>
    </row>
    <row r="52">
      <c r="A52" s="56" t="inlineStr">
        <is>
          <t>capx</t>
        </is>
      </c>
      <c r="B52" s="5" t="inlineStr">
        <is>
          <t>Capital Improvements</t>
        </is>
      </c>
      <c r="F52" s="57">
        <f>SUMIFS('T12 Categorized'!AB:AB,'T12 Categorized'!$A:$A,$A52)</f>
        <v/>
      </c>
      <c r="G52" s="57">
        <f>SUMIFS('T12 Categorized'!AC:AC,'T12 Categorized'!$A:$A,$A52)</f>
        <v/>
      </c>
      <c r="H52" s="57">
        <f>SUMIFS('T12 Categorized'!AD:AD,'T12 Categorized'!$A:$A,$A52)</f>
        <v/>
      </c>
      <c r="I52" s="57">
        <f>SUMIFS('T12 Categorized'!AE:AE,'T12 Categorized'!$A:$A,$A52)</f>
        <v/>
      </c>
      <c r="J52" s="57">
        <f>SUMIFS('T12 Categorized'!AF:AF,'T12 Categorized'!$A:$A,$A52)</f>
        <v/>
      </c>
      <c r="K52" s="57">
        <f>SUMIFS('T12 Categorized'!AG:AG,'T12 Categorized'!$A:$A,$A52)</f>
        <v/>
      </c>
      <c r="L52" s="57">
        <f>SUMIFS('T12 Categorized'!AH:AH,'T12 Categorized'!$A:$A,$A52)</f>
        <v/>
      </c>
      <c r="M52" s="57">
        <f>SUMIFS('T12 Categorized'!AI:AI,'T12 Categorized'!$A:$A,$A52)</f>
        <v/>
      </c>
      <c r="N52" s="57">
        <f>SUMIFS('T12 Categorized'!AJ:AJ,'T12 Categorized'!$A:$A,$A52)</f>
        <v/>
      </c>
      <c r="O52" s="57">
        <f>SUMIFS('T12 Categorized'!AK:AK,'T12 Categorized'!$A:$A,$A52)</f>
        <v/>
      </c>
      <c r="P52" s="57">
        <f>SUMIFS('T12 Categorized'!AL:AL,'T12 Categorized'!$A:$A,$A52)</f>
        <v/>
      </c>
      <c r="Q52" s="57">
        <f>SUMIFS('T12 Categorized'!AM:AM,'T12 Categorized'!$A:$A,$A52)</f>
        <v/>
      </c>
    </row>
    <row r="53">
      <c r="A53" s="56" t="inlineStr">
        <is>
          <t>aex</t>
        </is>
      </c>
      <c r="B53" s="5" t="inlineStr">
        <is>
          <t>Appliance Expenditures</t>
        </is>
      </c>
      <c r="F53" s="57">
        <f>SUMIFS('T12 Categorized'!AB:AB,'T12 Categorized'!$A:$A,$A53)</f>
        <v/>
      </c>
      <c r="G53" s="57">
        <f>SUMIFS('T12 Categorized'!AC:AC,'T12 Categorized'!$A:$A,$A53)</f>
        <v/>
      </c>
      <c r="H53" s="57">
        <f>SUMIFS('T12 Categorized'!AD:AD,'T12 Categorized'!$A:$A,$A53)</f>
        <v/>
      </c>
      <c r="I53" s="57">
        <f>SUMIFS('T12 Categorized'!AE:AE,'T12 Categorized'!$A:$A,$A53)</f>
        <v/>
      </c>
      <c r="J53" s="57">
        <f>SUMIFS('T12 Categorized'!AF:AF,'T12 Categorized'!$A:$A,$A53)</f>
        <v/>
      </c>
      <c r="K53" s="57">
        <f>SUMIFS('T12 Categorized'!AG:AG,'T12 Categorized'!$A:$A,$A53)</f>
        <v/>
      </c>
      <c r="L53" s="57">
        <f>SUMIFS('T12 Categorized'!AH:AH,'T12 Categorized'!$A:$A,$A53)</f>
        <v/>
      </c>
      <c r="M53" s="57">
        <f>SUMIFS('T12 Categorized'!AI:AI,'T12 Categorized'!$A:$A,$A53)</f>
        <v/>
      </c>
      <c r="N53" s="57">
        <f>SUMIFS('T12 Categorized'!AJ:AJ,'T12 Categorized'!$A:$A,$A53)</f>
        <v/>
      </c>
      <c r="O53" s="57">
        <f>SUMIFS('T12 Categorized'!AK:AK,'T12 Categorized'!$A:$A,$A53)</f>
        <v/>
      </c>
      <c r="P53" s="57">
        <f>SUMIFS('T12 Categorized'!AL:AL,'T12 Categorized'!$A:$A,$A53)</f>
        <v/>
      </c>
      <c r="Q53" s="57">
        <f>SUMIFS('T12 Categorized'!AM:AM,'T12 Categorized'!$A:$A,$A53)</f>
        <v/>
      </c>
    </row>
    <row r="54">
      <c r="A54" s="56" t="inlineStr">
        <is>
          <t>ece</t>
        </is>
      </c>
      <c r="B54" s="5" t="inlineStr">
        <is>
          <t>Extraordinary Capital Expenditure</t>
        </is>
      </c>
      <c r="F54" s="57">
        <f>SUMIFS('T12 Categorized'!AB:AB,'T12 Categorized'!$A:$A,$A54)</f>
        <v/>
      </c>
      <c r="G54" s="57">
        <f>SUMIFS('T12 Categorized'!AC:AC,'T12 Categorized'!$A:$A,$A54)</f>
        <v/>
      </c>
      <c r="H54" s="57">
        <f>SUMIFS('T12 Categorized'!AD:AD,'T12 Categorized'!$A:$A,$A54)</f>
        <v/>
      </c>
      <c r="I54" s="57">
        <f>SUMIFS('T12 Categorized'!AE:AE,'T12 Categorized'!$A:$A,$A54)</f>
        <v/>
      </c>
      <c r="J54" s="57">
        <f>SUMIFS('T12 Categorized'!AF:AF,'T12 Categorized'!$A:$A,$A54)</f>
        <v/>
      </c>
      <c r="K54" s="57">
        <f>SUMIFS('T12 Categorized'!AG:AG,'T12 Categorized'!$A:$A,$A54)</f>
        <v/>
      </c>
      <c r="L54" s="57">
        <f>SUMIFS('T12 Categorized'!AH:AH,'T12 Categorized'!$A:$A,$A54)</f>
        <v/>
      </c>
      <c r="M54" s="57">
        <f>SUMIFS('T12 Categorized'!AI:AI,'T12 Categorized'!$A:$A,$A54)</f>
        <v/>
      </c>
      <c r="N54" s="57">
        <f>SUMIFS('T12 Categorized'!AJ:AJ,'T12 Categorized'!$A:$A,$A54)</f>
        <v/>
      </c>
      <c r="O54" s="57">
        <f>SUMIFS('T12 Categorized'!AK:AK,'T12 Categorized'!$A:$A,$A54)</f>
        <v/>
      </c>
      <c r="P54" s="57">
        <f>SUMIFS('T12 Categorized'!AL:AL,'T12 Categorized'!$A:$A,$A54)</f>
        <v/>
      </c>
      <c r="Q54" s="57">
        <f>SUMIFS('T12 Categorized'!AM:AM,'T12 Categorized'!$A:$A,$A54)</f>
        <v/>
      </c>
    </row>
    <row r="55">
      <c r="A55" s="56" t="inlineStr">
        <is>
          <t>tird</t>
        </is>
      </c>
      <c r="B55" s="5" t="inlineStr">
        <is>
          <t>TI&amp;LC Reserve Deposits</t>
        </is>
      </c>
      <c r="F55" s="57">
        <f>SUMIFS('T12 Categorized'!AB:AB,'T12 Categorized'!$A:$A,$A55)</f>
        <v/>
      </c>
      <c r="G55" s="57">
        <f>SUMIFS('T12 Categorized'!AC:AC,'T12 Categorized'!$A:$A,$A55)</f>
        <v/>
      </c>
      <c r="H55" s="57">
        <f>SUMIFS('T12 Categorized'!AD:AD,'T12 Categorized'!$A:$A,$A55)</f>
        <v/>
      </c>
      <c r="I55" s="57">
        <f>SUMIFS('T12 Categorized'!AE:AE,'T12 Categorized'!$A:$A,$A55)</f>
        <v/>
      </c>
      <c r="J55" s="57">
        <f>SUMIFS('T12 Categorized'!AF:AF,'T12 Categorized'!$A:$A,$A55)</f>
        <v/>
      </c>
      <c r="K55" s="57">
        <f>SUMIFS('T12 Categorized'!AG:AG,'T12 Categorized'!$A:$A,$A55)</f>
        <v/>
      </c>
      <c r="L55" s="57">
        <f>SUMIFS('T12 Categorized'!AH:AH,'T12 Categorized'!$A:$A,$A55)</f>
        <v/>
      </c>
      <c r="M55" s="57">
        <f>SUMIFS('T12 Categorized'!AI:AI,'T12 Categorized'!$A:$A,$A55)</f>
        <v/>
      </c>
      <c r="N55" s="57">
        <f>SUMIFS('T12 Categorized'!AJ:AJ,'T12 Categorized'!$A:$A,$A55)</f>
        <v/>
      </c>
      <c r="O55" s="57">
        <f>SUMIFS('T12 Categorized'!AK:AK,'T12 Categorized'!$A:$A,$A55)</f>
        <v/>
      </c>
      <c r="P55" s="57">
        <f>SUMIFS('T12 Categorized'!AL:AL,'T12 Categorized'!$A:$A,$A55)</f>
        <v/>
      </c>
      <c r="Q55" s="57">
        <f>SUMIFS('T12 Categorized'!AM:AM,'T12 Categorized'!$A:$A,$A55)</f>
        <v/>
      </c>
    </row>
    <row r="56">
      <c r="A56" s="56" t="inlineStr">
        <is>
          <t>tirw</t>
        </is>
      </c>
      <c r="B56" s="5" t="inlineStr">
        <is>
          <t>TI&amp;LC Reserve Withdrawls</t>
        </is>
      </c>
      <c r="F56" s="57">
        <f>SUMIFS('T12 Categorized'!AB:AB,'T12 Categorized'!$A:$A,$A56)</f>
        <v/>
      </c>
      <c r="G56" s="57">
        <f>SUMIFS('T12 Categorized'!AC:AC,'T12 Categorized'!$A:$A,$A56)</f>
        <v/>
      </c>
      <c r="H56" s="57">
        <f>SUMIFS('T12 Categorized'!AD:AD,'T12 Categorized'!$A:$A,$A56)</f>
        <v/>
      </c>
      <c r="I56" s="57">
        <f>SUMIFS('T12 Categorized'!AE:AE,'T12 Categorized'!$A:$A,$A56)</f>
        <v/>
      </c>
      <c r="J56" s="57">
        <f>SUMIFS('T12 Categorized'!AF:AF,'T12 Categorized'!$A:$A,$A56)</f>
        <v/>
      </c>
      <c r="K56" s="57">
        <f>SUMIFS('T12 Categorized'!AG:AG,'T12 Categorized'!$A:$A,$A56)</f>
        <v/>
      </c>
      <c r="L56" s="57">
        <f>SUMIFS('T12 Categorized'!AH:AH,'T12 Categorized'!$A:$A,$A56)</f>
        <v/>
      </c>
      <c r="M56" s="57">
        <f>SUMIFS('T12 Categorized'!AI:AI,'T12 Categorized'!$A:$A,$A56)</f>
        <v/>
      </c>
      <c r="N56" s="57">
        <f>SUMIFS('T12 Categorized'!AJ:AJ,'T12 Categorized'!$A:$A,$A56)</f>
        <v/>
      </c>
      <c r="O56" s="57">
        <f>SUMIFS('T12 Categorized'!AK:AK,'T12 Categorized'!$A:$A,$A56)</f>
        <v/>
      </c>
      <c r="P56" s="57">
        <f>SUMIFS('T12 Categorized'!AL:AL,'T12 Categorized'!$A:$A,$A56)</f>
        <v/>
      </c>
      <c r="Q56" s="57">
        <f>SUMIFS('T12 Categorized'!AM:AM,'T12 Categorized'!$A:$A,$A56)</f>
        <v/>
      </c>
    </row>
    <row r="57">
      <c r="A57" s="56" t="inlineStr">
        <is>
          <t>tiae</t>
        </is>
      </c>
      <c r="B57" s="5" t="inlineStr">
        <is>
          <t>TI&amp;LC Actual Expenditures</t>
        </is>
      </c>
      <c r="F57" s="57">
        <f>SUMIFS('T12 Categorized'!AB:AB,'T12 Categorized'!$A:$A,$A57)</f>
        <v/>
      </c>
      <c r="G57" s="57">
        <f>SUMIFS('T12 Categorized'!AC:AC,'T12 Categorized'!$A:$A,$A57)</f>
        <v/>
      </c>
      <c r="H57" s="57">
        <f>SUMIFS('T12 Categorized'!AD:AD,'T12 Categorized'!$A:$A,$A57)</f>
        <v/>
      </c>
      <c r="I57" s="57">
        <f>SUMIFS('T12 Categorized'!AE:AE,'T12 Categorized'!$A:$A,$A57)</f>
        <v/>
      </c>
      <c r="J57" s="57">
        <f>SUMIFS('T12 Categorized'!AF:AF,'T12 Categorized'!$A:$A,$A57)</f>
        <v/>
      </c>
      <c r="K57" s="57">
        <f>SUMIFS('T12 Categorized'!AG:AG,'T12 Categorized'!$A:$A,$A57)</f>
        <v/>
      </c>
      <c r="L57" s="57">
        <f>SUMIFS('T12 Categorized'!AH:AH,'T12 Categorized'!$A:$A,$A57)</f>
        <v/>
      </c>
      <c r="M57" s="57">
        <f>SUMIFS('T12 Categorized'!AI:AI,'T12 Categorized'!$A:$A,$A57)</f>
        <v/>
      </c>
      <c r="N57" s="57">
        <f>SUMIFS('T12 Categorized'!AJ:AJ,'T12 Categorized'!$A:$A,$A57)</f>
        <v/>
      </c>
      <c r="O57" s="57">
        <f>SUMIFS('T12 Categorized'!AK:AK,'T12 Categorized'!$A:$A,$A57)</f>
        <v/>
      </c>
      <c r="P57" s="57">
        <f>SUMIFS('T12 Categorized'!AL:AL,'T12 Categorized'!$A:$A,$A57)</f>
        <v/>
      </c>
      <c r="Q57" s="57">
        <f>SUMIFS('T12 Categorized'!AM:AM,'T12 Categorized'!$A:$A,$A57)</f>
        <v/>
      </c>
    </row>
    <row r="58">
      <c r="A58" s="56" t="inlineStr">
        <is>
          <t>intex</t>
        </is>
      </c>
      <c r="B58" s="5" t="inlineStr">
        <is>
          <t>Interest</t>
        </is>
      </c>
      <c r="F58" s="57">
        <f>SUMIFS('T12 Categorized'!AB:AB,'T12 Categorized'!$A:$A,$A58)</f>
        <v/>
      </c>
      <c r="G58" s="57">
        <f>SUMIFS('T12 Categorized'!AC:AC,'T12 Categorized'!$A:$A,$A58)</f>
        <v/>
      </c>
      <c r="H58" s="57">
        <f>SUMIFS('T12 Categorized'!AD:AD,'T12 Categorized'!$A:$A,$A58)</f>
        <v/>
      </c>
      <c r="I58" s="57">
        <f>SUMIFS('T12 Categorized'!AE:AE,'T12 Categorized'!$A:$A,$A58)</f>
        <v/>
      </c>
      <c r="J58" s="57">
        <f>SUMIFS('T12 Categorized'!AF:AF,'T12 Categorized'!$A:$A,$A58)</f>
        <v/>
      </c>
      <c r="K58" s="57">
        <f>SUMIFS('T12 Categorized'!AG:AG,'T12 Categorized'!$A:$A,$A58)</f>
        <v/>
      </c>
      <c r="L58" s="57">
        <f>SUMIFS('T12 Categorized'!AH:AH,'T12 Categorized'!$A:$A,$A58)</f>
        <v/>
      </c>
      <c r="M58" s="57">
        <f>SUMIFS('T12 Categorized'!AI:AI,'T12 Categorized'!$A:$A,$A58)</f>
        <v/>
      </c>
      <c r="N58" s="57">
        <f>SUMIFS('T12 Categorized'!AJ:AJ,'T12 Categorized'!$A:$A,$A58)</f>
        <v/>
      </c>
      <c r="O58" s="57">
        <f>SUMIFS('T12 Categorized'!AK:AK,'T12 Categorized'!$A:$A,$A58)</f>
        <v/>
      </c>
      <c r="P58" s="57">
        <f>SUMIFS('T12 Categorized'!AL:AL,'T12 Categorized'!$A:$A,$A58)</f>
        <v/>
      </c>
      <c r="Q58" s="57">
        <f>SUMIFS('T12 Categorized'!AM:AM,'T12 Categorized'!$A:$A,$A58)</f>
        <v/>
      </c>
    </row>
    <row r="59">
      <c r="A59" s="56" t="inlineStr">
        <is>
          <t>prin</t>
        </is>
      </c>
      <c r="B59" s="5" t="inlineStr">
        <is>
          <t>Principal</t>
        </is>
      </c>
      <c r="F59" s="57">
        <f>SUMIFS('T12 Categorized'!AB:AB,'T12 Categorized'!$A:$A,$A59)</f>
        <v/>
      </c>
      <c r="G59" s="57">
        <f>SUMIFS('T12 Categorized'!AC:AC,'T12 Categorized'!$A:$A,$A59)</f>
        <v/>
      </c>
      <c r="H59" s="57">
        <f>SUMIFS('T12 Categorized'!AD:AD,'T12 Categorized'!$A:$A,$A59)</f>
        <v/>
      </c>
      <c r="I59" s="57">
        <f>SUMIFS('T12 Categorized'!AE:AE,'T12 Categorized'!$A:$A,$A59)</f>
        <v/>
      </c>
      <c r="J59" s="57">
        <f>SUMIFS('T12 Categorized'!AF:AF,'T12 Categorized'!$A:$A,$A59)</f>
        <v/>
      </c>
      <c r="K59" s="57">
        <f>SUMIFS('T12 Categorized'!AG:AG,'T12 Categorized'!$A:$A,$A59)</f>
        <v/>
      </c>
      <c r="L59" s="57">
        <f>SUMIFS('T12 Categorized'!AH:AH,'T12 Categorized'!$A:$A,$A59)</f>
        <v/>
      </c>
      <c r="M59" s="57">
        <f>SUMIFS('T12 Categorized'!AI:AI,'T12 Categorized'!$A:$A,$A59)</f>
        <v/>
      </c>
      <c r="N59" s="57">
        <f>SUMIFS('T12 Categorized'!AJ:AJ,'T12 Categorized'!$A:$A,$A59)</f>
        <v/>
      </c>
      <c r="O59" s="57">
        <f>SUMIFS('T12 Categorized'!AK:AK,'T12 Categorized'!$A:$A,$A59)</f>
        <v/>
      </c>
      <c r="P59" s="57">
        <f>SUMIFS('T12 Categorized'!AL:AL,'T12 Categorized'!$A:$A,$A59)</f>
        <v/>
      </c>
      <c r="Q59" s="57">
        <f>SUMIFS('T12 Categorized'!AM:AM,'T12 Categorized'!$A:$A,$A59)</f>
        <v/>
      </c>
    </row>
    <row r="60">
      <c r="A60" s="56" t="inlineStr">
        <is>
          <t>draw</t>
        </is>
      </c>
      <c r="B60" s="5" t="inlineStr">
        <is>
          <t>Loan Draws</t>
        </is>
      </c>
      <c r="F60" s="57">
        <f>SUMIFS('T12 Categorized'!AB:AB,'T12 Categorized'!$A:$A,$A60)</f>
        <v/>
      </c>
      <c r="G60" s="57">
        <f>SUMIFS('T12 Categorized'!AC:AC,'T12 Categorized'!$A:$A,$A60)</f>
        <v/>
      </c>
      <c r="H60" s="57">
        <f>SUMIFS('T12 Categorized'!AD:AD,'T12 Categorized'!$A:$A,$A60)</f>
        <v/>
      </c>
      <c r="I60" s="57">
        <f>SUMIFS('T12 Categorized'!AE:AE,'T12 Categorized'!$A:$A,$A60)</f>
        <v/>
      </c>
      <c r="J60" s="57">
        <f>SUMIFS('T12 Categorized'!AF:AF,'T12 Categorized'!$A:$A,$A60)</f>
        <v/>
      </c>
      <c r="K60" s="57">
        <f>SUMIFS('T12 Categorized'!AG:AG,'T12 Categorized'!$A:$A,$A60)</f>
        <v/>
      </c>
      <c r="L60" s="57">
        <f>SUMIFS('T12 Categorized'!AH:AH,'T12 Categorized'!$A:$A,$A60)</f>
        <v/>
      </c>
      <c r="M60" s="57">
        <f>SUMIFS('T12 Categorized'!AI:AI,'T12 Categorized'!$A:$A,$A60)</f>
        <v/>
      </c>
      <c r="N60" s="57">
        <f>SUMIFS('T12 Categorized'!AJ:AJ,'T12 Categorized'!$A:$A,$A60)</f>
        <v/>
      </c>
      <c r="O60" s="57">
        <f>SUMIFS('T12 Categorized'!AK:AK,'T12 Categorized'!$A:$A,$A60)</f>
        <v/>
      </c>
      <c r="P60" s="57">
        <f>SUMIFS('T12 Categorized'!AL:AL,'T12 Categorized'!$A:$A,$A60)</f>
        <v/>
      </c>
      <c r="Q60" s="57">
        <f>SUMIFS('T12 Categorized'!AM:AM,'T12 Categorized'!$A:$A,$A60)</f>
        <v/>
      </c>
    </row>
    <row r="61">
      <c r="A61" s="56" t="inlineStr">
        <is>
          <t>repay</t>
        </is>
      </c>
      <c r="B61" s="5" t="inlineStr">
        <is>
          <t>Loan Repayments</t>
        </is>
      </c>
      <c r="F61" s="57">
        <f>SUMIFS('T12 Categorized'!AB:AB,'T12 Categorized'!$A:$A,$A61)</f>
        <v/>
      </c>
      <c r="G61" s="57">
        <f>SUMIFS('T12 Categorized'!AC:AC,'T12 Categorized'!$A:$A,$A61)</f>
        <v/>
      </c>
      <c r="H61" s="57">
        <f>SUMIFS('T12 Categorized'!AD:AD,'T12 Categorized'!$A:$A,$A61)</f>
        <v/>
      </c>
      <c r="I61" s="57">
        <f>SUMIFS('T12 Categorized'!AE:AE,'T12 Categorized'!$A:$A,$A61)</f>
        <v/>
      </c>
      <c r="J61" s="57">
        <f>SUMIFS('T12 Categorized'!AF:AF,'T12 Categorized'!$A:$A,$A61)</f>
        <v/>
      </c>
      <c r="K61" s="57">
        <f>SUMIFS('T12 Categorized'!AG:AG,'T12 Categorized'!$A:$A,$A61)</f>
        <v/>
      </c>
      <c r="L61" s="57">
        <f>SUMIFS('T12 Categorized'!AH:AH,'T12 Categorized'!$A:$A,$A61)</f>
        <v/>
      </c>
      <c r="M61" s="57">
        <f>SUMIFS('T12 Categorized'!AI:AI,'T12 Categorized'!$A:$A,$A61)</f>
        <v/>
      </c>
      <c r="N61" s="57">
        <f>SUMIFS('T12 Categorized'!AJ:AJ,'T12 Categorized'!$A:$A,$A61)</f>
        <v/>
      </c>
      <c r="O61" s="57">
        <f>SUMIFS('T12 Categorized'!AK:AK,'T12 Categorized'!$A:$A,$A61)</f>
        <v/>
      </c>
      <c r="P61" s="57">
        <f>SUMIFS('T12 Categorized'!AL:AL,'T12 Categorized'!$A:$A,$A61)</f>
        <v/>
      </c>
      <c r="Q61" s="57">
        <f>SUMIFS('T12 Categorized'!AM:AM,'T12 Categorized'!$A:$A,$A61)</f>
        <v/>
      </c>
    </row>
    <row r="62">
      <c r="A62" s="56" t="inlineStr">
        <is>
          <t>othdf</t>
        </is>
      </c>
      <c r="B62" s="5" t="inlineStr">
        <is>
          <t>Other Debt Fees</t>
        </is>
      </c>
      <c r="F62" s="57">
        <f>SUMIFS('T12 Categorized'!AB:AB,'T12 Categorized'!$A:$A,$A62)</f>
        <v/>
      </c>
      <c r="G62" s="57">
        <f>SUMIFS('T12 Categorized'!AC:AC,'T12 Categorized'!$A:$A,$A62)</f>
        <v/>
      </c>
      <c r="H62" s="57">
        <f>SUMIFS('T12 Categorized'!AD:AD,'T12 Categorized'!$A:$A,$A62)</f>
        <v/>
      </c>
      <c r="I62" s="57">
        <f>SUMIFS('T12 Categorized'!AE:AE,'T12 Categorized'!$A:$A,$A62)</f>
        <v/>
      </c>
      <c r="J62" s="57">
        <f>SUMIFS('T12 Categorized'!AF:AF,'T12 Categorized'!$A:$A,$A62)</f>
        <v/>
      </c>
      <c r="K62" s="57">
        <f>SUMIFS('T12 Categorized'!AG:AG,'T12 Categorized'!$A:$A,$A62)</f>
        <v/>
      </c>
      <c r="L62" s="57">
        <f>SUMIFS('T12 Categorized'!AH:AH,'T12 Categorized'!$A:$A,$A62)</f>
        <v/>
      </c>
      <c r="M62" s="57">
        <f>SUMIFS('T12 Categorized'!AI:AI,'T12 Categorized'!$A:$A,$A62)</f>
        <v/>
      </c>
      <c r="N62" s="57">
        <f>SUMIFS('T12 Categorized'!AJ:AJ,'T12 Categorized'!$A:$A,$A62)</f>
        <v/>
      </c>
      <c r="O62" s="57">
        <f>SUMIFS('T12 Categorized'!AK:AK,'T12 Categorized'!$A:$A,$A62)</f>
        <v/>
      </c>
      <c r="P62" s="57">
        <f>SUMIFS('T12 Categorized'!AL:AL,'T12 Categorized'!$A:$A,$A62)</f>
        <v/>
      </c>
      <c r="Q62" s="57">
        <f>SUMIFS('T12 Categorized'!AM:AM,'T12 Categorized'!$A:$A,$A62)</f>
        <v/>
      </c>
    </row>
    <row r="63">
      <c r="A63" s="56" t="inlineStr">
        <is>
          <t>ord</t>
        </is>
      </c>
      <c r="B63" s="5" t="inlineStr">
        <is>
          <t>Other Reserves Funded / Used / Released</t>
        </is>
      </c>
      <c r="F63" s="57">
        <f>SUMIFS('T12 Categorized'!AB:AB,'T12 Categorized'!$A:$A,$A63)</f>
        <v/>
      </c>
      <c r="G63" s="57">
        <f>SUMIFS('T12 Categorized'!AC:AC,'T12 Categorized'!$A:$A,$A63)</f>
        <v/>
      </c>
      <c r="H63" s="57">
        <f>SUMIFS('T12 Categorized'!AD:AD,'T12 Categorized'!$A:$A,$A63)</f>
        <v/>
      </c>
      <c r="I63" s="57">
        <f>SUMIFS('T12 Categorized'!AE:AE,'T12 Categorized'!$A:$A,$A63)</f>
        <v/>
      </c>
      <c r="J63" s="57">
        <f>SUMIFS('T12 Categorized'!AF:AF,'T12 Categorized'!$A:$A,$A63)</f>
        <v/>
      </c>
      <c r="K63" s="57">
        <f>SUMIFS('T12 Categorized'!AG:AG,'T12 Categorized'!$A:$A,$A63)</f>
        <v/>
      </c>
      <c r="L63" s="57">
        <f>SUMIFS('T12 Categorized'!AH:AH,'T12 Categorized'!$A:$A,$A63)</f>
        <v/>
      </c>
      <c r="M63" s="57">
        <f>SUMIFS('T12 Categorized'!AI:AI,'T12 Categorized'!$A:$A,$A63)</f>
        <v/>
      </c>
      <c r="N63" s="57">
        <f>SUMIFS('T12 Categorized'!AJ:AJ,'T12 Categorized'!$A:$A,$A63)</f>
        <v/>
      </c>
      <c r="O63" s="57">
        <f>SUMIFS('T12 Categorized'!AK:AK,'T12 Categorized'!$A:$A,$A63)</f>
        <v/>
      </c>
      <c r="P63" s="57">
        <f>SUMIFS('T12 Categorized'!AL:AL,'T12 Categorized'!$A:$A,$A63)</f>
        <v/>
      </c>
      <c r="Q63" s="57">
        <f>SUMIFS('T12 Categorized'!AM:AM,'T12 Categorized'!$A:$A,$A63)</f>
        <v/>
      </c>
    </row>
    <row r="64">
      <c r="A64" s="56" t="inlineStr">
        <is>
          <t>icd</t>
        </is>
      </c>
      <c r="B64" s="5" t="inlineStr">
        <is>
          <t>Investor Contributions and Distributions</t>
        </is>
      </c>
      <c r="F64" s="57">
        <f>SUMIFS('T12 Categorized'!AB:AB,'T12 Categorized'!$A:$A,$A64)</f>
        <v/>
      </c>
      <c r="G64" s="57">
        <f>SUMIFS('T12 Categorized'!AC:AC,'T12 Categorized'!$A:$A,$A64)</f>
        <v/>
      </c>
      <c r="H64" s="57">
        <f>SUMIFS('T12 Categorized'!AD:AD,'T12 Categorized'!$A:$A,$A64)</f>
        <v/>
      </c>
      <c r="I64" s="57">
        <f>SUMIFS('T12 Categorized'!AE:AE,'T12 Categorized'!$A:$A,$A64)</f>
        <v/>
      </c>
      <c r="J64" s="57">
        <f>SUMIFS('T12 Categorized'!AF:AF,'T12 Categorized'!$A:$A,$A64)</f>
        <v/>
      </c>
      <c r="K64" s="57">
        <f>SUMIFS('T12 Categorized'!AG:AG,'T12 Categorized'!$A:$A,$A64)</f>
        <v/>
      </c>
      <c r="L64" s="57">
        <f>SUMIFS('T12 Categorized'!AH:AH,'T12 Categorized'!$A:$A,$A64)</f>
        <v/>
      </c>
      <c r="M64" s="57">
        <f>SUMIFS('T12 Categorized'!AI:AI,'T12 Categorized'!$A:$A,$A64)</f>
        <v/>
      </c>
      <c r="N64" s="57">
        <f>SUMIFS('T12 Categorized'!AJ:AJ,'T12 Categorized'!$A:$A,$A64)</f>
        <v/>
      </c>
      <c r="O64" s="57">
        <f>SUMIFS('T12 Categorized'!AK:AK,'T12 Categorized'!$A:$A,$A64)</f>
        <v/>
      </c>
      <c r="P64" s="57">
        <f>SUMIFS('T12 Categorized'!AL:AL,'T12 Categorized'!$A:$A,$A64)</f>
        <v/>
      </c>
      <c r="Q64" s="57">
        <f>SUMIFS('T12 Categorized'!AM:AM,'T12 Categorized'!$A:$A,$A64)</f>
        <v/>
      </c>
    </row>
    <row r="65">
      <c r="A65" s="56" t="inlineStr">
        <is>
          <t>scd</t>
        </is>
      </c>
      <c r="B65" s="5" t="inlineStr">
        <is>
          <t>Sponsor Contributions and Distributions</t>
        </is>
      </c>
      <c r="F65" s="57">
        <f>SUMIFS('T12 Categorized'!AB:AB,'T12 Categorized'!$A:$A,$A65)</f>
        <v/>
      </c>
      <c r="G65" s="57">
        <f>SUMIFS('T12 Categorized'!AC:AC,'T12 Categorized'!$A:$A,$A65)</f>
        <v/>
      </c>
      <c r="H65" s="57">
        <f>SUMIFS('T12 Categorized'!AD:AD,'T12 Categorized'!$A:$A,$A65)</f>
        <v/>
      </c>
      <c r="I65" s="57">
        <f>SUMIFS('T12 Categorized'!AE:AE,'T12 Categorized'!$A:$A,$A65)</f>
        <v/>
      </c>
      <c r="J65" s="57">
        <f>SUMIFS('T12 Categorized'!AF:AF,'T12 Categorized'!$A:$A,$A65)</f>
        <v/>
      </c>
      <c r="K65" s="57">
        <f>SUMIFS('T12 Categorized'!AG:AG,'T12 Categorized'!$A:$A,$A65)</f>
        <v/>
      </c>
      <c r="L65" s="57">
        <f>SUMIFS('T12 Categorized'!AH:AH,'T12 Categorized'!$A:$A,$A65)</f>
        <v/>
      </c>
      <c r="M65" s="57">
        <f>SUMIFS('T12 Categorized'!AI:AI,'T12 Categorized'!$A:$A,$A65)</f>
        <v/>
      </c>
      <c r="N65" s="57">
        <f>SUMIFS('T12 Categorized'!AJ:AJ,'T12 Categorized'!$A:$A,$A65)</f>
        <v/>
      </c>
      <c r="O65" s="57">
        <f>SUMIFS('T12 Categorized'!AK:AK,'T12 Categorized'!$A:$A,$A65)</f>
        <v/>
      </c>
      <c r="P65" s="57">
        <f>SUMIFS('T12 Categorized'!AL:AL,'T12 Categorized'!$A:$A,$A65)</f>
        <v/>
      </c>
      <c r="Q65" s="57">
        <f>SUMIFS('T12 Categorized'!AM:AM,'T12 Categorized'!$A:$A,$A65)</f>
        <v/>
      </c>
    </row>
    <row r="66">
      <c r="A66" s="56" t="inlineStr">
        <is>
          <t>entex</t>
        </is>
      </c>
      <c r="B66" s="5" t="inlineStr">
        <is>
          <t>Entity Expenses</t>
        </is>
      </c>
      <c r="F66" s="57">
        <f>SUMIFS('T12 Categorized'!AB:AB,'T12 Categorized'!$A:$A,$A66)</f>
        <v/>
      </c>
      <c r="G66" s="57">
        <f>SUMIFS('T12 Categorized'!AC:AC,'T12 Categorized'!$A:$A,$A66)</f>
        <v/>
      </c>
      <c r="H66" s="57">
        <f>SUMIFS('T12 Categorized'!AD:AD,'T12 Categorized'!$A:$A,$A66)</f>
        <v/>
      </c>
      <c r="I66" s="57">
        <f>SUMIFS('T12 Categorized'!AE:AE,'T12 Categorized'!$A:$A,$A66)</f>
        <v/>
      </c>
      <c r="J66" s="57">
        <f>SUMIFS('T12 Categorized'!AF:AF,'T12 Categorized'!$A:$A,$A66)</f>
        <v/>
      </c>
      <c r="K66" s="57">
        <f>SUMIFS('T12 Categorized'!AG:AG,'T12 Categorized'!$A:$A,$A66)</f>
        <v/>
      </c>
      <c r="L66" s="57">
        <f>SUMIFS('T12 Categorized'!AH:AH,'T12 Categorized'!$A:$A,$A66)</f>
        <v/>
      </c>
      <c r="M66" s="57">
        <f>SUMIFS('T12 Categorized'!AI:AI,'T12 Categorized'!$A:$A,$A66)</f>
        <v/>
      </c>
      <c r="N66" s="57">
        <f>SUMIFS('T12 Categorized'!AJ:AJ,'T12 Categorized'!$A:$A,$A66)</f>
        <v/>
      </c>
      <c r="O66" s="57">
        <f>SUMIFS('T12 Categorized'!AK:AK,'T12 Categorized'!$A:$A,$A66)</f>
        <v/>
      </c>
      <c r="P66" s="57">
        <f>SUMIFS('T12 Categorized'!AL:AL,'T12 Categorized'!$A:$A,$A66)</f>
        <v/>
      </c>
      <c r="Q66" s="57">
        <f>SUMIFS('T12 Categorized'!AM:AM,'T12 Categorized'!$A:$A,$A66)</f>
        <v/>
      </c>
    </row>
    <row r="67">
      <c r="A67" s="56" t="inlineStr">
        <is>
          <t>pfex</t>
        </is>
      </c>
      <c r="B67" s="5" t="inlineStr">
        <is>
          <t>Partnership Fees and Expenses</t>
        </is>
      </c>
      <c r="F67" s="57">
        <f>SUMIFS('T12 Categorized'!AB:AB,'T12 Categorized'!$A:$A,$A67)</f>
        <v/>
      </c>
      <c r="G67" s="57">
        <f>SUMIFS('T12 Categorized'!AC:AC,'T12 Categorized'!$A:$A,$A67)</f>
        <v/>
      </c>
      <c r="H67" s="57">
        <f>SUMIFS('T12 Categorized'!AD:AD,'T12 Categorized'!$A:$A,$A67)</f>
        <v/>
      </c>
      <c r="I67" s="57">
        <f>SUMIFS('T12 Categorized'!AE:AE,'T12 Categorized'!$A:$A,$A67)</f>
        <v/>
      </c>
      <c r="J67" s="57">
        <f>SUMIFS('T12 Categorized'!AF:AF,'T12 Categorized'!$A:$A,$A67)</f>
        <v/>
      </c>
      <c r="K67" s="57">
        <f>SUMIFS('T12 Categorized'!AG:AG,'T12 Categorized'!$A:$A,$A67)</f>
        <v/>
      </c>
      <c r="L67" s="57">
        <f>SUMIFS('T12 Categorized'!AH:AH,'T12 Categorized'!$A:$A,$A67)</f>
        <v/>
      </c>
      <c r="M67" s="57">
        <f>SUMIFS('T12 Categorized'!AI:AI,'T12 Categorized'!$A:$A,$A67)</f>
        <v/>
      </c>
      <c r="N67" s="57">
        <f>SUMIFS('T12 Categorized'!AJ:AJ,'T12 Categorized'!$A:$A,$A67)</f>
        <v/>
      </c>
      <c r="O67" s="57">
        <f>SUMIFS('T12 Categorized'!AK:AK,'T12 Categorized'!$A:$A,$A67)</f>
        <v/>
      </c>
      <c r="P67" s="57">
        <f>SUMIFS('T12 Categorized'!AL:AL,'T12 Categorized'!$A:$A,$A67)</f>
        <v/>
      </c>
      <c r="Q67" s="57">
        <f>SUMIFS('T12 Categorized'!AM:AM,'T12 Categorized'!$A:$A,$A67)</f>
        <v/>
      </c>
    </row>
    <row r="68">
      <c r="A68" s="56" t="inlineStr">
        <is>
          <t>purch</t>
        </is>
      </c>
      <c r="B68" s="5" t="inlineStr">
        <is>
          <t>Purchase Price</t>
        </is>
      </c>
      <c r="F68" s="57">
        <f>SUMIFS('T12 Categorized'!AB:AB,'T12 Categorized'!$A:$A,$A68)</f>
        <v/>
      </c>
      <c r="G68" s="57">
        <f>SUMIFS('T12 Categorized'!AC:AC,'T12 Categorized'!$A:$A,$A68)</f>
        <v/>
      </c>
      <c r="H68" s="57">
        <f>SUMIFS('T12 Categorized'!AD:AD,'T12 Categorized'!$A:$A,$A68)</f>
        <v/>
      </c>
      <c r="I68" s="57">
        <f>SUMIFS('T12 Categorized'!AE:AE,'T12 Categorized'!$A:$A,$A68)</f>
        <v/>
      </c>
      <c r="J68" s="57">
        <f>SUMIFS('T12 Categorized'!AF:AF,'T12 Categorized'!$A:$A,$A68)</f>
        <v/>
      </c>
      <c r="K68" s="57">
        <f>SUMIFS('T12 Categorized'!AG:AG,'T12 Categorized'!$A:$A,$A68)</f>
        <v/>
      </c>
      <c r="L68" s="57">
        <f>SUMIFS('T12 Categorized'!AH:AH,'T12 Categorized'!$A:$A,$A68)</f>
        <v/>
      </c>
      <c r="M68" s="57">
        <f>SUMIFS('T12 Categorized'!AI:AI,'T12 Categorized'!$A:$A,$A68)</f>
        <v/>
      </c>
      <c r="N68" s="57">
        <f>SUMIFS('T12 Categorized'!AJ:AJ,'T12 Categorized'!$A:$A,$A68)</f>
        <v/>
      </c>
      <c r="O68" s="57">
        <f>SUMIFS('T12 Categorized'!AK:AK,'T12 Categorized'!$A:$A,$A68)</f>
        <v/>
      </c>
      <c r="P68" s="57">
        <f>SUMIFS('T12 Categorized'!AL:AL,'T12 Categorized'!$A:$A,$A68)</f>
        <v/>
      </c>
      <c r="Q68" s="57">
        <f>SUMIFS('T12 Categorized'!AM:AM,'T12 Categorized'!$A:$A,$A68)</f>
        <v/>
      </c>
    </row>
    <row r="69">
      <c r="A69" s="56" t="inlineStr">
        <is>
          <t>acqex</t>
        </is>
      </c>
      <c r="B69" s="5" t="inlineStr">
        <is>
          <t>Acquisition Expenses</t>
        </is>
      </c>
      <c r="F69" s="57">
        <f>SUMIFS('T12 Categorized'!AB:AB,'T12 Categorized'!$A:$A,$A69)</f>
        <v/>
      </c>
      <c r="G69" s="57">
        <f>SUMIFS('T12 Categorized'!AC:AC,'T12 Categorized'!$A:$A,$A69)</f>
        <v/>
      </c>
      <c r="H69" s="57">
        <f>SUMIFS('T12 Categorized'!AD:AD,'T12 Categorized'!$A:$A,$A69)</f>
        <v/>
      </c>
      <c r="I69" s="57">
        <f>SUMIFS('T12 Categorized'!AE:AE,'T12 Categorized'!$A:$A,$A69)</f>
        <v/>
      </c>
      <c r="J69" s="57">
        <f>SUMIFS('T12 Categorized'!AF:AF,'T12 Categorized'!$A:$A,$A69)</f>
        <v/>
      </c>
      <c r="K69" s="57">
        <f>SUMIFS('T12 Categorized'!AG:AG,'T12 Categorized'!$A:$A,$A69)</f>
        <v/>
      </c>
      <c r="L69" s="57">
        <f>SUMIFS('T12 Categorized'!AH:AH,'T12 Categorized'!$A:$A,$A69)</f>
        <v/>
      </c>
      <c r="M69" s="57">
        <f>SUMIFS('T12 Categorized'!AI:AI,'T12 Categorized'!$A:$A,$A69)</f>
        <v/>
      </c>
      <c r="N69" s="57">
        <f>SUMIFS('T12 Categorized'!AJ:AJ,'T12 Categorized'!$A:$A,$A69)</f>
        <v/>
      </c>
      <c r="O69" s="57">
        <f>SUMIFS('T12 Categorized'!AK:AK,'T12 Categorized'!$A:$A,$A69)</f>
        <v/>
      </c>
      <c r="P69" s="57">
        <f>SUMIFS('T12 Categorized'!AL:AL,'T12 Categorized'!$A:$A,$A69)</f>
        <v/>
      </c>
      <c r="Q69" s="57">
        <f>SUMIFS('T12 Categorized'!AM:AM,'T12 Categorized'!$A:$A,$A69)</f>
        <v/>
      </c>
    </row>
    <row r="70">
      <c r="A70" s="56" t="inlineStr">
        <is>
          <t>disex</t>
        </is>
      </c>
      <c r="B70" s="5" t="inlineStr">
        <is>
          <t>Disposition Expenses</t>
        </is>
      </c>
      <c r="F70" s="57">
        <f>SUMIFS('T12 Categorized'!AB:AB,'T12 Categorized'!$A:$A,$A70)</f>
        <v/>
      </c>
      <c r="G70" s="57">
        <f>SUMIFS('T12 Categorized'!AC:AC,'T12 Categorized'!$A:$A,$A70)</f>
        <v/>
      </c>
      <c r="H70" s="57">
        <f>SUMIFS('T12 Categorized'!AD:AD,'T12 Categorized'!$A:$A,$A70)</f>
        <v/>
      </c>
      <c r="I70" s="57">
        <f>SUMIFS('T12 Categorized'!AE:AE,'T12 Categorized'!$A:$A,$A70)</f>
        <v/>
      </c>
      <c r="J70" s="57">
        <f>SUMIFS('T12 Categorized'!AF:AF,'T12 Categorized'!$A:$A,$A70)</f>
        <v/>
      </c>
      <c r="K70" s="57">
        <f>SUMIFS('T12 Categorized'!AG:AG,'T12 Categorized'!$A:$A,$A70)</f>
        <v/>
      </c>
      <c r="L70" s="57">
        <f>SUMIFS('T12 Categorized'!AH:AH,'T12 Categorized'!$A:$A,$A70)</f>
        <v/>
      </c>
      <c r="M70" s="57">
        <f>SUMIFS('T12 Categorized'!AI:AI,'T12 Categorized'!$A:$A,$A70)</f>
        <v/>
      </c>
      <c r="N70" s="57">
        <f>SUMIFS('T12 Categorized'!AJ:AJ,'T12 Categorized'!$A:$A,$A70)</f>
        <v/>
      </c>
      <c r="O70" s="57">
        <f>SUMIFS('T12 Categorized'!AK:AK,'T12 Categorized'!$A:$A,$A70)</f>
        <v/>
      </c>
      <c r="P70" s="57">
        <f>SUMIFS('T12 Categorized'!AL:AL,'T12 Categorized'!$A:$A,$A70)</f>
        <v/>
      </c>
      <c r="Q70" s="57">
        <f>SUMIFS('T12 Categorized'!AM:AM,'T12 Categorized'!$A:$A,$A70)</f>
        <v/>
      </c>
    </row>
    <row r="71">
      <c r="A71" s="56" t="inlineStr">
        <is>
          <t>depex</t>
        </is>
      </c>
      <c r="B71" s="5" t="inlineStr">
        <is>
          <t>Depreciation</t>
        </is>
      </c>
      <c r="F71" s="57">
        <f>SUMIFS('T12 Categorized'!AB:AB,'T12 Categorized'!$A:$A,$A71)</f>
        <v/>
      </c>
      <c r="G71" s="57">
        <f>SUMIFS('T12 Categorized'!AC:AC,'T12 Categorized'!$A:$A,$A71)</f>
        <v/>
      </c>
      <c r="H71" s="57">
        <f>SUMIFS('T12 Categorized'!AD:AD,'T12 Categorized'!$A:$A,$A71)</f>
        <v/>
      </c>
      <c r="I71" s="57">
        <f>SUMIFS('T12 Categorized'!AE:AE,'T12 Categorized'!$A:$A,$A71)</f>
        <v/>
      </c>
      <c r="J71" s="57">
        <f>SUMIFS('T12 Categorized'!AF:AF,'T12 Categorized'!$A:$A,$A71)</f>
        <v/>
      </c>
      <c r="K71" s="57">
        <f>SUMIFS('T12 Categorized'!AG:AG,'T12 Categorized'!$A:$A,$A71)</f>
        <v/>
      </c>
      <c r="L71" s="57">
        <f>SUMIFS('T12 Categorized'!AH:AH,'T12 Categorized'!$A:$A,$A71)</f>
        <v/>
      </c>
      <c r="M71" s="57">
        <f>SUMIFS('T12 Categorized'!AI:AI,'T12 Categorized'!$A:$A,$A71)</f>
        <v/>
      </c>
      <c r="N71" s="57">
        <f>SUMIFS('T12 Categorized'!AJ:AJ,'T12 Categorized'!$A:$A,$A71)</f>
        <v/>
      </c>
      <c r="O71" s="57">
        <f>SUMIFS('T12 Categorized'!AK:AK,'T12 Categorized'!$A:$A,$A71)</f>
        <v/>
      </c>
      <c r="P71" s="57">
        <f>SUMIFS('T12 Categorized'!AL:AL,'T12 Categorized'!$A:$A,$A71)</f>
        <v/>
      </c>
      <c r="Q71" s="57">
        <f>SUMIFS('T12 Categorized'!AM:AM,'T12 Categorized'!$A:$A,$A71)</f>
        <v/>
      </c>
    </row>
    <row r="72">
      <c r="A72" s="56" t="inlineStr">
        <is>
          <t>onoe</t>
        </is>
      </c>
      <c r="B72" s="5" t="inlineStr">
        <is>
          <t>Other Non-Operating Expense</t>
        </is>
      </c>
      <c r="F72" s="57">
        <f>SUMIFS('T12 Categorized'!AB:AB,'T12 Categorized'!$A:$A,$A72)</f>
        <v/>
      </c>
      <c r="G72" s="57">
        <f>SUMIFS('T12 Categorized'!AC:AC,'T12 Categorized'!$A:$A,$A72)</f>
        <v/>
      </c>
      <c r="H72" s="57">
        <f>SUMIFS('T12 Categorized'!AD:AD,'T12 Categorized'!$A:$A,$A72)</f>
        <v/>
      </c>
      <c r="I72" s="57">
        <f>SUMIFS('T12 Categorized'!AE:AE,'T12 Categorized'!$A:$A,$A72)</f>
        <v/>
      </c>
      <c r="J72" s="57">
        <f>SUMIFS('T12 Categorized'!AF:AF,'T12 Categorized'!$A:$A,$A72)</f>
        <v/>
      </c>
      <c r="K72" s="57">
        <f>SUMIFS('T12 Categorized'!AG:AG,'T12 Categorized'!$A:$A,$A72)</f>
        <v/>
      </c>
      <c r="L72" s="57">
        <f>SUMIFS('T12 Categorized'!AH:AH,'T12 Categorized'!$A:$A,$A72)</f>
        <v/>
      </c>
      <c r="M72" s="57">
        <f>SUMIFS('T12 Categorized'!AI:AI,'T12 Categorized'!$A:$A,$A72)</f>
        <v/>
      </c>
      <c r="N72" s="57">
        <f>SUMIFS('T12 Categorized'!AJ:AJ,'T12 Categorized'!$A:$A,$A72)</f>
        <v/>
      </c>
      <c r="O72" s="57">
        <f>SUMIFS('T12 Categorized'!AK:AK,'T12 Categorized'!$A:$A,$A72)</f>
        <v/>
      </c>
      <c r="P72" s="57">
        <f>SUMIFS('T12 Categorized'!AL:AL,'T12 Categorized'!$A:$A,$A72)</f>
        <v/>
      </c>
      <c r="Q72" s="57">
        <f>SUMIFS('T12 Categorized'!AM:AM,'T12 Categorized'!$A:$A,$A72)</f>
        <v/>
      </c>
    </row>
    <row r="73">
      <c r="A73" s="45" t="n"/>
      <c r="B73" s="46" t="inlineStr">
        <is>
          <t>Non-Operating Expenses</t>
        </is>
      </c>
      <c r="F73" s="58">
        <f>SUM(F51:F72)</f>
        <v/>
      </c>
      <c r="G73" s="58">
        <f>SUM(G51:G72)</f>
        <v/>
      </c>
      <c r="H73" s="58">
        <f>SUM(H51:H72)</f>
        <v/>
      </c>
      <c r="I73" s="58">
        <f>SUM(I51:I72)</f>
        <v/>
      </c>
      <c r="J73" s="58">
        <f>SUM(J51:J72)</f>
        <v/>
      </c>
      <c r="K73" s="58">
        <f>SUM(K51:K72)</f>
        <v/>
      </c>
      <c r="L73" s="58">
        <f>SUM(L51:L72)</f>
        <v/>
      </c>
      <c r="M73" s="58">
        <f>SUM(M51:M72)</f>
        <v/>
      </c>
      <c r="N73" s="58">
        <f>SUM(N51:N72)</f>
        <v/>
      </c>
      <c r="O73" s="58">
        <f>SUM(O51:O72)</f>
        <v/>
      </c>
      <c r="P73" s="58">
        <f>SUM(P51:P72)</f>
        <v/>
      </c>
      <c r="Q73" s="58">
        <f>SUM(Q51:Q72)</f>
        <v/>
      </c>
    </row>
    <row r="75">
      <c r="A75" s="40" t="n"/>
      <c r="B75" s="59" t="inlineStr">
        <is>
          <t>Net Income</t>
        </is>
      </c>
      <c r="F75" s="60">
        <f>F44+F48-F73</f>
        <v/>
      </c>
      <c r="G75" s="60">
        <f>G44+G48-G73</f>
        <v/>
      </c>
      <c r="H75" s="60">
        <f>H44+H48-H73</f>
        <v/>
      </c>
      <c r="I75" s="60">
        <f>I44+I48-I73</f>
        <v/>
      </c>
      <c r="J75" s="60">
        <f>J44+J48-J73</f>
        <v/>
      </c>
      <c r="K75" s="60">
        <f>K44+K48-K73</f>
        <v/>
      </c>
      <c r="L75" s="60">
        <f>L44+L48-L73</f>
        <v/>
      </c>
      <c r="M75" s="60">
        <f>M44+M48-M73</f>
        <v/>
      </c>
      <c r="N75" s="60">
        <f>N44+N48-N73</f>
        <v/>
      </c>
      <c r="O75" s="60">
        <f>O44+O48-O73</f>
        <v/>
      </c>
      <c r="P75" s="60">
        <f>P44+P48-P73</f>
        <v/>
      </c>
      <c r="Q75" s="60">
        <f>Q44+Q48-Q73</f>
        <v/>
      </c>
    </row>
    <row r="77">
      <c r="B77" s="53" t="inlineStr">
        <is>
          <t>Generated 06/19/2026 — live SUMIFS over 'T12 Categorized' code column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6" customWidth="1" min="4" max="4"/>
    <col width="6" customWidth="1" min="5" max="5"/>
    <col width="12" customWidth="1" min="6" max="6"/>
    <col width="16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7" t="inlineStr">
        <is>
          <t>Unit No.</t>
        </is>
      </c>
      <c r="B1" s="7" t="inlineStr">
        <is>
          <t>Floor Plan</t>
        </is>
      </c>
      <c r="C1" s="7" t="inlineStr">
        <is>
          <t>Net sf</t>
        </is>
      </c>
      <c r="D1" s="7" t="inlineStr">
        <is>
          <t>Bed</t>
        </is>
      </c>
      <c r="E1" s="7" t="inlineStr">
        <is>
          <t>Bath</t>
        </is>
      </c>
      <c r="F1" s="7" t="inlineStr">
        <is>
          <t>Lease Type</t>
        </is>
      </c>
      <c r="G1" s="7" t="inlineStr">
        <is>
          <t>Occupancy Status</t>
        </is>
      </c>
      <c r="H1" s="7" t="inlineStr">
        <is>
          <t>Market Rent</t>
        </is>
      </c>
      <c r="I1" s="7" t="inlineStr">
        <is>
          <t>Contractual Rent</t>
        </is>
      </c>
      <c r="J1" s="7" t="inlineStr">
        <is>
          <t>Net Effective Rent</t>
        </is>
      </c>
      <c r="K1" s="7" t="inlineStr">
        <is>
          <t>Lease Start Date</t>
        </is>
      </c>
      <c r="L1" s="7" t="inlineStr">
        <is>
          <t>Lease Expiration</t>
        </is>
      </c>
      <c r="M1" s="7" t="inlineStr">
        <is>
          <t>Move In Date</t>
        </is>
      </c>
      <c r="O1" s="3" t="inlineStr">
        <is>
          <t>Scheduled Charges by Code (monthly $)</t>
        </is>
      </c>
    </row>
    <row r="2">
      <c r="O2" s="7" t="inlineStr">
        <is>
          <t>rent</t>
        </is>
      </c>
      <c r="P2" s="7" t="inlineStr">
        <is>
          <t>techfee</t>
        </is>
      </c>
      <c r="Q2" s="7" t="inlineStr">
        <is>
          <t>garage</t>
        </is>
      </c>
      <c r="R2" s="7" t="inlineStr">
        <is>
          <t>empdisc</t>
        </is>
      </c>
      <c r="S2" s="7" t="inlineStr">
        <is>
          <t>conc/renew</t>
        </is>
      </c>
      <c r="T2" s="7" t="inlineStr">
        <is>
          <t>petrent</t>
        </is>
      </c>
      <c r="U2" s="7" t="inlineStr">
        <is>
          <t>package</t>
        </is>
      </c>
      <c r="V2" s="7" t="inlineStr">
        <is>
          <t>carport</t>
        </is>
      </c>
      <c r="W2" s="7" t="inlineStr">
        <is>
          <t>conc/other</t>
        </is>
      </c>
      <c r="X2" s="7" t="inlineStr">
        <is>
          <t>eviction</t>
        </is>
      </c>
      <c r="Y2" s="7" t="inlineStr">
        <is>
          <t>trash/doortodoor</t>
        </is>
      </c>
      <c r="Z2" s="7" t="inlineStr">
        <is>
          <t>mtm</t>
        </is>
      </c>
    </row>
    <row r="3">
      <c r="A3" s="61" t="inlineStr">
        <is>
          <t>0111</t>
        </is>
      </c>
      <c r="B3" s="61" t="inlineStr">
        <is>
          <t>A2</t>
        </is>
      </c>
      <c r="C3" s="20" t="n">
        <v>777</v>
      </c>
      <c r="D3" s="19" t="n">
        <v>1</v>
      </c>
      <c r="E3" s="19" t="n">
        <v>1</v>
      </c>
      <c r="F3" s="62" t="inlineStr">
        <is>
          <t>Market</t>
        </is>
      </c>
      <c r="G3" s="62" t="inlineStr">
        <is>
          <t>Occupied</t>
        </is>
      </c>
      <c r="H3" s="20" t="n">
        <v>1127</v>
      </c>
      <c r="I3" s="20" t="n">
        <v>1185</v>
      </c>
      <c r="J3" s="20" t="n">
        <v>1185</v>
      </c>
      <c r="K3" s="63" t="inlineStr">
        <is>
          <t>09/13/2025</t>
        </is>
      </c>
      <c r="L3" s="63" t="inlineStr">
        <is>
          <t>09/12/2026</t>
        </is>
      </c>
      <c r="M3" s="63" t="inlineStr">
        <is>
          <t>09/13/2025</t>
        </is>
      </c>
      <c r="O3" s="20" t="n">
        <v>1185</v>
      </c>
      <c r="P3" s="20" t="n"/>
      <c r="Q3" s="20" t="n"/>
      <c r="R3" s="20" t="n"/>
      <c r="S3" s="20" t="n"/>
      <c r="T3" s="20" t="n"/>
      <c r="U3" s="20" t="n">
        <v>1</v>
      </c>
      <c r="V3" s="20" t="n"/>
      <c r="W3" s="20" t="n"/>
      <c r="X3" s="20" t="n"/>
      <c r="Y3" s="20" t="n"/>
      <c r="Z3" s="20" t="n"/>
    </row>
    <row r="4">
      <c r="A4" s="64" t="inlineStr">
        <is>
          <t>0112</t>
        </is>
      </c>
      <c r="B4" s="64" t="inlineStr">
        <is>
          <t>A2R</t>
        </is>
      </c>
      <c r="C4" s="11" t="n">
        <v>777</v>
      </c>
      <c r="D4" s="10" t="n">
        <v>1</v>
      </c>
      <c r="E4" s="10" t="n">
        <v>1</v>
      </c>
      <c r="F4" s="65" t="inlineStr">
        <is>
          <t>Market</t>
        </is>
      </c>
      <c r="G4" s="65" t="inlineStr">
        <is>
          <t>Occupied</t>
        </is>
      </c>
      <c r="H4" s="11" t="n">
        <v>1327</v>
      </c>
      <c r="I4" s="11" t="n">
        <v>1258</v>
      </c>
      <c r="J4" s="11" t="n">
        <v>1258</v>
      </c>
      <c r="K4" s="66" t="inlineStr">
        <is>
          <t>06/09/2025</t>
        </is>
      </c>
      <c r="L4" s="66" t="inlineStr">
        <is>
          <t>08/08/2026</t>
        </is>
      </c>
      <c r="M4" s="66" t="inlineStr">
        <is>
          <t>06/09/2025</t>
        </is>
      </c>
      <c r="O4" s="11" t="n">
        <v>1258</v>
      </c>
      <c r="P4" s="11" t="n"/>
      <c r="Q4" s="11" t="n"/>
      <c r="R4" s="11" t="n"/>
      <c r="S4" s="11" t="n"/>
      <c r="T4" s="11" t="n"/>
      <c r="U4" s="11" t="n">
        <v>1</v>
      </c>
      <c r="V4" s="11" t="n"/>
      <c r="W4" s="11" t="n"/>
      <c r="X4" s="11" t="n"/>
      <c r="Y4" s="11" t="n"/>
      <c r="Z4" s="11" t="n"/>
    </row>
    <row r="5">
      <c r="A5" s="61" t="inlineStr">
        <is>
          <t>0113</t>
        </is>
      </c>
      <c r="B5" s="61" t="inlineStr">
        <is>
          <t>A2</t>
        </is>
      </c>
      <c r="C5" s="20" t="n">
        <v>777</v>
      </c>
      <c r="D5" s="19" t="n">
        <v>1</v>
      </c>
      <c r="E5" s="19" t="n">
        <v>1</v>
      </c>
      <c r="F5" s="62" t="inlineStr">
        <is>
          <t>Market</t>
        </is>
      </c>
      <c r="G5" s="62" t="inlineStr">
        <is>
          <t>Occupied</t>
        </is>
      </c>
      <c r="H5" s="20" t="n">
        <v>1187</v>
      </c>
      <c r="I5" s="20" t="n">
        <v>1091</v>
      </c>
      <c r="J5" s="20" t="n">
        <v>1091</v>
      </c>
      <c r="K5" s="63" t="inlineStr">
        <is>
          <t>01/20/2026</t>
        </is>
      </c>
      <c r="L5" s="63" t="inlineStr">
        <is>
          <t>04/12/2027</t>
        </is>
      </c>
      <c r="M5" s="63" t="inlineStr">
        <is>
          <t>01/20/2026</t>
        </is>
      </c>
      <c r="O5" s="20" t="n">
        <v>1091</v>
      </c>
      <c r="P5" s="20" t="n">
        <v>35</v>
      </c>
      <c r="Q5" s="20" t="n"/>
      <c r="R5" s="20" t="n"/>
      <c r="S5" s="20" t="n"/>
      <c r="T5" s="20" t="n"/>
      <c r="U5" s="20" t="n">
        <v>3</v>
      </c>
      <c r="V5" s="20" t="n"/>
      <c r="W5" s="20" t="n"/>
      <c r="X5" s="20" t="n"/>
      <c r="Y5" s="20" t="n"/>
      <c r="Z5" s="20" t="n"/>
    </row>
    <row r="6">
      <c r="A6" s="64" t="inlineStr">
        <is>
          <t>0114</t>
        </is>
      </c>
      <c r="B6" s="64" t="inlineStr">
        <is>
          <t>A2</t>
        </is>
      </c>
      <c r="C6" s="11" t="n">
        <v>777</v>
      </c>
      <c r="D6" s="10" t="n">
        <v>1</v>
      </c>
      <c r="E6" s="10" t="n">
        <v>1</v>
      </c>
      <c r="F6" s="65" t="inlineStr">
        <is>
          <t>Market</t>
        </is>
      </c>
      <c r="G6" s="65" t="inlineStr">
        <is>
          <t>Occupied</t>
        </is>
      </c>
      <c r="H6" s="11" t="n">
        <v>1127</v>
      </c>
      <c r="I6" s="11" t="n">
        <v>1222</v>
      </c>
      <c r="J6" s="11" t="n">
        <v>1222</v>
      </c>
      <c r="K6" s="66" t="inlineStr">
        <is>
          <t>08/30/2025</t>
        </is>
      </c>
      <c r="L6" s="66" t="inlineStr">
        <is>
          <t>09/29/2026</t>
        </is>
      </c>
      <c r="M6" s="66" t="inlineStr">
        <is>
          <t>08/30/2025</t>
        </is>
      </c>
      <c r="O6" s="11" t="n">
        <v>1222</v>
      </c>
      <c r="P6" s="11" t="n"/>
      <c r="Q6" s="11" t="n"/>
      <c r="R6" s="11" t="n"/>
      <c r="S6" s="11" t="n"/>
      <c r="T6" s="11" t="n"/>
      <c r="U6" s="11" t="n">
        <v>1</v>
      </c>
      <c r="V6" s="11" t="n"/>
      <c r="W6" s="11" t="n"/>
      <c r="X6" s="11" t="n"/>
      <c r="Y6" s="11" t="n"/>
      <c r="Z6" s="11" t="n"/>
    </row>
    <row r="7">
      <c r="A7" s="61" t="inlineStr">
        <is>
          <t>0115</t>
        </is>
      </c>
      <c r="B7" s="61" t="inlineStr">
        <is>
          <t>A2R</t>
        </is>
      </c>
      <c r="C7" s="20" t="n">
        <v>777</v>
      </c>
      <c r="D7" s="19" t="n">
        <v>1</v>
      </c>
      <c r="E7" s="19" t="n">
        <v>1</v>
      </c>
      <c r="F7" s="62" t="inlineStr">
        <is>
          <t>Market</t>
        </is>
      </c>
      <c r="G7" s="62" t="inlineStr">
        <is>
          <t>Occupied</t>
        </is>
      </c>
      <c r="H7" s="20" t="n">
        <v>1327</v>
      </c>
      <c r="I7" s="20" t="n">
        <v>1262</v>
      </c>
      <c r="J7" s="20" t="n">
        <v>1262</v>
      </c>
      <c r="K7" s="63" t="inlineStr">
        <is>
          <t>01/16/2026</t>
        </is>
      </c>
      <c r="L7" s="63" t="inlineStr">
        <is>
          <t>04/22/2027</t>
        </is>
      </c>
      <c r="M7" s="63" t="inlineStr">
        <is>
          <t>01/16/2026</t>
        </is>
      </c>
      <c r="O7" s="20" t="n">
        <v>1262</v>
      </c>
      <c r="P7" s="20" t="n">
        <v>35</v>
      </c>
      <c r="Q7" s="20" t="n"/>
      <c r="R7" s="20" t="n"/>
      <c r="S7" s="20" t="n"/>
      <c r="T7" s="20" t="n"/>
      <c r="U7" s="20" t="n">
        <v>3</v>
      </c>
      <c r="V7" s="20" t="n"/>
      <c r="W7" s="20" t="n"/>
      <c r="X7" s="20" t="n"/>
      <c r="Y7" s="20" t="n"/>
      <c r="Z7" s="20" t="n"/>
    </row>
    <row r="8">
      <c r="A8" s="64" t="inlineStr">
        <is>
          <t>0116</t>
        </is>
      </c>
      <c r="B8" s="64" t="inlineStr">
        <is>
          <t>A2</t>
        </is>
      </c>
      <c r="C8" s="11" t="n">
        <v>777</v>
      </c>
      <c r="D8" s="10" t="n">
        <v>1</v>
      </c>
      <c r="E8" s="10" t="n">
        <v>1</v>
      </c>
      <c r="F8" s="65" t="inlineStr">
        <is>
          <t>Market</t>
        </is>
      </c>
      <c r="G8" s="65" t="inlineStr">
        <is>
          <t>Occupied</t>
        </is>
      </c>
      <c r="H8" s="11" t="n">
        <v>1127</v>
      </c>
      <c r="I8" s="11" t="n">
        <v>1230</v>
      </c>
      <c r="J8" s="11" t="n">
        <v>1230</v>
      </c>
      <c r="K8" s="66" t="inlineStr">
        <is>
          <t>05/15/2026</t>
        </is>
      </c>
      <c r="L8" s="66" t="inlineStr">
        <is>
          <t>07/14/2027</t>
        </is>
      </c>
      <c r="M8" s="66" t="inlineStr">
        <is>
          <t>04/15/2025</t>
        </is>
      </c>
      <c r="O8" s="11" t="n">
        <v>1230</v>
      </c>
      <c r="P8" s="11" t="n">
        <v>35</v>
      </c>
      <c r="Q8" s="11" t="n"/>
      <c r="R8" s="11" t="n"/>
      <c r="S8" s="11" t="n">
        <v>-300</v>
      </c>
      <c r="T8" s="11" t="n"/>
      <c r="U8" s="11" t="n">
        <v>3</v>
      </c>
      <c r="V8" s="11" t="n"/>
      <c r="W8" s="11" t="n"/>
      <c r="X8" s="11" t="n"/>
      <c r="Y8" s="11" t="n"/>
      <c r="Z8" s="11" t="n"/>
    </row>
    <row r="9">
      <c r="A9" s="61" t="inlineStr">
        <is>
          <t>0117</t>
        </is>
      </c>
      <c r="B9" s="61" t="inlineStr">
        <is>
          <t>A2R</t>
        </is>
      </c>
      <c r="C9" s="20" t="n">
        <v>777</v>
      </c>
      <c r="D9" s="19" t="n">
        <v>1</v>
      </c>
      <c r="E9" s="19" t="n">
        <v>1</v>
      </c>
      <c r="F9" s="62" t="inlineStr">
        <is>
          <t>Market</t>
        </is>
      </c>
      <c r="G9" s="62" t="inlineStr">
        <is>
          <t>Occupied</t>
        </is>
      </c>
      <c r="H9" s="20" t="n">
        <v>1327</v>
      </c>
      <c r="I9" s="20" t="n">
        <v>1242</v>
      </c>
      <c r="J9" s="20" t="n">
        <v>1242</v>
      </c>
      <c r="K9" s="63" t="inlineStr">
        <is>
          <t>02/06/2026</t>
        </is>
      </c>
      <c r="L9" s="63" t="inlineStr">
        <is>
          <t>05/06/2027</t>
        </is>
      </c>
      <c r="M9" s="63" t="inlineStr">
        <is>
          <t>02/06/2026</t>
        </is>
      </c>
      <c r="O9" s="20" t="n">
        <v>1242</v>
      </c>
      <c r="P9" s="20" t="n">
        <v>35</v>
      </c>
      <c r="Q9" s="20" t="n"/>
      <c r="R9" s="20" t="n"/>
      <c r="S9" s="20" t="n"/>
      <c r="T9" s="20" t="n"/>
      <c r="U9" s="20" t="n">
        <v>3</v>
      </c>
      <c r="V9" s="20" t="n"/>
      <c r="W9" s="20" t="n"/>
      <c r="X9" s="20" t="n"/>
      <c r="Y9" s="20" t="n"/>
      <c r="Z9" s="20" t="n"/>
    </row>
    <row r="10">
      <c r="A10" s="64" t="inlineStr">
        <is>
          <t>0118</t>
        </is>
      </c>
      <c r="B10" s="64" t="inlineStr">
        <is>
          <t>A2</t>
        </is>
      </c>
      <c r="C10" s="11" t="n">
        <v>777</v>
      </c>
      <c r="D10" s="10" t="n">
        <v>1</v>
      </c>
      <c r="E10" s="10" t="n">
        <v>1</v>
      </c>
      <c r="F10" s="65" t="inlineStr">
        <is>
          <t>Market</t>
        </is>
      </c>
      <c r="G10" s="65" t="inlineStr">
        <is>
          <t>Occupied</t>
        </is>
      </c>
      <c r="H10" s="11" t="n">
        <v>1167</v>
      </c>
      <c r="I10" s="11" t="n">
        <v>1352</v>
      </c>
      <c r="J10" s="11" t="n">
        <v>1352</v>
      </c>
      <c r="K10" s="66" t="inlineStr">
        <is>
          <t>08/19/2025</t>
        </is>
      </c>
      <c r="L10" s="66" t="inlineStr">
        <is>
          <t>11/18/2026</t>
        </is>
      </c>
      <c r="M10" s="66" t="inlineStr">
        <is>
          <t>01/19/2022</t>
        </is>
      </c>
      <c r="O10" s="11" t="n">
        <v>1352</v>
      </c>
      <c r="P10" s="11" t="n"/>
      <c r="Q10" s="11" t="n"/>
      <c r="R10" s="11" t="n"/>
      <c r="S10" s="11" t="n"/>
      <c r="T10" s="11" t="n"/>
      <c r="U10" s="11" t="n">
        <v>1</v>
      </c>
      <c r="V10" s="11" t="n"/>
      <c r="W10" s="11" t="n"/>
      <c r="X10" s="11" t="n"/>
      <c r="Y10" s="11" t="n"/>
      <c r="Z10" s="11" t="n"/>
    </row>
    <row r="11">
      <c r="A11" s="61" t="inlineStr">
        <is>
          <t>0121</t>
        </is>
      </c>
      <c r="B11" s="61" t="inlineStr">
        <is>
          <t>A2</t>
        </is>
      </c>
      <c r="C11" s="20" t="n">
        <v>777</v>
      </c>
      <c r="D11" s="19" t="n">
        <v>1</v>
      </c>
      <c r="E11" s="19" t="n">
        <v>1</v>
      </c>
      <c r="F11" s="62" t="inlineStr">
        <is>
          <t>Market</t>
        </is>
      </c>
      <c r="G11" s="62" t="inlineStr">
        <is>
          <t>Vacant</t>
        </is>
      </c>
      <c r="H11" s="20" t="n">
        <v>1167</v>
      </c>
      <c r="I11" s="20" t="n">
        <v>0</v>
      </c>
      <c r="J11" s="20" t="n">
        <v>0</v>
      </c>
      <c r="K11" s="63" t="n"/>
      <c r="L11" s="63" t="n"/>
      <c r="M11" s="63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>
      <c r="A12" s="64" t="inlineStr">
        <is>
          <t>0122</t>
        </is>
      </c>
      <c r="B12" s="64" t="inlineStr">
        <is>
          <t>A2</t>
        </is>
      </c>
      <c r="C12" s="11" t="n">
        <v>777</v>
      </c>
      <c r="D12" s="10" t="n">
        <v>1</v>
      </c>
      <c r="E12" s="10" t="n">
        <v>1</v>
      </c>
      <c r="F12" s="65" t="inlineStr">
        <is>
          <t>Market</t>
        </is>
      </c>
      <c r="G12" s="65" t="inlineStr">
        <is>
          <t>Occupied</t>
        </is>
      </c>
      <c r="H12" s="11" t="n">
        <v>1107</v>
      </c>
      <c r="I12" s="11" t="n">
        <v>1260</v>
      </c>
      <c r="J12" s="11" t="n">
        <v>1260</v>
      </c>
      <c r="K12" s="66" t="inlineStr">
        <is>
          <t>01/09/2026</t>
        </is>
      </c>
      <c r="L12" s="66" t="inlineStr">
        <is>
          <t>01/15/2027</t>
        </is>
      </c>
      <c r="M12" s="66" t="inlineStr">
        <is>
          <t>09/02/2023</t>
        </is>
      </c>
      <c r="O12" s="11" t="n">
        <v>1260</v>
      </c>
      <c r="P12" s="11" t="n"/>
      <c r="Q12" s="11" t="n"/>
      <c r="R12" s="11" t="n"/>
      <c r="S12" s="11" t="n"/>
      <c r="T12" s="11" t="n"/>
      <c r="U12" s="11" t="n">
        <v>3</v>
      </c>
      <c r="V12" s="11" t="n"/>
      <c r="W12" s="11" t="n"/>
      <c r="X12" s="11" t="n"/>
      <c r="Y12" s="11" t="n"/>
      <c r="Z12" s="11" t="n"/>
    </row>
    <row r="13">
      <c r="A13" s="61" t="inlineStr">
        <is>
          <t>0123</t>
        </is>
      </c>
      <c r="B13" s="61" t="inlineStr">
        <is>
          <t>A2R</t>
        </is>
      </c>
      <c r="C13" s="20" t="n">
        <v>777</v>
      </c>
      <c r="D13" s="19" t="n">
        <v>1</v>
      </c>
      <c r="E13" s="19" t="n">
        <v>1</v>
      </c>
      <c r="F13" s="62" t="inlineStr">
        <is>
          <t>Market</t>
        </is>
      </c>
      <c r="G13" s="62" t="inlineStr">
        <is>
          <t>Vacant</t>
        </is>
      </c>
      <c r="H13" s="20" t="n">
        <v>1307</v>
      </c>
      <c r="I13" s="20" t="n">
        <v>0</v>
      </c>
      <c r="J13" s="20" t="n">
        <v>0</v>
      </c>
      <c r="K13" s="63" t="n"/>
      <c r="L13" s="63" t="n"/>
      <c r="M13" s="63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>
      <c r="A14" s="64" t="inlineStr">
        <is>
          <t>0124</t>
        </is>
      </c>
      <c r="B14" s="64" t="inlineStr">
        <is>
          <t>A2</t>
        </is>
      </c>
      <c r="C14" s="11" t="n">
        <v>777</v>
      </c>
      <c r="D14" s="10" t="n">
        <v>1</v>
      </c>
      <c r="E14" s="10" t="n">
        <v>1</v>
      </c>
      <c r="F14" s="65" t="inlineStr">
        <is>
          <t>Market</t>
        </is>
      </c>
      <c r="G14" s="65" t="inlineStr">
        <is>
          <t>Occupied</t>
        </is>
      </c>
      <c r="H14" s="11" t="n">
        <v>1107</v>
      </c>
      <c r="I14" s="11" t="n">
        <v>1130</v>
      </c>
      <c r="J14" s="11" t="n">
        <v>1130</v>
      </c>
      <c r="K14" s="66" t="inlineStr">
        <is>
          <t>05/08/2026</t>
        </is>
      </c>
      <c r="L14" s="66" t="inlineStr">
        <is>
          <t>08/07/2027</t>
        </is>
      </c>
      <c r="M14" s="66" t="inlineStr">
        <is>
          <t>02/15/2025</t>
        </is>
      </c>
      <c r="O14" s="11" t="n">
        <v>1130</v>
      </c>
      <c r="P14" s="11" t="n">
        <v>35</v>
      </c>
      <c r="Q14" s="11" t="n"/>
      <c r="R14" s="11" t="n"/>
      <c r="S14" s="11" t="n">
        <v>-300</v>
      </c>
      <c r="T14" s="11" t="n"/>
      <c r="U14" s="11" t="n">
        <v>3</v>
      </c>
      <c r="V14" s="11" t="n"/>
      <c r="W14" s="11" t="n"/>
      <c r="X14" s="11" t="n"/>
      <c r="Y14" s="11" t="n"/>
      <c r="Z14" s="11" t="n"/>
    </row>
    <row r="15">
      <c r="A15" s="61" t="inlineStr">
        <is>
          <t>0125</t>
        </is>
      </c>
      <c r="B15" s="61" t="inlineStr">
        <is>
          <t>A2</t>
        </is>
      </c>
      <c r="C15" s="20" t="n">
        <v>777</v>
      </c>
      <c r="D15" s="19" t="n">
        <v>1</v>
      </c>
      <c r="E15" s="19" t="n">
        <v>1</v>
      </c>
      <c r="F15" s="62" t="inlineStr">
        <is>
          <t>Market</t>
        </is>
      </c>
      <c r="G15" s="62" t="inlineStr">
        <is>
          <t>Occupied</t>
        </is>
      </c>
      <c r="H15" s="20" t="n">
        <v>1107</v>
      </c>
      <c r="I15" s="20" t="n">
        <v>1346</v>
      </c>
      <c r="J15" s="20" t="n">
        <v>1346</v>
      </c>
      <c r="K15" s="63" t="inlineStr">
        <is>
          <t>08/20/2025</t>
        </is>
      </c>
      <c r="L15" s="63" t="inlineStr">
        <is>
          <t>08/26/2026</t>
        </is>
      </c>
      <c r="M15" s="63" t="inlineStr">
        <is>
          <t>05/13/2022</t>
        </is>
      </c>
      <c r="O15" s="20" t="n">
        <v>1346</v>
      </c>
      <c r="P15" s="20" t="n"/>
      <c r="Q15" s="20" t="n"/>
      <c r="R15" s="20" t="n"/>
      <c r="S15" s="20" t="n"/>
      <c r="T15" s="20" t="n"/>
      <c r="U15" s="20" t="n">
        <v>1</v>
      </c>
      <c r="V15" s="20" t="n"/>
      <c r="W15" s="20" t="n"/>
      <c r="X15" s="20" t="n"/>
      <c r="Y15" s="20" t="n"/>
      <c r="Z15" s="20" t="n"/>
    </row>
    <row r="16">
      <c r="A16" s="64" t="inlineStr">
        <is>
          <t>0126</t>
        </is>
      </c>
      <c r="B16" s="64" t="inlineStr">
        <is>
          <t>A2</t>
        </is>
      </c>
      <c r="C16" s="11" t="n">
        <v>777</v>
      </c>
      <c r="D16" s="10" t="n">
        <v>1</v>
      </c>
      <c r="E16" s="10" t="n">
        <v>1</v>
      </c>
      <c r="F16" s="65" t="inlineStr">
        <is>
          <t>Market</t>
        </is>
      </c>
      <c r="G16" s="65" t="inlineStr">
        <is>
          <t>Occupied</t>
        </is>
      </c>
      <c r="H16" s="11" t="n">
        <v>1107</v>
      </c>
      <c r="I16" s="11" t="n">
        <v>1202</v>
      </c>
      <c r="J16" s="11" t="n">
        <v>1202</v>
      </c>
      <c r="K16" s="66" t="inlineStr">
        <is>
          <t>08/23/2025</t>
        </is>
      </c>
      <c r="L16" s="66" t="inlineStr">
        <is>
          <t>09/22/2026</t>
        </is>
      </c>
      <c r="M16" s="66" t="inlineStr">
        <is>
          <t>08/23/2025</t>
        </is>
      </c>
      <c r="O16" s="11" t="n">
        <v>1202</v>
      </c>
      <c r="P16" s="11" t="n"/>
      <c r="Q16" s="11" t="n"/>
      <c r="R16" s="11" t="n"/>
      <c r="S16" s="11" t="n"/>
      <c r="T16" s="11" t="n"/>
      <c r="U16" s="11" t="n">
        <v>1</v>
      </c>
      <c r="V16" s="11" t="n"/>
      <c r="W16" s="11" t="n"/>
      <c r="X16" s="11" t="n"/>
      <c r="Y16" s="11" t="n"/>
      <c r="Z16" s="11" t="n"/>
    </row>
    <row r="17">
      <c r="A17" s="61" t="inlineStr">
        <is>
          <t>0127</t>
        </is>
      </c>
      <c r="B17" s="61" t="inlineStr">
        <is>
          <t>A2R</t>
        </is>
      </c>
      <c r="C17" s="20" t="n">
        <v>777</v>
      </c>
      <c r="D17" s="19" t="n">
        <v>1</v>
      </c>
      <c r="E17" s="19" t="n">
        <v>1</v>
      </c>
      <c r="F17" s="62" t="inlineStr">
        <is>
          <t>Market</t>
        </is>
      </c>
      <c r="G17" s="62" t="inlineStr">
        <is>
          <t>Occupied</t>
        </is>
      </c>
      <c r="H17" s="20" t="n">
        <v>1307</v>
      </c>
      <c r="I17" s="20" t="n">
        <v>1443</v>
      </c>
      <c r="J17" s="20" t="n">
        <v>1443</v>
      </c>
      <c r="K17" s="63" t="inlineStr">
        <is>
          <t>08/19/2025</t>
        </is>
      </c>
      <c r="L17" s="63" t="inlineStr">
        <is>
          <t>08/25/2026</t>
        </is>
      </c>
      <c r="M17" s="63" t="inlineStr">
        <is>
          <t>05/19/2023</t>
        </is>
      </c>
      <c r="O17" s="20" t="n">
        <v>1443</v>
      </c>
      <c r="P17" s="20" t="n"/>
      <c r="Q17" s="20" t="n"/>
      <c r="R17" s="20" t="n"/>
      <c r="S17" s="20" t="n"/>
      <c r="T17" s="20" t="n"/>
      <c r="U17" s="20" t="n">
        <v>1</v>
      </c>
      <c r="V17" s="20" t="n"/>
      <c r="W17" s="20" t="n"/>
      <c r="X17" s="20" t="n"/>
      <c r="Y17" s="20" t="n"/>
      <c r="Z17" s="20" t="n"/>
    </row>
    <row r="18">
      <c r="A18" s="64" t="inlineStr">
        <is>
          <t>0128</t>
        </is>
      </c>
      <c r="B18" s="64" t="inlineStr">
        <is>
          <t>A2</t>
        </is>
      </c>
      <c r="C18" s="11" t="n">
        <v>777</v>
      </c>
      <c r="D18" s="10" t="n">
        <v>1</v>
      </c>
      <c r="E18" s="10" t="n">
        <v>1</v>
      </c>
      <c r="F18" s="65" t="inlineStr">
        <is>
          <t>Market</t>
        </is>
      </c>
      <c r="G18" s="65" t="inlineStr">
        <is>
          <t>Occupied</t>
        </is>
      </c>
      <c r="H18" s="11" t="n">
        <v>1107</v>
      </c>
      <c r="I18" s="11" t="n">
        <v>1243</v>
      </c>
      <c r="J18" s="11" t="n">
        <v>1243</v>
      </c>
      <c r="K18" s="66" t="inlineStr">
        <is>
          <t>12/03/2025</t>
        </is>
      </c>
      <c r="L18" s="66" t="inlineStr">
        <is>
          <t>03/02/2027</t>
        </is>
      </c>
      <c r="M18" s="66" t="inlineStr">
        <is>
          <t>12/03/2025</t>
        </is>
      </c>
      <c r="O18" s="11" t="n">
        <v>1243</v>
      </c>
      <c r="P18" s="11" t="n"/>
      <c r="Q18" s="11" t="n"/>
      <c r="R18" s="11" t="n"/>
      <c r="S18" s="11" t="n"/>
      <c r="T18" s="11" t="n"/>
      <c r="U18" s="11" t="n">
        <v>1</v>
      </c>
      <c r="V18" s="11" t="n"/>
      <c r="W18" s="11" t="n"/>
      <c r="X18" s="11" t="n"/>
      <c r="Y18" s="11" t="n"/>
      <c r="Z18" s="11" t="n"/>
    </row>
    <row r="19">
      <c r="A19" s="61" t="inlineStr">
        <is>
          <t>0132</t>
        </is>
      </c>
      <c r="B19" s="61" t="inlineStr">
        <is>
          <t>A2R</t>
        </is>
      </c>
      <c r="C19" s="20" t="n">
        <v>777</v>
      </c>
      <c r="D19" s="19" t="n">
        <v>1</v>
      </c>
      <c r="E19" s="19" t="n">
        <v>1</v>
      </c>
      <c r="F19" s="62" t="inlineStr">
        <is>
          <t>Market</t>
        </is>
      </c>
      <c r="G19" s="62" t="inlineStr">
        <is>
          <t>Occupied</t>
        </is>
      </c>
      <c r="H19" s="20" t="n">
        <v>1307</v>
      </c>
      <c r="I19" s="20" t="n">
        <v>1353</v>
      </c>
      <c r="J19" s="20" t="n">
        <v>1353</v>
      </c>
      <c r="K19" s="63" t="inlineStr">
        <is>
          <t>03/27/2025</t>
        </is>
      </c>
      <c r="L19" s="63" t="inlineStr">
        <is>
          <t>06/26/2026</t>
        </is>
      </c>
      <c r="M19" s="63" t="inlineStr">
        <is>
          <t>03/27/2025</t>
        </is>
      </c>
      <c r="O19" s="20" t="n">
        <v>1353</v>
      </c>
      <c r="P19" s="20" t="n"/>
      <c r="Q19" s="20" t="n"/>
      <c r="R19" s="20" t="n"/>
      <c r="S19" s="20" t="n"/>
      <c r="T19" s="20" t="n">
        <v>30</v>
      </c>
      <c r="U19" s="20" t="n">
        <v>1</v>
      </c>
      <c r="V19" s="20" t="n"/>
      <c r="W19" s="20" t="n"/>
      <c r="X19" s="20" t="n"/>
      <c r="Y19" s="20" t="n"/>
      <c r="Z19" s="20" t="n"/>
    </row>
    <row r="20">
      <c r="A20" s="64" t="inlineStr">
        <is>
          <t>0133</t>
        </is>
      </c>
      <c r="B20" s="64" t="inlineStr">
        <is>
          <t>A2R</t>
        </is>
      </c>
      <c r="C20" s="11" t="n">
        <v>777</v>
      </c>
      <c r="D20" s="10" t="n">
        <v>1</v>
      </c>
      <c r="E20" s="10" t="n">
        <v>1</v>
      </c>
      <c r="F20" s="65" t="inlineStr">
        <is>
          <t>Market</t>
        </is>
      </c>
      <c r="G20" s="65" t="inlineStr">
        <is>
          <t>Occupied</t>
        </is>
      </c>
      <c r="H20" s="11" t="n">
        <v>1307</v>
      </c>
      <c r="I20" s="11" t="n">
        <v>1435</v>
      </c>
      <c r="J20" s="11" t="n">
        <v>1435</v>
      </c>
      <c r="K20" s="66" t="inlineStr">
        <is>
          <t>04/20/2026</t>
        </is>
      </c>
      <c r="L20" s="66" t="inlineStr">
        <is>
          <t>07/19/2027</t>
        </is>
      </c>
      <c r="M20" s="66" t="inlineStr">
        <is>
          <t>10/20/2023</t>
        </is>
      </c>
      <c r="O20" s="11" t="n">
        <v>1435</v>
      </c>
      <c r="P20" s="11" t="n">
        <v>35</v>
      </c>
      <c r="Q20" s="11" t="n"/>
      <c r="R20" s="11" t="n"/>
      <c r="S20" s="11" t="n"/>
      <c r="T20" s="11" t="n"/>
      <c r="U20" s="11" t="n">
        <v>3</v>
      </c>
      <c r="V20" s="11" t="n"/>
      <c r="W20" s="11" t="n"/>
      <c r="X20" s="11" t="n"/>
      <c r="Y20" s="11" t="n"/>
      <c r="Z20" s="11" t="n"/>
    </row>
    <row r="21">
      <c r="A21" s="61" t="inlineStr">
        <is>
          <t>0136</t>
        </is>
      </c>
      <c r="B21" s="61" t="inlineStr">
        <is>
          <t>A2R</t>
        </is>
      </c>
      <c r="C21" s="20" t="n">
        <v>777</v>
      </c>
      <c r="D21" s="19" t="n">
        <v>1</v>
      </c>
      <c r="E21" s="19" t="n">
        <v>1</v>
      </c>
      <c r="F21" s="62" t="inlineStr">
        <is>
          <t>Market</t>
        </is>
      </c>
      <c r="G21" s="62" t="inlineStr">
        <is>
          <t>Occupied</t>
        </is>
      </c>
      <c r="H21" s="20" t="n">
        <v>1307</v>
      </c>
      <c r="I21" s="20" t="n">
        <v>1139</v>
      </c>
      <c r="J21" s="20" t="n">
        <v>1139</v>
      </c>
      <c r="K21" s="63" t="inlineStr">
        <is>
          <t>11/28/2025</t>
        </is>
      </c>
      <c r="L21" s="63" t="inlineStr">
        <is>
          <t>02/20/2027</t>
        </is>
      </c>
      <c r="M21" s="63" t="inlineStr">
        <is>
          <t>11/28/2025</t>
        </is>
      </c>
      <c r="O21" s="20" t="n">
        <v>1139</v>
      </c>
      <c r="P21" s="20" t="n"/>
      <c r="Q21" s="20" t="n"/>
      <c r="R21" s="20" t="n"/>
      <c r="S21" s="20" t="n"/>
      <c r="T21" s="20" t="n"/>
      <c r="U21" s="20" t="n">
        <v>3</v>
      </c>
      <c r="V21" s="20" t="n"/>
      <c r="W21" s="20" t="n"/>
      <c r="X21" s="20" t="n"/>
      <c r="Y21" s="20" t="n"/>
      <c r="Z21" s="20" t="n"/>
    </row>
    <row r="22">
      <c r="A22" s="64" t="inlineStr">
        <is>
          <t>0137</t>
        </is>
      </c>
      <c r="B22" s="64" t="inlineStr">
        <is>
          <t>A2</t>
        </is>
      </c>
      <c r="C22" s="11" t="n">
        <v>777</v>
      </c>
      <c r="D22" s="10" t="n">
        <v>1</v>
      </c>
      <c r="E22" s="10" t="n">
        <v>1</v>
      </c>
      <c r="F22" s="65" t="inlineStr">
        <is>
          <t>Market</t>
        </is>
      </c>
      <c r="G22" s="65" t="inlineStr">
        <is>
          <t>Occupied</t>
        </is>
      </c>
      <c r="H22" s="11" t="n">
        <v>1107</v>
      </c>
      <c r="I22" s="11" t="n">
        <v>1186</v>
      </c>
      <c r="J22" s="11" t="n">
        <v>1186</v>
      </c>
      <c r="K22" s="66" t="inlineStr">
        <is>
          <t>06/15/2025</t>
        </is>
      </c>
      <c r="L22" s="66" t="inlineStr">
        <is>
          <t>08/14/2026</t>
        </is>
      </c>
      <c r="M22" s="66" t="inlineStr">
        <is>
          <t>06/15/2025</t>
        </is>
      </c>
      <c r="O22" s="11" t="n">
        <v>1186</v>
      </c>
      <c r="P22" s="11" t="n"/>
      <c r="Q22" s="11" t="n"/>
      <c r="R22" s="11" t="n"/>
      <c r="S22" s="11" t="n"/>
      <c r="T22" s="11" t="n"/>
      <c r="U22" s="11" t="n">
        <v>1</v>
      </c>
      <c r="V22" s="11" t="n"/>
      <c r="W22" s="11" t="n"/>
      <c r="X22" s="11" t="n"/>
      <c r="Y22" s="11" t="n"/>
      <c r="Z22" s="11" t="n"/>
    </row>
    <row r="23">
      <c r="A23" s="61" t="inlineStr">
        <is>
          <t>0211</t>
        </is>
      </c>
      <c r="B23" s="61" t="inlineStr">
        <is>
          <t>B4</t>
        </is>
      </c>
      <c r="C23" s="20" t="n">
        <v>1187</v>
      </c>
      <c r="D23" s="19" t="n">
        <v>2</v>
      </c>
      <c r="E23" s="19" t="n">
        <v>2</v>
      </c>
      <c r="F23" s="62" t="inlineStr">
        <is>
          <t>Market</t>
        </is>
      </c>
      <c r="G23" s="62" t="inlineStr">
        <is>
          <t>Occupied</t>
        </is>
      </c>
      <c r="H23" s="20" t="n">
        <v>1691</v>
      </c>
      <c r="I23" s="20" t="n">
        <v>1743</v>
      </c>
      <c r="J23" s="20" t="n">
        <v>1743</v>
      </c>
      <c r="K23" s="63" t="inlineStr">
        <is>
          <t>09/18/2025</t>
        </is>
      </c>
      <c r="L23" s="63" t="inlineStr">
        <is>
          <t>09/17/2026</t>
        </is>
      </c>
      <c r="M23" s="63" t="inlineStr">
        <is>
          <t>08/18/2020</t>
        </is>
      </c>
      <c r="O23" s="20" t="n">
        <v>1743</v>
      </c>
      <c r="P23" s="20" t="n"/>
      <c r="Q23" s="20" t="n"/>
      <c r="R23" s="20" t="n"/>
      <c r="S23" s="20" t="n"/>
      <c r="T23" s="20" t="n">
        <v>40</v>
      </c>
      <c r="U23" s="20" t="n">
        <v>1</v>
      </c>
      <c r="V23" s="20" t="n"/>
      <c r="W23" s="20" t="n"/>
      <c r="X23" s="20" t="n"/>
      <c r="Y23" s="20" t="n"/>
      <c r="Z23" s="20" t="n"/>
    </row>
    <row r="24">
      <c r="A24" s="64" t="inlineStr">
        <is>
          <t>0212</t>
        </is>
      </c>
      <c r="B24" s="64" t="inlineStr">
        <is>
          <t>B1</t>
        </is>
      </c>
      <c r="C24" s="11" t="n">
        <v>947</v>
      </c>
      <c r="D24" s="10" t="n">
        <v>2</v>
      </c>
      <c r="E24" s="10" t="n">
        <v>2</v>
      </c>
      <c r="F24" s="65" t="inlineStr">
        <is>
          <t>Market</t>
        </is>
      </c>
      <c r="G24" s="65" t="inlineStr">
        <is>
          <t>Occupied</t>
        </is>
      </c>
      <c r="H24" s="11" t="n">
        <v>1427</v>
      </c>
      <c r="I24" s="11" t="n">
        <v>1465</v>
      </c>
      <c r="J24" s="11" t="n">
        <v>1465</v>
      </c>
      <c r="K24" s="66" t="inlineStr">
        <is>
          <t>06/23/2025</t>
        </is>
      </c>
      <c r="L24" s="66" t="inlineStr">
        <is>
          <t>09/22/2026</t>
        </is>
      </c>
      <c r="M24" s="66" t="inlineStr">
        <is>
          <t>06/23/2025</t>
        </is>
      </c>
      <c r="O24" s="11" t="n">
        <v>1465</v>
      </c>
      <c r="P24" s="11" t="n"/>
      <c r="Q24" s="11" t="n"/>
      <c r="R24" s="11" t="n"/>
      <c r="S24" s="11" t="n"/>
      <c r="T24" s="11" t="n"/>
      <c r="U24" s="11" t="n">
        <v>1</v>
      </c>
      <c r="V24" s="11" t="n"/>
      <c r="W24" s="11" t="n"/>
      <c r="X24" s="11" t="n"/>
      <c r="Y24" s="11" t="n"/>
      <c r="Z24" s="11" t="n"/>
    </row>
    <row r="25">
      <c r="A25" s="61" t="inlineStr">
        <is>
          <t>0213</t>
        </is>
      </c>
      <c r="B25" s="61" t="inlineStr">
        <is>
          <t>B1</t>
        </is>
      </c>
      <c r="C25" s="20" t="n">
        <v>947</v>
      </c>
      <c r="D25" s="19" t="n">
        <v>2</v>
      </c>
      <c r="E25" s="19" t="n">
        <v>2</v>
      </c>
      <c r="F25" s="62" t="inlineStr">
        <is>
          <t>Market</t>
        </is>
      </c>
      <c r="G25" s="62" t="inlineStr">
        <is>
          <t>Occupied</t>
        </is>
      </c>
      <c r="H25" s="20" t="n">
        <v>1427</v>
      </c>
      <c r="I25" s="20" t="n">
        <v>1464</v>
      </c>
      <c r="J25" s="20" t="n">
        <v>1464</v>
      </c>
      <c r="K25" s="63" t="inlineStr">
        <is>
          <t>02/17/2026</t>
        </is>
      </c>
      <c r="L25" s="63" t="inlineStr">
        <is>
          <t>03/23/2027</t>
        </is>
      </c>
      <c r="M25" s="63" t="inlineStr">
        <is>
          <t>11/17/2023</t>
        </is>
      </c>
      <c r="O25" s="20" t="n">
        <v>1464</v>
      </c>
      <c r="P25" s="20" t="n"/>
      <c r="Q25" s="20" t="n"/>
      <c r="R25" s="20" t="n"/>
      <c r="S25" s="20" t="n"/>
      <c r="T25" s="20" t="n"/>
      <c r="U25" s="20" t="n">
        <v>3</v>
      </c>
      <c r="V25" s="20" t="n"/>
      <c r="W25" s="20" t="n"/>
      <c r="X25" s="20" t="n"/>
      <c r="Y25" s="20" t="n"/>
      <c r="Z25" s="20" t="n"/>
    </row>
    <row r="26">
      <c r="A26" s="64" t="inlineStr">
        <is>
          <t>0214</t>
        </is>
      </c>
      <c r="B26" s="64" t="inlineStr">
        <is>
          <t>B4</t>
        </is>
      </c>
      <c r="C26" s="11" t="n">
        <v>1187</v>
      </c>
      <c r="D26" s="10" t="n">
        <v>2</v>
      </c>
      <c r="E26" s="10" t="n">
        <v>2</v>
      </c>
      <c r="F26" s="65" t="inlineStr">
        <is>
          <t>Market</t>
        </is>
      </c>
      <c r="G26" s="65" t="inlineStr">
        <is>
          <t>Occupied</t>
        </is>
      </c>
      <c r="H26" s="11" t="n">
        <v>1691</v>
      </c>
      <c r="I26" s="11" t="n">
        <v>1527</v>
      </c>
      <c r="J26" s="11" t="n">
        <v>1527</v>
      </c>
      <c r="K26" s="66" t="inlineStr">
        <is>
          <t>05/05/2025</t>
        </is>
      </c>
      <c r="L26" s="66" t="inlineStr">
        <is>
          <t>08/04/2026</t>
        </is>
      </c>
      <c r="M26" s="66" t="inlineStr">
        <is>
          <t>05/05/2025</t>
        </is>
      </c>
      <c r="O26" s="11" t="n">
        <v>1527</v>
      </c>
      <c r="P26" s="11" t="n"/>
      <c r="Q26" s="11" t="n">
        <v>125</v>
      </c>
      <c r="R26" s="11" t="n"/>
      <c r="S26" s="11" t="n"/>
      <c r="T26" s="11" t="n"/>
      <c r="U26" s="11" t="n">
        <v>1</v>
      </c>
      <c r="V26" s="11" t="n"/>
      <c r="W26" s="11" t="n"/>
      <c r="X26" s="11" t="n"/>
      <c r="Y26" s="11" t="n"/>
      <c r="Z26" s="11" t="n"/>
    </row>
    <row r="27">
      <c r="A27" s="61" t="inlineStr">
        <is>
          <t>0215</t>
        </is>
      </c>
      <c r="B27" s="61" t="inlineStr">
        <is>
          <t>B4</t>
        </is>
      </c>
      <c r="C27" s="20" t="n">
        <v>1187</v>
      </c>
      <c r="D27" s="19" t="n">
        <v>2</v>
      </c>
      <c r="E27" s="19" t="n">
        <v>2</v>
      </c>
      <c r="F27" s="62" t="inlineStr">
        <is>
          <t>Market</t>
        </is>
      </c>
      <c r="G27" s="62" t="inlineStr">
        <is>
          <t>Occupied</t>
        </is>
      </c>
      <c r="H27" s="20" t="n">
        <v>1691</v>
      </c>
      <c r="I27" s="20" t="n">
        <v>1456</v>
      </c>
      <c r="J27" s="20" t="n">
        <v>1456</v>
      </c>
      <c r="K27" s="63" t="inlineStr">
        <is>
          <t>11/22/2025</t>
        </is>
      </c>
      <c r="L27" s="63" t="inlineStr">
        <is>
          <t>01/21/2027</t>
        </is>
      </c>
      <c r="M27" s="63" t="inlineStr">
        <is>
          <t>11/22/2025</t>
        </is>
      </c>
      <c r="O27" s="20" t="n">
        <v>1456</v>
      </c>
      <c r="P27" s="20" t="n"/>
      <c r="Q27" s="20" t="n"/>
      <c r="R27" s="20" t="n"/>
      <c r="S27" s="20" t="n"/>
      <c r="T27" s="20" t="n"/>
      <c r="U27" s="20" t="n">
        <v>3</v>
      </c>
      <c r="V27" s="20" t="n"/>
      <c r="W27" s="20" t="n"/>
      <c r="X27" s="20" t="n"/>
      <c r="Y27" s="20" t="n"/>
      <c r="Z27" s="20" t="n"/>
    </row>
    <row r="28">
      <c r="A28" s="64" t="inlineStr">
        <is>
          <t>0216</t>
        </is>
      </c>
      <c r="B28" s="64" t="inlineStr">
        <is>
          <t>B1R</t>
        </is>
      </c>
      <c r="C28" s="11" t="n">
        <v>947</v>
      </c>
      <c r="D28" s="10" t="n">
        <v>2</v>
      </c>
      <c r="E28" s="10" t="n">
        <v>2</v>
      </c>
      <c r="F28" s="65" t="inlineStr">
        <is>
          <t>Market</t>
        </is>
      </c>
      <c r="G28" s="65" t="inlineStr">
        <is>
          <t>Occupied</t>
        </is>
      </c>
      <c r="H28" s="11" t="n">
        <v>1552</v>
      </c>
      <c r="I28" s="11" t="n">
        <v>1738</v>
      </c>
      <c r="J28" s="11" t="n">
        <v>1738</v>
      </c>
      <c r="K28" s="66" t="inlineStr">
        <is>
          <t>05/06/2025</t>
        </is>
      </c>
      <c r="L28" s="66" t="inlineStr">
        <is>
          <t>06/05/2026</t>
        </is>
      </c>
      <c r="M28" s="66" t="inlineStr">
        <is>
          <t>02/01/2024</t>
        </is>
      </c>
      <c r="O28" s="11" t="n">
        <v>1738</v>
      </c>
      <c r="P28" s="11" t="n"/>
      <c r="Q28" s="11" t="n"/>
      <c r="R28" s="11" t="n"/>
      <c r="S28" s="11" t="n"/>
      <c r="T28" s="11" t="n">
        <v>40</v>
      </c>
      <c r="U28" s="11" t="n">
        <v>1</v>
      </c>
      <c r="V28" s="11" t="n"/>
      <c r="W28" s="11" t="n"/>
      <c r="X28" s="11" t="n"/>
      <c r="Y28" s="11" t="n"/>
      <c r="Z28" s="11" t="n"/>
    </row>
    <row r="29">
      <c r="A29" s="61" t="inlineStr">
        <is>
          <t>0217</t>
        </is>
      </c>
      <c r="B29" s="61" t="inlineStr">
        <is>
          <t>B1R</t>
        </is>
      </c>
      <c r="C29" s="20" t="n">
        <v>947</v>
      </c>
      <c r="D29" s="19" t="n">
        <v>2</v>
      </c>
      <c r="E29" s="19" t="n">
        <v>2</v>
      </c>
      <c r="F29" s="62" t="inlineStr">
        <is>
          <t>Market</t>
        </is>
      </c>
      <c r="G29" s="62" t="inlineStr">
        <is>
          <t>Occupied</t>
        </is>
      </c>
      <c r="H29" s="20" t="n">
        <v>1552</v>
      </c>
      <c r="I29" s="20" t="n">
        <v>1467</v>
      </c>
      <c r="J29" s="20" t="n">
        <v>1467</v>
      </c>
      <c r="K29" s="63" t="inlineStr">
        <is>
          <t>10/08/2025</t>
        </is>
      </c>
      <c r="L29" s="63" t="inlineStr">
        <is>
          <t>10/07/2026</t>
        </is>
      </c>
      <c r="M29" s="63" t="inlineStr">
        <is>
          <t>10/08/2025</t>
        </is>
      </c>
      <c r="O29" s="20" t="n">
        <v>1467</v>
      </c>
      <c r="P29" s="20" t="n"/>
      <c r="Q29" s="20" t="n"/>
      <c r="R29" s="20" t="n"/>
      <c r="S29" s="20" t="n"/>
      <c r="T29" s="20" t="n"/>
      <c r="U29" s="20" t="n">
        <v>1</v>
      </c>
      <c r="V29" s="20" t="n"/>
      <c r="W29" s="20" t="n"/>
      <c r="X29" s="20" t="n"/>
      <c r="Y29" s="20" t="n"/>
      <c r="Z29" s="20" t="n"/>
    </row>
    <row r="30">
      <c r="A30" s="64" t="inlineStr">
        <is>
          <t>0218</t>
        </is>
      </c>
      <c r="B30" s="64" t="inlineStr">
        <is>
          <t>B4</t>
        </is>
      </c>
      <c r="C30" s="11" t="n">
        <v>1187</v>
      </c>
      <c r="D30" s="10" t="n">
        <v>2</v>
      </c>
      <c r="E30" s="10" t="n">
        <v>2</v>
      </c>
      <c r="F30" s="65" t="inlineStr">
        <is>
          <t>Market</t>
        </is>
      </c>
      <c r="G30" s="65" t="inlineStr">
        <is>
          <t>Occupied</t>
        </is>
      </c>
      <c r="H30" s="11" t="n">
        <v>1691</v>
      </c>
      <c r="I30" s="11" t="n">
        <v>1723</v>
      </c>
      <c r="J30" s="11" t="n">
        <v>1723</v>
      </c>
      <c r="K30" s="66" t="inlineStr">
        <is>
          <t>05/02/2025</t>
        </is>
      </c>
      <c r="L30" s="66" t="inlineStr">
        <is>
          <t>07/26/2026</t>
        </is>
      </c>
      <c r="M30" s="66" t="inlineStr">
        <is>
          <t>01/27/2024</t>
        </is>
      </c>
      <c r="O30" s="11" t="n">
        <v>1723</v>
      </c>
      <c r="P30" s="11" t="n"/>
      <c r="Q30" s="11" t="n"/>
      <c r="R30" s="11" t="n"/>
      <c r="S30" s="11" t="n"/>
      <c r="T30" s="11" t="n"/>
      <c r="U30" s="11" t="n">
        <v>1</v>
      </c>
      <c r="V30" s="11" t="n"/>
      <c r="W30" s="11" t="n"/>
      <c r="X30" s="11" t="n"/>
      <c r="Y30" s="11" t="n"/>
      <c r="Z30" s="11" t="n"/>
    </row>
    <row r="31">
      <c r="A31" s="61" t="inlineStr">
        <is>
          <t>0221</t>
        </is>
      </c>
      <c r="B31" s="61" t="inlineStr">
        <is>
          <t>B4</t>
        </is>
      </c>
      <c r="C31" s="20" t="n">
        <v>1187</v>
      </c>
      <c r="D31" s="19" t="n">
        <v>2</v>
      </c>
      <c r="E31" s="19" t="n">
        <v>2</v>
      </c>
      <c r="F31" s="62" t="inlineStr">
        <is>
          <t>Market</t>
        </is>
      </c>
      <c r="G31" s="62" t="inlineStr">
        <is>
          <t>Occupied</t>
        </is>
      </c>
      <c r="H31" s="20" t="n">
        <v>1596</v>
      </c>
      <c r="I31" s="20" t="n">
        <v>1396</v>
      </c>
      <c r="J31" s="20" t="n">
        <v>1396</v>
      </c>
      <c r="K31" s="63" t="inlineStr">
        <is>
          <t>07/16/2025</t>
        </is>
      </c>
      <c r="L31" s="63" t="inlineStr">
        <is>
          <t>10/15/2026</t>
        </is>
      </c>
      <c r="M31" s="63" t="inlineStr">
        <is>
          <t>07/16/2025</t>
        </is>
      </c>
      <c r="O31" s="20" t="n">
        <v>1396</v>
      </c>
      <c r="P31" s="20" t="n"/>
      <c r="Q31" s="20" t="n"/>
      <c r="R31" s="20" t="n"/>
      <c r="S31" s="20" t="n"/>
      <c r="T31" s="20" t="n"/>
      <c r="U31" s="20" t="n">
        <v>1</v>
      </c>
      <c r="V31" s="20" t="n"/>
      <c r="W31" s="20" t="n"/>
      <c r="X31" s="20" t="n"/>
      <c r="Y31" s="20" t="n"/>
      <c r="Z31" s="20" t="n"/>
    </row>
    <row r="32">
      <c r="A32" s="64" t="inlineStr">
        <is>
          <t>0222</t>
        </is>
      </c>
      <c r="B32" s="64" t="inlineStr">
        <is>
          <t>B1</t>
        </is>
      </c>
      <c r="C32" s="11" t="n">
        <v>947</v>
      </c>
      <c r="D32" s="10" t="n">
        <v>2</v>
      </c>
      <c r="E32" s="10" t="n">
        <v>2</v>
      </c>
      <c r="F32" s="65" t="inlineStr">
        <is>
          <t>Market</t>
        </is>
      </c>
      <c r="G32" s="65" t="inlineStr">
        <is>
          <t>Occupied</t>
        </is>
      </c>
      <c r="H32" s="11" t="n">
        <v>1332</v>
      </c>
      <c r="I32" s="11" t="n">
        <v>1437</v>
      </c>
      <c r="J32" s="11" t="n">
        <v>1437</v>
      </c>
      <c r="K32" s="66" t="inlineStr">
        <is>
          <t>07/09/2025</t>
        </is>
      </c>
      <c r="L32" s="66" t="inlineStr">
        <is>
          <t>07/08/2026</t>
        </is>
      </c>
      <c r="M32" s="66" t="inlineStr">
        <is>
          <t>03/09/2023</t>
        </is>
      </c>
      <c r="O32" s="11" t="n">
        <v>1437</v>
      </c>
      <c r="P32" s="11" t="n"/>
      <c r="Q32" s="11" t="n"/>
      <c r="R32" s="11" t="n"/>
      <c r="S32" s="11" t="n"/>
      <c r="T32" s="11" t="n">
        <v>30</v>
      </c>
      <c r="U32" s="11" t="n">
        <v>1</v>
      </c>
      <c r="V32" s="11" t="n"/>
      <c r="W32" s="11" t="n"/>
      <c r="X32" s="11" t="n"/>
      <c r="Y32" s="11" t="n"/>
      <c r="Z32" s="11" t="n"/>
    </row>
    <row r="33">
      <c r="A33" s="61" t="inlineStr">
        <is>
          <t>0223</t>
        </is>
      </c>
      <c r="B33" s="61" t="inlineStr">
        <is>
          <t>B1</t>
        </is>
      </c>
      <c r="C33" s="20" t="n">
        <v>947</v>
      </c>
      <c r="D33" s="19" t="n">
        <v>2</v>
      </c>
      <c r="E33" s="19" t="n">
        <v>2</v>
      </c>
      <c r="F33" s="62" t="inlineStr">
        <is>
          <t>Market</t>
        </is>
      </c>
      <c r="G33" s="62" t="inlineStr">
        <is>
          <t>Occupied</t>
        </is>
      </c>
      <c r="H33" s="20" t="n">
        <v>1332</v>
      </c>
      <c r="I33" s="20" t="n">
        <v>1410</v>
      </c>
      <c r="J33" s="20" t="n">
        <v>1410</v>
      </c>
      <c r="K33" s="63" t="inlineStr">
        <is>
          <t>11/12/2025</t>
        </is>
      </c>
      <c r="L33" s="63" t="inlineStr">
        <is>
          <t>11/11/2026</t>
        </is>
      </c>
      <c r="M33" s="63" t="inlineStr">
        <is>
          <t>06/28/2018</t>
        </is>
      </c>
      <c r="O33" s="20" t="n">
        <v>1410</v>
      </c>
      <c r="P33" s="20" t="n"/>
      <c r="Q33" s="20" t="n"/>
      <c r="R33" s="20" t="n"/>
      <c r="S33" s="20" t="n"/>
      <c r="T33" s="20" t="n"/>
      <c r="U33" s="20" t="n">
        <v>1</v>
      </c>
      <c r="V33" s="20" t="n"/>
      <c r="W33" s="20" t="n"/>
      <c r="X33" s="20" t="n"/>
      <c r="Y33" s="20" t="n"/>
      <c r="Z33" s="20" t="n"/>
    </row>
    <row r="34">
      <c r="A34" s="64" t="inlineStr">
        <is>
          <t>0224</t>
        </is>
      </c>
      <c r="B34" s="64" t="inlineStr">
        <is>
          <t>B4</t>
        </is>
      </c>
      <c r="C34" s="11" t="n">
        <v>1187</v>
      </c>
      <c r="D34" s="10" t="n">
        <v>2</v>
      </c>
      <c r="E34" s="10" t="n">
        <v>2</v>
      </c>
      <c r="F34" s="65" t="inlineStr">
        <is>
          <t>Market</t>
        </is>
      </c>
      <c r="G34" s="65" t="inlineStr">
        <is>
          <t>Occupied</t>
        </is>
      </c>
      <c r="H34" s="11" t="n">
        <v>1596</v>
      </c>
      <c r="I34" s="11" t="n">
        <v>1458</v>
      </c>
      <c r="J34" s="11" t="n">
        <v>1458</v>
      </c>
      <c r="K34" s="66" t="inlineStr">
        <is>
          <t>03/26/2026</t>
        </is>
      </c>
      <c r="L34" s="66" t="inlineStr">
        <is>
          <t>05/25/2027</t>
        </is>
      </c>
      <c r="M34" s="66" t="inlineStr">
        <is>
          <t>12/28/2024</t>
        </is>
      </c>
      <c r="O34" s="11" t="n">
        <v>1458</v>
      </c>
      <c r="P34" s="11" t="n">
        <v>35</v>
      </c>
      <c r="Q34" s="11" t="n"/>
      <c r="R34" s="11" t="n"/>
      <c r="S34" s="11" t="n"/>
      <c r="T34" s="11" t="n"/>
      <c r="U34" s="11" t="n">
        <v>3</v>
      </c>
      <c r="V34" s="11" t="n"/>
      <c r="W34" s="11" t="n"/>
      <c r="X34" s="11" t="n"/>
      <c r="Y34" s="11" t="n"/>
      <c r="Z34" s="11" t="n"/>
    </row>
    <row r="35">
      <c r="A35" s="61" t="inlineStr">
        <is>
          <t>0225</t>
        </is>
      </c>
      <c r="B35" s="61" t="inlineStr">
        <is>
          <t>B4</t>
        </is>
      </c>
      <c r="C35" s="20" t="n">
        <v>1187</v>
      </c>
      <c r="D35" s="19" t="n">
        <v>2</v>
      </c>
      <c r="E35" s="19" t="n">
        <v>2</v>
      </c>
      <c r="F35" s="62" t="inlineStr">
        <is>
          <t>Market</t>
        </is>
      </c>
      <c r="G35" s="62" t="inlineStr">
        <is>
          <t>Occupied</t>
        </is>
      </c>
      <c r="H35" s="20" t="n">
        <v>1636</v>
      </c>
      <c r="I35" s="20" t="n">
        <v>1538</v>
      </c>
      <c r="J35" s="20" t="n">
        <v>1538</v>
      </c>
      <c r="K35" s="63" t="inlineStr">
        <is>
          <t>04/25/2025</t>
        </is>
      </c>
      <c r="L35" s="63" t="inlineStr">
        <is>
          <t>07/24/2026</t>
        </is>
      </c>
      <c r="M35" s="63" t="inlineStr">
        <is>
          <t>04/25/2025</t>
        </is>
      </c>
      <c r="O35" s="20" t="n">
        <v>1538</v>
      </c>
      <c r="P35" s="20" t="n"/>
      <c r="Q35" s="20" t="n">
        <v>100</v>
      </c>
      <c r="R35" s="20" t="n"/>
      <c r="S35" s="20" t="n"/>
      <c r="T35" s="20" t="n"/>
      <c r="U35" s="20" t="n">
        <v>1</v>
      </c>
      <c r="V35" s="20" t="n"/>
      <c r="W35" s="20" t="n"/>
      <c r="X35" s="20" t="n"/>
      <c r="Y35" s="20" t="n"/>
      <c r="Z35" s="20" t="n"/>
    </row>
    <row r="36">
      <c r="A36" s="64" t="inlineStr">
        <is>
          <t>0226</t>
        </is>
      </c>
      <c r="B36" s="64" t="inlineStr">
        <is>
          <t>B1</t>
        </is>
      </c>
      <c r="C36" s="11" t="n">
        <v>947</v>
      </c>
      <c r="D36" s="10" t="n">
        <v>2</v>
      </c>
      <c r="E36" s="10" t="n">
        <v>2</v>
      </c>
      <c r="F36" s="65" t="inlineStr">
        <is>
          <t>Market</t>
        </is>
      </c>
      <c r="G36" s="65" t="inlineStr">
        <is>
          <t>Occupied</t>
        </is>
      </c>
      <c r="H36" s="11" t="n">
        <v>1332</v>
      </c>
      <c r="I36" s="11" t="n">
        <v>1673</v>
      </c>
      <c r="J36" s="11" t="n">
        <v>1673</v>
      </c>
      <c r="K36" s="66" t="inlineStr">
        <is>
          <t>10/31/2025</t>
        </is>
      </c>
      <c r="L36" s="66" t="inlineStr">
        <is>
          <t>10/30/2026</t>
        </is>
      </c>
      <c r="M36" s="66" t="inlineStr">
        <is>
          <t>05/24/2022</t>
        </is>
      </c>
      <c r="O36" s="11" t="n">
        <v>1673</v>
      </c>
      <c r="P36" s="11" t="n"/>
      <c r="Q36" s="11" t="n">
        <v>100</v>
      </c>
      <c r="R36" s="11" t="n"/>
      <c r="S36" s="11" t="n"/>
      <c r="T36" s="11" t="n"/>
      <c r="U36" s="11" t="n">
        <v>1</v>
      </c>
      <c r="V36" s="11" t="n"/>
      <c r="W36" s="11" t="n"/>
      <c r="X36" s="11" t="n"/>
      <c r="Y36" s="11" t="n"/>
      <c r="Z36" s="11" t="n"/>
    </row>
    <row r="37">
      <c r="A37" s="61" t="inlineStr">
        <is>
          <t>0227</t>
        </is>
      </c>
      <c r="B37" s="61" t="inlineStr">
        <is>
          <t>B1</t>
        </is>
      </c>
      <c r="C37" s="20" t="n">
        <v>947</v>
      </c>
      <c r="D37" s="19" t="n">
        <v>2</v>
      </c>
      <c r="E37" s="19" t="n">
        <v>2</v>
      </c>
      <c r="F37" s="62" t="inlineStr">
        <is>
          <t>Market</t>
        </is>
      </c>
      <c r="G37" s="62" t="inlineStr">
        <is>
          <t>Occupied</t>
        </is>
      </c>
      <c r="H37" s="20" t="n">
        <v>1332</v>
      </c>
      <c r="I37" s="20" t="n">
        <v>1466</v>
      </c>
      <c r="J37" s="20" t="n">
        <v>1466</v>
      </c>
      <c r="K37" s="63" t="inlineStr">
        <is>
          <t>07/07/2025</t>
        </is>
      </c>
      <c r="L37" s="63" t="inlineStr">
        <is>
          <t>07/06/2026</t>
        </is>
      </c>
      <c r="M37" s="63" t="inlineStr">
        <is>
          <t>07/07/2024</t>
        </is>
      </c>
      <c r="O37" s="20" t="n">
        <v>1466</v>
      </c>
      <c r="P37" s="20" t="n"/>
      <c r="Q37" s="20" t="n">
        <v>75</v>
      </c>
      <c r="R37" s="20" t="n"/>
      <c r="S37" s="20" t="n"/>
      <c r="T37" s="20" t="n"/>
      <c r="U37" s="20" t="n">
        <v>1</v>
      </c>
      <c r="V37" s="20" t="n"/>
      <c r="W37" s="20" t="n"/>
      <c r="X37" s="20" t="n"/>
      <c r="Y37" s="20" t="n"/>
      <c r="Z37" s="20" t="n"/>
    </row>
    <row r="38">
      <c r="A38" s="64" t="inlineStr">
        <is>
          <t>0228</t>
        </is>
      </c>
      <c r="B38" s="64" t="inlineStr">
        <is>
          <t>B4R</t>
        </is>
      </c>
      <c r="C38" s="11" t="n">
        <v>1187</v>
      </c>
      <c r="D38" s="10" t="n">
        <v>2</v>
      </c>
      <c r="E38" s="10" t="n">
        <v>2</v>
      </c>
      <c r="F38" s="65" t="inlineStr">
        <is>
          <t>Market</t>
        </is>
      </c>
      <c r="G38" s="65" t="inlineStr">
        <is>
          <t>Occupied</t>
        </is>
      </c>
      <c r="H38" s="11" t="n">
        <v>1796</v>
      </c>
      <c r="I38" s="11" t="n">
        <v>1515</v>
      </c>
      <c r="J38" s="11" t="n">
        <v>1515</v>
      </c>
      <c r="K38" s="66" t="inlineStr">
        <is>
          <t>02/14/2026</t>
        </is>
      </c>
      <c r="L38" s="66" t="inlineStr">
        <is>
          <t>03/06/2027</t>
        </is>
      </c>
      <c r="M38" s="66" t="inlineStr">
        <is>
          <t>11/14/2024</t>
        </is>
      </c>
      <c r="O38" s="11" t="n">
        <v>1515</v>
      </c>
      <c r="P38" s="11" t="n"/>
      <c r="Q38" s="11" t="n"/>
      <c r="R38" s="11" t="n"/>
      <c r="S38" s="11" t="n"/>
      <c r="T38" s="11" t="n">
        <v>45</v>
      </c>
      <c r="U38" s="11" t="n">
        <v>3</v>
      </c>
      <c r="V38" s="11" t="n"/>
      <c r="W38" s="11" t="n"/>
      <c r="X38" s="11" t="n"/>
      <c r="Y38" s="11" t="n"/>
      <c r="Z38" s="11" t="n"/>
    </row>
    <row r="39">
      <c r="A39" s="61" t="inlineStr">
        <is>
          <t>0232</t>
        </is>
      </c>
      <c r="B39" s="61" t="inlineStr">
        <is>
          <t>B1</t>
        </is>
      </c>
      <c r="C39" s="20" t="n">
        <v>947</v>
      </c>
      <c r="D39" s="19" t="n">
        <v>2</v>
      </c>
      <c r="E39" s="19" t="n">
        <v>2</v>
      </c>
      <c r="F39" s="62" t="inlineStr">
        <is>
          <t>Market</t>
        </is>
      </c>
      <c r="G39" s="62" t="inlineStr">
        <is>
          <t>Occupied</t>
        </is>
      </c>
      <c r="H39" s="20" t="n">
        <v>1332</v>
      </c>
      <c r="I39" s="20" t="n">
        <v>1247</v>
      </c>
      <c r="J39" s="20" t="n">
        <v>1247</v>
      </c>
      <c r="K39" s="63" t="inlineStr">
        <is>
          <t>10/04/2025</t>
        </is>
      </c>
      <c r="L39" s="63" t="inlineStr">
        <is>
          <t>11/03/2026</t>
        </is>
      </c>
      <c r="M39" s="63" t="inlineStr">
        <is>
          <t>10/04/2025</t>
        </is>
      </c>
      <c r="O39" s="20" t="n">
        <v>1247</v>
      </c>
      <c r="P39" s="20" t="n"/>
      <c r="Q39" s="20" t="n"/>
      <c r="R39" s="20" t="n"/>
      <c r="S39" s="20" t="n"/>
      <c r="T39" s="20" t="n"/>
      <c r="U39" s="20" t="n">
        <v>1</v>
      </c>
      <c r="V39" s="20" t="n"/>
      <c r="W39" s="20" t="n"/>
      <c r="X39" s="20" t="n"/>
      <c r="Y39" s="20" t="n"/>
      <c r="Z39" s="20" t="n"/>
    </row>
    <row r="40">
      <c r="A40" s="64" t="inlineStr">
        <is>
          <t>0233</t>
        </is>
      </c>
      <c r="B40" s="64" t="inlineStr">
        <is>
          <t>B1R</t>
        </is>
      </c>
      <c r="C40" s="11" t="n">
        <v>947</v>
      </c>
      <c r="D40" s="10" t="n">
        <v>2</v>
      </c>
      <c r="E40" s="10" t="n">
        <v>2</v>
      </c>
      <c r="F40" s="65" t="inlineStr">
        <is>
          <t>Market</t>
        </is>
      </c>
      <c r="G40" s="65" t="inlineStr">
        <is>
          <t>Vacant</t>
        </is>
      </c>
      <c r="H40" s="11" t="n">
        <v>1532</v>
      </c>
      <c r="I40" s="11" t="n">
        <v>0</v>
      </c>
      <c r="J40" s="11" t="n">
        <v>0</v>
      </c>
      <c r="K40" s="66" t="n"/>
      <c r="L40" s="66" t="n"/>
      <c r="M40" s="66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61" t="inlineStr">
        <is>
          <t>0236</t>
        </is>
      </c>
      <c r="B41" s="61" t="inlineStr">
        <is>
          <t>B1</t>
        </is>
      </c>
      <c r="C41" s="20" t="n">
        <v>947</v>
      </c>
      <c r="D41" s="19" t="n">
        <v>2</v>
      </c>
      <c r="E41" s="19" t="n">
        <v>2</v>
      </c>
      <c r="F41" s="62" t="inlineStr">
        <is>
          <t>Market</t>
        </is>
      </c>
      <c r="G41" s="62" t="inlineStr">
        <is>
          <t>Occupied</t>
        </is>
      </c>
      <c r="H41" s="20" t="n">
        <v>1332</v>
      </c>
      <c r="I41" s="20" t="n">
        <v>1384</v>
      </c>
      <c r="J41" s="20" t="n">
        <v>1384</v>
      </c>
      <c r="K41" s="63" t="inlineStr">
        <is>
          <t>10/25/2025</t>
        </is>
      </c>
      <c r="L41" s="63" t="inlineStr">
        <is>
          <t>11/24/2026</t>
        </is>
      </c>
      <c r="M41" s="63" t="inlineStr">
        <is>
          <t>10/25/2019</t>
        </is>
      </c>
      <c r="O41" s="20" t="n">
        <v>1384</v>
      </c>
      <c r="P41" s="20" t="n"/>
      <c r="Q41" s="20" t="n">
        <v>100</v>
      </c>
      <c r="R41" s="20" t="n"/>
      <c r="S41" s="20" t="n"/>
      <c r="T41" s="20" t="n"/>
      <c r="U41" s="20" t="n">
        <v>1</v>
      </c>
      <c r="V41" s="20" t="n"/>
      <c r="W41" s="20" t="n"/>
      <c r="X41" s="20" t="n"/>
      <c r="Y41" s="20" t="n"/>
      <c r="Z41" s="20" t="n"/>
    </row>
    <row r="42">
      <c r="A42" s="64" t="inlineStr">
        <is>
          <t>0237</t>
        </is>
      </c>
      <c r="B42" s="64" t="inlineStr">
        <is>
          <t>B1R</t>
        </is>
      </c>
      <c r="C42" s="11" t="n">
        <v>947</v>
      </c>
      <c r="D42" s="10" t="n">
        <v>2</v>
      </c>
      <c r="E42" s="10" t="n">
        <v>2</v>
      </c>
      <c r="F42" s="65" t="inlineStr">
        <is>
          <t>Market</t>
        </is>
      </c>
      <c r="G42" s="65" t="inlineStr">
        <is>
          <t>Occupied</t>
        </is>
      </c>
      <c r="H42" s="11" t="n">
        <v>1532</v>
      </c>
      <c r="I42" s="11" t="n">
        <v>1422</v>
      </c>
      <c r="J42" s="11" t="n">
        <v>1422</v>
      </c>
      <c r="K42" s="66" t="inlineStr">
        <is>
          <t>04/16/2025</t>
        </is>
      </c>
      <c r="L42" s="66" t="inlineStr">
        <is>
          <t>07/14/2026</t>
        </is>
      </c>
      <c r="M42" s="66" t="inlineStr">
        <is>
          <t>04/16/2025</t>
        </is>
      </c>
      <c r="O42" s="11" t="n">
        <v>1422</v>
      </c>
      <c r="P42" s="11" t="n"/>
      <c r="Q42" s="11" t="n"/>
      <c r="R42" s="11" t="n"/>
      <c r="S42" s="11" t="n"/>
      <c r="T42" s="11" t="n"/>
      <c r="U42" s="11" t="n">
        <v>1</v>
      </c>
      <c r="V42" s="11" t="n"/>
      <c r="W42" s="11" t="n"/>
      <c r="X42" s="11" t="n"/>
      <c r="Y42" s="11" t="n"/>
      <c r="Z42" s="11" t="n"/>
    </row>
    <row r="43">
      <c r="A43" s="61" t="inlineStr">
        <is>
          <t>0321</t>
        </is>
      </c>
      <c r="B43" s="61" t="inlineStr">
        <is>
          <t>B2</t>
        </is>
      </c>
      <c r="C43" s="20" t="n">
        <v>1040</v>
      </c>
      <c r="D43" s="19" t="n">
        <v>2</v>
      </c>
      <c r="E43" s="19" t="n">
        <v>2</v>
      </c>
      <c r="F43" s="62" t="inlineStr">
        <is>
          <t>Market</t>
        </is>
      </c>
      <c r="G43" s="62" t="inlineStr">
        <is>
          <t>Occupied</t>
        </is>
      </c>
      <c r="H43" s="20" t="n">
        <v>1536</v>
      </c>
      <c r="I43" s="20" t="n">
        <v>1519</v>
      </c>
      <c r="J43" s="20" t="n">
        <v>1519</v>
      </c>
      <c r="K43" s="63" t="inlineStr">
        <is>
          <t>08/08/2025</t>
        </is>
      </c>
      <c r="L43" s="63" t="inlineStr">
        <is>
          <t>11/07/2026</t>
        </is>
      </c>
      <c r="M43" s="63" t="inlineStr">
        <is>
          <t>08/08/2025</t>
        </is>
      </c>
      <c r="O43" s="20" t="n">
        <v>1519</v>
      </c>
      <c r="P43" s="20" t="n"/>
      <c r="Q43" s="20" t="n"/>
      <c r="R43" s="20" t="n"/>
      <c r="S43" s="20" t="n"/>
      <c r="T43" s="20" t="n"/>
      <c r="U43" s="20" t="n">
        <v>1</v>
      </c>
      <c r="V43" s="20" t="n"/>
      <c r="W43" s="20" t="n"/>
      <c r="X43" s="20" t="n"/>
      <c r="Y43" s="20" t="n"/>
      <c r="Z43" s="20" t="n"/>
    </row>
    <row r="44">
      <c r="A44" s="64" t="inlineStr">
        <is>
          <t>0411</t>
        </is>
      </c>
      <c r="B44" s="64" t="inlineStr">
        <is>
          <t>B4</t>
        </is>
      </c>
      <c r="C44" s="11" t="n">
        <v>1187</v>
      </c>
      <c r="D44" s="10" t="n">
        <v>2</v>
      </c>
      <c r="E44" s="10" t="n">
        <v>2</v>
      </c>
      <c r="F44" s="65" t="inlineStr">
        <is>
          <t>Market</t>
        </is>
      </c>
      <c r="G44" s="65" t="inlineStr">
        <is>
          <t>Occupied</t>
        </is>
      </c>
      <c r="H44" s="11" t="n">
        <v>1656</v>
      </c>
      <c r="I44" s="11" t="n">
        <v>1665</v>
      </c>
      <c r="J44" s="11" t="n">
        <v>1665</v>
      </c>
      <c r="K44" s="66" t="inlineStr">
        <is>
          <t>09/08/2025</t>
        </is>
      </c>
      <c r="L44" s="66" t="inlineStr">
        <is>
          <t>10/07/2026</t>
        </is>
      </c>
      <c r="M44" s="66" t="inlineStr">
        <is>
          <t>06/08/2024</t>
        </is>
      </c>
      <c r="O44" s="11" t="n">
        <v>1665</v>
      </c>
      <c r="P44" s="11" t="n"/>
      <c r="Q44" s="11" t="n">
        <v>100</v>
      </c>
      <c r="R44" s="11" t="n"/>
      <c r="S44" s="11" t="n"/>
      <c r="T44" s="11" t="n"/>
      <c r="U44" s="11" t="n">
        <v>1</v>
      </c>
      <c r="V44" s="11" t="n"/>
      <c r="W44" s="11" t="n"/>
      <c r="X44" s="11" t="n"/>
      <c r="Y44" s="11" t="n"/>
      <c r="Z44" s="11" t="n"/>
    </row>
    <row r="45">
      <c r="A45" s="61" t="inlineStr">
        <is>
          <t>0412</t>
        </is>
      </c>
      <c r="B45" s="61" t="inlineStr">
        <is>
          <t>B1R</t>
        </is>
      </c>
      <c r="C45" s="20" t="n">
        <v>947</v>
      </c>
      <c r="D45" s="19" t="n">
        <v>2</v>
      </c>
      <c r="E45" s="19" t="n">
        <v>2</v>
      </c>
      <c r="F45" s="62" t="inlineStr">
        <is>
          <t>Market</t>
        </is>
      </c>
      <c r="G45" s="62" t="inlineStr">
        <is>
          <t>Occupied</t>
        </is>
      </c>
      <c r="H45" s="20" t="n">
        <v>1552</v>
      </c>
      <c r="I45" s="20" t="n">
        <v>1571</v>
      </c>
      <c r="J45" s="20" t="n">
        <v>1571</v>
      </c>
      <c r="K45" s="63" t="inlineStr">
        <is>
          <t>06/19/2025</t>
        </is>
      </c>
      <c r="L45" s="63" t="inlineStr">
        <is>
          <t>07/18/2026</t>
        </is>
      </c>
      <c r="M45" s="63" t="inlineStr">
        <is>
          <t>06/19/2025</t>
        </is>
      </c>
      <c r="O45" s="20" t="n">
        <v>1571</v>
      </c>
      <c r="P45" s="20" t="n"/>
      <c r="Q45" s="20" t="n"/>
      <c r="R45" s="20" t="n"/>
      <c r="S45" s="20" t="n"/>
      <c r="T45" s="20" t="n"/>
      <c r="U45" s="20" t="n">
        <v>1</v>
      </c>
      <c r="V45" s="20" t="n"/>
      <c r="W45" s="20" t="n"/>
      <c r="X45" s="20" t="n"/>
      <c r="Y45" s="20" t="n"/>
      <c r="Z45" s="20" t="n"/>
    </row>
    <row r="46">
      <c r="A46" s="64" t="inlineStr">
        <is>
          <t>0413</t>
        </is>
      </c>
      <c r="B46" s="64" t="inlineStr">
        <is>
          <t>B1</t>
        </is>
      </c>
      <c r="C46" s="11" t="n">
        <v>947</v>
      </c>
      <c r="D46" s="10" t="n">
        <v>2</v>
      </c>
      <c r="E46" s="10" t="n">
        <v>2</v>
      </c>
      <c r="F46" s="65" t="inlineStr">
        <is>
          <t>Market</t>
        </is>
      </c>
      <c r="G46" s="65" t="inlineStr">
        <is>
          <t>Occupied</t>
        </is>
      </c>
      <c r="H46" s="11" t="n">
        <v>1392</v>
      </c>
      <c r="I46" s="11" t="n">
        <v>1381</v>
      </c>
      <c r="J46" s="11" t="n">
        <v>1381</v>
      </c>
      <c r="K46" s="66" t="inlineStr">
        <is>
          <t>10/24/2025</t>
        </is>
      </c>
      <c r="L46" s="66" t="inlineStr">
        <is>
          <t>01/23/2027</t>
        </is>
      </c>
      <c r="M46" s="66" t="inlineStr">
        <is>
          <t>10/24/2025</t>
        </is>
      </c>
      <c r="O46" s="11" t="n">
        <v>1381</v>
      </c>
      <c r="P46" s="11" t="n"/>
      <c r="Q46" s="11" t="n"/>
      <c r="R46" s="11" t="n"/>
      <c r="S46" s="11" t="n"/>
      <c r="T46" s="11" t="n"/>
      <c r="U46" s="11" t="n">
        <v>1</v>
      </c>
      <c r="V46" s="11" t="n">
        <v>50</v>
      </c>
      <c r="W46" s="11" t="n"/>
      <c r="X46" s="11" t="n"/>
      <c r="Y46" s="11" t="n"/>
      <c r="Z46" s="11" t="n"/>
    </row>
    <row r="47">
      <c r="A47" s="61" t="inlineStr">
        <is>
          <t>0414</t>
        </is>
      </c>
      <c r="B47" s="61" t="inlineStr">
        <is>
          <t>B4</t>
        </is>
      </c>
      <c r="C47" s="20" t="n">
        <v>1187</v>
      </c>
      <c r="D47" s="19" t="n">
        <v>2</v>
      </c>
      <c r="E47" s="19" t="n">
        <v>2</v>
      </c>
      <c r="F47" s="62" t="inlineStr">
        <is>
          <t>Market</t>
        </is>
      </c>
      <c r="G47" s="62" t="inlineStr">
        <is>
          <t>Occupied</t>
        </is>
      </c>
      <c r="H47" s="20" t="n">
        <v>1616</v>
      </c>
      <c r="I47" s="20" t="n">
        <v>1570</v>
      </c>
      <c r="J47" s="20" t="n">
        <v>1570</v>
      </c>
      <c r="K47" s="63" t="inlineStr">
        <is>
          <t>08/27/2025</t>
        </is>
      </c>
      <c r="L47" s="63" t="inlineStr">
        <is>
          <t>09/24/2026</t>
        </is>
      </c>
      <c r="M47" s="63" t="inlineStr">
        <is>
          <t>08/22/2025</t>
        </is>
      </c>
      <c r="O47" s="20" t="n">
        <v>1570</v>
      </c>
      <c r="P47" s="20" t="n"/>
      <c r="Q47" s="20" t="n"/>
      <c r="R47" s="20" t="n"/>
      <c r="S47" s="20" t="n"/>
      <c r="T47" s="20" t="n"/>
      <c r="U47" s="20" t="n">
        <v>1</v>
      </c>
      <c r="V47" s="20" t="n"/>
      <c r="W47" s="20" t="n"/>
      <c r="X47" s="20" t="n"/>
      <c r="Y47" s="20" t="n"/>
      <c r="Z47" s="20" t="n"/>
    </row>
    <row r="48">
      <c r="A48" s="64" t="inlineStr">
        <is>
          <t>0415</t>
        </is>
      </c>
      <c r="B48" s="64" t="inlineStr">
        <is>
          <t>B4R</t>
        </is>
      </c>
      <c r="C48" s="11" t="n">
        <v>1187</v>
      </c>
      <c r="D48" s="10" t="n">
        <v>2</v>
      </c>
      <c r="E48" s="10" t="n">
        <v>2</v>
      </c>
      <c r="F48" s="65" t="inlineStr">
        <is>
          <t>Market</t>
        </is>
      </c>
      <c r="G48" s="65" t="inlineStr">
        <is>
          <t>Occupied</t>
        </is>
      </c>
      <c r="H48" s="11" t="n">
        <v>1816</v>
      </c>
      <c r="I48" s="11" t="n">
        <v>1746</v>
      </c>
      <c r="J48" s="11" t="n">
        <v>1746</v>
      </c>
      <c r="K48" s="66" t="inlineStr">
        <is>
          <t>05/30/2025</t>
        </is>
      </c>
      <c r="L48" s="66" t="inlineStr">
        <is>
          <t>07/29/2026</t>
        </is>
      </c>
      <c r="M48" s="66" t="inlineStr">
        <is>
          <t>05/30/2025</t>
        </is>
      </c>
      <c r="O48" s="11" t="n">
        <v>1746</v>
      </c>
      <c r="P48" s="11" t="n"/>
      <c r="Q48" s="11" t="n"/>
      <c r="R48" s="11" t="n"/>
      <c r="S48" s="11" t="n"/>
      <c r="T48" s="11" t="n"/>
      <c r="U48" s="11" t="n">
        <v>1</v>
      </c>
      <c r="V48" s="11" t="n"/>
      <c r="W48" s="11" t="n"/>
      <c r="X48" s="11" t="n"/>
      <c r="Y48" s="11" t="n"/>
      <c r="Z48" s="11" t="n"/>
    </row>
    <row r="49">
      <c r="A49" s="61" t="inlineStr">
        <is>
          <t>0416</t>
        </is>
      </c>
      <c r="B49" s="61" t="inlineStr">
        <is>
          <t>B1</t>
        </is>
      </c>
      <c r="C49" s="20" t="n">
        <v>947</v>
      </c>
      <c r="D49" s="19" t="n">
        <v>2</v>
      </c>
      <c r="E49" s="19" t="n">
        <v>2</v>
      </c>
      <c r="F49" s="62" t="inlineStr">
        <is>
          <t>Market</t>
        </is>
      </c>
      <c r="G49" s="62" t="inlineStr">
        <is>
          <t>Occupied</t>
        </is>
      </c>
      <c r="H49" s="20" t="n">
        <v>1352</v>
      </c>
      <c r="I49" s="20" t="n">
        <v>1262</v>
      </c>
      <c r="J49" s="20" t="n">
        <v>1262</v>
      </c>
      <c r="K49" s="63" t="inlineStr">
        <is>
          <t>07/14/2025</t>
        </is>
      </c>
      <c r="L49" s="63" t="inlineStr">
        <is>
          <t>10/13/2026</t>
        </is>
      </c>
      <c r="M49" s="63" t="inlineStr">
        <is>
          <t>07/14/2025</t>
        </is>
      </c>
      <c r="O49" s="20" t="n">
        <v>1262</v>
      </c>
      <c r="P49" s="20" t="n"/>
      <c r="Q49" s="20" t="n"/>
      <c r="R49" s="20" t="n"/>
      <c r="S49" s="20" t="n"/>
      <c r="T49" s="20" t="n">
        <v>30</v>
      </c>
      <c r="U49" s="20" t="n">
        <v>1</v>
      </c>
      <c r="V49" s="20" t="n"/>
      <c r="W49" s="20" t="n"/>
      <c r="X49" s="20" t="n"/>
      <c r="Y49" s="20" t="n"/>
      <c r="Z49" s="20" t="n"/>
    </row>
    <row r="50">
      <c r="A50" s="64" t="inlineStr">
        <is>
          <t>0417</t>
        </is>
      </c>
      <c r="B50" s="64" t="inlineStr">
        <is>
          <t>B1R</t>
        </is>
      </c>
      <c r="C50" s="11" t="n">
        <v>947</v>
      </c>
      <c r="D50" s="10" t="n">
        <v>2</v>
      </c>
      <c r="E50" s="10" t="n">
        <v>2</v>
      </c>
      <c r="F50" s="65" t="inlineStr">
        <is>
          <t>Market</t>
        </is>
      </c>
      <c r="G50" s="65" t="inlineStr">
        <is>
          <t>Vacant</t>
        </is>
      </c>
      <c r="H50" s="11" t="n">
        <v>1552</v>
      </c>
      <c r="I50" s="11" t="n">
        <v>0</v>
      </c>
      <c r="J50" s="11" t="n">
        <v>0</v>
      </c>
      <c r="K50" s="66" t="n"/>
      <c r="L50" s="66" t="n"/>
      <c r="M50" s="66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61" t="inlineStr">
        <is>
          <t>0418</t>
        </is>
      </c>
      <c r="B51" s="61" t="inlineStr">
        <is>
          <t>B4</t>
        </is>
      </c>
      <c r="C51" s="20" t="n">
        <v>1187</v>
      </c>
      <c r="D51" s="19" t="n">
        <v>2</v>
      </c>
      <c r="E51" s="19" t="n">
        <v>2</v>
      </c>
      <c r="F51" s="62" t="inlineStr">
        <is>
          <t>Market</t>
        </is>
      </c>
      <c r="G51" s="62" t="inlineStr">
        <is>
          <t>Occupied</t>
        </is>
      </c>
      <c r="H51" s="20" t="n">
        <v>1616</v>
      </c>
      <c r="I51" s="20" t="n">
        <v>1517</v>
      </c>
      <c r="J51" s="20" t="n">
        <v>1517</v>
      </c>
      <c r="K51" s="63" t="inlineStr">
        <is>
          <t>10/01/2025</t>
        </is>
      </c>
      <c r="L51" s="63" t="inlineStr">
        <is>
          <t>12/31/2026</t>
        </is>
      </c>
      <c r="M51" s="63" t="inlineStr">
        <is>
          <t>03/24/2015</t>
        </is>
      </c>
      <c r="O51" s="20" t="n">
        <v>1517</v>
      </c>
      <c r="P51" s="20" t="n"/>
      <c r="Q51" s="20" t="n"/>
      <c r="R51" s="20" t="n"/>
      <c r="S51" s="20" t="n"/>
      <c r="T51" s="20" t="n"/>
      <c r="U51" s="20" t="n">
        <v>1</v>
      </c>
      <c r="V51" s="20" t="n"/>
      <c r="W51" s="20" t="n"/>
      <c r="X51" s="20" t="n"/>
      <c r="Y51" s="20" t="n"/>
      <c r="Z51" s="20" t="n"/>
    </row>
    <row r="52">
      <c r="A52" s="64" t="inlineStr">
        <is>
          <t>0421</t>
        </is>
      </c>
      <c r="B52" s="64" t="inlineStr">
        <is>
          <t>B4</t>
        </is>
      </c>
      <c r="C52" s="11" t="n">
        <v>1187</v>
      </c>
      <c r="D52" s="10" t="n">
        <v>2</v>
      </c>
      <c r="E52" s="10" t="n">
        <v>2</v>
      </c>
      <c r="F52" s="65" t="inlineStr">
        <is>
          <t>Market</t>
        </is>
      </c>
      <c r="G52" s="65" t="inlineStr">
        <is>
          <t>Occupied</t>
        </is>
      </c>
      <c r="H52" s="11" t="n">
        <v>1636</v>
      </c>
      <c r="I52" s="11" t="n">
        <v>1472</v>
      </c>
      <c r="J52" s="11" t="n">
        <v>1472</v>
      </c>
      <c r="K52" s="66" t="inlineStr">
        <is>
          <t>04/22/2026</t>
        </is>
      </c>
      <c r="L52" s="66" t="inlineStr">
        <is>
          <t>05/21/2027</t>
        </is>
      </c>
      <c r="M52" s="66" t="inlineStr">
        <is>
          <t>01/24/2025</t>
        </is>
      </c>
      <c r="O52" s="11" t="n">
        <v>1472</v>
      </c>
      <c r="P52" s="11" t="n">
        <v>35</v>
      </c>
      <c r="Q52" s="11" t="n"/>
      <c r="R52" s="11" t="n"/>
      <c r="S52" s="11" t="n">
        <v>-300</v>
      </c>
      <c r="T52" s="11" t="n"/>
      <c r="U52" s="11" t="n">
        <v>3</v>
      </c>
      <c r="V52" s="11" t="n"/>
      <c r="W52" s="11" t="n"/>
      <c r="X52" s="11" t="n"/>
      <c r="Y52" s="11" t="n"/>
      <c r="Z52" s="11" t="n"/>
    </row>
    <row r="53">
      <c r="A53" s="61" t="inlineStr">
        <is>
          <t>0422</t>
        </is>
      </c>
      <c r="B53" s="61" t="inlineStr">
        <is>
          <t>B1R</t>
        </is>
      </c>
      <c r="C53" s="20" t="n">
        <v>947</v>
      </c>
      <c r="D53" s="19" t="n">
        <v>2</v>
      </c>
      <c r="E53" s="19" t="n">
        <v>2</v>
      </c>
      <c r="F53" s="62" t="inlineStr">
        <is>
          <t>Market</t>
        </is>
      </c>
      <c r="G53" s="62" t="inlineStr">
        <is>
          <t>Occupied</t>
        </is>
      </c>
      <c r="H53" s="20" t="n">
        <v>1532</v>
      </c>
      <c r="I53" s="20" t="n">
        <v>1621</v>
      </c>
      <c r="J53" s="20" t="n">
        <v>1621</v>
      </c>
      <c r="K53" s="63" t="inlineStr">
        <is>
          <t>06/29/2025</t>
        </is>
      </c>
      <c r="L53" s="63" t="inlineStr">
        <is>
          <t>09/28/2026</t>
        </is>
      </c>
      <c r="M53" s="63" t="inlineStr">
        <is>
          <t>06/29/2025</t>
        </is>
      </c>
      <c r="O53" s="20" t="n">
        <v>1621</v>
      </c>
      <c r="P53" s="20" t="n"/>
      <c r="Q53" s="20" t="n">
        <v>75</v>
      </c>
      <c r="R53" s="20" t="n"/>
      <c r="S53" s="20" t="n"/>
      <c r="T53" s="20" t="n"/>
      <c r="U53" s="20" t="n">
        <v>1</v>
      </c>
      <c r="V53" s="20" t="n"/>
      <c r="W53" s="20" t="n"/>
      <c r="X53" s="20" t="n"/>
      <c r="Y53" s="20" t="n"/>
      <c r="Z53" s="20" t="n"/>
    </row>
    <row r="54">
      <c r="A54" s="64" t="inlineStr">
        <is>
          <t>0423</t>
        </is>
      </c>
      <c r="B54" s="64" t="inlineStr">
        <is>
          <t>B1</t>
        </is>
      </c>
      <c r="C54" s="11" t="n">
        <v>947</v>
      </c>
      <c r="D54" s="10" t="n">
        <v>2</v>
      </c>
      <c r="E54" s="10" t="n">
        <v>2</v>
      </c>
      <c r="F54" s="65" t="inlineStr">
        <is>
          <t>Market</t>
        </is>
      </c>
      <c r="G54" s="65" t="inlineStr">
        <is>
          <t>Occupied</t>
        </is>
      </c>
      <c r="H54" s="11" t="n">
        <v>1332</v>
      </c>
      <c r="I54" s="11" t="n">
        <v>1203</v>
      </c>
      <c r="J54" s="11" t="n">
        <v>1203</v>
      </c>
      <c r="K54" s="66" t="inlineStr">
        <is>
          <t>02/14/2026</t>
        </is>
      </c>
      <c r="L54" s="66" t="inlineStr">
        <is>
          <t>03/06/2027</t>
        </is>
      </c>
      <c r="M54" s="66" t="inlineStr">
        <is>
          <t>02/14/2026</t>
        </is>
      </c>
      <c r="O54" s="11" t="n">
        <v>1203</v>
      </c>
      <c r="P54" s="11" t="n">
        <v>35</v>
      </c>
      <c r="Q54" s="11" t="n"/>
      <c r="R54" s="11" t="n"/>
      <c r="S54" s="11" t="n"/>
      <c r="T54" s="11" t="n"/>
      <c r="U54" s="11" t="n">
        <v>3</v>
      </c>
      <c r="V54" s="11" t="n"/>
      <c r="W54" s="11" t="n"/>
      <c r="X54" s="11" t="n"/>
      <c r="Y54" s="11" t="n"/>
      <c r="Z54" s="11" t="n"/>
    </row>
    <row r="55">
      <c r="A55" s="61" t="inlineStr">
        <is>
          <t>0424</t>
        </is>
      </c>
      <c r="B55" s="61" t="inlineStr">
        <is>
          <t>B4</t>
        </is>
      </c>
      <c r="C55" s="20" t="n">
        <v>1187</v>
      </c>
      <c r="D55" s="19" t="n">
        <v>2</v>
      </c>
      <c r="E55" s="19" t="n">
        <v>2</v>
      </c>
      <c r="F55" s="62" t="inlineStr">
        <is>
          <t>Market</t>
        </is>
      </c>
      <c r="G55" s="62" t="inlineStr">
        <is>
          <t>Vacant</t>
        </is>
      </c>
      <c r="H55" s="20" t="n">
        <v>1596</v>
      </c>
      <c r="I55" s="20" t="n">
        <v>0</v>
      </c>
      <c r="J55" s="20" t="n">
        <v>0</v>
      </c>
      <c r="K55" s="63" t="n"/>
      <c r="L55" s="63" t="n"/>
      <c r="M55" s="63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>
      <c r="A56" s="64" t="inlineStr">
        <is>
          <t>0425</t>
        </is>
      </c>
      <c r="B56" s="64" t="inlineStr">
        <is>
          <t>B4</t>
        </is>
      </c>
      <c r="C56" s="11" t="n">
        <v>1187</v>
      </c>
      <c r="D56" s="10" t="n">
        <v>2</v>
      </c>
      <c r="E56" s="10" t="n">
        <v>2</v>
      </c>
      <c r="F56" s="65" t="inlineStr">
        <is>
          <t>Market</t>
        </is>
      </c>
      <c r="G56" s="65" t="inlineStr">
        <is>
          <t>Occupied</t>
        </is>
      </c>
      <c r="H56" s="11" t="n">
        <v>1596</v>
      </c>
      <c r="I56" s="11" t="n">
        <v>1505</v>
      </c>
      <c r="J56" s="11" t="n">
        <v>1505</v>
      </c>
      <c r="K56" s="66" t="inlineStr">
        <is>
          <t>05/25/2026</t>
        </is>
      </c>
      <c r="L56" s="66" t="inlineStr">
        <is>
          <t>06/24/2027</t>
        </is>
      </c>
      <c r="M56" s="66" t="inlineStr">
        <is>
          <t>09/18/2016</t>
        </is>
      </c>
      <c r="O56" s="11" t="n">
        <v>1505</v>
      </c>
      <c r="P56" s="11" t="n">
        <v>35</v>
      </c>
      <c r="Q56" s="11" t="n"/>
      <c r="R56" s="11" t="n"/>
      <c r="S56" s="11" t="n"/>
      <c r="T56" s="11" t="n"/>
      <c r="U56" s="11" t="n">
        <v>3</v>
      </c>
      <c r="V56" s="11" t="n"/>
      <c r="W56" s="11" t="n"/>
      <c r="X56" s="11" t="n"/>
      <c r="Y56" s="11" t="n"/>
      <c r="Z56" s="11" t="n"/>
    </row>
    <row r="57">
      <c r="A57" s="61" t="inlineStr">
        <is>
          <t>0426</t>
        </is>
      </c>
      <c r="B57" s="61" t="inlineStr">
        <is>
          <t>B1</t>
        </is>
      </c>
      <c r="C57" s="20" t="n">
        <v>947</v>
      </c>
      <c r="D57" s="19" t="n">
        <v>2</v>
      </c>
      <c r="E57" s="19" t="n">
        <v>2</v>
      </c>
      <c r="F57" s="62" t="inlineStr">
        <is>
          <t>Market</t>
        </is>
      </c>
      <c r="G57" s="62" t="inlineStr">
        <is>
          <t>Occupied</t>
        </is>
      </c>
      <c r="H57" s="20" t="n">
        <v>1372</v>
      </c>
      <c r="I57" s="20" t="n">
        <v>1331</v>
      </c>
      <c r="J57" s="20" t="n">
        <v>1331</v>
      </c>
      <c r="K57" s="63" t="inlineStr">
        <is>
          <t>04/08/2026</t>
        </is>
      </c>
      <c r="L57" s="63" t="inlineStr">
        <is>
          <t>05/07/2027</t>
        </is>
      </c>
      <c r="M57" s="63" t="inlineStr">
        <is>
          <t>01/30/2025</t>
        </is>
      </c>
      <c r="O57" s="20" t="n">
        <v>1331</v>
      </c>
      <c r="P57" s="20" t="n">
        <v>35</v>
      </c>
      <c r="Q57" s="20" t="n"/>
      <c r="R57" s="20" t="n"/>
      <c r="S57" s="20" t="n"/>
      <c r="T57" s="20" t="n"/>
      <c r="U57" s="20" t="n">
        <v>3</v>
      </c>
      <c r="V57" s="20" t="n"/>
      <c r="W57" s="20" t="n"/>
      <c r="X57" s="20" t="n"/>
      <c r="Y57" s="20" t="n"/>
      <c r="Z57" s="20" t="n"/>
    </row>
    <row r="58">
      <c r="A58" s="64" t="inlineStr">
        <is>
          <t>0427</t>
        </is>
      </c>
      <c r="B58" s="64" t="inlineStr">
        <is>
          <t>B1R</t>
        </is>
      </c>
      <c r="C58" s="11" t="n">
        <v>947</v>
      </c>
      <c r="D58" s="10" t="n">
        <v>2</v>
      </c>
      <c r="E58" s="10" t="n">
        <v>2</v>
      </c>
      <c r="F58" s="65" t="inlineStr">
        <is>
          <t>Market</t>
        </is>
      </c>
      <c r="G58" s="65" t="inlineStr">
        <is>
          <t>Occupied</t>
        </is>
      </c>
      <c r="H58" s="11" t="n">
        <v>1532</v>
      </c>
      <c r="I58" s="11" t="n">
        <v>1606</v>
      </c>
      <c r="J58" s="11" t="n">
        <v>1606</v>
      </c>
      <c r="K58" s="66" t="inlineStr">
        <is>
          <t>03/15/2026</t>
        </is>
      </c>
      <c r="L58" s="66" t="inlineStr">
        <is>
          <t>09/14/2026</t>
        </is>
      </c>
      <c r="M58" s="66" t="inlineStr">
        <is>
          <t>03/15/2026</t>
        </is>
      </c>
      <c r="O58" s="11" t="n">
        <v>1606</v>
      </c>
      <c r="P58" s="11" t="n">
        <v>35</v>
      </c>
      <c r="Q58" s="11" t="n"/>
      <c r="R58" s="11" t="n"/>
      <c r="S58" s="11" t="n"/>
      <c r="T58" s="11" t="n"/>
      <c r="U58" s="11" t="n">
        <v>3</v>
      </c>
      <c r="V58" s="11" t="n">
        <v>65</v>
      </c>
      <c r="W58" s="11" t="n"/>
      <c r="X58" s="11" t="n"/>
      <c r="Y58" s="11" t="n"/>
      <c r="Z58" s="11" t="n"/>
    </row>
    <row r="59">
      <c r="A59" s="61" t="inlineStr">
        <is>
          <t>0428</t>
        </is>
      </c>
      <c r="B59" s="61" t="inlineStr">
        <is>
          <t>B4</t>
        </is>
      </c>
      <c r="C59" s="20" t="n">
        <v>1187</v>
      </c>
      <c r="D59" s="19" t="n">
        <v>2</v>
      </c>
      <c r="E59" s="19" t="n">
        <v>2</v>
      </c>
      <c r="F59" s="62" t="inlineStr">
        <is>
          <t>Market</t>
        </is>
      </c>
      <c r="G59" s="62" t="inlineStr">
        <is>
          <t>Occupied</t>
        </is>
      </c>
      <c r="H59" s="20" t="n">
        <v>1646</v>
      </c>
      <c r="I59" s="20" t="n">
        <v>1493</v>
      </c>
      <c r="J59" s="20" t="n">
        <v>1493</v>
      </c>
      <c r="K59" s="63" t="inlineStr">
        <is>
          <t>07/12/2025</t>
        </is>
      </c>
      <c r="L59" s="63" t="inlineStr">
        <is>
          <t>08/11/2026</t>
        </is>
      </c>
      <c r="M59" s="63" t="inlineStr">
        <is>
          <t>07/12/2025</t>
        </is>
      </c>
      <c r="O59" s="20" t="n">
        <v>1493</v>
      </c>
      <c r="P59" s="20" t="n"/>
      <c r="Q59" s="20" t="n"/>
      <c r="R59" s="20" t="n"/>
      <c r="S59" s="20" t="n"/>
      <c r="T59" s="20" t="n"/>
      <c r="U59" s="20" t="n">
        <v>1</v>
      </c>
      <c r="V59" s="20" t="n"/>
      <c r="W59" s="20" t="n"/>
      <c r="X59" s="20" t="n"/>
      <c r="Y59" s="20" t="n"/>
      <c r="Z59" s="20" t="n"/>
    </row>
    <row r="60">
      <c r="A60" s="64" t="inlineStr">
        <is>
          <t>0432</t>
        </is>
      </c>
      <c r="B60" s="64" t="inlineStr">
        <is>
          <t>B1</t>
        </is>
      </c>
      <c r="C60" s="11" t="n">
        <v>947</v>
      </c>
      <c r="D60" s="10" t="n">
        <v>2</v>
      </c>
      <c r="E60" s="10" t="n">
        <v>2</v>
      </c>
      <c r="F60" s="65" t="inlineStr">
        <is>
          <t>Market</t>
        </is>
      </c>
      <c r="G60" s="65" t="inlineStr">
        <is>
          <t>Vacant</t>
        </is>
      </c>
      <c r="H60" s="11" t="n">
        <v>1332</v>
      </c>
      <c r="I60" s="11" t="n">
        <v>0</v>
      </c>
      <c r="J60" s="11" t="n">
        <v>0</v>
      </c>
      <c r="K60" s="66" t="n"/>
      <c r="L60" s="66" t="n"/>
      <c r="M60" s="66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61" t="inlineStr">
        <is>
          <t>0433</t>
        </is>
      </c>
      <c r="B61" s="61" t="inlineStr">
        <is>
          <t>B1R</t>
        </is>
      </c>
      <c r="C61" s="20" t="n">
        <v>947</v>
      </c>
      <c r="D61" s="19" t="n">
        <v>2</v>
      </c>
      <c r="E61" s="19" t="n">
        <v>2</v>
      </c>
      <c r="F61" s="62" t="inlineStr">
        <is>
          <t>Market</t>
        </is>
      </c>
      <c r="G61" s="62" t="inlineStr">
        <is>
          <t>Occupied</t>
        </is>
      </c>
      <c r="H61" s="20" t="n">
        <v>1532</v>
      </c>
      <c r="I61" s="20" t="n">
        <v>1474</v>
      </c>
      <c r="J61" s="20" t="n">
        <v>1474</v>
      </c>
      <c r="K61" s="63" t="inlineStr">
        <is>
          <t>10/18/2025</t>
        </is>
      </c>
      <c r="L61" s="63" t="inlineStr">
        <is>
          <t>10/17/2026</t>
        </is>
      </c>
      <c r="M61" s="63" t="inlineStr">
        <is>
          <t>10/18/2025</t>
        </is>
      </c>
      <c r="O61" s="20" t="n">
        <v>1474</v>
      </c>
      <c r="P61" s="20" t="n"/>
      <c r="Q61" s="20" t="n"/>
      <c r="R61" s="20" t="n"/>
      <c r="S61" s="20" t="n"/>
      <c r="T61" s="20" t="n"/>
      <c r="U61" s="20" t="n">
        <v>1</v>
      </c>
      <c r="V61" s="20" t="n"/>
      <c r="W61" s="20" t="n"/>
      <c r="X61" s="20" t="n"/>
      <c r="Y61" s="20" t="n"/>
      <c r="Z61" s="20" t="n"/>
    </row>
    <row r="62">
      <c r="A62" s="64" t="inlineStr">
        <is>
          <t>0436</t>
        </is>
      </c>
      <c r="B62" s="64" t="inlineStr">
        <is>
          <t>B1</t>
        </is>
      </c>
      <c r="C62" s="11" t="n">
        <v>947</v>
      </c>
      <c r="D62" s="10" t="n">
        <v>2</v>
      </c>
      <c r="E62" s="10" t="n">
        <v>2</v>
      </c>
      <c r="F62" s="65" t="inlineStr">
        <is>
          <t>Market</t>
        </is>
      </c>
      <c r="G62" s="65" t="inlineStr">
        <is>
          <t>Occupied</t>
        </is>
      </c>
      <c r="H62" s="11" t="n">
        <v>1332</v>
      </c>
      <c r="I62" s="11" t="n">
        <v>1307</v>
      </c>
      <c r="J62" s="11" t="n">
        <v>1307</v>
      </c>
      <c r="K62" s="66" t="inlineStr">
        <is>
          <t>09/21/2025</t>
        </is>
      </c>
      <c r="L62" s="66" t="inlineStr">
        <is>
          <t>09/27/2026</t>
        </is>
      </c>
      <c r="M62" s="66" t="inlineStr">
        <is>
          <t>06/29/2015</t>
        </is>
      </c>
      <c r="O62" s="11" t="n">
        <v>1307</v>
      </c>
      <c r="P62" s="11" t="n"/>
      <c r="Q62" s="11" t="n"/>
      <c r="R62" s="11" t="n"/>
      <c r="S62" s="11" t="n"/>
      <c r="T62" s="11" t="n"/>
      <c r="U62" s="11" t="n">
        <v>1</v>
      </c>
      <c r="V62" s="11" t="n"/>
      <c r="W62" s="11" t="n"/>
      <c r="X62" s="11" t="n"/>
      <c r="Y62" s="11" t="n"/>
      <c r="Z62" s="11" t="n"/>
    </row>
    <row r="63">
      <c r="A63" s="61" t="inlineStr">
        <is>
          <t>0437</t>
        </is>
      </c>
      <c r="B63" s="61" t="inlineStr">
        <is>
          <t>B1R</t>
        </is>
      </c>
      <c r="C63" s="20" t="n">
        <v>947</v>
      </c>
      <c r="D63" s="19" t="n">
        <v>2</v>
      </c>
      <c r="E63" s="19" t="n">
        <v>2</v>
      </c>
      <c r="F63" s="62" t="inlineStr">
        <is>
          <t>Market</t>
        </is>
      </c>
      <c r="G63" s="62" t="inlineStr">
        <is>
          <t>Occupied</t>
        </is>
      </c>
      <c r="H63" s="20" t="n">
        <v>1532</v>
      </c>
      <c r="I63" s="20" t="n">
        <v>1394</v>
      </c>
      <c r="J63" s="20" t="n">
        <v>1394</v>
      </c>
      <c r="K63" s="63" t="inlineStr">
        <is>
          <t>05/16/2026</t>
        </is>
      </c>
      <c r="L63" s="63" t="inlineStr">
        <is>
          <t>07/14/2027</t>
        </is>
      </c>
      <c r="M63" s="63" t="inlineStr">
        <is>
          <t>05/16/2026</t>
        </is>
      </c>
      <c r="O63" s="20" t="n">
        <v>1394</v>
      </c>
      <c r="P63" s="20" t="n">
        <v>35</v>
      </c>
      <c r="Q63" s="20" t="n"/>
      <c r="R63" s="20" t="n"/>
      <c r="S63" s="20" t="n"/>
      <c r="T63" s="20" t="n"/>
      <c r="U63" s="20" t="n">
        <v>3</v>
      </c>
      <c r="V63" s="20" t="n"/>
      <c r="W63" s="20" t="n"/>
      <c r="X63" s="20" t="n"/>
      <c r="Y63" s="20" t="n"/>
      <c r="Z63" s="20" t="n"/>
    </row>
    <row r="64">
      <c r="A64" s="64" t="inlineStr">
        <is>
          <t>0511</t>
        </is>
      </c>
      <c r="B64" s="64" t="inlineStr">
        <is>
          <t>C1R</t>
        </is>
      </c>
      <c r="C64" s="11" t="n">
        <v>1258</v>
      </c>
      <c r="D64" s="10" t="n">
        <v>3</v>
      </c>
      <c r="E64" s="10" t="n">
        <v>2</v>
      </c>
      <c r="F64" s="65" t="inlineStr">
        <is>
          <t>Market</t>
        </is>
      </c>
      <c r="G64" s="65" t="inlineStr">
        <is>
          <t>Occupied</t>
        </is>
      </c>
      <c r="H64" s="11" t="n">
        <v>2070</v>
      </c>
      <c r="I64" s="11" t="n">
        <v>1961</v>
      </c>
      <c r="J64" s="11" t="n">
        <v>1961</v>
      </c>
      <c r="K64" s="66" t="inlineStr">
        <is>
          <t>01/01/2026</t>
        </is>
      </c>
      <c r="L64" s="66" t="inlineStr">
        <is>
          <t>12/31/2026</t>
        </is>
      </c>
      <c r="M64" s="66" t="inlineStr">
        <is>
          <t>12/10/2022</t>
        </is>
      </c>
      <c r="O64" s="11" t="n">
        <v>1961</v>
      </c>
      <c r="P64" s="11" t="n"/>
      <c r="Q64" s="11" t="n">
        <v>250</v>
      </c>
      <c r="R64" s="11" t="n">
        <v>-784.4</v>
      </c>
      <c r="S64" s="11" t="n"/>
      <c r="T64" s="11" t="n"/>
      <c r="U64" s="11" t="n">
        <v>1</v>
      </c>
      <c r="V64" s="11" t="n"/>
      <c r="W64" s="11" t="n"/>
      <c r="X64" s="11" t="n"/>
      <c r="Y64" s="11" t="n"/>
      <c r="Z64" s="11" t="n"/>
    </row>
    <row r="65">
      <c r="A65" s="61" t="inlineStr">
        <is>
          <t>0512</t>
        </is>
      </c>
      <c r="B65" s="61" t="inlineStr">
        <is>
          <t>B4R</t>
        </is>
      </c>
      <c r="C65" s="20" t="n">
        <v>1187</v>
      </c>
      <c r="D65" s="19" t="n">
        <v>2</v>
      </c>
      <c r="E65" s="19" t="n">
        <v>2</v>
      </c>
      <c r="F65" s="62" t="inlineStr">
        <is>
          <t>Market</t>
        </is>
      </c>
      <c r="G65" s="62" t="inlineStr">
        <is>
          <t>Occupied</t>
        </is>
      </c>
      <c r="H65" s="20" t="n">
        <v>1976</v>
      </c>
      <c r="I65" s="20" t="n">
        <v>2143</v>
      </c>
      <c r="J65" s="20" t="n">
        <v>2143</v>
      </c>
      <c r="K65" s="63" t="inlineStr">
        <is>
          <t>09/11/2025</t>
        </is>
      </c>
      <c r="L65" s="63" t="inlineStr">
        <is>
          <t>12/10/2026</t>
        </is>
      </c>
      <c r="M65" s="63" t="inlineStr">
        <is>
          <t>06/11/2024</t>
        </is>
      </c>
      <c r="O65" s="20" t="n">
        <v>2143</v>
      </c>
      <c r="P65" s="20" t="n"/>
      <c r="Q65" s="20" t="n"/>
      <c r="R65" s="20" t="n"/>
      <c r="S65" s="20" t="n"/>
      <c r="T65" s="20" t="n"/>
      <c r="U65" s="20" t="n">
        <v>1</v>
      </c>
      <c r="V65" s="20" t="n"/>
      <c r="W65" s="20" t="n"/>
      <c r="X65" s="20" t="n"/>
      <c r="Y65" s="20" t="n"/>
      <c r="Z65" s="20" t="n"/>
    </row>
    <row r="66">
      <c r="A66" s="64" t="inlineStr">
        <is>
          <t>0513</t>
        </is>
      </c>
      <c r="B66" s="64" t="inlineStr">
        <is>
          <t>A2</t>
        </is>
      </c>
      <c r="C66" s="11" t="n">
        <v>777</v>
      </c>
      <c r="D66" s="10" t="n">
        <v>1</v>
      </c>
      <c r="E66" s="10" t="n">
        <v>1</v>
      </c>
      <c r="F66" s="65" t="inlineStr">
        <is>
          <t>Market</t>
        </is>
      </c>
      <c r="G66" s="65" t="inlineStr">
        <is>
          <t>Occupied</t>
        </is>
      </c>
      <c r="H66" s="11" t="n">
        <v>1307</v>
      </c>
      <c r="I66" s="11" t="n">
        <v>1420</v>
      </c>
      <c r="J66" s="11" t="n">
        <v>1420</v>
      </c>
      <c r="K66" s="66" t="inlineStr">
        <is>
          <t>11/23/2025</t>
        </is>
      </c>
      <c r="L66" s="66" t="inlineStr">
        <is>
          <t>11/15/2026</t>
        </is>
      </c>
      <c r="M66" s="66" t="inlineStr">
        <is>
          <t>05/30/2023</t>
        </is>
      </c>
      <c r="O66" s="11" t="n">
        <v>1420</v>
      </c>
      <c r="P66" s="11" t="n"/>
      <c r="Q66" s="11" t="n"/>
      <c r="R66" s="11" t="n"/>
      <c r="S66" s="11" t="n"/>
      <c r="T66" s="11" t="n"/>
      <c r="U66" s="11" t="n">
        <v>1</v>
      </c>
      <c r="V66" s="11" t="n"/>
      <c r="W66" s="11" t="n"/>
      <c r="X66" s="11" t="n"/>
      <c r="Y66" s="11" t="n"/>
      <c r="Z66" s="11" t="n"/>
    </row>
    <row r="67">
      <c r="A67" s="61" t="inlineStr">
        <is>
          <t>0514</t>
        </is>
      </c>
      <c r="B67" s="61" t="inlineStr">
        <is>
          <t>B1</t>
        </is>
      </c>
      <c r="C67" s="20" t="n">
        <v>947</v>
      </c>
      <c r="D67" s="19" t="n">
        <v>2</v>
      </c>
      <c r="E67" s="19" t="n">
        <v>2</v>
      </c>
      <c r="F67" s="62" t="inlineStr">
        <is>
          <t>Market</t>
        </is>
      </c>
      <c r="G67" s="62" t="inlineStr">
        <is>
          <t>Occupied</t>
        </is>
      </c>
      <c r="H67" s="20" t="n">
        <v>1487</v>
      </c>
      <c r="I67" s="20" t="n">
        <v>1378</v>
      </c>
      <c r="J67" s="20" t="n">
        <v>1378</v>
      </c>
      <c r="K67" s="63" t="inlineStr">
        <is>
          <t>02/25/2026</t>
        </is>
      </c>
      <c r="L67" s="63" t="inlineStr">
        <is>
          <t>03/24/2027</t>
        </is>
      </c>
      <c r="M67" s="63" t="inlineStr">
        <is>
          <t>01/31/2025</t>
        </is>
      </c>
      <c r="O67" s="20" t="n">
        <v>1378</v>
      </c>
      <c r="P67" s="20" t="n"/>
      <c r="Q67" s="20" t="n"/>
      <c r="R67" s="20" t="n"/>
      <c r="S67" s="20" t="n"/>
      <c r="T67" s="20" t="n"/>
      <c r="U67" s="20" t="n">
        <v>3</v>
      </c>
      <c r="V67" s="20" t="n"/>
      <c r="W67" s="20" t="n"/>
      <c r="X67" s="20" t="n"/>
      <c r="Y67" s="20" t="n"/>
      <c r="Z67" s="20" t="n"/>
    </row>
    <row r="68">
      <c r="A68" s="64" t="inlineStr">
        <is>
          <t>0521</t>
        </is>
      </c>
      <c r="B68" s="64" t="inlineStr">
        <is>
          <t>C1R</t>
        </is>
      </c>
      <c r="C68" s="11" t="n">
        <v>1258</v>
      </c>
      <c r="D68" s="10" t="n">
        <v>3</v>
      </c>
      <c r="E68" s="10" t="n">
        <v>2</v>
      </c>
      <c r="F68" s="65" t="inlineStr">
        <is>
          <t>Market</t>
        </is>
      </c>
      <c r="G68" s="65" t="inlineStr">
        <is>
          <t>Occupied</t>
        </is>
      </c>
      <c r="H68" s="11" t="n">
        <v>1975</v>
      </c>
      <c r="I68" s="11" t="n">
        <v>1872</v>
      </c>
      <c r="J68" s="11" t="n">
        <v>1872</v>
      </c>
      <c r="K68" s="66" t="inlineStr">
        <is>
          <t>06/13/2025</t>
        </is>
      </c>
      <c r="L68" s="66" t="inlineStr">
        <is>
          <t>09/05/2026</t>
        </is>
      </c>
      <c r="M68" s="66" t="inlineStr">
        <is>
          <t>06/13/2025</t>
        </is>
      </c>
      <c r="O68" s="11" t="n">
        <v>1872</v>
      </c>
      <c r="P68" s="11" t="n"/>
      <c r="Q68" s="11" t="n"/>
      <c r="R68" s="11" t="n"/>
      <c r="S68" s="11" t="n"/>
      <c r="T68" s="11" t="n"/>
      <c r="U68" s="11" t="n">
        <v>1</v>
      </c>
      <c r="V68" s="11" t="n"/>
      <c r="W68" s="11" t="n"/>
      <c r="X68" s="11" t="n"/>
      <c r="Y68" s="11" t="n"/>
      <c r="Z68" s="11" t="n"/>
    </row>
    <row r="69">
      <c r="A69" s="61" t="inlineStr">
        <is>
          <t>0522</t>
        </is>
      </c>
      <c r="B69" s="61" t="inlineStr">
        <is>
          <t>B4R</t>
        </is>
      </c>
      <c r="C69" s="20" t="n">
        <v>1187</v>
      </c>
      <c r="D69" s="19" t="n">
        <v>2</v>
      </c>
      <c r="E69" s="19" t="n">
        <v>2</v>
      </c>
      <c r="F69" s="62" t="inlineStr">
        <is>
          <t>Market</t>
        </is>
      </c>
      <c r="G69" s="62" t="inlineStr">
        <is>
          <t>Vacant</t>
        </is>
      </c>
      <c r="H69" s="20" t="n">
        <v>1796</v>
      </c>
      <c r="I69" s="20" t="n">
        <v>0</v>
      </c>
      <c r="J69" s="20" t="n">
        <v>0</v>
      </c>
      <c r="K69" s="63" t="n"/>
      <c r="L69" s="63" t="n"/>
      <c r="M69" s="63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>
      <c r="A70" s="64" t="inlineStr">
        <is>
          <t>0523</t>
        </is>
      </c>
      <c r="B70" s="64" t="inlineStr">
        <is>
          <t>A2R</t>
        </is>
      </c>
      <c r="C70" s="11" t="n">
        <v>777</v>
      </c>
      <c r="D70" s="10" t="n">
        <v>1</v>
      </c>
      <c r="E70" s="10" t="n">
        <v>1</v>
      </c>
      <c r="F70" s="65" t="inlineStr">
        <is>
          <t>Market</t>
        </is>
      </c>
      <c r="G70" s="65" t="inlineStr">
        <is>
          <t>Occupied</t>
        </is>
      </c>
      <c r="H70" s="11" t="n">
        <v>1327</v>
      </c>
      <c r="I70" s="11" t="n">
        <v>1262</v>
      </c>
      <c r="J70" s="11" t="n">
        <v>1262</v>
      </c>
      <c r="K70" s="66" t="inlineStr">
        <is>
          <t>01/06/2026</t>
        </is>
      </c>
      <c r="L70" s="66" t="inlineStr">
        <is>
          <t>04/05/2027</t>
        </is>
      </c>
      <c r="M70" s="66" t="inlineStr">
        <is>
          <t>01/06/2026</t>
        </is>
      </c>
      <c r="O70" s="11" t="n">
        <v>1262</v>
      </c>
      <c r="P70" s="11" t="n"/>
      <c r="Q70" s="11" t="n"/>
      <c r="R70" s="11" t="n"/>
      <c r="S70" s="11" t="n"/>
      <c r="T70" s="11" t="n">
        <v>45</v>
      </c>
      <c r="U70" s="11" t="n">
        <v>3</v>
      </c>
      <c r="V70" s="11" t="n"/>
      <c r="W70" s="11" t="n"/>
      <c r="X70" s="11" t="n"/>
      <c r="Y70" s="11" t="n"/>
      <c r="Z70" s="11" t="n"/>
    </row>
    <row r="71">
      <c r="A71" s="61" t="inlineStr">
        <is>
          <t>0524</t>
        </is>
      </c>
      <c r="B71" s="61" t="inlineStr">
        <is>
          <t>B1</t>
        </is>
      </c>
      <c r="C71" s="20" t="n">
        <v>947</v>
      </c>
      <c r="D71" s="19" t="n">
        <v>2</v>
      </c>
      <c r="E71" s="19" t="n">
        <v>2</v>
      </c>
      <c r="F71" s="62" t="inlineStr">
        <is>
          <t>Market</t>
        </is>
      </c>
      <c r="G71" s="62" t="inlineStr">
        <is>
          <t>Occupied</t>
        </is>
      </c>
      <c r="H71" s="20" t="n">
        <v>1352</v>
      </c>
      <c r="I71" s="20" t="n">
        <v>1207</v>
      </c>
      <c r="J71" s="20" t="n">
        <v>1207</v>
      </c>
      <c r="K71" s="63" t="inlineStr">
        <is>
          <t>05/21/2026</t>
        </is>
      </c>
      <c r="L71" s="63" t="inlineStr">
        <is>
          <t>07/20/2027</t>
        </is>
      </c>
      <c r="M71" s="63" t="inlineStr">
        <is>
          <t>05/21/2026</t>
        </is>
      </c>
      <c r="O71" s="20" t="n">
        <v>1207</v>
      </c>
      <c r="P71" s="20" t="n">
        <v>35</v>
      </c>
      <c r="Q71" s="20" t="n"/>
      <c r="R71" s="20" t="n"/>
      <c r="S71" s="20" t="n"/>
      <c r="T71" s="20" t="n"/>
      <c r="U71" s="20" t="n">
        <v>3</v>
      </c>
      <c r="V71" s="20" t="n"/>
      <c r="W71" s="20" t="n"/>
      <c r="X71" s="20" t="n"/>
      <c r="Y71" s="20" t="n"/>
      <c r="Z71" s="20" t="n"/>
    </row>
    <row r="72">
      <c r="A72" s="64" t="inlineStr">
        <is>
          <t>0531</t>
        </is>
      </c>
      <c r="B72" s="64" t="inlineStr">
        <is>
          <t>C1R</t>
        </is>
      </c>
      <c r="C72" s="11" t="n">
        <v>1258</v>
      </c>
      <c r="D72" s="10" t="n">
        <v>3</v>
      </c>
      <c r="E72" s="10" t="n">
        <v>2</v>
      </c>
      <c r="F72" s="65" t="inlineStr">
        <is>
          <t>Market</t>
        </is>
      </c>
      <c r="G72" s="65" t="inlineStr">
        <is>
          <t>Occupied</t>
        </is>
      </c>
      <c r="H72" s="11" t="n">
        <v>1975</v>
      </c>
      <c r="I72" s="11" t="n">
        <v>1792</v>
      </c>
      <c r="J72" s="11" t="n">
        <v>1792</v>
      </c>
      <c r="K72" s="66" t="inlineStr">
        <is>
          <t>03/26/2026</t>
        </is>
      </c>
      <c r="L72" s="66" t="inlineStr">
        <is>
          <t>06/25/2027</t>
        </is>
      </c>
      <c r="M72" s="66" t="inlineStr">
        <is>
          <t>03/26/2026</t>
        </is>
      </c>
      <c r="O72" s="11" t="n">
        <v>1792</v>
      </c>
      <c r="P72" s="11" t="n">
        <v>35</v>
      </c>
      <c r="Q72" s="11" t="n"/>
      <c r="R72" s="11" t="n"/>
      <c r="S72" s="11" t="n"/>
      <c r="T72" s="11" t="n"/>
      <c r="U72" s="11" t="n">
        <v>3</v>
      </c>
      <c r="V72" s="11" t="n"/>
      <c r="W72" s="11" t="n"/>
      <c r="X72" s="11" t="n"/>
      <c r="Y72" s="11" t="n"/>
      <c r="Z72" s="11" t="n"/>
    </row>
    <row r="73">
      <c r="A73" s="61" t="inlineStr">
        <is>
          <t>0532</t>
        </is>
      </c>
      <c r="B73" s="61" t="inlineStr">
        <is>
          <t>B4R</t>
        </is>
      </c>
      <c r="C73" s="20" t="n">
        <v>1187</v>
      </c>
      <c r="D73" s="19" t="n">
        <v>2</v>
      </c>
      <c r="E73" s="19" t="n">
        <v>2</v>
      </c>
      <c r="F73" s="62" t="inlineStr">
        <is>
          <t>Market</t>
        </is>
      </c>
      <c r="G73" s="62" t="inlineStr">
        <is>
          <t>Occupied</t>
        </is>
      </c>
      <c r="H73" s="20" t="n">
        <v>1796</v>
      </c>
      <c r="I73" s="20" t="n">
        <v>1530</v>
      </c>
      <c r="J73" s="20" t="n">
        <v>1530</v>
      </c>
      <c r="K73" s="63" t="inlineStr">
        <is>
          <t>01/26/2026</t>
        </is>
      </c>
      <c r="L73" s="63" t="inlineStr">
        <is>
          <t>04/25/2027</t>
        </is>
      </c>
      <c r="M73" s="63" t="inlineStr">
        <is>
          <t>01/26/2026</t>
        </is>
      </c>
      <c r="O73" s="20" t="n">
        <v>1530</v>
      </c>
      <c r="P73" s="20" t="n">
        <v>35</v>
      </c>
      <c r="Q73" s="20" t="n"/>
      <c r="R73" s="20" t="n"/>
      <c r="S73" s="20" t="n"/>
      <c r="T73" s="20" t="n"/>
      <c r="U73" s="20" t="n">
        <v>3</v>
      </c>
      <c r="V73" s="20" t="n"/>
      <c r="W73" s="20" t="n"/>
      <c r="X73" s="20" t="n"/>
      <c r="Y73" s="20" t="n"/>
      <c r="Z73" s="20" t="n"/>
    </row>
    <row r="74">
      <c r="A74" s="64" t="inlineStr">
        <is>
          <t>0533</t>
        </is>
      </c>
      <c r="B74" s="64" t="inlineStr">
        <is>
          <t>A2</t>
        </is>
      </c>
      <c r="C74" s="11" t="n">
        <v>777</v>
      </c>
      <c r="D74" s="10" t="n">
        <v>1</v>
      </c>
      <c r="E74" s="10" t="n">
        <v>1</v>
      </c>
      <c r="F74" s="65" t="inlineStr">
        <is>
          <t>Market</t>
        </is>
      </c>
      <c r="G74" s="65" t="inlineStr">
        <is>
          <t>Occupied</t>
        </is>
      </c>
      <c r="H74" s="11" t="n">
        <v>1127</v>
      </c>
      <c r="I74" s="11" t="n">
        <v>1166</v>
      </c>
      <c r="J74" s="11" t="n">
        <v>1166</v>
      </c>
      <c r="K74" s="66" t="inlineStr">
        <is>
          <t>03/15/2025</t>
        </is>
      </c>
      <c r="L74" s="66" t="inlineStr">
        <is>
          <t>06/14/2026</t>
        </is>
      </c>
      <c r="M74" s="66" t="inlineStr">
        <is>
          <t>03/15/2025</t>
        </is>
      </c>
      <c r="O74" s="11" t="n">
        <v>1166</v>
      </c>
      <c r="P74" s="11" t="n"/>
      <c r="Q74" s="11" t="n"/>
      <c r="R74" s="11" t="n"/>
      <c r="S74" s="11" t="n"/>
      <c r="T74" s="11" t="n"/>
      <c r="U74" s="11" t="n">
        <v>1</v>
      </c>
      <c r="V74" s="11" t="n"/>
      <c r="W74" s="11" t="n"/>
      <c r="X74" s="11" t="n"/>
      <c r="Y74" s="11" t="n"/>
      <c r="Z74" s="11" t="n"/>
    </row>
    <row r="75">
      <c r="A75" s="61" t="inlineStr">
        <is>
          <t>0534</t>
        </is>
      </c>
      <c r="B75" s="61" t="inlineStr">
        <is>
          <t>B1R</t>
        </is>
      </c>
      <c r="C75" s="20" t="n">
        <v>947</v>
      </c>
      <c r="D75" s="19" t="n">
        <v>2</v>
      </c>
      <c r="E75" s="19" t="n">
        <v>2</v>
      </c>
      <c r="F75" s="62" t="inlineStr">
        <is>
          <t>Market</t>
        </is>
      </c>
      <c r="G75" s="62" t="inlineStr">
        <is>
          <t>Occupied</t>
        </is>
      </c>
      <c r="H75" s="20" t="n">
        <v>1552</v>
      </c>
      <c r="I75" s="20" t="n">
        <v>1265</v>
      </c>
      <c r="J75" s="20" t="n">
        <v>1265</v>
      </c>
      <c r="K75" s="63" t="inlineStr">
        <is>
          <t>12/23/2025</t>
        </is>
      </c>
      <c r="L75" s="63" t="inlineStr">
        <is>
          <t>03/15/2027</t>
        </is>
      </c>
      <c r="M75" s="63" t="inlineStr">
        <is>
          <t>12/23/2025</t>
        </is>
      </c>
      <c r="O75" s="20" t="n">
        <v>1265</v>
      </c>
      <c r="P75" s="20" t="n">
        <v>35</v>
      </c>
      <c r="Q75" s="20" t="n">
        <v>125</v>
      </c>
      <c r="R75" s="20" t="n"/>
      <c r="S75" s="20" t="n"/>
      <c r="T75" s="20" t="n"/>
      <c r="U75" s="20" t="n">
        <v>3</v>
      </c>
      <c r="V75" s="20" t="n"/>
      <c r="W75" s="20" t="n"/>
      <c r="X75" s="20" t="n"/>
      <c r="Y75" s="20" t="n"/>
      <c r="Z75" s="20" t="n"/>
    </row>
    <row r="76">
      <c r="A76" s="64" t="inlineStr">
        <is>
          <t>0611</t>
        </is>
      </c>
      <c r="B76" s="64" t="inlineStr">
        <is>
          <t>C1R</t>
        </is>
      </c>
      <c r="C76" s="11" t="n">
        <v>1258</v>
      </c>
      <c r="D76" s="10" t="n">
        <v>3</v>
      </c>
      <c r="E76" s="10" t="n">
        <v>2</v>
      </c>
      <c r="F76" s="65" t="inlineStr">
        <is>
          <t>Market</t>
        </is>
      </c>
      <c r="G76" s="65" t="inlineStr">
        <is>
          <t>Occupied</t>
        </is>
      </c>
      <c r="H76" s="11" t="n">
        <v>1970</v>
      </c>
      <c r="I76" s="11" t="n">
        <v>1862</v>
      </c>
      <c r="J76" s="11" t="n">
        <v>1862</v>
      </c>
      <c r="K76" s="66" t="inlineStr">
        <is>
          <t>01/16/2026</t>
        </is>
      </c>
      <c r="L76" s="66" t="inlineStr">
        <is>
          <t>04/15/2027</t>
        </is>
      </c>
      <c r="M76" s="66" t="inlineStr">
        <is>
          <t>01/16/2026</t>
        </is>
      </c>
      <c r="O76" s="11" t="n">
        <v>1862</v>
      </c>
      <c r="P76" s="11" t="n"/>
      <c r="Q76" s="11" t="n"/>
      <c r="R76" s="11" t="n"/>
      <c r="S76" s="11" t="n"/>
      <c r="T76" s="11" t="n"/>
      <c r="U76" s="11" t="n">
        <v>3</v>
      </c>
      <c r="V76" s="11" t="n"/>
      <c r="W76" s="11" t="n"/>
      <c r="X76" s="11" t="n"/>
      <c r="Y76" s="11" t="n"/>
      <c r="Z76" s="11" t="n"/>
    </row>
    <row r="77">
      <c r="A77" s="61" t="inlineStr">
        <is>
          <t>0612</t>
        </is>
      </c>
      <c r="B77" s="61" t="inlineStr">
        <is>
          <t>A1R</t>
        </is>
      </c>
      <c r="C77" s="20" t="n">
        <v>739</v>
      </c>
      <c r="D77" s="19" t="n">
        <v>1</v>
      </c>
      <c r="E77" s="19" t="n">
        <v>1</v>
      </c>
      <c r="F77" s="62" t="inlineStr">
        <is>
          <t>Market</t>
        </is>
      </c>
      <c r="G77" s="62" t="inlineStr">
        <is>
          <t>Occupied</t>
        </is>
      </c>
      <c r="H77" s="20" t="n">
        <v>1287</v>
      </c>
      <c r="I77" s="20" t="n">
        <v>1404</v>
      </c>
      <c r="J77" s="20" t="n">
        <v>1404</v>
      </c>
      <c r="K77" s="63" t="inlineStr">
        <is>
          <t>12/27/2025</t>
        </is>
      </c>
      <c r="L77" s="63" t="inlineStr">
        <is>
          <t>03/26/2027</t>
        </is>
      </c>
      <c r="M77" s="63" t="inlineStr">
        <is>
          <t>11/20/2023</t>
        </is>
      </c>
      <c r="O77" s="20" t="n">
        <v>1404</v>
      </c>
      <c r="P77" s="20" t="n"/>
      <c r="Q77" s="20" t="n"/>
      <c r="R77" s="20" t="n"/>
      <c r="S77" s="20" t="n"/>
      <c r="T77" s="20" t="n"/>
      <c r="U77" s="20" t="n">
        <v>1</v>
      </c>
      <c r="V77" s="20" t="n"/>
      <c r="W77" s="20" t="n"/>
      <c r="X77" s="20" t="n"/>
      <c r="Y77" s="20" t="n"/>
      <c r="Z77" s="20" t="n"/>
    </row>
    <row r="78">
      <c r="A78" s="64" t="inlineStr">
        <is>
          <t>0613</t>
        </is>
      </c>
      <c r="B78" s="64" t="inlineStr">
        <is>
          <t>A1</t>
        </is>
      </c>
      <c r="C78" s="11" t="n">
        <v>739</v>
      </c>
      <c r="D78" s="10" t="n">
        <v>1</v>
      </c>
      <c r="E78" s="10" t="n">
        <v>1</v>
      </c>
      <c r="F78" s="65" t="inlineStr">
        <is>
          <t>Market</t>
        </is>
      </c>
      <c r="G78" s="65" t="inlineStr">
        <is>
          <t>Occupied</t>
        </is>
      </c>
      <c r="H78" s="11" t="n">
        <v>1122</v>
      </c>
      <c r="I78" s="11" t="n">
        <v>1055</v>
      </c>
      <c r="J78" s="11" t="n">
        <v>1055</v>
      </c>
      <c r="K78" s="66" t="inlineStr">
        <is>
          <t>05/26/2026</t>
        </is>
      </c>
      <c r="L78" s="66" t="inlineStr">
        <is>
          <t>08/25/2027</t>
        </is>
      </c>
      <c r="M78" s="66" t="inlineStr">
        <is>
          <t>05/26/2026</t>
        </is>
      </c>
      <c r="O78" s="11" t="n">
        <v>1055</v>
      </c>
      <c r="P78" s="11" t="n">
        <v>35</v>
      </c>
      <c r="Q78" s="11" t="n"/>
      <c r="R78" s="11" t="n"/>
      <c r="S78" s="11" t="n"/>
      <c r="T78" s="11" t="n"/>
      <c r="U78" s="11" t="n">
        <v>3</v>
      </c>
      <c r="V78" s="11" t="n"/>
      <c r="W78" s="11" t="n"/>
      <c r="X78" s="11" t="n"/>
      <c r="Y78" s="11" t="n"/>
      <c r="Z78" s="11" t="n"/>
    </row>
    <row r="79">
      <c r="A79" s="61" t="inlineStr">
        <is>
          <t>0614</t>
        </is>
      </c>
      <c r="B79" s="61" t="inlineStr">
        <is>
          <t>C1</t>
        </is>
      </c>
      <c r="C79" s="20" t="n">
        <v>1258</v>
      </c>
      <c r="D79" s="19" t="n">
        <v>3</v>
      </c>
      <c r="E79" s="19" t="n">
        <v>2</v>
      </c>
      <c r="F79" s="62" t="inlineStr">
        <is>
          <t>Market</t>
        </is>
      </c>
      <c r="G79" s="62" t="inlineStr">
        <is>
          <t>Occupied</t>
        </is>
      </c>
      <c r="H79" s="20" t="n">
        <v>1830</v>
      </c>
      <c r="I79" s="20" t="n">
        <v>1686</v>
      </c>
      <c r="J79" s="20" t="n">
        <v>1686</v>
      </c>
      <c r="K79" s="63" t="inlineStr">
        <is>
          <t>08/28/2025</t>
        </is>
      </c>
      <c r="L79" s="63" t="inlineStr">
        <is>
          <t>11/27/2026</t>
        </is>
      </c>
      <c r="M79" s="63" t="inlineStr">
        <is>
          <t>02/28/2023</t>
        </is>
      </c>
      <c r="O79" s="20" t="n">
        <v>1686</v>
      </c>
      <c r="P79" s="20" t="n"/>
      <c r="Q79" s="20" t="n"/>
      <c r="R79" s="20" t="n"/>
      <c r="S79" s="20" t="n"/>
      <c r="T79" s="20" t="n"/>
      <c r="U79" s="20" t="n">
        <v>1</v>
      </c>
      <c r="V79" s="20" t="n"/>
      <c r="W79" s="20" t="n"/>
      <c r="X79" s="20" t="n"/>
      <c r="Y79" s="20" t="n"/>
      <c r="Z79" s="20" t="n"/>
    </row>
    <row r="80">
      <c r="A80" s="64" t="inlineStr">
        <is>
          <t>0615</t>
        </is>
      </c>
      <c r="B80" s="64" t="inlineStr">
        <is>
          <t>C1</t>
        </is>
      </c>
      <c r="C80" s="11" t="n">
        <v>1258</v>
      </c>
      <c r="D80" s="10" t="n">
        <v>3</v>
      </c>
      <c r="E80" s="10" t="n">
        <v>2</v>
      </c>
      <c r="F80" s="65" t="inlineStr">
        <is>
          <t>Market</t>
        </is>
      </c>
      <c r="G80" s="65" t="inlineStr">
        <is>
          <t>Occupied</t>
        </is>
      </c>
      <c r="H80" s="11" t="n">
        <v>1835</v>
      </c>
      <c r="I80" s="11" t="n">
        <v>1830</v>
      </c>
      <c r="J80" s="11" t="n">
        <v>1830</v>
      </c>
      <c r="K80" s="66" t="inlineStr">
        <is>
          <t>04/17/2026</t>
        </is>
      </c>
      <c r="L80" s="66" t="inlineStr">
        <is>
          <t>06/16/2027</t>
        </is>
      </c>
      <c r="M80" s="66" t="inlineStr">
        <is>
          <t>02/17/2025</t>
        </is>
      </c>
      <c r="O80" s="11" t="n">
        <v>1830</v>
      </c>
      <c r="P80" s="11" t="n">
        <v>35</v>
      </c>
      <c r="Q80" s="11" t="n"/>
      <c r="R80" s="11" t="n"/>
      <c r="S80" s="11" t="n"/>
      <c r="T80" s="11" t="n"/>
      <c r="U80" s="11" t="n">
        <v>3</v>
      </c>
      <c r="V80" s="11" t="n"/>
      <c r="W80" s="11" t="n"/>
      <c r="X80" s="11" t="n"/>
      <c r="Y80" s="11" t="n"/>
      <c r="Z80" s="11" t="n"/>
    </row>
    <row r="81">
      <c r="A81" s="61" t="inlineStr">
        <is>
          <t>0616</t>
        </is>
      </c>
      <c r="B81" s="61" t="inlineStr">
        <is>
          <t>A1</t>
        </is>
      </c>
      <c r="C81" s="20" t="n">
        <v>739</v>
      </c>
      <c r="D81" s="19" t="n">
        <v>1</v>
      </c>
      <c r="E81" s="19" t="n">
        <v>1</v>
      </c>
      <c r="F81" s="62" t="inlineStr">
        <is>
          <t>Market</t>
        </is>
      </c>
      <c r="G81" s="62" t="inlineStr">
        <is>
          <t>Occupied</t>
        </is>
      </c>
      <c r="H81" s="20" t="n">
        <v>1127</v>
      </c>
      <c r="I81" s="20" t="n">
        <v>1273</v>
      </c>
      <c r="J81" s="20" t="n">
        <v>1273</v>
      </c>
      <c r="K81" s="63" t="inlineStr">
        <is>
          <t>06/02/2025</t>
        </is>
      </c>
      <c r="L81" s="63" t="inlineStr">
        <is>
          <t>05/31/2026</t>
        </is>
      </c>
      <c r="M81" s="63" t="inlineStr">
        <is>
          <t>05/25/2017</t>
        </is>
      </c>
      <c r="O81" s="20" t="n">
        <v>1273</v>
      </c>
      <c r="P81" s="20" t="n"/>
      <c r="Q81" s="20" t="n"/>
      <c r="R81" s="20" t="n"/>
      <c r="S81" s="20" t="n"/>
      <c r="T81" s="20" t="n"/>
      <c r="U81" s="20" t="n">
        <v>1</v>
      </c>
      <c r="V81" s="20" t="n"/>
      <c r="W81" s="20" t="n"/>
      <c r="X81" s="20" t="n"/>
      <c r="Y81" s="20" t="n"/>
      <c r="Z81" s="20" t="n"/>
    </row>
    <row r="82">
      <c r="A82" s="64" t="inlineStr">
        <is>
          <t>0617</t>
        </is>
      </c>
      <c r="B82" s="64" t="inlineStr">
        <is>
          <t>A1</t>
        </is>
      </c>
      <c r="C82" s="11" t="n">
        <v>739</v>
      </c>
      <c r="D82" s="10" t="n">
        <v>1</v>
      </c>
      <c r="E82" s="10" t="n">
        <v>1</v>
      </c>
      <c r="F82" s="65" t="inlineStr">
        <is>
          <t>Market</t>
        </is>
      </c>
      <c r="G82" s="65" t="inlineStr">
        <is>
          <t>Occupied</t>
        </is>
      </c>
      <c r="H82" s="11" t="n">
        <v>1122</v>
      </c>
      <c r="I82" s="11" t="n">
        <v>1218</v>
      </c>
      <c r="J82" s="11" t="n">
        <v>1218</v>
      </c>
      <c r="K82" s="66" t="inlineStr">
        <is>
          <t>10/25/2025</t>
        </is>
      </c>
      <c r="L82" s="66" t="inlineStr">
        <is>
          <t>12/17/2026</t>
        </is>
      </c>
      <c r="M82" s="66" t="inlineStr">
        <is>
          <t>10/01/2024</t>
        </is>
      </c>
      <c r="O82" s="11" t="n">
        <v>1218</v>
      </c>
      <c r="P82" s="11" t="n"/>
      <c r="Q82" s="11" t="n"/>
      <c r="R82" s="11" t="n"/>
      <c r="S82" s="11" t="n"/>
      <c r="T82" s="11" t="n"/>
      <c r="U82" s="11" t="n">
        <v>1</v>
      </c>
      <c r="V82" s="11" t="n"/>
      <c r="W82" s="11" t="n"/>
      <c r="X82" s="11" t="n"/>
      <c r="Y82" s="11" t="n"/>
      <c r="Z82" s="11" t="n"/>
    </row>
    <row r="83">
      <c r="A83" s="61" t="inlineStr">
        <is>
          <t>0618</t>
        </is>
      </c>
      <c r="B83" s="61" t="inlineStr">
        <is>
          <t>C1</t>
        </is>
      </c>
      <c r="C83" s="20" t="n">
        <v>1258</v>
      </c>
      <c r="D83" s="19" t="n">
        <v>3</v>
      </c>
      <c r="E83" s="19" t="n">
        <v>2</v>
      </c>
      <c r="F83" s="62" t="inlineStr">
        <is>
          <t>Market</t>
        </is>
      </c>
      <c r="G83" s="62" t="inlineStr">
        <is>
          <t>Occupied</t>
        </is>
      </c>
      <c r="H83" s="20" t="n">
        <v>1870</v>
      </c>
      <c r="I83" s="20" t="n">
        <v>1708</v>
      </c>
      <c r="J83" s="20" t="n">
        <v>1708</v>
      </c>
      <c r="K83" s="63" t="inlineStr">
        <is>
          <t>06/16/2025</t>
        </is>
      </c>
      <c r="L83" s="63" t="inlineStr">
        <is>
          <t>09/15/2026</t>
        </is>
      </c>
      <c r="M83" s="63" t="inlineStr">
        <is>
          <t>04/23/2018</t>
        </is>
      </c>
      <c r="O83" s="20" t="n">
        <v>1708</v>
      </c>
      <c r="P83" s="20" t="n"/>
      <c r="Q83" s="20" t="n">
        <v>100</v>
      </c>
      <c r="R83" s="20" t="n"/>
      <c r="S83" s="20" t="n"/>
      <c r="T83" s="20" t="n"/>
      <c r="U83" s="20" t="n">
        <v>1</v>
      </c>
      <c r="V83" s="20" t="n"/>
      <c r="W83" s="20" t="n"/>
      <c r="X83" s="20" t="n"/>
      <c r="Y83" s="20" t="n"/>
      <c r="Z83" s="20" t="n"/>
    </row>
    <row r="84">
      <c r="A84" s="64" t="inlineStr">
        <is>
          <t>0621</t>
        </is>
      </c>
      <c r="B84" s="64" t="inlineStr">
        <is>
          <t>C1R</t>
        </is>
      </c>
      <c r="C84" s="11" t="n">
        <v>1258</v>
      </c>
      <c r="D84" s="10" t="n">
        <v>3</v>
      </c>
      <c r="E84" s="10" t="n">
        <v>2</v>
      </c>
      <c r="F84" s="65" t="inlineStr">
        <is>
          <t>Market</t>
        </is>
      </c>
      <c r="G84" s="65" t="inlineStr">
        <is>
          <t>Occupied</t>
        </is>
      </c>
      <c r="H84" s="11" t="n">
        <v>1975</v>
      </c>
      <c r="I84" s="11" t="n">
        <v>1978</v>
      </c>
      <c r="J84" s="11" t="n">
        <v>1978</v>
      </c>
      <c r="K84" s="66" t="inlineStr">
        <is>
          <t>04/04/2026</t>
        </is>
      </c>
      <c r="L84" s="66" t="inlineStr">
        <is>
          <t>06/10/2027</t>
        </is>
      </c>
      <c r="M84" s="66" t="inlineStr">
        <is>
          <t>04/04/2026</t>
        </is>
      </c>
      <c r="O84" s="11" t="n">
        <v>1978</v>
      </c>
      <c r="P84" s="11" t="n">
        <v>35</v>
      </c>
      <c r="Q84" s="11" t="n"/>
      <c r="R84" s="11" t="n"/>
      <c r="S84" s="11" t="n"/>
      <c r="T84" s="11" t="n"/>
      <c r="U84" s="11" t="n">
        <v>3</v>
      </c>
      <c r="V84" s="11" t="n"/>
      <c r="W84" s="11" t="n"/>
      <c r="X84" s="11" t="n"/>
      <c r="Y84" s="11" t="n"/>
      <c r="Z84" s="11" t="n"/>
    </row>
    <row r="85">
      <c r="A85" s="61" t="inlineStr">
        <is>
          <t>0622</t>
        </is>
      </c>
      <c r="B85" s="61" t="inlineStr">
        <is>
          <t>A1</t>
        </is>
      </c>
      <c r="C85" s="20" t="n">
        <v>739</v>
      </c>
      <c r="D85" s="19" t="n">
        <v>1</v>
      </c>
      <c r="E85" s="19" t="n">
        <v>1</v>
      </c>
      <c r="F85" s="62" t="inlineStr">
        <is>
          <t>Market</t>
        </is>
      </c>
      <c r="G85" s="62" t="inlineStr">
        <is>
          <t>Occupied</t>
        </is>
      </c>
      <c r="H85" s="20" t="n">
        <v>1067</v>
      </c>
      <c r="I85" s="20" t="n">
        <v>1049</v>
      </c>
      <c r="J85" s="20" t="n">
        <v>1049</v>
      </c>
      <c r="K85" s="63" t="inlineStr">
        <is>
          <t>06/05/2025</t>
        </is>
      </c>
      <c r="L85" s="63" t="inlineStr">
        <is>
          <t>08/04/2026</t>
        </is>
      </c>
      <c r="M85" s="63" t="inlineStr">
        <is>
          <t>06/05/2025</t>
        </is>
      </c>
      <c r="O85" s="20" t="n">
        <v>1049</v>
      </c>
      <c r="P85" s="20" t="n"/>
      <c r="Q85" s="20" t="n"/>
      <c r="R85" s="20" t="n"/>
      <c r="S85" s="20" t="n"/>
      <c r="T85" s="20" t="n"/>
      <c r="U85" s="20" t="n">
        <v>1</v>
      </c>
      <c r="V85" s="20" t="n"/>
      <c r="W85" s="20" t="n"/>
      <c r="X85" s="20" t="n"/>
      <c r="Y85" s="20" t="n"/>
      <c r="Z85" s="20" t="n"/>
    </row>
    <row r="86">
      <c r="A86" s="64" t="inlineStr">
        <is>
          <t>0623</t>
        </is>
      </c>
      <c r="B86" s="64" t="inlineStr">
        <is>
          <t>A1R</t>
        </is>
      </c>
      <c r="C86" s="11" t="n">
        <v>739</v>
      </c>
      <c r="D86" s="10" t="n">
        <v>1</v>
      </c>
      <c r="E86" s="10" t="n">
        <v>1</v>
      </c>
      <c r="F86" s="65" t="inlineStr">
        <is>
          <t>Market</t>
        </is>
      </c>
      <c r="G86" s="65" t="inlineStr">
        <is>
          <t>Occupied</t>
        </is>
      </c>
      <c r="H86" s="11" t="n">
        <v>1302</v>
      </c>
      <c r="I86" s="11" t="n">
        <v>1334</v>
      </c>
      <c r="J86" s="11" t="n">
        <v>1334</v>
      </c>
      <c r="K86" s="66" t="inlineStr">
        <is>
          <t>05/10/2026</t>
        </is>
      </c>
      <c r="L86" s="66" t="inlineStr">
        <is>
          <t>08/09/2027</t>
        </is>
      </c>
      <c r="M86" s="66" t="inlineStr">
        <is>
          <t>12/03/2023</t>
        </is>
      </c>
      <c r="O86" s="11" t="n">
        <v>1334</v>
      </c>
      <c r="P86" s="11" t="n">
        <v>35</v>
      </c>
      <c r="Q86" s="11" t="n"/>
      <c r="R86" s="11" t="n"/>
      <c r="S86" s="11" t="n"/>
      <c r="T86" s="11" t="n"/>
      <c r="U86" s="11" t="n">
        <v>3</v>
      </c>
      <c r="V86" s="11" t="n"/>
      <c r="W86" s="11" t="n"/>
      <c r="X86" s="11" t="n"/>
      <c r="Y86" s="11" t="n"/>
      <c r="Z86" s="11" t="n"/>
    </row>
    <row r="87">
      <c r="A87" s="61" t="inlineStr">
        <is>
          <t>0624</t>
        </is>
      </c>
      <c r="B87" s="61" t="inlineStr">
        <is>
          <t>C1R</t>
        </is>
      </c>
      <c r="C87" s="20" t="n">
        <v>1258</v>
      </c>
      <c r="D87" s="19" t="n">
        <v>3</v>
      </c>
      <c r="E87" s="19" t="n">
        <v>2</v>
      </c>
      <c r="F87" s="62" t="inlineStr">
        <is>
          <t>Market</t>
        </is>
      </c>
      <c r="G87" s="62" t="inlineStr">
        <is>
          <t>Occupied</t>
        </is>
      </c>
      <c r="H87" s="20" t="n">
        <v>2010</v>
      </c>
      <c r="I87" s="20" t="n">
        <v>1958</v>
      </c>
      <c r="J87" s="20" t="n">
        <v>1958</v>
      </c>
      <c r="K87" s="63" t="inlineStr">
        <is>
          <t>10/23/2025</t>
        </is>
      </c>
      <c r="L87" s="63" t="inlineStr">
        <is>
          <t>11/22/2026</t>
        </is>
      </c>
      <c r="M87" s="63" t="inlineStr">
        <is>
          <t>09/30/2023</t>
        </is>
      </c>
      <c r="O87" s="20" t="n">
        <v>1958</v>
      </c>
      <c r="P87" s="20" t="n"/>
      <c r="Q87" s="20" t="n"/>
      <c r="R87" s="20" t="n"/>
      <c r="S87" s="20" t="n"/>
      <c r="T87" s="20" t="n"/>
      <c r="U87" s="20" t="n">
        <v>1</v>
      </c>
      <c r="V87" s="20" t="n"/>
      <c r="W87" s="20" t="n"/>
      <c r="X87" s="20" t="n"/>
      <c r="Y87" s="20" t="n"/>
      <c r="Z87" s="20" t="n"/>
    </row>
    <row r="88">
      <c r="A88" s="64" t="inlineStr">
        <is>
          <t>0625</t>
        </is>
      </c>
      <c r="B88" s="64" t="inlineStr">
        <is>
          <t>C1</t>
        </is>
      </c>
      <c r="C88" s="11" t="n">
        <v>1258</v>
      </c>
      <c r="D88" s="10" t="n">
        <v>3</v>
      </c>
      <c r="E88" s="10" t="n">
        <v>2</v>
      </c>
      <c r="F88" s="65" t="inlineStr">
        <is>
          <t>Market</t>
        </is>
      </c>
      <c r="G88" s="65" t="inlineStr">
        <is>
          <t>Occupied</t>
        </is>
      </c>
      <c r="H88" s="11" t="n">
        <v>1775</v>
      </c>
      <c r="I88" s="11" t="n">
        <v>1699</v>
      </c>
      <c r="J88" s="11" t="n">
        <v>1699</v>
      </c>
      <c r="K88" s="66" t="inlineStr">
        <is>
          <t>05/16/2026</t>
        </is>
      </c>
      <c r="L88" s="66" t="inlineStr">
        <is>
          <t>08/15/2027</t>
        </is>
      </c>
      <c r="M88" s="66" t="inlineStr">
        <is>
          <t>05/16/2026</t>
        </is>
      </c>
      <c r="O88" s="11" t="n">
        <v>1699</v>
      </c>
      <c r="P88" s="11" t="n">
        <v>35</v>
      </c>
      <c r="Q88" s="11" t="n"/>
      <c r="R88" s="11" t="n"/>
      <c r="S88" s="11" t="n"/>
      <c r="T88" s="11" t="n"/>
      <c r="U88" s="11" t="n">
        <v>3</v>
      </c>
      <c r="V88" s="11" t="n"/>
      <c r="W88" s="11" t="n"/>
      <c r="X88" s="11" t="n"/>
      <c r="Y88" s="11" t="n"/>
      <c r="Z88" s="11" t="n"/>
    </row>
    <row r="89">
      <c r="A89" s="61" t="inlineStr">
        <is>
          <t>0626</t>
        </is>
      </c>
      <c r="B89" s="61" t="inlineStr">
        <is>
          <t>A1</t>
        </is>
      </c>
      <c r="C89" s="20" t="n">
        <v>739</v>
      </c>
      <c r="D89" s="19" t="n">
        <v>1</v>
      </c>
      <c r="E89" s="19" t="n">
        <v>1</v>
      </c>
      <c r="F89" s="62" t="inlineStr">
        <is>
          <t>Market</t>
        </is>
      </c>
      <c r="G89" s="62" t="inlineStr">
        <is>
          <t>Occupied</t>
        </is>
      </c>
      <c r="H89" s="20" t="n">
        <v>1067</v>
      </c>
      <c r="I89" s="20" t="n">
        <v>1166</v>
      </c>
      <c r="J89" s="20" t="n">
        <v>1166</v>
      </c>
      <c r="K89" s="63" t="inlineStr">
        <is>
          <t>12/11/2025</t>
        </is>
      </c>
      <c r="L89" s="63" t="inlineStr">
        <is>
          <t>12/10/2026</t>
        </is>
      </c>
      <c r="M89" s="63" t="inlineStr">
        <is>
          <t>12/11/2025</t>
        </is>
      </c>
      <c r="O89" s="20" t="n">
        <v>1166</v>
      </c>
      <c r="P89" s="20" t="n"/>
      <c r="Q89" s="20" t="n"/>
      <c r="R89" s="20" t="n"/>
      <c r="S89" s="20" t="n"/>
      <c r="T89" s="20" t="n"/>
      <c r="U89" s="20" t="n">
        <v>1</v>
      </c>
      <c r="V89" s="20" t="n"/>
      <c r="W89" s="20" t="n"/>
      <c r="X89" s="20" t="n"/>
      <c r="Y89" s="20" t="n"/>
      <c r="Z89" s="20" t="n"/>
    </row>
    <row r="90">
      <c r="A90" s="64" t="inlineStr">
        <is>
          <t>0627</t>
        </is>
      </c>
      <c r="B90" s="64" t="inlineStr">
        <is>
          <t>A1R</t>
        </is>
      </c>
      <c r="C90" s="11" t="n">
        <v>739</v>
      </c>
      <c r="D90" s="10" t="n">
        <v>1</v>
      </c>
      <c r="E90" s="10" t="n">
        <v>1</v>
      </c>
      <c r="F90" s="65" t="inlineStr">
        <is>
          <t>Market</t>
        </is>
      </c>
      <c r="G90" s="65" t="inlineStr">
        <is>
          <t>Occupied</t>
        </is>
      </c>
      <c r="H90" s="11" t="n">
        <v>1302</v>
      </c>
      <c r="I90" s="11" t="n">
        <v>1358</v>
      </c>
      <c r="J90" s="11" t="n">
        <v>1358</v>
      </c>
      <c r="K90" s="66" t="inlineStr">
        <is>
          <t>10/20/2025</t>
        </is>
      </c>
      <c r="L90" s="66" t="inlineStr">
        <is>
          <t>12/19/2026</t>
        </is>
      </c>
      <c r="M90" s="66" t="inlineStr">
        <is>
          <t>07/13/2024</t>
        </is>
      </c>
      <c r="O90" s="11" t="n">
        <v>1358</v>
      </c>
      <c r="P90" s="11" t="n"/>
      <c r="Q90" s="11" t="n"/>
      <c r="R90" s="11" t="n"/>
      <c r="S90" s="11" t="n"/>
      <c r="T90" s="11" t="n"/>
      <c r="U90" s="11" t="n">
        <v>1</v>
      </c>
      <c r="V90" s="11" t="n"/>
      <c r="W90" s="11" t="n"/>
      <c r="X90" s="11" t="n"/>
      <c r="Y90" s="11" t="n"/>
      <c r="Z90" s="11" t="n"/>
    </row>
    <row r="91">
      <c r="A91" s="61" t="inlineStr">
        <is>
          <t>0628</t>
        </is>
      </c>
      <c r="B91" s="61" t="inlineStr">
        <is>
          <t>C1R</t>
        </is>
      </c>
      <c r="C91" s="20" t="n">
        <v>1258</v>
      </c>
      <c r="D91" s="19" t="n">
        <v>3</v>
      </c>
      <c r="E91" s="19" t="n">
        <v>2</v>
      </c>
      <c r="F91" s="62" t="inlineStr">
        <is>
          <t>Market</t>
        </is>
      </c>
      <c r="G91" s="62" t="inlineStr">
        <is>
          <t>Occupied</t>
        </is>
      </c>
      <c r="H91" s="20" t="n">
        <v>2010</v>
      </c>
      <c r="I91" s="20" t="n">
        <v>1791</v>
      </c>
      <c r="J91" s="20" t="n">
        <v>1791</v>
      </c>
      <c r="K91" s="63" t="inlineStr">
        <is>
          <t>04/13/2026</t>
        </is>
      </c>
      <c r="L91" s="63" t="inlineStr">
        <is>
          <t>05/12/2027</t>
        </is>
      </c>
      <c r="M91" s="63" t="inlineStr">
        <is>
          <t>03/13/2025</t>
        </is>
      </c>
      <c r="O91" s="20" t="n">
        <v>1791</v>
      </c>
      <c r="P91" s="20" t="n">
        <v>35</v>
      </c>
      <c r="Q91" s="20" t="n"/>
      <c r="R91" s="20" t="n"/>
      <c r="S91" s="20" t="n"/>
      <c r="T91" s="20" t="n"/>
      <c r="U91" s="20" t="n">
        <v>3</v>
      </c>
      <c r="V91" s="20" t="n"/>
      <c r="W91" s="20" t="n"/>
      <c r="X91" s="20" t="n"/>
      <c r="Y91" s="20" t="n"/>
      <c r="Z91" s="20" t="n"/>
    </row>
    <row r="92">
      <c r="A92" s="64" t="inlineStr">
        <is>
          <t>0632</t>
        </is>
      </c>
      <c r="B92" s="64" t="inlineStr">
        <is>
          <t>A1</t>
        </is>
      </c>
      <c r="C92" s="11" t="n">
        <v>739</v>
      </c>
      <c r="D92" s="10" t="n">
        <v>1</v>
      </c>
      <c r="E92" s="10" t="n">
        <v>1</v>
      </c>
      <c r="F92" s="65" t="inlineStr">
        <is>
          <t>Market</t>
        </is>
      </c>
      <c r="G92" s="65" t="inlineStr">
        <is>
          <t>Occupied</t>
        </is>
      </c>
      <c r="H92" s="11" t="n">
        <v>1067</v>
      </c>
      <c r="I92" s="11" t="n">
        <v>1206</v>
      </c>
      <c r="J92" s="11" t="n">
        <v>1206</v>
      </c>
      <c r="K92" s="66" t="inlineStr">
        <is>
          <t>06/03/2025</t>
        </is>
      </c>
      <c r="L92" s="66" t="inlineStr">
        <is>
          <t>06/02/2026</t>
        </is>
      </c>
      <c r="M92" s="66" t="inlineStr">
        <is>
          <t>06/03/2023</t>
        </is>
      </c>
      <c r="O92" s="11" t="n">
        <v>1206</v>
      </c>
      <c r="P92" s="11" t="n"/>
      <c r="Q92" s="11" t="n"/>
      <c r="R92" s="11" t="n"/>
      <c r="S92" s="11" t="n"/>
      <c r="T92" s="11" t="n"/>
      <c r="U92" s="11" t="n">
        <v>1</v>
      </c>
      <c r="V92" s="11" t="n"/>
      <c r="W92" s="11" t="n"/>
      <c r="X92" s="11" t="n"/>
      <c r="Y92" s="11" t="n"/>
      <c r="Z92" s="11" t="n"/>
    </row>
    <row r="93">
      <c r="A93" s="61" t="inlineStr">
        <is>
          <t>0633</t>
        </is>
      </c>
      <c r="B93" s="61" t="inlineStr">
        <is>
          <t>A1</t>
        </is>
      </c>
      <c r="C93" s="20" t="n">
        <v>739</v>
      </c>
      <c r="D93" s="19" t="n">
        <v>1</v>
      </c>
      <c r="E93" s="19" t="n">
        <v>1</v>
      </c>
      <c r="F93" s="62" t="inlineStr">
        <is>
          <t>Market</t>
        </is>
      </c>
      <c r="G93" s="62" t="inlineStr">
        <is>
          <t>Occupied</t>
        </is>
      </c>
      <c r="H93" s="20" t="n">
        <v>1102</v>
      </c>
      <c r="I93" s="20" t="n">
        <v>1164</v>
      </c>
      <c r="J93" s="20" t="n">
        <v>1164</v>
      </c>
      <c r="K93" s="63" t="inlineStr">
        <is>
          <t>03/07/2026</t>
        </is>
      </c>
      <c r="L93" s="63" t="inlineStr">
        <is>
          <t>04/06/2027</t>
        </is>
      </c>
      <c r="M93" s="63" t="inlineStr">
        <is>
          <t>01/28/2020</t>
        </is>
      </c>
      <c r="O93" s="20" t="n">
        <v>1164</v>
      </c>
      <c r="P93" s="20" t="n">
        <v>35</v>
      </c>
      <c r="Q93" s="20" t="n"/>
      <c r="R93" s="20" t="n"/>
      <c r="S93" s="20" t="n"/>
      <c r="T93" s="20" t="n"/>
      <c r="U93" s="20" t="n">
        <v>3</v>
      </c>
      <c r="V93" s="20" t="n"/>
      <c r="W93" s="20" t="n"/>
      <c r="X93" s="20" t="n"/>
      <c r="Y93" s="20" t="n"/>
      <c r="Z93" s="20" t="n"/>
    </row>
    <row r="94">
      <c r="A94" s="64" t="inlineStr">
        <is>
          <t>0636</t>
        </is>
      </c>
      <c r="B94" s="64" t="inlineStr">
        <is>
          <t>A1</t>
        </is>
      </c>
      <c r="C94" s="11" t="n">
        <v>739</v>
      </c>
      <c r="D94" s="10" t="n">
        <v>1</v>
      </c>
      <c r="E94" s="10" t="n">
        <v>1</v>
      </c>
      <c r="F94" s="65" t="inlineStr">
        <is>
          <t>Market</t>
        </is>
      </c>
      <c r="G94" s="65" t="inlineStr">
        <is>
          <t>Occupied</t>
        </is>
      </c>
      <c r="H94" s="11" t="n">
        <v>1067</v>
      </c>
      <c r="I94" s="11" t="n">
        <v>1239</v>
      </c>
      <c r="J94" s="11" t="n">
        <v>1239</v>
      </c>
      <c r="K94" s="66" t="inlineStr">
        <is>
          <t>07/29/2025</t>
        </is>
      </c>
      <c r="L94" s="66" t="inlineStr">
        <is>
          <t>07/28/2026</t>
        </is>
      </c>
      <c r="M94" s="66" t="inlineStr">
        <is>
          <t>08/15/2018</t>
        </is>
      </c>
      <c r="O94" s="11" t="n">
        <v>1239</v>
      </c>
      <c r="P94" s="11" t="n"/>
      <c r="Q94" s="11" t="n">
        <v>100</v>
      </c>
      <c r="R94" s="11" t="n"/>
      <c r="S94" s="11" t="n"/>
      <c r="T94" s="11" t="n"/>
      <c r="U94" s="11" t="n">
        <v>1</v>
      </c>
      <c r="V94" s="11" t="n"/>
      <c r="W94" s="11" t="n"/>
      <c r="X94" s="11" t="n"/>
      <c r="Y94" s="11" t="n"/>
      <c r="Z94" s="11" t="n"/>
    </row>
    <row r="95">
      <c r="A95" s="61" t="inlineStr">
        <is>
          <t>0637</t>
        </is>
      </c>
      <c r="B95" s="61" t="inlineStr">
        <is>
          <t>A1R</t>
        </is>
      </c>
      <c r="C95" s="20" t="n">
        <v>739</v>
      </c>
      <c r="D95" s="19" t="n">
        <v>1</v>
      </c>
      <c r="E95" s="19" t="n">
        <v>1</v>
      </c>
      <c r="F95" s="62" t="inlineStr">
        <is>
          <t>Market</t>
        </is>
      </c>
      <c r="G95" s="62" t="inlineStr">
        <is>
          <t>Occupied</t>
        </is>
      </c>
      <c r="H95" s="20" t="n">
        <v>1302</v>
      </c>
      <c r="I95" s="20" t="n">
        <v>1395</v>
      </c>
      <c r="J95" s="20" t="n">
        <v>1395</v>
      </c>
      <c r="K95" s="63" t="inlineStr">
        <is>
          <t>12/11/2025</t>
        </is>
      </c>
      <c r="L95" s="63" t="inlineStr">
        <is>
          <t>03/10/2027</t>
        </is>
      </c>
      <c r="M95" s="63" t="inlineStr">
        <is>
          <t>06/03/2023</t>
        </is>
      </c>
      <c r="O95" s="20" t="n">
        <v>1395</v>
      </c>
      <c r="P95" s="20" t="n"/>
      <c r="Q95" s="20" t="n"/>
      <c r="R95" s="20" t="n"/>
      <c r="S95" s="20" t="n"/>
      <c r="T95" s="20" t="n"/>
      <c r="U95" s="20" t="n">
        <v>1</v>
      </c>
      <c r="V95" s="20" t="n"/>
      <c r="W95" s="20" t="n"/>
      <c r="X95" s="20" t="n"/>
      <c r="Y95" s="20" t="n"/>
      <c r="Z95" s="20" t="n"/>
    </row>
    <row r="96">
      <c r="A96" s="64" t="inlineStr">
        <is>
          <t>0721</t>
        </is>
      </c>
      <c r="B96" s="64" t="inlineStr">
        <is>
          <t>B2R</t>
        </is>
      </c>
      <c r="C96" s="11" t="n">
        <v>1040</v>
      </c>
      <c r="D96" s="10" t="n">
        <v>2</v>
      </c>
      <c r="E96" s="10" t="n">
        <v>2</v>
      </c>
      <c r="F96" s="65" t="inlineStr">
        <is>
          <t>Market</t>
        </is>
      </c>
      <c r="G96" s="65" t="inlineStr">
        <is>
          <t>Occupied</t>
        </is>
      </c>
      <c r="H96" s="11" t="n">
        <v>1786</v>
      </c>
      <c r="I96" s="11" t="n">
        <v>1813</v>
      </c>
      <c r="J96" s="11" t="n">
        <v>1813</v>
      </c>
      <c r="K96" s="66" t="inlineStr">
        <is>
          <t>05/01/2026</t>
        </is>
      </c>
      <c r="L96" s="66" t="inlineStr">
        <is>
          <t>07/31/2027</t>
        </is>
      </c>
      <c r="M96" s="66" t="inlineStr">
        <is>
          <t>05/01/2026</t>
        </is>
      </c>
      <c r="O96" s="11" t="n">
        <v>1813</v>
      </c>
      <c r="P96" s="11" t="n">
        <v>35</v>
      </c>
      <c r="Q96" s="11" t="n"/>
      <c r="R96" s="11" t="n"/>
      <c r="S96" s="11" t="n"/>
      <c r="T96" s="11" t="n"/>
      <c r="U96" s="11" t="n">
        <v>3</v>
      </c>
      <c r="V96" s="11" t="n"/>
      <c r="W96" s="11" t="n"/>
      <c r="X96" s="11" t="n"/>
      <c r="Y96" s="11" t="n"/>
      <c r="Z96" s="11" t="n"/>
    </row>
    <row r="97">
      <c r="A97" s="61" t="inlineStr">
        <is>
          <t>0722</t>
        </is>
      </c>
      <c r="B97" s="61" t="inlineStr">
        <is>
          <t>B2</t>
        </is>
      </c>
      <c r="C97" s="20" t="n">
        <v>1040</v>
      </c>
      <c r="D97" s="19" t="n">
        <v>2</v>
      </c>
      <c r="E97" s="19" t="n">
        <v>2</v>
      </c>
      <c r="F97" s="62" t="inlineStr">
        <is>
          <t>Market</t>
        </is>
      </c>
      <c r="G97" s="62" t="inlineStr">
        <is>
          <t>Occupied</t>
        </is>
      </c>
      <c r="H97" s="20" t="n">
        <v>1586</v>
      </c>
      <c r="I97" s="20" t="n">
        <v>1568</v>
      </c>
      <c r="J97" s="20" t="n">
        <v>1568</v>
      </c>
      <c r="K97" s="63" t="inlineStr">
        <is>
          <t>07/19/2025</t>
        </is>
      </c>
      <c r="L97" s="63" t="inlineStr">
        <is>
          <t>10/18/2026</t>
        </is>
      </c>
      <c r="M97" s="63" t="inlineStr">
        <is>
          <t>04/19/2024</t>
        </is>
      </c>
      <c r="O97" s="20" t="n">
        <v>1568</v>
      </c>
      <c r="P97" s="20" t="n"/>
      <c r="Q97" s="20" t="n"/>
      <c r="R97" s="20" t="n"/>
      <c r="S97" s="20" t="n"/>
      <c r="T97" s="20" t="n"/>
      <c r="U97" s="20" t="n">
        <v>1</v>
      </c>
      <c r="V97" s="20" t="n"/>
      <c r="W97" s="20" t="n"/>
      <c r="X97" s="20" t="n"/>
      <c r="Y97" s="20" t="n"/>
      <c r="Z97" s="20" t="n"/>
    </row>
    <row r="98">
      <c r="A98" s="64" t="inlineStr">
        <is>
          <t>0811</t>
        </is>
      </c>
      <c r="B98" s="64" t="inlineStr">
        <is>
          <t>C1R</t>
        </is>
      </c>
      <c r="C98" s="11" t="n">
        <v>1258</v>
      </c>
      <c r="D98" s="10" t="n">
        <v>3</v>
      </c>
      <c r="E98" s="10" t="n">
        <v>2</v>
      </c>
      <c r="F98" s="65" t="inlineStr">
        <is>
          <t>Market</t>
        </is>
      </c>
      <c r="G98" s="65" t="inlineStr">
        <is>
          <t>Occupied</t>
        </is>
      </c>
      <c r="H98" s="11" t="n">
        <v>2145</v>
      </c>
      <c r="I98" s="11" t="n">
        <v>2140</v>
      </c>
      <c r="J98" s="11" t="n">
        <v>2140</v>
      </c>
      <c r="K98" s="66" t="inlineStr">
        <is>
          <t>01/09/2026</t>
        </is>
      </c>
      <c r="L98" s="66" t="inlineStr">
        <is>
          <t>04/08/2027</t>
        </is>
      </c>
      <c r="M98" s="66" t="inlineStr">
        <is>
          <t>01/09/2026</t>
        </is>
      </c>
      <c r="O98" s="11" t="n">
        <v>2140</v>
      </c>
      <c r="P98" s="11" t="n">
        <v>35</v>
      </c>
      <c r="Q98" s="11" t="n"/>
      <c r="R98" s="11" t="n"/>
      <c r="S98" s="11" t="n"/>
      <c r="T98" s="11" t="n"/>
      <c r="U98" s="11" t="n">
        <v>3</v>
      </c>
      <c r="V98" s="11" t="n"/>
      <c r="W98" s="11" t="n"/>
      <c r="X98" s="11" t="n"/>
      <c r="Y98" s="11" t="n"/>
      <c r="Z98" s="11" t="n"/>
    </row>
    <row r="99">
      <c r="A99" s="61" t="inlineStr">
        <is>
          <t>0812</t>
        </is>
      </c>
      <c r="B99" s="61" t="inlineStr">
        <is>
          <t>A1</t>
        </is>
      </c>
      <c r="C99" s="20" t="n">
        <v>739</v>
      </c>
      <c r="D99" s="19" t="n">
        <v>1</v>
      </c>
      <c r="E99" s="19" t="n">
        <v>1</v>
      </c>
      <c r="F99" s="62" t="inlineStr">
        <is>
          <t>Market</t>
        </is>
      </c>
      <c r="G99" s="62" t="inlineStr">
        <is>
          <t>Occupied</t>
        </is>
      </c>
      <c r="H99" s="20" t="n">
        <v>1137</v>
      </c>
      <c r="I99" s="20" t="n">
        <v>1284</v>
      </c>
      <c r="J99" s="20" t="n">
        <v>1284</v>
      </c>
      <c r="K99" s="63" t="inlineStr">
        <is>
          <t>09/03/2025</t>
        </is>
      </c>
      <c r="L99" s="63" t="inlineStr">
        <is>
          <t>12/02/2026</t>
        </is>
      </c>
      <c r="M99" s="63" t="inlineStr">
        <is>
          <t>09/03/2025</t>
        </is>
      </c>
      <c r="O99" s="20" t="n">
        <v>1284</v>
      </c>
      <c r="P99" s="20" t="n"/>
      <c r="Q99" s="20" t="n"/>
      <c r="R99" s="20" t="n"/>
      <c r="S99" s="20" t="n"/>
      <c r="T99" s="20" t="n"/>
      <c r="U99" s="20" t="n">
        <v>1</v>
      </c>
      <c r="V99" s="20" t="n"/>
      <c r="W99" s="20" t="n"/>
      <c r="X99" s="20" t="n"/>
      <c r="Y99" s="20" t="n"/>
      <c r="Z99" s="20" t="n"/>
    </row>
    <row r="100">
      <c r="A100" s="64" t="inlineStr">
        <is>
          <t>0813</t>
        </is>
      </c>
      <c r="B100" s="64" t="inlineStr">
        <is>
          <t>A1</t>
        </is>
      </c>
      <c r="C100" s="11" t="n">
        <v>739</v>
      </c>
      <c r="D100" s="10" t="n">
        <v>1</v>
      </c>
      <c r="E100" s="10" t="n">
        <v>1</v>
      </c>
      <c r="F100" s="65" t="inlineStr">
        <is>
          <t>Market</t>
        </is>
      </c>
      <c r="G100" s="65" t="inlineStr">
        <is>
          <t>Vacant</t>
        </is>
      </c>
      <c r="H100" s="11" t="n">
        <v>1127</v>
      </c>
      <c r="I100" s="11" t="n">
        <v>0</v>
      </c>
      <c r="J100" s="11" t="n">
        <v>0</v>
      </c>
      <c r="K100" s="66" t="n"/>
      <c r="L100" s="66" t="n"/>
      <c r="M100" s="66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61" t="inlineStr">
        <is>
          <t>0814</t>
        </is>
      </c>
      <c r="B101" s="61" t="inlineStr">
        <is>
          <t>C1</t>
        </is>
      </c>
      <c r="C101" s="20" t="n">
        <v>1258</v>
      </c>
      <c r="D101" s="19" t="n">
        <v>3</v>
      </c>
      <c r="E101" s="19" t="n">
        <v>2</v>
      </c>
      <c r="F101" s="62" t="inlineStr">
        <is>
          <t>Market</t>
        </is>
      </c>
      <c r="G101" s="62" t="inlineStr">
        <is>
          <t>Occupied</t>
        </is>
      </c>
      <c r="H101" s="20" t="n">
        <v>1945</v>
      </c>
      <c r="I101" s="20" t="n">
        <v>1849</v>
      </c>
      <c r="J101" s="20" t="n">
        <v>1849</v>
      </c>
      <c r="K101" s="63" t="inlineStr">
        <is>
          <t>07/08/2025</t>
        </is>
      </c>
      <c r="L101" s="63" t="inlineStr">
        <is>
          <t>08/07/2026</t>
        </is>
      </c>
      <c r="M101" s="63" t="inlineStr">
        <is>
          <t>05/01/2018</t>
        </is>
      </c>
      <c r="O101" s="20" t="n">
        <v>1849</v>
      </c>
      <c r="P101" s="20" t="n"/>
      <c r="Q101" s="20" t="n"/>
      <c r="R101" s="20" t="n"/>
      <c r="S101" s="20" t="n"/>
      <c r="T101" s="20" t="n">
        <v>60</v>
      </c>
      <c r="U101" s="20" t="n">
        <v>1</v>
      </c>
      <c r="V101" s="20" t="n"/>
      <c r="W101" s="20" t="n"/>
      <c r="X101" s="20" t="n"/>
      <c r="Y101" s="20" t="n"/>
      <c r="Z101" s="20" t="n"/>
    </row>
    <row r="102">
      <c r="A102" s="64" t="inlineStr">
        <is>
          <t>0815</t>
        </is>
      </c>
      <c r="B102" s="64" t="inlineStr">
        <is>
          <t>C1</t>
        </is>
      </c>
      <c r="C102" s="11" t="n">
        <v>1258</v>
      </c>
      <c r="D102" s="10" t="n">
        <v>3</v>
      </c>
      <c r="E102" s="10" t="n">
        <v>2</v>
      </c>
      <c r="F102" s="65" t="inlineStr">
        <is>
          <t>Market</t>
        </is>
      </c>
      <c r="G102" s="65" t="inlineStr">
        <is>
          <t>Occupied</t>
        </is>
      </c>
      <c r="H102" s="11" t="n">
        <v>1985</v>
      </c>
      <c r="I102" s="11" t="n">
        <v>1896</v>
      </c>
      <c r="J102" s="11" t="n">
        <v>1896</v>
      </c>
      <c r="K102" s="66" t="inlineStr">
        <is>
          <t>11/08/2025</t>
        </is>
      </c>
      <c r="L102" s="66" t="inlineStr">
        <is>
          <t>12/07/2026</t>
        </is>
      </c>
      <c r="M102" s="66" t="inlineStr">
        <is>
          <t>11/25/2019</t>
        </is>
      </c>
      <c r="O102" s="11" t="n">
        <v>1896</v>
      </c>
      <c r="P102" s="11" t="n"/>
      <c r="Q102" s="11" t="n"/>
      <c r="R102" s="11" t="n"/>
      <c r="S102" s="11" t="n"/>
      <c r="T102" s="11" t="n"/>
      <c r="U102" s="11" t="n">
        <v>1</v>
      </c>
      <c r="V102" s="11" t="n"/>
      <c r="W102" s="11" t="n"/>
      <c r="X102" s="11" t="n"/>
      <c r="Y102" s="11" t="n"/>
      <c r="Z102" s="11" t="n"/>
    </row>
    <row r="103">
      <c r="A103" s="61" t="inlineStr">
        <is>
          <t>0816</t>
        </is>
      </c>
      <c r="B103" s="61" t="inlineStr">
        <is>
          <t>A1</t>
        </is>
      </c>
      <c r="C103" s="20" t="n">
        <v>739</v>
      </c>
      <c r="D103" s="19" t="n">
        <v>1</v>
      </c>
      <c r="E103" s="19" t="n">
        <v>1</v>
      </c>
      <c r="F103" s="62" t="inlineStr">
        <is>
          <t>Market</t>
        </is>
      </c>
      <c r="G103" s="62" t="inlineStr">
        <is>
          <t>Occupied</t>
        </is>
      </c>
      <c r="H103" s="20" t="n">
        <v>1087</v>
      </c>
      <c r="I103" s="20" t="n">
        <v>1008</v>
      </c>
      <c r="J103" s="20" t="n">
        <v>1008</v>
      </c>
      <c r="K103" s="63" t="inlineStr">
        <is>
          <t>04/15/2026</t>
        </is>
      </c>
      <c r="L103" s="63" t="inlineStr">
        <is>
          <t>07/21/2027</t>
        </is>
      </c>
      <c r="M103" s="63" t="inlineStr">
        <is>
          <t>04/15/2026</t>
        </is>
      </c>
      <c r="O103" s="20" t="n">
        <v>1008</v>
      </c>
      <c r="P103" s="20" t="n">
        <v>35</v>
      </c>
      <c r="Q103" s="20" t="n"/>
      <c r="R103" s="20" t="n"/>
      <c r="S103" s="20" t="n"/>
      <c r="T103" s="20" t="n"/>
      <c r="U103" s="20" t="n">
        <v>3</v>
      </c>
      <c r="V103" s="20" t="n"/>
      <c r="W103" s="20" t="n"/>
      <c r="X103" s="20" t="n"/>
      <c r="Y103" s="20" t="n"/>
      <c r="Z103" s="20" t="n"/>
    </row>
    <row r="104">
      <c r="A104" s="64" t="inlineStr">
        <is>
          <t>0817</t>
        </is>
      </c>
      <c r="B104" s="64" t="inlineStr">
        <is>
          <t>A1R</t>
        </is>
      </c>
      <c r="C104" s="11" t="n">
        <v>739</v>
      </c>
      <c r="D104" s="10" t="n">
        <v>1</v>
      </c>
      <c r="E104" s="10" t="n">
        <v>1</v>
      </c>
      <c r="F104" s="65" t="inlineStr">
        <is>
          <t>Market</t>
        </is>
      </c>
      <c r="G104" s="65" t="inlineStr">
        <is>
          <t>Occupied</t>
        </is>
      </c>
      <c r="H104" s="11" t="n">
        <v>1307</v>
      </c>
      <c r="I104" s="11" t="n">
        <v>1408</v>
      </c>
      <c r="J104" s="11" t="n">
        <v>1408</v>
      </c>
      <c r="K104" s="66" t="inlineStr">
        <is>
          <t>11/07/2025</t>
        </is>
      </c>
      <c r="L104" s="66" t="inlineStr">
        <is>
          <t>11/06/2026</t>
        </is>
      </c>
      <c r="M104" s="66" t="inlineStr">
        <is>
          <t>11/07/2025</t>
        </is>
      </c>
      <c r="O104" s="11" t="n">
        <v>1408</v>
      </c>
      <c r="P104" s="11" t="n"/>
      <c r="Q104" s="11" t="n"/>
      <c r="R104" s="11" t="n"/>
      <c r="S104" s="11" t="n"/>
      <c r="T104" s="11" t="n"/>
      <c r="U104" s="11" t="n">
        <v>1</v>
      </c>
      <c r="V104" s="11" t="n"/>
      <c r="W104" s="11" t="n"/>
      <c r="X104" s="11" t="n"/>
      <c r="Y104" s="11" t="n"/>
      <c r="Z104" s="11" t="n"/>
    </row>
    <row r="105">
      <c r="A105" s="61" t="inlineStr">
        <is>
          <t>0818</t>
        </is>
      </c>
      <c r="B105" s="61" t="inlineStr">
        <is>
          <t>C1</t>
        </is>
      </c>
      <c r="C105" s="20" t="n">
        <v>1258</v>
      </c>
      <c r="D105" s="19" t="n">
        <v>3</v>
      </c>
      <c r="E105" s="19" t="n">
        <v>2</v>
      </c>
      <c r="F105" s="62" t="inlineStr">
        <is>
          <t>Market</t>
        </is>
      </c>
      <c r="G105" s="62" t="inlineStr">
        <is>
          <t>Occupied</t>
        </is>
      </c>
      <c r="H105" s="20" t="n">
        <v>1855</v>
      </c>
      <c r="I105" s="20" t="n">
        <v>1849</v>
      </c>
      <c r="J105" s="20" t="n">
        <v>1849</v>
      </c>
      <c r="K105" s="63" t="inlineStr">
        <is>
          <t>08/02/2025</t>
        </is>
      </c>
      <c r="L105" s="63" t="inlineStr">
        <is>
          <t>10/08/2026</t>
        </is>
      </c>
      <c r="M105" s="63" t="inlineStr">
        <is>
          <t>04/20/2019</t>
        </is>
      </c>
      <c r="O105" s="20" t="n">
        <v>1849</v>
      </c>
      <c r="P105" s="20" t="n"/>
      <c r="Q105" s="20" t="n"/>
      <c r="R105" s="20" t="n"/>
      <c r="S105" s="20" t="n"/>
      <c r="T105" s="20" t="n"/>
      <c r="U105" s="20" t="n">
        <v>1</v>
      </c>
      <c r="V105" s="20" t="n"/>
      <c r="W105" s="20" t="n"/>
      <c r="X105" s="20" t="n"/>
      <c r="Y105" s="20" t="n"/>
      <c r="Z105" s="20" t="n"/>
    </row>
    <row r="106">
      <c r="A106" s="64" t="inlineStr">
        <is>
          <t>0821</t>
        </is>
      </c>
      <c r="B106" s="64" t="inlineStr">
        <is>
          <t>C1R</t>
        </is>
      </c>
      <c r="C106" s="11" t="n">
        <v>1258</v>
      </c>
      <c r="D106" s="10" t="n">
        <v>3</v>
      </c>
      <c r="E106" s="10" t="n">
        <v>2</v>
      </c>
      <c r="F106" s="65" t="inlineStr">
        <is>
          <t>Market</t>
        </is>
      </c>
      <c r="G106" s="65" t="inlineStr">
        <is>
          <t>Occupied</t>
        </is>
      </c>
      <c r="H106" s="11" t="n">
        <v>1975</v>
      </c>
      <c r="I106" s="11" t="n">
        <v>1895</v>
      </c>
      <c r="J106" s="11" t="n">
        <v>1895</v>
      </c>
      <c r="K106" s="66" t="inlineStr">
        <is>
          <t>04/24/2025</t>
        </is>
      </c>
      <c r="L106" s="66" t="inlineStr">
        <is>
          <t>07/23/2026</t>
        </is>
      </c>
      <c r="M106" s="66" t="inlineStr">
        <is>
          <t>02/24/2024</t>
        </is>
      </c>
      <c r="O106" s="11" t="n">
        <v>1895</v>
      </c>
      <c r="P106" s="11" t="n"/>
      <c r="Q106" s="11" t="n">
        <v>100</v>
      </c>
      <c r="R106" s="11" t="n"/>
      <c r="S106" s="11" t="n"/>
      <c r="T106" s="11" t="n"/>
      <c r="U106" s="11" t="n">
        <v>1</v>
      </c>
      <c r="V106" s="11" t="n"/>
      <c r="W106" s="11" t="n"/>
      <c r="X106" s="11" t="n"/>
      <c r="Y106" s="11" t="n"/>
      <c r="Z106" s="11" t="n"/>
    </row>
    <row r="107">
      <c r="A107" s="61" t="inlineStr">
        <is>
          <t>0822</t>
        </is>
      </c>
      <c r="B107" s="61" t="inlineStr">
        <is>
          <t>A1R</t>
        </is>
      </c>
      <c r="C107" s="20" t="n">
        <v>739</v>
      </c>
      <c r="D107" s="19" t="n">
        <v>1</v>
      </c>
      <c r="E107" s="19" t="n">
        <v>1</v>
      </c>
      <c r="F107" s="62" t="inlineStr">
        <is>
          <t>Market</t>
        </is>
      </c>
      <c r="G107" s="62" t="inlineStr">
        <is>
          <t>Vacant</t>
        </is>
      </c>
      <c r="H107" s="20" t="n">
        <v>1267</v>
      </c>
      <c r="I107" s="20" t="n">
        <v>0</v>
      </c>
      <c r="J107" s="20" t="n">
        <v>0</v>
      </c>
      <c r="K107" s="63" t="n"/>
      <c r="L107" s="63" t="n"/>
      <c r="M107" s="63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>
      <c r="A108" s="64" t="inlineStr">
        <is>
          <t>0823</t>
        </is>
      </c>
      <c r="B108" s="64" t="inlineStr">
        <is>
          <t>A1R</t>
        </is>
      </c>
      <c r="C108" s="11" t="n">
        <v>739</v>
      </c>
      <c r="D108" s="10" t="n">
        <v>1</v>
      </c>
      <c r="E108" s="10" t="n">
        <v>1</v>
      </c>
      <c r="F108" s="65" t="inlineStr">
        <is>
          <t>Market</t>
        </is>
      </c>
      <c r="G108" s="65" t="inlineStr">
        <is>
          <t>Occupied</t>
        </is>
      </c>
      <c r="H108" s="11" t="n">
        <v>1267</v>
      </c>
      <c r="I108" s="11" t="n">
        <v>1102</v>
      </c>
      <c r="J108" s="11" t="n">
        <v>1102</v>
      </c>
      <c r="K108" s="66" t="inlineStr">
        <is>
          <t>11/29/2025</t>
        </is>
      </c>
      <c r="L108" s="66" t="inlineStr">
        <is>
          <t>01/04/2027</t>
        </is>
      </c>
      <c r="M108" s="66" t="inlineStr">
        <is>
          <t>11/29/2025</t>
        </is>
      </c>
      <c r="O108" s="11" t="n">
        <v>1102</v>
      </c>
      <c r="P108" s="11" t="n"/>
      <c r="Q108" s="11" t="n"/>
      <c r="R108" s="11" t="n"/>
      <c r="S108" s="11" t="n"/>
      <c r="T108" s="11" t="n"/>
      <c r="U108" s="11" t="n">
        <v>3</v>
      </c>
      <c r="V108" s="11" t="n"/>
      <c r="W108" s="11" t="n"/>
      <c r="X108" s="11" t="n"/>
      <c r="Y108" s="11" t="n"/>
      <c r="Z108" s="11" t="n"/>
    </row>
    <row r="109">
      <c r="A109" s="61" t="inlineStr">
        <is>
          <t>0824</t>
        </is>
      </c>
      <c r="B109" s="61" t="inlineStr">
        <is>
          <t>C1</t>
        </is>
      </c>
      <c r="C109" s="20" t="n">
        <v>1258</v>
      </c>
      <c r="D109" s="19" t="n">
        <v>3</v>
      </c>
      <c r="E109" s="19" t="n">
        <v>2</v>
      </c>
      <c r="F109" s="62" t="inlineStr">
        <is>
          <t>Market</t>
        </is>
      </c>
      <c r="G109" s="62" t="inlineStr">
        <is>
          <t>Occupied</t>
        </is>
      </c>
      <c r="H109" s="20" t="n">
        <v>1775</v>
      </c>
      <c r="I109" s="20" t="n">
        <v>1656</v>
      </c>
      <c r="J109" s="20" t="n">
        <v>1656</v>
      </c>
      <c r="K109" s="63" t="inlineStr">
        <is>
          <t>02/27/2026</t>
        </is>
      </c>
      <c r="L109" s="63" t="inlineStr">
        <is>
          <t>05/26/2027</t>
        </is>
      </c>
      <c r="M109" s="63" t="inlineStr">
        <is>
          <t>06/02/2012</t>
        </is>
      </c>
      <c r="O109" s="20" t="n">
        <v>1656</v>
      </c>
      <c r="P109" s="20" t="n"/>
      <c r="Q109" s="20" t="n"/>
      <c r="R109" s="20" t="n"/>
      <c r="S109" s="20" t="n"/>
      <c r="T109" s="20" t="n"/>
      <c r="U109" s="20" t="n">
        <v>3</v>
      </c>
      <c r="V109" s="20" t="n"/>
      <c r="W109" s="20" t="n"/>
      <c r="X109" s="20" t="n"/>
      <c r="Y109" s="20" t="n"/>
      <c r="Z109" s="20" t="n"/>
    </row>
    <row r="110">
      <c r="A110" s="64" t="inlineStr">
        <is>
          <t>0825</t>
        </is>
      </c>
      <c r="B110" s="64" t="inlineStr">
        <is>
          <t>C1R</t>
        </is>
      </c>
      <c r="C110" s="11" t="n">
        <v>1258</v>
      </c>
      <c r="D110" s="10" t="n">
        <v>3</v>
      </c>
      <c r="E110" s="10" t="n">
        <v>2</v>
      </c>
      <c r="F110" s="65" t="inlineStr">
        <is>
          <t>Market</t>
        </is>
      </c>
      <c r="G110" s="65" t="inlineStr">
        <is>
          <t>Occupied</t>
        </is>
      </c>
      <c r="H110" s="11" t="n">
        <v>2125</v>
      </c>
      <c r="I110" s="11" t="n">
        <v>3848</v>
      </c>
      <c r="J110" s="11" t="n">
        <v>3848</v>
      </c>
      <c r="K110" s="66" t="inlineStr">
        <is>
          <t>03/02/2025</t>
        </is>
      </c>
      <c r="L110" s="66" t="inlineStr">
        <is>
          <t>05/24/2026</t>
        </is>
      </c>
      <c r="M110" s="66" t="inlineStr">
        <is>
          <t>03/02/2025</t>
        </is>
      </c>
      <c r="O110" s="11" t="n">
        <v>3848</v>
      </c>
      <c r="P110" s="11" t="n"/>
      <c r="Q110" s="11" t="n"/>
      <c r="R110" s="11" t="n"/>
      <c r="S110" s="11" t="n"/>
      <c r="T110" s="11" t="n"/>
      <c r="U110" s="11" t="n">
        <v>1</v>
      </c>
      <c r="V110" s="11" t="n"/>
      <c r="W110" s="11" t="n"/>
      <c r="X110" s="11" t="n"/>
      <c r="Y110" s="11" t="n"/>
      <c r="Z110" s="11" t="n">
        <v>1</v>
      </c>
    </row>
    <row r="111">
      <c r="A111" s="61" t="inlineStr">
        <is>
          <t>0826</t>
        </is>
      </c>
      <c r="B111" s="61" t="inlineStr">
        <is>
          <t>A1</t>
        </is>
      </c>
      <c r="C111" s="20" t="n">
        <v>739</v>
      </c>
      <c r="D111" s="19" t="n">
        <v>1</v>
      </c>
      <c r="E111" s="19" t="n">
        <v>1</v>
      </c>
      <c r="F111" s="62" t="inlineStr">
        <is>
          <t>Market</t>
        </is>
      </c>
      <c r="G111" s="62" t="inlineStr">
        <is>
          <t>Occupied</t>
        </is>
      </c>
      <c r="H111" s="20" t="n">
        <v>1067</v>
      </c>
      <c r="I111" s="20" t="n">
        <v>1101</v>
      </c>
      <c r="J111" s="20" t="n">
        <v>1101</v>
      </c>
      <c r="K111" s="63" t="inlineStr">
        <is>
          <t>08/04/2025</t>
        </is>
      </c>
      <c r="L111" s="63" t="inlineStr">
        <is>
          <t>08/03/2026</t>
        </is>
      </c>
      <c r="M111" s="63" t="inlineStr">
        <is>
          <t>08/04/2025</t>
        </is>
      </c>
      <c r="O111" s="20" t="n">
        <v>1101</v>
      </c>
      <c r="P111" s="20" t="n"/>
      <c r="Q111" s="20" t="n"/>
      <c r="R111" s="20" t="n"/>
      <c r="S111" s="20" t="n"/>
      <c r="T111" s="20" t="n"/>
      <c r="U111" s="20" t="n">
        <v>1</v>
      </c>
      <c r="V111" s="20" t="n"/>
      <c r="W111" s="20" t="n"/>
      <c r="X111" s="20" t="n"/>
      <c r="Y111" s="20" t="n"/>
      <c r="Z111" s="20" t="n"/>
    </row>
    <row r="112">
      <c r="A112" s="64" t="inlineStr">
        <is>
          <t>0827</t>
        </is>
      </c>
      <c r="B112" s="64" t="inlineStr">
        <is>
          <t>A1</t>
        </is>
      </c>
      <c r="C112" s="11" t="n">
        <v>739</v>
      </c>
      <c r="D112" s="10" t="n">
        <v>1</v>
      </c>
      <c r="E112" s="10" t="n">
        <v>1</v>
      </c>
      <c r="F112" s="65" t="inlineStr">
        <is>
          <t>Market</t>
        </is>
      </c>
      <c r="G112" s="65" t="inlineStr">
        <is>
          <t>Occupied</t>
        </is>
      </c>
      <c r="H112" s="11" t="n">
        <v>1087</v>
      </c>
      <c r="I112" s="11" t="n">
        <v>1230</v>
      </c>
      <c r="J112" s="11" t="n">
        <v>1230</v>
      </c>
      <c r="K112" s="66" t="inlineStr">
        <is>
          <t>08/03/2025</t>
        </is>
      </c>
      <c r="L112" s="66" t="inlineStr">
        <is>
          <t>11/02/2026</t>
        </is>
      </c>
      <c r="M112" s="66" t="inlineStr">
        <is>
          <t>05/03/2024</t>
        </is>
      </c>
      <c r="O112" s="11" t="n">
        <v>1230</v>
      </c>
      <c r="P112" s="11" t="n"/>
      <c r="Q112" s="11" t="n"/>
      <c r="R112" s="11" t="n"/>
      <c r="S112" s="11" t="n"/>
      <c r="T112" s="11" t="n"/>
      <c r="U112" s="11" t="n">
        <v>1</v>
      </c>
      <c r="V112" s="11" t="n"/>
      <c r="W112" s="11" t="n"/>
      <c r="X112" s="11" t="n"/>
      <c r="Y112" s="11" t="n"/>
      <c r="Z112" s="11" t="n"/>
    </row>
    <row r="113">
      <c r="A113" s="61" t="inlineStr">
        <is>
          <t>0828</t>
        </is>
      </c>
      <c r="B113" s="61" t="inlineStr">
        <is>
          <t>C1R</t>
        </is>
      </c>
      <c r="C113" s="20" t="n">
        <v>1258</v>
      </c>
      <c r="D113" s="19" t="n">
        <v>3</v>
      </c>
      <c r="E113" s="19" t="n">
        <v>2</v>
      </c>
      <c r="F113" s="62" t="inlineStr">
        <is>
          <t>Market</t>
        </is>
      </c>
      <c r="G113" s="62" t="inlineStr">
        <is>
          <t>Occupied</t>
        </is>
      </c>
      <c r="H113" s="20" t="n">
        <v>2145</v>
      </c>
      <c r="I113" s="20" t="n">
        <v>1943</v>
      </c>
      <c r="J113" s="20" t="n">
        <v>1943</v>
      </c>
      <c r="K113" s="63" t="inlineStr">
        <is>
          <t>12/06/2025</t>
        </is>
      </c>
      <c r="L113" s="63" t="inlineStr">
        <is>
          <t>03/05/2027</t>
        </is>
      </c>
      <c r="M113" s="63" t="inlineStr">
        <is>
          <t>12/06/2025</t>
        </is>
      </c>
      <c r="O113" s="20" t="n">
        <v>1943</v>
      </c>
      <c r="P113" s="20" t="n"/>
      <c r="Q113" s="20" t="n"/>
      <c r="R113" s="20" t="n"/>
      <c r="S113" s="20" t="n"/>
      <c r="T113" s="20" t="n"/>
      <c r="U113" s="20" t="n">
        <v>3</v>
      </c>
      <c r="V113" s="20" t="n"/>
      <c r="W113" s="20" t="n"/>
      <c r="X113" s="20" t="n"/>
      <c r="Y113" s="20" t="n"/>
      <c r="Z113" s="20" t="n"/>
    </row>
    <row r="114">
      <c r="A114" s="64" t="inlineStr">
        <is>
          <t>0832</t>
        </is>
      </c>
      <c r="B114" s="64" t="inlineStr">
        <is>
          <t>A1</t>
        </is>
      </c>
      <c r="C114" s="11" t="n">
        <v>739</v>
      </c>
      <c r="D114" s="10" t="n">
        <v>1</v>
      </c>
      <c r="E114" s="10" t="n">
        <v>1</v>
      </c>
      <c r="F114" s="65" t="inlineStr">
        <is>
          <t>Market</t>
        </is>
      </c>
      <c r="G114" s="65" t="inlineStr">
        <is>
          <t>Occupied</t>
        </is>
      </c>
      <c r="H114" s="11" t="n">
        <v>1067</v>
      </c>
      <c r="I114" s="11" t="n">
        <v>1175</v>
      </c>
      <c r="J114" s="11" t="n">
        <v>1175</v>
      </c>
      <c r="K114" s="66" t="inlineStr">
        <is>
          <t>03/26/2026</t>
        </is>
      </c>
      <c r="L114" s="66" t="inlineStr">
        <is>
          <t>04/01/2027</t>
        </is>
      </c>
      <c r="M114" s="66" t="inlineStr">
        <is>
          <t>08/19/2020</t>
        </is>
      </c>
      <c r="O114" s="11" t="n">
        <v>1175</v>
      </c>
      <c r="P114" s="11" t="n">
        <v>35</v>
      </c>
      <c r="Q114" s="11" t="n"/>
      <c r="R114" s="11" t="n"/>
      <c r="S114" s="11" t="n"/>
      <c r="T114" s="11" t="n"/>
      <c r="U114" s="11" t="n">
        <v>3</v>
      </c>
      <c r="V114" s="11" t="n"/>
      <c r="W114" s="11" t="n"/>
      <c r="X114" s="11" t="n"/>
      <c r="Y114" s="11" t="n"/>
      <c r="Z114" s="11" t="n"/>
    </row>
    <row r="115">
      <c r="A115" s="61" t="inlineStr">
        <is>
          <t>0833</t>
        </is>
      </c>
      <c r="B115" s="61" t="inlineStr">
        <is>
          <t>A1R</t>
        </is>
      </c>
      <c r="C115" s="20" t="n">
        <v>739</v>
      </c>
      <c r="D115" s="19" t="n">
        <v>1</v>
      </c>
      <c r="E115" s="19" t="n">
        <v>1</v>
      </c>
      <c r="F115" s="62" t="inlineStr">
        <is>
          <t>Market</t>
        </is>
      </c>
      <c r="G115" s="62" t="inlineStr">
        <is>
          <t>Occupied</t>
        </is>
      </c>
      <c r="H115" s="20" t="n">
        <v>1267</v>
      </c>
      <c r="I115" s="20" t="n">
        <v>1386</v>
      </c>
      <c r="J115" s="20" t="n">
        <v>1386</v>
      </c>
      <c r="K115" s="63" t="inlineStr">
        <is>
          <t>08/06/2025</t>
        </is>
      </c>
      <c r="L115" s="63" t="inlineStr">
        <is>
          <t>11/05/2026</t>
        </is>
      </c>
      <c r="M115" s="63" t="inlineStr">
        <is>
          <t>11/30/2020</t>
        </is>
      </c>
      <c r="O115" s="20" t="n">
        <v>1386</v>
      </c>
      <c r="P115" s="20" t="n"/>
      <c r="Q115" s="20" t="n"/>
      <c r="R115" s="20" t="n"/>
      <c r="S115" s="20" t="n"/>
      <c r="T115" s="20" t="n"/>
      <c r="U115" s="20" t="n">
        <v>1</v>
      </c>
      <c r="V115" s="20" t="n"/>
      <c r="W115" s="20" t="n"/>
      <c r="X115" s="20" t="n"/>
      <c r="Y115" s="20" t="n"/>
      <c r="Z115" s="20" t="n"/>
    </row>
    <row r="116">
      <c r="A116" s="64" t="inlineStr">
        <is>
          <t>0836</t>
        </is>
      </c>
      <c r="B116" s="64" t="inlineStr">
        <is>
          <t>A1</t>
        </is>
      </c>
      <c r="C116" s="11" t="n">
        <v>739</v>
      </c>
      <c r="D116" s="10" t="n">
        <v>1</v>
      </c>
      <c r="E116" s="10" t="n">
        <v>1</v>
      </c>
      <c r="F116" s="65" t="inlineStr">
        <is>
          <t>Market</t>
        </is>
      </c>
      <c r="G116" s="65" t="inlineStr">
        <is>
          <t>Occupied</t>
        </is>
      </c>
      <c r="H116" s="11" t="n">
        <v>1067</v>
      </c>
      <c r="I116" s="11" t="n">
        <v>1090</v>
      </c>
      <c r="J116" s="11" t="n">
        <v>1090</v>
      </c>
      <c r="K116" s="66" t="inlineStr">
        <is>
          <t>04/26/2026</t>
        </is>
      </c>
      <c r="L116" s="66" t="inlineStr">
        <is>
          <t>05/25/2027</t>
        </is>
      </c>
      <c r="M116" s="66" t="inlineStr">
        <is>
          <t>02/26/2025</t>
        </is>
      </c>
      <c r="O116" s="11" t="n">
        <v>1090</v>
      </c>
      <c r="P116" s="11" t="n">
        <v>35</v>
      </c>
      <c r="Q116" s="11" t="n"/>
      <c r="R116" s="11" t="n"/>
      <c r="S116" s="11" t="n">
        <v>-300</v>
      </c>
      <c r="T116" s="11" t="n"/>
      <c r="U116" s="11" t="n">
        <v>3</v>
      </c>
      <c r="V116" s="11" t="n"/>
      <c r="W116" s="11" t="n"/>
      <c r="X116" s="11" t="n"/>
      <c r="Y116" s="11" t="n"/>
      <c r="Z116" s="11" t="n"/>
    </row>
    <row r="117">
      <c r="A117" s="61" t="inlineStr">
        <is>
          <t>0837</t>
        </is>
      </c>
      <c r="B117" s="61" t="inlineStr">
        <is>
          <t>A1</t>
        </is>
      </c>
      <c r="C117" s="20" t="n">
        <v>739</v>
      </c>
      <c r="D117" s="19" t="n">
        <v>1</v>
      </c>
      <c r="E117" s="19" t="n">
        <v>1</v>
      </c>
      <c r="F117" s="62" t="inlineStr">
        <is>
          <t>Market</t>
        </is>
      </c>
      <c r="G117" s="62" t="inlineStr">
        <is>
          <t>Occupied</t>
        </is>
      </c>
      <c r="H117" s="20" t="n">
        <v>1127</v>
      </c>
      <c r="I117" s="20" t="n">
        <v>1249</v>
      </c>
      <c r="J117" s="20" t="n">
        <v>1249</v>
      </c>
      <c r="K117" s="63" t="inlineStr">
        <is>
          <t>07/25/2025</t>
        </is>
      </c>
      <c r="L117" s="63" t="inlineStr">
        <is>
          <t>07/31/2026</t>
        </is>
      </c>
      <c r="M117" s="63" t="inlineStr">
        <is>
          <t>11/25/2019</t>
        </is>
      </c>
      <c r="O117" s="20" t="n">
        <v>1249</v>
      </c>
      <c r="P117" s="20" t="n"/>
      <c r="Q117" s="20" t="n">
        <v>100</v>
      </c>
      <c r="R117" s="20" t="n"/>
      <c r="S117" s="20" t="n"/>
      <c r="T117" s="20" t="n"/>
      <c r="U117" s="20" t="n">
        <v>1</v>
      </c>
      <c r="V117" s="20" t="n"/>
      <c r="W117" s="20" t="n"/>
      <c r="X117" s="20" t="n"/>
      <c r="Y117" s="20" t="n"/>
      <c r="Z117" s="20" t="n"/>
    </row>
    <row r="118">
      <c r="A118" s="64" t="inlineStr">
        <is>
          <t>0911</t>
        </is>
      </c>
      <c r="B118" s="64" t="inlineStr">
        <is>
          <t>A2R</t>
        </is>
      </c>
      <c r="C118" s="11" t="n">
        <v>777</v>
      </c>
      <c r="D118" s="10" t="n">
        <v>1</v>
      </c>
      <c r="E118" s="10" t="n">
        <v>1</v>
      </c>
      <c r="F118" s="65" t="inlineStr">
        <is>
          <t>Market</t>
        </is>
      </c>
      <c r="G118" s="65" t="inlineStr">
        <is>
          <t>Vacant</t>
        </is>
      </c>
      <c r="H118" s="11" t="n">
        <v>1327</v>
      </c>
      <c r="I118" s="11" t="n">
        <v>0</v>
      </c>
      <c r="J118" s="11" t="n">
        <v>0</v>
      </c>
      <c r="K118" s="66" t="n"/>
      <c r="L118" s="66" t="n"/>
      <c r="M118" s="66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61" t="inlineStr">
        <is>
          <t>0912</t>
        </is>
      </c>
      <c r="B119" s="61" t="inlineStr">
        <is>
          <t>A2R</t>
        </is>
      </c>
      <c r="C119" s="20" t="n">
        <v>777</v>
      </c>
      <c r="D119" s="19" t="n">
        <v>1</v>
      </c>
      <c r="E119" s="19" t="n">
        <v>1</v>
      </c>
      <c r="F119" s="62" t="inlineStr">
        <is>
          <t>Market</t>
        </is>
      </c>
      <c r="G119" s="62" t="inlineStr">
        <is>
          <t>Occupied</t>
        </is>
      </c>
      <c r="H119" s="20" t="n">
        <v>1327</v>
      </c>
      <c r="I119" s="20" t="n">
        <v>1192</v>
      </c>
      <c r="J119" s="20" t="n">
        <v>1192</v>
      </c>
      <c r="K119" s="63" t="inlineStr">
        <is>
          <t>03/14/2026</t>
        </is>
      </c>
      <c r="L119" s="63" t="inlineStr">
        <is>
          <t>06/17/2027</t>
        </is>
      </c>
      <c r="M119" s="63" t="inlineStr">
        <is>
          <t>03/14/2026</t>
        </is>
      </c>
      <c r="O119" s="20" t="n">
        <v>1192</v>
      </c>
      <c r="P119" s="20" t="n">
        <v>35</v>
      </c>
      <c r="Q119" s="20" t="n"/>
      <c r="R119" s="20" t="n"/>
      <c r="S119" s="20" t="n"/>
      <c r="T119" s="20" t="n"/>
      <c r="U119" s="20" t="n">
        <v>3</v>
      </c>
      <c r="V119" s="20" t="n"/>
      <c r="W119" s="20" t="n"/>
      <c r="X119" s="20" t="n"/>
      <c r="Y119" s="20" t="n"/>
      <c r="Z119" s="20" t="n"/>
    </row>
    <row r="120">
      <c r="A120" s="64" t="inlineStr">
        <is>
          <t>0913</t>
        </is>
      </c>
      <c r="B120" s="64" t="inlineStr">
        <is>
          <t>A2</t>
        </is>
      </c>
      <c r="C120" s="11" t="n">
        <v>777</v>
      </c>
      <c r="D120" s="10" t="n">
        <v>1</v>
      </c>
      <c r="E120" s="10" t="n">
        <v>1</v>
      </c>
      <c r="F120" s="65" t="inlineStr">
        <is>
          <t>Market</t>
        </is>
      </c>
      <c r="G120" s="65" t="inlineStr">
        <is>
          <t>Occupied</t>
        </is>
      </c>
      <c r="H120" s="11" t="n">
        <v>1162</v>
      </c>
      <c r="I120" s="11" t="n">
        <v>1179</v>
      </c>
      <c r="J120" s="11" t="n">
        <v>1179</v>
      </c>
      <c r="K120" s="66" t="inlineStr">
        <is>
          <t>10/04/2025</t>
        </is>
      </c>
      <c r="L120" s="66" t="inlineStr">
        <is>
          <t>12/03/2026</t>
        </is>
      </c>
      <c r="M120" s="66" t="inlineStr">
        <is>
          <t>04/15/2014</t>
        </is>
      </c>
      <c r="O120" s="11" t="n">
        <v>1179</v>
      </c>
      <c r="P120" s="11" t="n"/>
      <c r="Q120" s="11" t="n"/>
      <c r="R120" s="11" t="n"/>
      <c r="S120" s="11" t="n"/>
      <c r="T120" s="11" t="n"/>
      <c r="U120" s="11" t="n">
        <v>1</v>
      </c>
      <c r="V120" s="11" t="n"/>
      <c r="W120" s="11" t="n"/>
      <c r="X120" s="11" t="n"/>
      <c r="Y120" s="11" t="n"/>
      <c r="Z120" s="11" t="n"/>
    </row>
    <row r="121">
      <c r="A121" s="61" t="inlineStr">
        <is>
          <t>0914</t>
        </is>
      </c>
      <c r="B121" s="61" t="inlineStr">
        <is>
          <t>A2</t>
        </is>
      </c>
      <c r="C121" s="20" t="n">
        <v>777</v>
      </c>
      <c r="D121" s="19" t="n">
        <v>1</v>
      </c>
      <c r="E121" s="19" t="n">
        <v>1</v>
      </c>
      <c r="F121" s="62" t="inlineStr">
        <is>
          <t>Market</t>
        </is>
      </c>
      <c r="G121" s="62" t="inlineStr">
        <is>
          <t>Occupied</t>
        </is>
      </c>
      <c r="H121" s="20" t="n">
        <v>1227</v>
      </c>
      <c r="I121" s="20" t="n">
        <v>1085</v>
      </c>
      <c r="J121" s="20" t="n">
        <v>1085</v>
      </c>
      <c r="K121" s="63" t="inlineStr">
        <is>
          <t>12/18/2025</t>
        </is>
      </c>
      <c r="L121" s="63" t="inlineStr">
        <is>
          <t>01/17/2027</t>
        </is>
      </c>
      <c r="M121" s="63" t="inlineStr">
        <is>
          <t>12/18/2025</t>
        </is>
      </c>
      <c r="O121" s="20" t="n">
        <v>1085</v>
      </c>
      <c r="P121" s="20" t="n"/>
      <c r="Q121" s="20" t="n"/>
      <c r="R121" s="20" t="n"/>
      <c r="S121" s="20" t="n"/>
      <c r="T121" s="20" t="n"/>
      <c r="U121" s="20" t="n">
        <v>3</v>
      </c>
      <c r="V121" s="20" t="n"/>
      <c r="W121" s="20" t="n"/>
      <c r="X121" s="20" t="n"/>
      <c r="Y121" s="20" t="n"/>
      <c r="Z121" s="20" t="n"/>
    </row>
    <row r="122">
      <c r="A122" s="64" t="inlineStr">
        <is>
          <t>0915</t>
        </is>
      </c>
      <c r="B122" s="64" t="inlineStr">
        <is>
          <t>A2</t>
        </is>
      </c>
      <c r="C122" s="11" t="n">
        <v>777</v>
      </c>
      <c r="D122" s="10" t="n">
        <v>1</v>
      </c>
      <c r="E122" s="10" t="n">
        <v>1</v>
      </c>
      <c r="F122" s="65" t="inlineStr">
        <is>
          <t>Market</t>
        </is>
      </c>
      <c r="G122" s="65" t="inlineStr">
        <is>
          <t>Occupied</t>
        </is>
      </c>
      <c r="H122" s="11" t="n">
        <v>1102</v>
      </c>
      <c r="I122" s="11" t="n">
        <v>1074</v>
      </c>
      <c r="J122" s="11" t="n">
        <v>1074</v>
      </c>
      <c r="K122" s="66" t="inlineStr">
        <is>
          <t>08/07/2025</t>
        </is>
      </c>
      <c r="L122" s="66" t="inlineStr">
        <is>
          <t>08/06/2026</t>
        </is>
      </c>
      <c r="M122" s="66" t="inlineStr">
        <is>
          <t>08/07/2025</t>
        </is>
      </c>
      <c r="O122" s="11" t="n">
        <v>1074</v>
      </c>
      <c r="P122" s="11" t="n"/>
      <c r="Q122" s="11" t="n"/>
      <c r="R122" s="11" t="n"/>
      <c r="S122" s="11" t="n"/>
      <c r="T122" s="11" t="n"/>
      <c r="U122" s="11" t="n">
        <v>1</v>
      </c>
      <c r="V122" s="11" t="n"/>
      <c r="W122" s="11" t="n"/>
      <c r="X122" s="11" t="n"/>
      <c r="Y122" s="11" t="n"/>
      <c r="Z122" s="11" t="n"/>
    </row>
    <row r="123">
      <c r="A123" s="61" t="inlineStr">
        <is>
          <t>0916</t>
        </is>
      </c>
      <c r="B123" s="61" t="inlineStr">
        <is>
          <t>A2</t>
        </is>
      </c>
      <c r="C123" s="20" t="n">
        <v>777</v>
      </c>
      <c r="D123" s="19" t="n">
        <v>1</v>
      </c>
      <c r="E123" s="19" t="n">
        <v>1</v>
      </c>
      <c r="F123" s="62" t="inlineStr">
        <is>
          <t>Market</t>
        </is>
      </c>
      <c r="G123" s="62" t="inlineStr">
        <is>
          <t>Occupied</t>
        </is>
      </c>
      <c r="H123" s="20" t="n">
        <v>1262</v>
      </c>
      <c r="I123" s="20" t="n">
        <v>1281</v>
      </c>
      <c r="J123" s="20" t="n">
        <v>1281</v>
      </c>
      <c r="K123" s="63" t="inlineStr">
        <is>
          <t>05/14/2026</t>
        </is>
      </c>
      <c r="L123" s="63" t="inlineStr">
        <is>
          <t>01/13/2027</t>
        </is>
      </c>
      <c r="M123" s="63" t="inlineStr">
        <is>
          <t>05/14/2026</t>
        </is>
      </c>
      <c r="O123" s="20" t="n">
        <v>1281</v>
      </c>
      <c r="P123" s="20" t="n"/>
      <c r="Q123" s="20" t="n"/>
      <c r="R123" s="20" t="n"/>
      <c r="S123" s="20" t="n"/>
      <c r="T123" s="20" t="n"/>
      <c r="U123" s="20" t="n">
        <v>1</v>
      </c>
      <c r="V123" s="20" t="n"/>
      <c r="W123" s="20" t="n"/>
      <c r="X123" s="20" t="n"/>
      <c r="Y123" s="20" t="n"/>
      <c r="Z123" s="20" t="n"/>
    </row>
    <row r="124">
      <c r="A124" s="64" t="inlineStr">
        <is>
          <t>0917</t>
        </is>
      </c>
      <c r="B124" s="64" t="inlineStr">
        <is>
          <t>A2R</t>
        </is>
      </c>
      <c r="C124" s="11" t="n">
        <v>777</v>
      </c>
      <c r="D124" s="10" t="n">
        <v>1</v>
      </c>
      <c r="E124" s="10" t="n">
        <v>1</v>
      </c>
      <c r="F124" s="65" t="inlineStr">
        <is>
          <t>Market</t>
        </is>
      </c>
      <c r="G124" s="65" t="inlineStr">
        <is>
          <t>Occupied</t>
        </is>
      </c>
      <c r="H124" s="11" t="n">
        <v>1362</v>
      </c>
      <c r="I124" s="11" t="n">
        <v>1383</v>
      </c>
      <c r="J124" s="11" t="n">
        <v>1383</v>
      </c>
      <c r="K124" s="66" t="inlineStr">
        <is>
          <t>10/10/2025</t>
        </is>
      </c>
      <c r="L124" s="66" t="inlineStr">
        <is>
          <t>10/09/2026</t>
        </is>
      </c>
      <c r="M124" s="66" t="inlineStr">
        <is>
          <t>10/10/2025</t>
        </is>
      </c>
      <c r="O124" s="11" t="n">
        <v>1383</v>
      </c>
      <c r="P124" s="11" t="n"/>
      <c r="Q124" s="11" t="n">
        <v>250</v>
      </c>
      <c r="R124" s="11" t="n"/>
      <c r="S124" s="11" t="n"/>
      <c r="T124" s="11" t="n"/>
      <c r="U124" s="11" t="n">
        <v>1</v>
      </c>
      <c r="V124" s="11" t="n"/>
      <c r="W124" s="11" t="n"/>
      <c r="X124" s="11" t="n"/>
      <c r="Y124" s="11" t="n"/>
      <c r="Z124" s="11" t="n"/>
    </row>
    <row r="125">
      <c r="A125" s="61" t="inlineStr">
        <is>
          <t>0918</t>
        </is>
      </c>
      <c r="B125" s="61" t="inlineStr">
        <is>
          <t>A2</t>
        </is>
      </c>
      <c r="C125" s="20" t="n">
        <v>777</v>
      </c>
      <c r="D125" s="19" t="n">
        <v>1</v>
      </c>
      <c r="E125" s="19" t="n">
        <v>1</v>
      </c>
      <c r="F125" s="62" t="inlineStr">
        <is>
          <t>Market</t>
        </is>
      </c>
      <c r="G125" s="62" t="inlineStr">
        <is>
          <t>Occupied</t>
        </is>
      </c>
      <c r="H125" s="20" t="n">
        <v>1162</v>
      </c>
      <c r="I125" s="20" t="n">
        <v>1188</v>
      </c>
      <c r="J125" s="20" t="n">
        <v>1188</v>
      </c>
      <c r="K125" s="63" t="inlineStr">
        <is>
          <t>01/30/2026</t>
        </is>
      </c>
      <c r="L125" s="63" t="inlineStr">
        <is>
          <t>05/06/2027</t>
        </is>
      </c>
      <c r="M125" s="63" t="inlineStr">
        <is>
          <t>01/30/2026</t>
        </is>
      </c>
      <c r="O125" s="20" t="n">
        <v>1188</v>
      </c>
      <c r="P125" s="20" t="n">
        <v>35</v>
      </c>
      <c r="Q125" s="20" t="n"/>
      <c r="R125" s="20" t="n"/>
      <c r="S125" s="20" t="n"/>
      <c r="T125" s="20" t="n">
        <v>45</v>
      </c>
      <c r="U125" s="20" t="n">
        <v>3</v>
      </c>
      <c r="V125" s="20" t="n"/>
      <c r="W125" s="20" t="n"/>
      <c r="X125" s="20" t="n"/>
      <c r="Y125" s="20" t="n"/>
      <c r="Z125" s="20" t="n"/>
    </row>
    <row r="126">
      <c r="A126" s="64" t="inlineStr">
        <is>
          <t>0921</t>
        </is>
      </c>
      <c r="B126" s="64" t="inlineStr">
        <is>
          <t>A2</t>
        </is>
      </c>
      <c r="C126" s="11" t="n">
        <v>777</v>
      </c>
      <c r="D126" s="10" t="n">
        <v>1</v>
      </c>
      <c r="E126" s="10" t="n">
        <v>1</v>
      </c>
      <c r="F126" s="65" t="inlineStr">
        <is>
          <t>Market</t>
        </is>
      </c>
      <c r="G126" s="65" t="inlineStr">
        <is>
          <t>Occupied</t>
        </is>
      </c>
      <c r="H126" s="11" t="n">
        <v>1107</v>
      </c>
      <c r="I126" s="11" t="n">
        <v>1181</v>
      </c>
      <c r="J126" s="11" t="n">
        <v>1181</v>
      </c>
      <c r="K126" s="66" t="inlineStr">
        <is>
          <t>08/16/2025</t>
        </is>
      </c>
      <c r="L126" s="66" t="inlineStr">
        <is>
          <t>08/08/2026</t>
        </is>
      </c>
      <c r="M126" s="66" t="inlineStr">
        <is>
          <t>08/16/2025</t>
        </is>
      </c>
      <c r="O126" s="11" t="n">
        <v>1181</v>
      </c>
      <c r="P126" s="11" t="n"/>
      <c r="Q126" s="11" t="n"/>
      <c r="R126" s="11" t="n"/>
      <c r="S126" s="11" t="n"/>
      <c r="T126" s="11" t="n">
        <v>30</v>
      </c>
      <c r="U126" s="11" t="n">
        <v>1</v>
      </c>
      <c r="V126" s="11" t="n"/>
      <c r="W126" s="11" t="n"/>
      <c r="X126" s="11" t="n"/>
      <c r="Y126" s="11" t="n"/>
      <c r="Z126" s="11" t="n"/>
    </row>
    <row r="127">
      <c r="A127" s="61" t="inlineStr">
        <is>
          <t>0922</t>
        </is>
      </c>
      <c r="B127" s="61" t="inlineStr">
        <is>
          <t>A2</t>
        </is>
      </c>
      <c r="C127" s="20" t="n">
        <v>777</v>
      </c>
      <c r="D127" s="19" t="n">
        <v>1</v>
      </c>
      <c r="E127" s="19" t="n">
        <v>1</v>
      </c>
      <c r="F127" s="62" t="inlineStr">
        <is>
          <t>Market</t>
        </is>
      </c>
      <c r="G127" s="62" t="inlineStr">
        <is>
          <t>Occupied</t>
        </is>
      </c>
      <c r="H127" s="20" t="n">
        <v>1147</v>
      </c>
      <c r="I127" s="20" t="n">
        <v>1407</v>
      </c>
      <c r="J127" s="20" t="n">
        <v>1407</v>
      </c>
      <c r="K127" s="63" t="inlineStr">
        <is>
          <t>10/25/2025</t>
        </is>
      </c>
      <c r="L127" s="63" t="inlineStr">
        <is>
          <t>12/17/2026</t>
        </is>
      </c>
      <c r="M127" s="63" t="inlineStr">
        <is>
          <t>12/18/2020</t>
        </is>
      </c>
      <c r="O127" s="20" t="n">
        <v>1407</v>
      </c>
      <c r="P127" s="20" t="n"/>
      <c r="Q127" s="20" t="n"/>
      <c r="R127" s="20" t="n"/>
      <c r="S127" s="20" t="n"/>
      <c r="T127" s="20" t="n">
        <v>35</v>
      </c>
      <c r="U127" s="20" t="n">
        <v>1</v>
      </c>
      <c r="V127" s="20" t="n"/>
      <c r="W127" s="20" t="n"/>
      <c r="X127" s="20" t="n"/>
      <c r="Y127" s="20" t="n"/>
      <c r="Z127" s="20" t="n"/>
    </row>
    <row r="128">
      <c r="A128" s="64" t="inlineStr">
        <is>
          <t>0923</t>
        </is>
      </c>
      <c r="B128" s="64" t="inlineStr">
        <is>
          <t>A2</t>
        </is>
      </c>
      <c r="C128" s="11" t="n">
        <v>777</v>
      </c>
      <c r="D128" s="10" t="n">
        <v>1</v>
      </c>
      <c r="E128" s="10" t="n">
        <v>1</v>
      </c>
      <c r="F128" s="65" t="inlineStr">
        <is>
          <t>Market</t>
        </is>
      </c>
      <c r="G128" s="65" t="inlineStr">
        <is>
          <t>Occupied</t>
        </is>
      </c>
      <c r="H128" s="11" t="n">
        <v>1142</v>
      </c>
      <c r="I128" s="11" t="n">
        <v>1150</v>
      </c>
      <c r="J128" s="11" t="n">
        <v>1150</v>
      </c>
      <c r="K128" s="66" t="inlineStr">
        <is>
          <t>04/04/2026</t>
        </is>
      </c>
      <c r="L128" s="66" t="inlineStr">
        <is>
          <t>04/26/2027</t>
        </is>
      </c>
      <c r="M128" s="66" t="inlineStr">
        <is>
          <t>04/04/2026</t>
        </is>
      </c>
      <c r="O128" s="11" t="n">
        <v>1150</v>
      </c>
      <c r="P128" s="11" t="n">
        <v>35</v>
      </c>
      <c r="Q128" s="11" t="n"/>
      <c r="R128" s="11" t="n"/>
      <c r="S128" s="11" t="n"/>
      <c r="T128" s="11" t="n"/>
      <c r="U128" s="11" t="n">
        <v>3</v>
      </c>
      <c r="V128" s="11" t="n"/>
      <c r="W128" s="11" t="n"/>
      <c r="X128" s="11" t="n"/>
      <c r="Y128" s="11" t="n"/>
      <c r="Z128" s="11" t="n"/>
    </row>
    <row r="129">
      <c r="A129" s="61" t="inlineStr">
        <is>
          <t>0924</t>
        </is>
      </c>
      <c r="B129" s="61" t="inlineStr">
        <is>
          <t>A2</t>
        </is>
      </c>
      <c r="C129" s="20" t="n">
        <v>777</v>
      </c>
      <c r="D129" s="19" t="n">
        <v>1</v>
      </c>
      <c r="E129" s="19" t="n">
        <v>1</v>
      </c>
      <c r="F129" s="62" t="inlineStr">
        <is>
          <t>Market</t>
        </is>
      </c>
      <c r="G129" s="62" t="inlineStr">
        <is>
          <t>Occupied</t>
        </is>
      </c>
      <c r="H129" s="20" t="n">
        <v>1142</v>
      </c>
      <c r="I129" s="20" t="n">
        <v>1273</v>
      </c>
      <c r="J129" s="20" t="n">
        <v>1273</v>
      </c>
      <c r="K129" s="63" t="inlineStr">
        <is>
          <t>10/15/2025</t>
        </is>
      </c>
      <c r="L129" s="63" t="inlineStr">
        <is>
          <t>12/21/2026</t>
        </is>
      </c>
      <c r="M129" s="63" t="inlineStr">
        <is>
          <t>04/15/2023</t>
        </is>
      </c>
      <c r="O129" s="20" t="n">
        <v>1273</v>
      </c>
      <c r="P129" s="20" t="n"/>
      <c r="Q129" s="20" t="n"/>
      <c r="R129" s="20" t="n"/>
      <c r="S129" s="20" t="n"/>
      <c r="T129" s="20" t="n"/>
      <c r="U129" s="20" t="n">
        <v>1</v>
      </c>
      <c r="V129" s="20" t="n"/>
      <c r="W129" s="20" t="n"/>
      <c r="X129" s="20" t="n"/>
      <c r="Y129" s="20" t="n"/>
      <c r="Z129" s="20" t="n"/>
    </row>
    <row r="130">
      <c r="A130" s="64" t="inlineStr">
        <is>
          <t>0925</t>
        </is>
      </c>
      <c r="B130" s="64" t="inlineStr">
        <is>
          <t>A2R</t>
        </is>
      </c>
      <c r="C130" s="11" t="n">
        <v>777</v>
      </c>
      <c r="D130" s="10" t="n">
        <v>1</v>
      </c>
      <c r="E130" s="10" t="n">
        <v>1</v>
      </c>
      <c r="F130" s="65" t="inlineStr">
        <is>
          <t>Market</t>
        </is>
      </c>
      <c r="G130" s="65" t="inlineStr">
        <is>
          <t>Occupied</t>
        </is>
      </c>
      <c r="H130" s="11" t="n">
        <v>1307</v>
      </c>
      <c r="I130" s="11" t="n">
        <v>1266</v>
      </c>
      <c r="J130" s="11" t="n">
        <v>1266</v>
      </c>
      <c r="K130" s="66" t="inlineStr">
        <is>
          <t>05/26/2026</t>
        </is>
      </c>
      <c r="L130" s="66" t="inlineStr">
        <is>
          <t>09/01/2027</t>
        </is>
      </c>
      <c r="M130" s="66" t="inlineStr">
        <is>
          <t>05/26/2026</t>
        </is>
      </c>
      <c r="O130" s="11" t="n">
        <v>1266</v>
      </c>
      <c r="P130" s="11" t="n">
        <v>35</v>
      </c>
      <c r="Q130" s="11" t="n"/>
      <c r="R130" s="11" t="n"/>
      <c r="S130" s="11" t="n"/>
      <c r="T130" s="11" t="n"/>
      <c r="U130" s="11" t="n">
        <v>3</v>
      </c>
      <c r="V130" s="11" t="n"/>
      <c r="W130" s="11" t="n"/>
      <c r="X130" s="11" t="n"/>
      <c r="Y130" s="11" t="n"/>
      <c r="Z130" s="11" t="n"/>
    </row>
    <row r="131">
      <c r="A131" s="61" t="inlineStr">
        <is>
          <t>0926</t>
        </is>
      </c>
      <c r="B131" s="61" t="inlineStr">
        <is>
          <t>A2</t>
        </is>
      </c>
      <c r="C131" s="20" t="n">
        <v>777</v>
      </c>
      <c r="D131" s="19" t="n">
        <v>1</v>
      </c>
      <c r="E131" s="19" t="n">
        <v>1</v>
      </c>
      <c r="F131" s="62" t="inlineStr">
        <is>
          <t>Market</t>
        </is>
      </c>
      <c r="G131" s="62" t="inlineStr">
        <is>
          <t>Occupied</t>
        </is>
      </c>
      <c r="H131" s="20" t="n">
        <v>1107</v>
      </c>
      <c r="I131" s="20" t="n">
        <v>1077</v>
      </c>
      <c r="J131" s="20" t="n">
        <v>1077</v>
      </c>
      <c r="K131" s="63" t="inlineStr">
        <is>
          <t>09/30/2025</t>
        </is>
      </c>
      <c r="L131" s="63" t="inlineStr">
        <is>
          <t>10/29/2026</t>
        </is>
      </c>
      <c r="M131" s="63" t="inlineStr">
        <is>
          <t>09/30/2025</t>
        </is>
      </c>
      <c r="O131" s="20" t="n">
        <v>1077</v>
      </c>
      <c r="P131" s="20" t="n"/>
      <c r="Q131" s="20" t="n">
        <v>75</v>
      </c>
      <c r="R131" s="20" t="n"/>
      <c r="S131" s="20" t="n"/>
      <c r="T131" s="20" t="n"/>
      <c r="U131" s="20" t="n">
        <v>1</v>
      </c>
      <c r="V131" s="20" t="n">
        <v>65</v>
      </c>
      <c r="W131" s="20" t="n"/>
      <c r="X131" s="20" t="n"/>
      <c r="Y131" s="20" t="n"/>
      <c r="Z131" s="20" t="n"/>
    </row>
    <row r="132">
      <c r="A132" s="64" t="inlineStr">
        <is>
          <t>0927</t>
        </is>
      </c>
      <c r="B132" s="64" t="inlineStr">
        <is>
          <t>A2</t>
        </is>
      </c>
      <c r="C132" s="11" t="n">
        <v>777</v>
      </c>
      <c r="D132" s="10" t="n">
        <v>1</v>
      </c>
      <c r="E132" s="10" t="n">
        <v>1</v>
      </c>
      <c r="F132" s="65" t="inlineStr">
        <is>
          <t>Market</t>
        </is>
      </c>
      <c r="G132" s="65" t="inlineStr">
        <is>
          <t>Occupied</t>
        </is>
      </c>
      <c r="H132" s="11" t="n">
        <v>1142</v>
      </c>
      <c r="I132" s="11" t="n">
        <v>1138</v>
      </c>
      <c r="J132" s="11" t="n">
        <v>1138</v>
      </c>
      <c r="K132" s="66" t="inlineStr">
        <is>
          <t>04/09/2026</t>
        </is>
      </c>
      <c r="L132" s="66" t="inlineStr">
        <is>
          <t>04/08/2027</t>
        </is>
      </c>
      <c r="M132" s="66" t="inlineStr">
        <is>
          <t>04/09/2026</t>
        </is>
      </c>
      <c r="O132" s="11" t="n">
        <v>1138</v>
      </c>
      <c r="P132" s="11" t="n">
        <v>35</v>
      </c>
      <c r="Q132" s="11" t="n"/>
      <c r="R132" s="11" t="n"/>
      <c r="S132" s="11" t="n"/>
      <c r="T132" s="11" t="n"/>
      <c r="U132" s="11" t="n">
        <v>3</v>
      </c>
      <c r="V132" s="11" t="n"/>
      <c r="W132" s="11" t="n"/>
      <c r="X132" s="11" t="n"/>
      <c r="Y132" s="11" t="n"/>
      <c r="Z132" s="11" t="n"/>
    </row>
    <row r="133">
      <c r="A133" s="61" t="inlineStr">
        <is>
          <t>0928</t>
        </is>
      </c>
      <c r="B133" s="61" t="inlineStr">
        <is>
          <t>A2</t>
        </is>
      </c>
      <c r="C133" s="20" t="n">
        <v>777</v>
      </c>
      <c r="D133" s="19" t="n">
        <v>1</v>
      </c>
      <c r="E133" s="19" t="n">
        <v>1</v>
      </c>
      <c r="F133" s="62" t="inlineStr">
        <is>
          <t>Market</t>
        </is>
      </c>
      <c r="G133" s="62" t="inlineStr">
        <is>
          <t>Occupied</t>
        </is>
      </c>
      <c r="H133" s="20" t="n">
        <v>1202</v>
      </c>
      <c r="I133" s="20" t="n">
        <v>1115</v>
      </c>
      <c r="J133" s="20" t="n">
        <v>1115</v>
      </c>
      <c r="K133" s="63" t="inlineStr">
        <is>
          <t>05/08/2026</t>
        </is>
      </c>
      <c r="L133" s="63" t="inlineStr">
        <is>
          <t>04/30/2027</t>
        </is>
      </c>
      <c r="M133" s="63" t="inlineStr">
        <is>
          <t>10/14/2016</t>
        </is>
      </c>
      <c r="O133" s="20" t="n">
        <v>1115</v>
      </c>
      <c r="P133" s="20" t="n">
        <v>35</v>
      </c>
      <c r="Q133" s="20" t="n"/>
      <c r="R133" s="20" t="n"/>
      <c r="S133" s="20" t="n"/>
      <c r="T133" s="20" t="n"/>
      <c r="U133" s="20" t="n">
        <v>3</v>
      </c>
      <c r="V133" s="20" t="n"/>
      <c r="W133" s="20" t="n"/>
      <c r="X133" s="20" t="n"/>
      <c r="Y133" s="20" t="n"/>
      <c r="Z133" s="20" t="n"/>
    </row>
    <row r="134">
      <c r="A134" s="64" t="inlineStr">
        <is>
          <t>0932</t>
        </is>
      </c>
      <c r="B134" s="64" t="inlineStr">
        <is>
          <t>A2</t>
        </is>
      </c>
      <c r="C134" s="11" t="n">
        <v>777</v>
      </c>
      <c r="D134" s="10" t="n">
        <v>1</v>
      </c>
      <c r="E134" s="10" t="n">
        <v>1</v>
      </c>
      <c r="F134" s="65" t="inlineStr">
        <is>
          <t>Market</t>
        </is>
      </c>
      <c r="G134" s="65" t="inlineStr">
        <is>
          <t>Occupied</t>
        </is>
      </c>
      <c r="H134" s="11" t="n">
        <v>1107</v>
      </c>
      <c r="I134" s="11" t="n">
        <v>1233</v>
      </c>
      <c r="J134" s="11" t="n">
        <v>1233</v>
      </c>
      <c r="K134" s="66" t="inlineStr">
        <is>
          <t>04/17/2026</t>
        </is>
      </c>
      <c r="L134" s="66" t="inlineStr">
        <is>
          <t>07/16/2027</t>
        </is>
      </c>
      <c r="M134" s="66" t="inlineStr">
        <is>
          <t>10/22/2018</t>
        </is>
      </c>
      <c r="O134" s="11" t="n">
        <v>1233</v>
      </c>
      <c r="P134" s="11" t="n">
        <v>35</v>
      </c>
      <c r="Q134" s="11" t="n">
        <v>125</v>
      </c>
      <c r="R134" s="11" t="n"/>
      <c r="S134" s="11" t="n"/>
      <c r="T134" s="11" t="n"/>
      <c r="U134" s="11" t="n">
        <v>3</v>
      </c>
      <c r="V134" s="11" t="n"/>
      <c r="W134" s="11" t="n"/>
      <c r="X134" s="11" t="n"/>
      <c r="Y134" s="11" t="n"/>
      <c r="Z134" s="11" t="n"/>
    </row>
    <row r="135">
      <c r="A135" s="61" t="inlineStr">
        <is>
          <t>0933</t>
        </is>
      </c>
      <c r="B135" s="61" t="inlineStr">
        <is>
          <t>A2R</t>
        </is>
      </c>
      <c r="C135" s="20" t="n">
        <v>777</v>
      </c>
      <c r="D135" s="19" t="n">
        <v>1</v>
      </c>
      <c r="E135" s="19" t="n">
        <v>1</v>
      </c>
      <c r="F135" s="62" t="inlineStr">
        <is>
          <t>Market</t>
        </is>
      </c>
      <c r="G135" s="62" t="inlineStr">
        <is>
          <t>Occupied</t>
        </is>
      </c>
      <c r="H135" s="20" t="n">
        <v>1342</v>
      </c>
      <c r="I135" s="20" t="n">
        <v>1291</v>
      </c>
      <c r="J135" s="20" t="n">
        <v>1291</v>
      </c>
      <c r="K135" s="63" t="inlineStr">
        <is>
          <t>07/07/2025</t>
        </is>
      </c>
      <c r="L135" s="63" t="inlineStr">
        <is>
          <t>10/06/2026</t>
        </is>
      </c>
      <c r="M135" s="63" t="inlineStr">
        <is>
          <t>07/07/2025</t>
        </is>
      </c>
      <c r="O135" s="20" t="n">
        <v>1291</v>
      </c>
      <c r="P135" s="20" t="n"/>
      <c r="Q135" s="20" t="n"/>
      <c r="R135" s="20" t="n"/>
      <c r="S135" s="20" t="n"/>
      <c r="T135" s="20" t="n"/>
      <c r="U135" s="20" t="n">
        <v>1</v>
      </c>
      <c r="V135" s="20" t="n"/>
      <c r="W135" s="20" t="n"/>
      <c r="X135" s="20" t="n"/>
      <c r="Y135" s="20" t="n"/>
      <c r="Z135" s="20" t="n"/>
    </row>
    <row r="136">
      <c r="A136" s="64" t="inlineStr">
        <is>
          <t>0936</t>
        </is>
      </c>
      <c r="B136" s="64" t="inlineStr">
        <is>
          <t>A2R</t>
        </is>
      </c>
      <c r="C136" s="11" t="n">
        <v>777</v>
      </c>
      <c r="D136" s="10" t="n">
        <v>1</v>
      </c>
      <c r="E136" s="10" t="n">
        <v>1</v>
      </c>
      <c r="F136" s="65" t="inlineStr">
        <is>
          <t>Market</t>
        </is>
      </c>
      <c r="G136" s="65" t="inlineStr">
        <is>
          <t>Vacant</t>
        </is>
      </c>
      <c r="H136" s="11" t="n">
        <v>1307</v>
      </c>
      <c r="I136" s="11" t="n">
        <v>0</v>
      </c>
      <c r="J136" s="11" t="n">
        <v>0</v>
      </c>
      <c r="K136" s="66" t="n"/>
      <c r="L136" s="66" t="n"/>
      <c r="M136" s="66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61" t="inlineStr">
        <is>
          <t>0937</t>
        </is>
      </c>
      <c r="B137" s="61" t="inlineStr">
        <is>
          <t>A2R</t>
        </is>
      </c>
      <c r="C137" s="20" t="n">
        <v>777</v>
      </c>
      <c r="D137" s="19" t="n">
        <v>1</v>
      </c>
      <c r="E137" s="19" t="n">
        <v>1</v>
      </c>
      <c r="F137" s="62" t="inlineStr">
        <is>
          <t>Market</t>
        </is>
      </c>
      <c r="G137" s="62" t="inlineStr">
        <is>
          <t>Occupied</t>
        </is>
      </c>
      <c r="H137" s="20" t="n">
        <v>1342</v>
      </c>
      <c r="I137" s="20" t="n">
        <v>1619</v>
      </c>
      <c r="J137" s="20" t="n">
        <v>1619</v>
      </c>
      <c r="K137" s="63" t="inlineStr">
        <is>
          <t>09/30/2025</t>
        </is>
      </c>
      <c r="L137" s="63" t="inlineStr">
        <is>
          <t>12/29/2026</t>
        </is>
      </c>
      <c r="M137" s="63" t="inlineStr">
        <is>
          <t>03/31/2022</t>
        </is>
      </c>
      <c r="O137" s="20" t="n">
        <v>1619</v>
      </c>
      <c r="P137" s="20" t="n"/>
      <c r="Q137" s="20" t="n"/>
      <c r="R137" s="20" t="n"/>
      <c r="S137" s="20" t="n"/>
      <c r="T137" s="20" t="n">
        <v>90</v>
      </c>
      <c r="U137" s="20" t="n">
        <v>1</v>
      </c>
      <c r="V137" s="20" t="n"/>
      <c r="W137" s="20" t="n"/>
      <c r="X137" s="20" t="n"/>
      <c r="Y137" s="20" t="n"/>
      <c r="Z137" s="20" t="n"/>
    </row>
    <row r="138">
      <c r="A138" s="64" t="inlineStr">
        <is>
          <t>1011</t>
        </is>
      </c>
      <c r="B138" s="64" t="inlineStr">
        <is>
          <t>B4</t>
        </is>
      </c>
      <c r="C138" s="11" t="n">
        <v>1187</v>
      </c>
      <c r="D138" s="10" t="n">
        <v>2</v>
      </c>
      <c r="E138" s="10" t="n">
        <v>2</v>
      </c>
      <c r="F138" s="65" t="inlineStr">
        <is>
          <t>Market</t>
        </is>
      </c>
      <c r="G138" s="65" t="inlineStr">
        <is>
          <t>Occupied</t>
        </is>
      </c>
      <c r="H138" s="11" t="n">
        <v>1616</v>
      </c>
      <c r="I138" s="11" t="n">
        <v>1591</v>
      </c>
      <c r="J138" s="11" t="n">
        <v>1591</v>
      </c>
      <c r="K138" s="66" t="inlineStr">
        <is>
          <t>11/01/2025</t>
        </is>
      </c>
      <c r="L138" s="66" t="inlineStr">
        <is>
          <t>12/24/2026</t>
        </is>
      </c>
      <c r="M138" s="66" t="inlineStr">
        <is>
          <t>10/13/2016</t>
        </is>
      </c>
      <c r="O138" s="11" t="n">
        <v>1591</v>
      </c>
      <c r="P138" s="11" t="n"/>
      <c r="Q138" s="11" t="n"/>
      <c r="R138" s="11" t="n"/>
      <c r="S138" s="11" t="n"/>
      <c r="T138" s="11" t="n"/>
      <c r="U138" s="11" t="n">
        <v>1</v>
      </c>
      <c r="V138" s="11" t="n"/>
      <c r="W138" s="11" t="n"/>
      <c r="X138" s="11" t="n"/>
      <c r="Y138" s="11" t="n"/>
      <c r="Z138" s="11" t="n"/>
    </row>
    <row r="139">
      <c r="A139" s="61" t="inlineStr">
        <is>
          <t>1012</t>
        </is>
      </c>
      <c r="B139" s="61" t="inlineStr">
        <is>
          <t>B1</t>
        </is>
      </c>
      <c r="C139" s="20" t="n">
        <v>947</v>
      </c>
      <c r="D139" s="19" t="n">
        <v>2</v>
      </c>
      <c r="E139" s="19" t="n">
        <v>2</v>
      </c>
      <c r="F139" s="62" t="inlineStr">
        <is>
          <t>Market</t>
        </is>
      </c>
      <c r="G139" s="62" t="inlineStr">
        <is>
          <t>Occupied</t>
        </is>
      </c>
      <c r="H139" s="20" t="n">
        <v>1327</v>
      </c>
      <c r="I139" s="20" t="n">
        <v>1328</v>
      </c>
      <c r="J139" s="20" t="n">
        <v>1328</v>
      </c>
      <c r="K139" s="63" t="inlineStr">
        <is>
          <t>03/14/2026</t>
        </is>
      </c>
      <c r="L139" s="63" t="inlineStr">
        <is>
          <t>06/06/2027</t>
        </is>
      </c>
      <c r="M139" s="63" t="inlineStr">
        <is>
          <t>03/14/2026</t>
        </is>
      </c>
      <c r="O139" s="20" t="n">
        <v>1328</v>
      </c>
      <c r="P139" s="20" t="n">
        <v>35</v>
      </c>
      <c r="Q139" s="20" t="n"/>
      <c r="R139" s="20" t="n"/>
      <c r="S139" s="20" t="n"/>
      <c r="T139" s="20" t="n"/>
      <c r="U139" s="20" t="n">
        <v>3</v>
      </c>
      <c r="V139" s="20" t="n"/>
      <c r="W139" s="20" t="n"/>
      <c r="X139" s="20" t="n"/>
      <c r="Y139" s="20" t="n"/>
      <c r="Z139" s="20" t="n"/>
    </row>
    <row r="140">
      <c r="A140" s="64" t="inlineStr">
        <is>
          <t>1013</t>
        </is>
      </c>
      <c r="B140" s="64" t="inlineStr">
        <is>
          <t>B1</t>
        </is>
      </c>
      <c r="C140" s="11" t="n">
        <v>947</v>
      </c>
      <c r="D140" s="10" t="n">
        <v>2</v>
      </c>
      <c r="E140" s="10" t="n">
        <v>2</v>
      </c>
      <c r="F140" s="65" t="inlineStr">
        <is>
          <t>Market</t>
        </is>
      </c>
      <c r="G140" s="65" t="inlineStr">
        <is>
          <t>Occupied</t>
        </is>
      </c>
      <c r="H140" s="11" t="n">
        <v>1427</v>
      </c>
      <c r="I140" s="11" t="n">
        <v>1748</v>
      </c>
      <c r="J140" s="11" t="n">
        <v>1748</v>
      </c>
      <c r="K140" s="66" t="inlineStr">
        <is>
          <t>02/12/2026</t>
        </is>
      </c>
      <c r="L140" s="66" t="inlineStr">
        <is>
          <t>05/11/2027</t>
        </is>
      </c>
      <c r="M140" s="66" t="inlineStr">
        <is>
          <t>12/12/2024</t>
        </is>
      </c>
      <c r="O140" s="11" t="n">
        <v>1748</v>
      </c>
      <c r="P140" s="11" t="n"/>
      <c r="Q140" s="11" t="n"/>
      <c r="R140" s="11" t="n"/>
      <c r="S140" s="11" t="n"/>
      <c r="T140" s="11" t="n"/>
      <c r="U140" s="11" t="n">
        <v>3</v>
      </c>
      <c r="V140" s="11" t="n"/>
      <c r="W140" s="11" t="n"/>
      <c r="X140" s="11" t="n"/>
      <c r="Y140" s="11" t="n"/>
      <c r="Z140" s="11" t="n"/>
    </row>
    <row r="141">
      <c r="A141" s="61" t="inlineStr">
        <is>
          <t>1014</t>
        </is>
      </c>
      <c r="B141" s="61" t="inlineStr">
        <is>
          <t>B4R</t>
        </is>
      </c>
      <c r="C141" s="20" t="n">
        <v>1187</v>
      </c>
      <c r="D141" s="19" t="n">
        <v>2</v>
      </c>
      <c r="E141" s="19" t="n">
        <v>2</v>
      </c>
      <c r="F141" s="62" t="inlineStr">
        <is>
          <t>Market</t>
        </is>
      </c>
      <c r="G141" s="62" t="inlineStr">
        <is>
          <t>Occupied</t>
        </is>
      </c>
      <c r="H141" s="20" t="n">
        <v>1816</v>
      </c>
      <c r="I141" s="20" t="n">
        <v>1578</v>
      </c>
      <c r="J141" s="20" t="n">
        <v>1578</v>
      </c>
      <c r="K141" s="63" t="inlineStr">
        <is>
          <t>12/15/2025</t>
        </is>
      </c>
      <c r="L141" s="63" t="inlineStr">
        <is>
          <t>01/14/2027</t>
        </is>
      </c>
      <c r="M141" s="63" t="inlineStr">
        <is>
          <t>12/15/2025</t>
        </is>
      </c>
      <c r="O141" s="20" t="n">
        <v>1578</v>
      </c>
      <c r="P141" s="20" t="n"/>
      <c r="Q141" s="20" t="n"/>
      <c r="R141" s="20" t="n"/>
      <c r="S141" s="20" t="n"/>
      <c r="T141" s="20" t="n"/>
      <c r="U141" s="20" t="n">
        <v>3</v>
      </c>
      <c r="V141" s="20" t="n">
        <v>40</v>
      </c>
      <c r="W141" s="20" t="n"/>
      <c r="X141" s="20" t="n"/>
      <c r="Y141" s="20" t="n"/>
      <c r="Z141" s="20" t="n"/>
    </row>
    <row r="142">
      <c r="A142" s="64" t="inlineStr">
        <is>
          <t>1015</t>
        </is>
      </c>
      <c r="B142" s="64" t="inlineStr">
        <is>
          <t>B4</t>
        </is>
      </c>
      <c r="C142" s="11" t="n">
        <v>1187</v>
      </c>
      <c r="D142" s="10" t="n">
        <v>2</v>
      </c>
      <c r="E142" s="10" t="n">
        <v>2</v>
      </c>
      <c r="F142" s="65" t="inlineStr">
        <is>
          <t>Market</t>
        </is>
      </c>
      <c r="G142" s="65" t="inlineStr">
        <is>
          <t>Occupied</t>
        </is>
      </c>
      <c r="H142" s="11" t="n">
        <v>1616</v>
      </c>
      <c r="I142" s="11" t="n">
        <v>1263</v>
      </c>
      <c r="J142" s="11" t="n">
        <v>1263</v>
      </c>
      <c r="K142" s="66" t="inlineStr">
        <is>
          <t>11/30/2025</t>
        </is>
      </c>
      <c r="L142" s="66" t="inlineStr">
        <is>
          <t>11/29/2026</t>
        </is>
      </c>
      <c r="M142" s="66" t="inlineStr">
        <is>
          <t>11/30/2025</t>
        </is>
      </c>
      <c r="O142" s="11" t="n">
        <v>1263</v>
      </c>
      <c r="P142" s="11" t="n"/>
      <c r="Q142" s="11" t="n"/>
      <c r="R142" s="11" t="n"/>
      <c r="S142" s="11" t="n"/>
      <c r="T142" s="11" t="n"/>
      <c r="U142" s="11" t="n">
        <v>3</v>
      </c>
      <c r="V142" s="11" t="n"/>
      <c r="W142" s="11" t="n"/>
      <c r="X142" s="11" t="n"/>
      <c r="Y142" s="11" t="n"/>
      <c r="Z142" s="11" t="n"/>
    </row>
    <row r="143">
      <c r="A143" s="61" t="inlineStr">
        <is>
          <t>1016</t>
        </is>
      </c>
      <c r="B143" s="61" t="inlineStr">
        <is>
          <t>B1</t>
        </is>
      </c>
      <c r="C143" s="20" t="n">
        <v>947</v>
      </c>
      <c r="D143" s="19" t="n">
        <v>2</v>
      </c>
      <c r="E143" s="19" t="n">
        <v>2</v>
      </c>
      <c r="F143" s="62" t="inlineStr">
        <is>
          <t>Market</t>
        </is>
      </c>
      <c r="G143" s="62" t="inlineStr">
        <is>
          <t>Occupied</t>
        </is>
      </c>
      <c r="H143" s="20" t="n">
        <v>1352</v>
      </c>
      <c r="I143" s="20" t="n">
        <v>1371</v>
      </c>
      <c r="J143" s="20" t="n">
        <v>1371</v>
      </c>
      <c r="K143" s="63" t="inlineStr">
        <is>
          <t>06/02/2025</t>
        </is>
      </c>
      <c r="L143" s="63" t="inlineStr">
        <is>
          <t>09/01/2026</t>
        </is>
      </c>
      <c r="M143" s="63" t="inlineStr">
        <is>
          <t>06/02/2025</t>
        </is>
      </c>
      <c r="O143" s="20" t="n">
        <v>1371</v>
      </c>
      <c r="P143" s="20" t="n"/>
      <c r="Q143" s="20" t="n">
        <v>75</v>
      </c>
      <c r="R143" s="20" t="n"/>
      <c r="S143" s="20" t="n"/>
      <c r="T143" s="20" t="n"/>
      <c r="U143" s="20" t="n">
        <v>1</v>
      </c>
      <c r="V143" s="20" t="n"/>
      <c r="W143" s="20" t="n"/>
      <c r="X143" s="20" t="n"/>
      <c r="Y143" s="20" t="n"/>
      <c r="Z143" s="20" t="n"/>
    </row>
    <row r="144">
      <c r="A144" s="64" t="inlineStr">
        <is>
          <t>1017</t>
        </is>
      </c>
      <c r="B144" s="64" t="inlineStr">
        <is>
          <t>B1</t>
        </is>
      </c>
      <c r="C144" s="11" t="n">
        <v>947</v>
      </c>
      <c r="D144" s="10" t="n">
        <v>2</v>
      </c>
      <c r="E144" s="10" t="n">
        <v>2</v>
      </c>
      <c r="F144" s="65" t="inlineStr">
        <is>
          <t>Market</t>
        </is>
      </c>
      <c r="G144" s="65" t="inlineStr">
        <is>
          <t>Occupied</t>
        </is>
      </c>
      <c r="H144" s="11" t="n">
        <v>1392</v>
      </c>
      <c r="I144" s="11" t="n">
        <v>1351</v>
      </c>
      <c r="J144" s="11" t="n">
        <v>1351</v>
      </c>
      <c r="K144" s="66" t="inlineStr">
        <is>
          <t>03/22/2026</t>
        </is>
      </c>
      <c r="L144" s="66" t="inlineStr">
        <is>
          <t>05/21/2027</t>
        </is>
      </c>
      <c r="M144" s="66" t="inlineStr">
        <is>
          <t>03/22/2025</t>
        </is>
      </c>
      <c r="O144" s="11" t="n">
        <v>1351</v>
      </c>
      <c r="P144" s="11" t="n">
        <v>35</v>
      </c>
      <c r="Q144" s="11" t="n"/>
      <c r="R144" s="11" t="n"/>
      <c r="S144" s="11" t="n"/>
      <c r="T144" s="11" t="n"/>
      <c r="U144" s="11" t="n">
        <v>3</v>
      </c>
      <c r="V144" s="11" t="n"/>
      <c r="W144" s="11" t="n"/>
      <c r="X144" s="11" t="n"/>
      <c r="Y144" s="11" t="n"/>
      <c r="Z144" s="11" t="n"/>
    </row>
    <row r="145">
      <c r="A145" s="61" t="inlineStr">
        <is>
          <t>1018</t>
        </is>
      </c>
      <c r="B145" s="61" t="inlineStr">
        <is>
          <t>B4</t>
        </is>
      </c>
      <c r="C145" s="20" t="n">
        <v>1187</v>
      </c>
      <c r="D145" s="19" t="n">
        <v>2</v>
      </c>
      <c r="E145" s="19" t="n">
        <v>2</v>
      </c>
      <c r="F145" s="62" t="inlineStr">
        <is>
          <t>Market</t>
        </is>
      </c>
      <c r="G145" s="62" t="inlineStr">
        <is>
          <t>Vacant</t>
        </is>
      </c>
      <c r="H145" s="20" t="n">
        <v>1676</v>
      </c>
      <c r="I145" s="20" t="n">
        <v>0</v>
      </c>
      <c r="J145" s="20" t="n">
        <v>0</v>
      </c>
      <c r="K145" s="63" t="n"/>
      <c r="L145" s="63" t="n"/>
      <c r="M145" s="63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>
      <c r="A146" s="64" t="inlineStr">
        <is>
          <t>1021</t>
        </is>
      </c>
      <c r="B146" s="64" t="inlineStr">
        <is>
          <t>B4</t>
        </is>
      </c>
      <c r="C146" s="11" t="n">
        <v>1187</v>
      </c>
      <c r="D146" s="10" t="n">
        <v>2</v>
      </c>
      <c r="E146" s="10" t="n">
        <v>2</v>
      </c>
      <c r="F146" s="65" t="inlineStr">
        <is>
          <t>Market</t>
        </is>
      </c>
      <c r="G146" s="65" t="inlineStr">
        <is>
          <t>Occupied</t>
        </is>
      </c>
      <c r="H146" s="11" t="n">
        <v>1596</v>
      </c>
      <c r="I146" s="11" t="n">
        <v>1467</v>
      </c>
      <c r="J146" s="11" t="n">
        <v>1467</v>
      </c>
      <c r="K146" s="66" t="inlineStr">
        <is>
          <t>06/05/2025</t>
        </is>
      </c>
      <c r="L146" s="66" t="inlineStr">
        <is>
          <t>06/04/2026</t>
        </is>
      </c>
      <c r="M146" s="66" t="inlineStr">
        <is>
          <t>12/05/2019</t>
        </is>
      </c>
      <c r="O146" s="11" t="n">
        <v>1467</v>
      </c>
      <c r="P146" s="11" t="n"/>
      <c r="Q146" s="11" t="n"/>
      <c r="R146" s="11" t="n"/>
      <c r="S146" s="11" t="n"/>
      <c r="T146" s="11" t="n"/>
      <c r="U146" s="11" t="n">
        <v>1</v>
      </c>
      <c r="V146" s="11" t="n"/>
      <c r="W146" s="11" t="n"/>
      <c r="X146" s="11" t="n"/>
      <c r="Y146" s="11" t="n"/>
      <c r="Z146" s="11" t="n"/>
    </row>
    <row r="147">
      <c r="A147" s="61" t="inlineStr">
        <is>
          <t>1022</t>
        </is>
      </c>
      <c r="B147" s="61" t="inlineStr">
        <is>
          <t>B1</t>
        </is>
      </c>
      <c r="C147" s="20" t="n">
        <v>947</v>
      </c>
      <c r="D147" s="19" t="n">
        <v>2</v>
      </c>
      <c r="E147" s="19" t="n">
        <v>2</v>
      </c>
      <c r="F147" s="62" t="inlineStr">
        <is>
          <t>Market</t>
        </is>
      </c>
      <c r="G147" s="62" t="inlineStr">
        <is>
          <t>Occupied</t>
        </is>
      </c>
      <c r="H147" s="20" t="n">
        <v>1332</v>
      </c>
      <c r="I147" s="20" t="n">
        <v>1280</v>
      </c>
      <c r="J147" s="20" t="n">
        <v>1280</v>
      </c>
      <c r="K147" s="63" t="inlineStr">
        <is>
          <t>08/17/2025</t>
        </is>
      </c>
      <c r="L147" s="63" t="inlineStr">
        <is>
          <t>11/15/2026</t>
        </is>
      </c>
      <c r="M147" s="63" t="inlineStr">
        <is>
          <t>08/17/2025</t>
        </is>
      </c>
      <c r="O147" s="20" t="n">
        <v>1280</v>
      </c>
      <c r="P147" s="20" t="n"/>
      <c r="Q147" s="20" t="n"/>
      <c r="R147" s="20" t="n"/>
      <c r="S147" s="20" t="n"/>
      <c r="T147" s="20" t="n"/>
      <c r="U147" s="20" t="n">
        <v>1</v>
      </c>
      <c r="V147" s="20" t="n"/>
      <c r="W147" s="20" t="n"/>
      <c r="X147" s="20" t="n"/>
      <c r="Y147" s="20" t="n"/>
      <c r="Z147" s="20" t="n"/>
    </row>
    <row r="148">
      <c r="A148" s="64" t="inlineStr">
        <is>
          <t>1023</t>
        </is>
      </c>
      <c r="B148" s="64" t="inlineStr">
        <is>
          <t>B1R</t>
        </is>
      </c>
      <c r="C148" s="11" t="n">
        <v>947</v>
      </c>
      <c r="D148" s="10" t="n">
        <v>2</v>
      </c>
      <c r="E148" s="10" t="n">
        <v>2</v>
      </c>
      <c r="F148" s="65" t="inlineStr">
        <is>
          <t>Market</t>
        </is>
      </c>
      <c r="G148" s="65" t="inlineStr">
        <is>
          <t>Occupied</t>
        </is>
      </c>
      <c r="H148" s="11" t="n">
        <v>1532</v>
      </c>
      <c r="I148" s="11" t="n">
        <v>1565</v>
      </c>
      <c r="J148" s="11" t="n">
        <v>1565</v>
      </c>
      <c r="K148" s="66" t="inlineStr">
        <is>
          <t>01/30/2026</t>
        </is>
      </c>
      <c r="L148" s="66" t="inlineStr">
        <is>
          <t>02/27/2027</t>
        </is>
      </c>
      <c r="M148" s="66" t="inlineStr">
        <is>
          <t>01/30/2025</t>
        </is>
      </c>
      <c r="O148" s="11" t="n">
        <v>1565</v>
      </c>
      <c r="P148" s="11" t="n"/>
      <c r="Q148" s="11" t="n"/>
      <c r="R148" s="11" t="n"/>
      <c r="S148" s="11" t="n"/>
      <c r="T148" s="11" t="n">
        <v>45</v>
      </c>
      <c r="U148" s="11" t="n">
        <v>3</v>
      </c>
      <c r="V148" s="11" t="n"/>
      <c r="W148" s="11" t="n"/>
      <c r="X148" s="11" t="n"/>
      <c r="Y148" s="11" t="n"/>
      <c r="Z148" s="11" t="n"/>
    </row>
    <row r="149">
      <c r="A149" s="61" t="inlineStr">
        <is>
          <t>1024</t>
        </is>
      </c>
      <c r="B149" s="61" t="inlineStr">
        <is>
          <t>B4R</t>
        </is>
      </c>
      <c r="C149" s="20" t="n">
        <v>1187</v>
      </c>
      <c r="D149" s="19" t="n">
        <v>2</v>
      </c>
      <c r="E149" s="19" t="n">
        <v>2</v>
      </c>
      <c r="F149" s="62" t="inlineStr">
        <is>
          <t>Market</t>
        </is>
      </c>
      <c r="G149" s="62" t="inlineStr">
        <is>
          <t>Occupied</t>
        </is>
      </c>
      <c r="H149" s="20" t="n">
        <v>1796</v>
      </c>
      <c r="I149" s="20" t="n">
        <v>1523</v>
      </c>
      <c r="J149" s="20" t="n">
        <v>1523</v>
      </c>
      <c r="K149" s="63" t="inlineStr">
        <is>
          <t>03/04/2026</t>
        </is>
      </c>
      <c r="L149" s="63" t="inlineStr">
        <is>
          <t>05/03/2027</t>
        </is>
      </c>
      <c r="M149" s="63" t="inlineStr">
        <is>
          <t>03/04/2026</t>
        </is>
      </c>
      <c r="O149" s="20" t="n">
        <v>1523</v>
      </c>
      <c r="P149" s="20" t="n">
        <v>35</v>
      </c>
      <c r="Q149" s="20" t="n"/>
      <c r="R149" s="20" t="n"/>
      <c r="S149" s="20" t="n"/>
      <c r="T149" s="20" t="n"/>
      <c r="U149" s="20" t="n">
        <v>3</v>
      </c>
      <c r="V149" s="20" t="n">
        <v>50</v>
      </c>
      <c r="W149" s="20" t="n"/>
      <c r="X149" s="20" t="n"/>
      <c r="Y149" s="20" t="n"/>
      <c r="Z149" s="20" t="n"/>
    </row>
    <row r="150">
      <c r="A150" s="64" t="inlineStr">
        <is>
          <t>1025</t>
        </is>
      </c>
      <c r="B150" s="64" t="inlineStr">
        <is>
          <t>B4</t>
        </is>
      </c>
      <c r="C150" s="11" t="n">
        <v>1187</v>
      </c>
      <c r="D150" s="10" t="n">
        <v>2</v>
      </c>
      <c r="E150" s="10" t="n">
        <v>2</v>
      </c>
      <c r="F150" s="65" t="inlineStr">
        <is>
          <t>Market</t>
        </is>
      </c>
      <c r="G150" s="65" t="inlineStr">
        <is>
          <t>Occupied</t>
        </is>
      </c>
      <c r="H150" s="11" t="n">
        <v>1596</v>
      </c>
      <c r="I150" s="11" t="n">
        <v>1642</v>
      </c>
      <c r="J150" s="11" t="n">
        <v>1642</v>
      </c>
      <c r="K150" s="66" t="inlineStr">
        <is>
          <t>05/25/2025</t>
        </is>
      </c>
      <c r="L150" s="66" t="inlineStr">
        <is>
          <t>06/24/2026</t>
        </is>
      </c>
      <c r="M150" s="66" t="inlineStr">
        <is>
          <t>02/25/2023</t>
        </is>
      </c>
      <c r="O150" s="11" t="n">
        <v>1642</v>
      </c>
      <c r="P150" s="11" t="n"/>
      <c r="Q150" s="11" t="n"/>
      <c r="R150" s="11" t="n"/>
      <c r="S150" s="11" t="n"/>
      <c r="T150" s="11" t="n">
        <v>30</v>
      </c>
      <c r="U150" s="11" t="n">
        <v>1</v>
      </c>
      <c r="V150" s="11" t="n">
        <v>65</v>
      </c>
      <c r="W150" s="11" t="n"/>
      <c r="X150" s="11" t="n"/>
      <c r="Y150" s="11" t="n"/>
      <c r="Z150" s="11" t="n"/>
    </row>
    <row r="151">
      <c r="A151" s="61" t="inlineStr">
        <is>
          <t>1026</t>
        </is>
      </c>
      <c r="B151" s="61" t="inlineStr">
        <is>
          <t>B1</t>
        </is>
      </c>
      <c r="C151" s="20" t="n">
        <v>947</v>
      </c>
      <c r="D151" s="19" t="n">
        <v>2</v>
      </c>
      <c r="E151" s="19" t="n">
        <v>2</v>
      </c>
      <c r="F151" s="62" t="inlineStr">
        <is>
          <t>Market</t>
        </is>
      </c>
      <c r="G151" s="62" t="inlineStr">
        <is>
          <t>Occupied</t>
        </is>
      </c>
      <c r="H151" s="20" t="n">
        <v>1332</v>
      </c>
      <c r="I151" s="20" t="n">
        <v>1333</v>
      </c>
      <c r="J151" s="20" t="n">
        <v>1333</v>
      </c>
      <c r="K151" s="63" t="inlineStr">
        <is>
          <t>04/28/2026</t>
        </is>
      </c>
      <c r="L151" s="63" t="inlineStr">
        <is>
          <t>07/27/2027</t>
        </is>
      </c>
      <c r="M151" s="63" t="inlineStr">
        <is>
          <t>04/28/2026</t>
        </is>
      </c>
      <c r="O151" s="20" t="n">
        <v>1333</v>
      </c>
      <c r="P151" s="20" t="n">
        <v>35</v>
      </c>
      <c r="Q151" s="20" t="n"/>
      <c r="R151" s="20" t="n"/>
      <c r="S151" s="20" t="n"/>
      <c r="T151" s="20" t="n"/>
      <c r="U151" s="20" t="n">
        <v>3</v>
      </c>
      <c r="V151" s="20" t="n"/>
      <c r="W151" s="20" t="n"/>
      <c r="X151" s="20" t="n"/>
      <c r="Y151" s="20" t="n"/>
      <c r="Z151" s="20" t="n"/>
    </row>
    <row r="152">
      <c r="A152" s="64" t="inlineStr">
        <is>
          <t>1027</t>
        </is>
      </c>
      <c r="B152" s="64" t="inlineStr">
        <is>
          <t>B1</t>
        </is>
      </c>
      <c r="C152" s="11" t="n">
        <v>947</v>
      </c>
      <c r="D152" s="10" t="n">
        <v>2</v>
      </c>
      <c r="E152" s="10" t="n">
        <v>2</v>
      </c>
      <c r="F152" s="65" t="inlineStr">
        <is>
          <t>Market</t>
        </is>
      </c>
      <c r="G152" s="65" t="inlineStr">
        <is>
          <t>Occupied</t>
        </is>
      </c>
      <c r="H152" s="11" t="n">
        <v>1332</v>
      </c>
      <c r="I152" s="11" t="n">
        <v>1585</v>
      </c>
      <c r="J152" s="11" t="n">
        <v>1585</v>
      </c>
      <c r="K152" s="66" t="inlineStr">
        <is>
          <t>03/04/2025</t>
        </is>
      </c>
      <c r="L152" s="66" t="inlineStr">
        <is>
          <t>05/27/2026</t>
        </is>
      </c>
      <c r="M152" s="66" t="inlineStr">
        <is>
          <t>03/04/2025</t>
        </is>
      </c>
      <c r="O152" s="11" t="n">
        <v>1585</v>
      </c>
      <c r="P152" s="11" t="n"/>
      <c r="Q152" s="11" t="n"/>
      <c r="R152" s="11" t="n"/>
      <c r="S152" s="11" t="n"/>
      <c r="T152" s="11" t="n"/>
      <c r="U152" s="11" t="n">
        <v>1</v>
      </c>
      <c r="V152" s="11" t="n"/>
      <c r="W152" s="11" t="n"/>
      <c r="X152" s="11" t="n"/>
      <c r="Y152" s="11" t="n"/>
      <c r="Z152" s="11" t="n"/>
    </row>
    <row r="153">
      <c r="A153" s="61" t="inlineStr">
        <is>
          <t>1028</t>
        </is>
      </c>
      <c r="B153" s="61" t="inlineStr">
        <is>
          <t>B4</t>
        </is>
      </c>
      <c r="C153" s="20" t="n">
        <v>1187</v>
      </c>
      <c r="D153" s="19" t="n">
        <v>2</v>
      </c>
      <c r="E153" s="19" t="n">
        <v>2</v>
      </c>
      <c r="F153" s="62" t="inlineStr">
        <is>
          <t>Market</t>
        </is>
      </c>
      <c r="G153" s="62" t="inlineStr">
        <is>
          <t>Occupied</t>
        </is>
      </c>
      <c r="H153" s="20" t="n">
        <v>1596</v>
      </c>
      <c r="I153" s="20" t="n">
        <v>1553</v>
      </c>
      <c r="J153" s="20" t="n">
        <v>1553</v>
      </c>
      <c r="K153" s="63" t="inlineStr">
        <is>
          <t>08/01/2025</t>
        </is>
      </c>
      <c r="L153" s="63" t="inlineStr">
        <is>
          <t>09/30/2026</t>
        </is>
      </c>
      <c r="M153" s="63" t="inlineStr">
        <is>
          <t>11/25/2017</t>
        </is>
      </c>
      <c r="O153" s="20" t="n">
        <v>1553</v>
      </c>
      <c r="P153" s="20" t="n"/>
      <c r="Q153" s="20" t="n"/>
      <c r="R153" s="20" t="n"/>
      <c r="S153" s="20" t="n"/>
      <c r="T153" s="20" t="n"/>
      <c r="U153" s="20" t="n">
        <v>1</v>
      </c>
      <c r="V153" s="20" t="n"/>
      <c r="W153" s="20" t="n"/>
      <c r="X153" s="20" t="n"/>
      <c r="Y153" s="20" t="n"/>
      <c r="Z153" s="20" t="n"/>
    </row>
    <row r="154">
      <c r="A154" s="64" t="inlineStr">
        <is>
          <t>1032</t>
        </is>
      </c>
      <c r="B154" s="64" t="inlineStr">
        <is>
          <t>B1</t>
        </is>
      </c>
      <c r="C154" s="11" t="n">
        <v>947</v>
      </c>
      <c r="D154" s="10" t="n">
        <v>2</v>
      </c>
      <c r="E154" s="10" t="n">
        <v>2</v>
      </c>
      <c r="F154" s="65" t="inlineStr">
        <is>
          <t>Market</t>
        </is>
      </c>
      <c r="G154" s="65" t="inlineStr">
        <is>
          <t>Occupied</t>
        </is>
      </c>
      <c r="H154" s="11" t="n">
        <v>1332</v>
      </c>
      <c r="I154" s="11" t="n">
        <v>1371</v>
      </c>
      <c r="J154" s="11" t="n">
        <v>1371</v>
      </c>
      <c r="K154" s="66" t="inlineStr">
        <is>
          <t>02/03/2026</t>
        </is>
      </c>
      <c r="L154" s="66" t="inlineStr">
        <is>
          <t>05/02/2027</t>
        </is>
      </c>
      <c r="M154" s="66" t="inlineStr">
        <is>
          <t>08/04/2023</t>
        </is>
      </c>
      <c r="O154" s="11" t="n">
        <v>1371</v>
      </c>
      <c r="P154" s="11" t="n"/>
      <c r="Q154" s="11" t="n"/>
      <c r="R154" s="11" t="n"/>
      <c r="S154" s="11" t="n"/>
      <c r="T154" s="11" t="n"/>
      <c r="U154" s="11" t="n">
        <v>3</v>
      </c>
      <c r="V154" s="11" t="n"/>
      <c r="W154" s="11" t="n"/>
      <c r="X154" s="11" t="n"/>
      <c r="Y154" s="11" t="n"/>
      <c r="Z154" s="11" t="n"/>
    </row>
    <row r="155">
      <c r="A155" s="61" t="inlineStr">
        <is>
          <t>1033</t>
        </is>
      </c>
      <c r="B155" s="61" t="inlineStr">
        <is>
          <t>B1R</t>
        </is>
      </c>
      <c r="C155" s="20" t="n">
        <v>947</v>
      </c>
      <c r="D155" s="19" t="n">
        <v>2</v>
      </c>
      <c r="E155" s="19" t="n">
        <v>2</v>
      </c>
      <c r="F155" s="62" t="inlineStr">
        <is>
          <t>Market</t>
        </is>
      </c>
      <c r="G155" s="62" t="inlineStr">
        <is>
          <t>Occupied</t>
        </is>
      </c>
      <c r="H155" s="20" t="n">
        <v>1532</v>
      </c>
      <c r="I155" s="20" t="n">
        <v>1368</v>
      </c>
      <c r="J155" s="20" t="n">
        <v>1368</v>
      </c>
      <c r="K155" s="63" t="inlineStr">
        <is>
          <t>06/09/2025</t>
        </is>
      </c>
      <c r="L155" s="63" t="inlineStr">
        <is>
          <t>07/08/2026</t>
        </is>
      </c>
      <c r="M155" s="63" t="inlineStr">
        <is>
          <t>06/09/2025</t>
        </is>
      </c>
      <c r="O155" s="20" t="n">
        <v>1368</v>
      </c>
      <c r="P155" s="20" t="n"/>
      <c r="Q155" s="20" t="n"/>
      <c r="R155" s="20" t="n"/>
      <c r="S155" s="20" t="n"/>
      <c r="T155" s="20" t="n"/>
      <c r="U155" s="20" t="n">
        <v>1</v>
      </c>
      <c r="V155" s="20" t="n"/>
      <c r="W155" s="20" t="n"/>
      <c r="X155" s="20" t="n"/>
      <c r="Y155" s="20" t="n"/>
      <c r="Z155" s="20" t="n"/>
    </row>
    <row r="156">
      <c r="A156" s="64" t="inlineStr">
        <is>
          <t>1036</t>
        </is>
      </c>
      <c r="B156" s="64" t="inlineStr">
        <is>
          <t>B1R</t>
        </is>
      </c>
      <c r="C156" s="11" t="n">
        <v>947</v>
      </c>
      <c r="D156" s="10" t="n">
        <v>2</v>
      </c>
      <c r="E156" s="10" t="n">
        <v>2</v>
      </c>
      <c r="F156" s="65" t="inlineStr">
        <is>
          <t>Market</t>
        </is>
      </c>
      <c r="G156" s="65" t="inlineStr">
        <is>
          <t>Occupied</t>
        </is>
      </c>
      <c r="H156" s="11" t="n">
        <v>1532</v>
      </c>
      <c r="I156" s="11" t="n">
        <v>1579</v>
      </c>
      <c r="J156" s="11" t="n">
        <v>1579</v>
      </c>
      <c r="K156" s="66" t="inlineStr">
        <is>
          <t>07/09/2025</t>
        </is>
      </c>
      <c r="L156" s="66" t="inlineStr">
        <is>
          <t>07/08/2026</t>
        </is>
      </c>
      <c r="M156" s="66" t="inlineStr">
        <is>
          <t>04/09/2024</t>
        </is>
      </c>
      <c r="O156" s="11" t="n">
        <v>1579</v>
      </c>
      <c r="P156" s="11" t="n"/>
      <c r="Q156" s="11" t="n">
        <v>100</v>
      </c>
      <c r="R156" s="11" t="n"/>
      <c r="S156" s="11" t="n"/>
      <c r="T156" s="11" t="n"/>
      <c r="U156" s="11" t="n">
        <v>1</v>
      </c>
      <c r="V156" s="11" t="n"/>
      <c r="W156" s="11" t="n"/>
      <c r="X156" s="11" t="n"/>
      <c r="Y156" s="11" t="n"/>
      <c r="Z156" s="11" t="n"/>
    </row>
    <row r="157">
      <c r="A157" s="61" t="inlineStr">
        <is>
          <t>1037</t>
        </is>
      </c>
      <c r="B157" s="61" t="inlineStr">
        <is>
          <t>B1R</t>
        </is>
      </c>
      <c r="C157" s="20" t="n">
        <v>947</v>
      </c>
      <c r="D157" s="19" t="n">
        <v>2</v>
      </c>
      <c r="E157" s="19" t="n">
        <v>2</v>
      </c>
      <c r="F157" s="62" t="inlineStr">
        <is>
          <t>Market</t>
        </is>
      </c>
      <c r="G157" s="62" t="inlineStr">
        <is>
          <t>Vacant</t>
        </is>
      </c>
      <c r="H157" s="20" t="n">
        <v>1532</v>
      </c>
      <c r="I157" s="20" t="n">
        <v>0</v>
      </c>
      <c r="J157" s="20" t="n">
        <v>0</v>
      </c>
      <c r="K157" s="63" t="n"/>
      <c r="L157" s="63" t="n"/>
      <c r="M157" s="63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>
      <c r="A158" s="64" t="inlineStr">
        <is>
          <t>1121</t>
        </is>
      </c>
      <c r="B158" s="64" t="inlineStr">
        <is>
          <t>B2R</t>
        </is>
      </c>
      <c r="C158" s="11" t="n">
        <v>1040</v>
      </c>
      <c r="D158" s="10" t="n">
        <v>2</v>
      </c>
      <c r="E158" s="10" t="n">
        <v>2</v>
      </c>
      <c r="F158" s="65" t="inlineStr">
        <is>
          <t>Market</t>
        </is>
      </c>
      <c r="G158" s="65" t="inlineStr">
        <is>
          <t>Occupied</t>
        </is>
      </c>
      <c r="H158" s="11" t="n">
        <v>1736</v>
      </c>
      <c r="I158" s="11" t="n">
        <v>1774</v>
      </c>
      <c r="J158" s="11" t="n">
        <v>1774</v>
      </c>
      <c r="K158" s="66" t="inlineStr">
        <is>
          <t>01/01/2026</t>
        </is>
      </c>
      <c r="L158" s="66" t="inlineStr">
        <is>
          <t>12/31/2026</t>
        </is>
      </c>
      <c r="M158" s="66" t="inlineStr">
        <is>
          <t>12/16/2022</t>
        </is>
      </c>
      <c r="O158" s="11" t="n">
        <v>1774</v>
      </c>
      <c r="P158" s="11" t="n"/>
      <c r="Q158" s="11" t="n">
        <v>100</v>
      </c>
      <c r="R158" s="11" t="n">
        <v>-709.6</v>
      </c>
      <c r="S158" s="11" t="n"/>
      <c r="T158" s="11" t="n"/>
      <c r="U158" s="11" t="n">
        <v>1</v>
      </c>
      <c r="V158" s="11" t="n">
        <v>65</v>
      </c>
      <c r="W158" s="11" t="n"/>
      <c r="X158" s="11" t="n"/>
      <c r="Y158" s="11" t="n"/>
      <c r="Z158" s="11" t="n"/>
    </row>
    <row r="159">
      <c r="A159" s="61" t="inlineStr">
        <is>
          <t>1221</t>
        </is>
      </c>
      <c r="B159" s="61" t="inlineStr">
        <is>
          <t>B2R</t>
        </is>
      </c>
      <c r="C159" s="20" t="n">
        <v>1040</v>
      </c>
      <c r="D159" s="19" t="n">
        <v>2</v>
      </c>
      <c r="E159" s="19" t="n">
        <v>2</v>
      </c>
      <c r="F159" s="62" t="inlineStr">
        <is>
          <t>Market</t>
        </is>
      </c>
      <c r="G159" s="62" t="inlineStr">
        <is>
          <t>Occupied</t>
        </is>
      </c>
      <c r="H159" s="20" t="n">
        <v>1736</v>
      </c>
      <c r="I159" s="20" t="n">
        <v>1928</v>
      </c>
      <c r="J159" s="20" t="n">
        <v>1928</v>
      </c>
      <c r="K159" s="63" t="inlineStr">
        <is>
          <t>11/01/2025</t>
        </is>
      </c>
      <c r="L159" s="63" t="inlineStr">
        <is>
          <t>11/07/2026</t>
        </is>
      </c>
      <c r="M159" s="63" t="inlineStr">
        <is>
          <t>08/01/2024</t>
        </is>
      </c>
      <c r="O159" s="20" t="n">
        <v>1928</v>
      </c>
      <c r="P159" s="20" t="n"/>
      <c r="Q159" s="20" t="n">
        <v>100</v>
      </c>
      <c r="R159" s="20" t="n"/>
      <c r="S159" s="20" t="n"/>
      <c r="T159" s="20" t="n"/>
      <c r="U159" s="20" t="n">
        <v>1</v>
      </c>
      <c r="V159" s="20" t="n"/>
      <c r="W159" s="20" t="n"/>
      <c r="X159" s="20" t="n"/>
      <c r="Y159" s="20" t="n"/>
      <c r="Z159" s="20" t="n"/>
    </row>
    <row r="160">
      <c r="A160" s="64" t="inlineStr">
        <is>
          <t>1311</t>
        </is>
      </c>
      <c r="B160" s="64" t="inlineStr">
        <is>
          <t>B4</t>
        </is>
      </c>
      <c r="C160" s="11" t="n">
        <v>1187</v>
      </c>
      <c r="D160" s="10" t="n">
        <v>2</v>
      </c>
      <c r="E160" s="10" t="n">
        <v>2</v>
      </c>
      <c r="F160" s="65" t="inlineStr">
        <is>
          <t>Market</t>
        </is>
      </c>
      <c r="G160" s="65" t="inlineStr">
        <is>
          <t>Occupied</t>
        </is>
      </c>
      <c r="H160" s="11" t="n">
        <v>1691</v>
      </c>
      <c r="I160" s="11" t="n">
        <v>1408</v>
      </c>
      <c r="J160" s="11" t="n">
        <v>1408</v>
      </c>
      <c r="K160" s="66" t="inlineStr">
        <is>
          <t>12/01/2025</t>
        </is>
      </c>
      <c r="L160" s="66" t="inlineStr">
        <is>
          <t>01/31/2027</t>
        </is>
      </c>
      <c r="M160" s="66" t="inlineStr">
        <is>
          <t>12/01/2025</t>
        </is>
      </c>
      <c r="O160" s="11" t="n">
        <v>1408</v>
      </c>
      <c r="P160" s="11" t="n"/>
      <c r="Q160" s="11" t="n"/>
      <c r="R160" s="11" t="n"/>
      <c r="S160" s="11" t="n"/>
      <c r="T160" s="11" t="n"/>
      <c r="U160" s="11" t="n">
        <v>3</v>
      </c>
      <c r="V160" s="11" t="n"/>
      <c r="W160" s="11" t="n"/>
      <c r="X160" s="11" t="n"/>
      <c r="Y160" s="11" t="n"/>
      <c r="Z160" s="11" t="n"/>
    </row>
    <row r="161">
      <c r="A161" s="61" t="inlineStr">
        <is>
          <t>1312</t>
        </is>
      </c>
      <c r="B161" s="61" t="inlineStr">
        <is>
          <t>B1</t>
        </is>
      </c>
      <c r="C161" s="20" t="n">
        <v>947</v>
      </c>
      <c r="D161" s="19" t="n">
        <v>2</v>
      </c>
      <c r="E161" s="19" t="n">
        <v>2</v>
      </c>
      <c r="F161" s="62" t="inlineStr">
        <is>
          <t>Market</t>
        </is>
      </c>
      <c r="G161" s="62" t="inlineStr">
        <is>
          <t>Occupied</t>
        </is>
      </c>
      <c r="H161" s="20" t="n">
        <v>1427</v>
      </c>
      <c r="I161" s="20" t="n">
        <v>1352</v>
      </c>
      <c r="J161" s="20" t="n">
        <v>1352</v>
      </c>
      <c r="K161" s="63" t="inlineStr">
        <is>
          <t>10/03/2025</t>
        </is>
      </c>
      <c r="L161" s="63" t="inlineStr">
        <is>
          <t>12/02/2026</t>
        </is>
      </c>
      <c r="M161" s="63" t="inlineStr">
        <is>
          <t>10/03/2025</t>
        </is>
      </c>
      <c r="O161" s="20" t="n">
        <v>1352</v>
      </c>
      <c r="P161" s="20" t="n"/>
      <c r="Q161" s="20" t="n"/>
      <c r="R161" s="20" t="n"/>
      <c r="S161" s="20" t="n"/>
      <c r="T161" s="20" t="n"/>
      <c r="U161" s="20" t="n">
        <v>1</v>
      </c>
      <c r="V161" s="20" t="n"/>
      <c r="W161" s="20" t="n"/>
      <c r="X161" s="20" t="n"/>
      <c r="Y161" s="20" t="n"/>
      <c r="Z161" s="20" t="n"/>
    </row>
    <row r="162">
      <c r="A162" s="64" t="inlineStr">
        <is>
          <t>1313</t>
        </is>
      </c>
      <c r="B162" s="64" t="inlineStr">
        <is>
          <t>B1</t>
        </is>
      </c>
      <c r="C162" s="11" t="n">
        <v>947</v>
      </c>
      <c r="D162" s="10" t="n">
        <v>2</v>
      </c>
      <c r="E162" s="10" t="n">
        <v>2</v>
      </c>
      <c r="F162" s="65" t="inlineStr">
        <is>
          <t>Market</t>
        </is>
      </c>
      <c r="G162" s="65" t="inlineStr">
        <is>
          <t>Occupied</t>
        </is>
      </c>
      <c r="H162" s="11" t="n">
        <v>1442</v>
      </c>
      <c r="I162" s="11" t="n">
        <v>1374</v>
      </c>
      <c r="J162" s="11" t="n">
        <v>1374</v>
      </c>
      <c r="K162" s="66" t="inlineStr">
        <is>
          <t>09/30/2025</t>
        </is>
      </c>
      <c r="L162" s="66" t="inlineStr">
        <is>
          <t>10/29/2026</t>
        </is>
      </c>
      <c r="M162" s="66" t="inlineStr">
        <is>
          <t>09/30/2025</t>
        </is>
      </c>
      <c r="O162" s="11" t="n">
        <v>1374</v>
      </c>
      <c r="P162" s="11" t="n"/>
      <c r="Q162" s="11" t="n"/>
      <c r="R162" s="11" t="n"/>
      <c r="S162" s="11" t="n"/>
      <c r="T162" s="11" t="n"/>
      <c r="U162" s="11" t="n">
        <v>1</v>
      </c>
      <c r="V162" s="11" t="n"/>
      <c r="W162" s="11" t="n"/>
      <c r="X162" s="11" t="n"/>
      <c r="Y162" s="11" t="n"/>
      <c r="Z162" s="11" t="n"/>
    </row>
    <row r="163">
      <c r="A163" s="61" t="inlineStr">
        <is>
          <t>1314</t>
        </is>
      </c>
      <c r="B163" s="61" t="inlineStr">
        <is>
          <t>B4</t>
        </is>
      </c>
      <c r="C163" s="20" t="n">
        <v>1187</v>
      </c>
      <c r="D163" s="19" t="n">
        <v>2</v>
      </c>
      <c r="E163" s="19" t="n">
        <v>2</v>
      </c>
      <c r="F163" s="62" t="inlineStr">
        <is>
          <t>Market</t>
        </is>
      </c>
      <c r="G163" s="62" t="inlineStr">
        <is>
          <t>Occupied</t>
        </is>
      </c>
      <c r="H163" s="20" t="n">
        <v>1706</v>
      </c>
      <c r="I163" s="20" t="n">
        <v>1589</v>
      </c>
      <c r="J163" s="20" t="n">
        <v>1589</v>
      </c>
      <c r="K163" s="63" t="inlineStr">
        <is>
          <t>07/02/2025</t>
        </is>
      </c>
      <c r="L163" s="63" t="inlineStr">
        <is>
          <t>07/08/2026</t>
        </is>
      </c>
      <c r="M163" s="63" t="inlineStr">
        <is>
          <t>10/07/2014</t>
        </is>
      </c>
      <c r="O163" s="20" t="n">
        <v>1589</v>
      </c>
      <c r="P163" s="20" t="n"/>
      <c r="Q163" s="20" t="n"/>
      <c r="R163" s="20" t="n"/>
      <c r="S163" s="20" t="n"/>
      <c r="T163" s="20" t="n"/>
      <c r="U163" s="20" t="n">
        <v>1</v>
      </c>
      <c r="V163" s="20" t="n"/>
      <c r="W163" s="20" t="n"/>
      <c r="X163" s="20" t="n"/>
      <c r="Y163" s="20" t="n"/>
      <c r="Z163" s="20" t="n"/>
    </row>
    <row r="164">
      <c r="A164" s="64" t="inlineStr">
        <is>
          <t>1315</t>
        </is>
      </c>
      <c r="B164" s="64" t="inlineStr">
        <is>
          <t>B4</t>
        </is>
      </c>
      <c r="C164" s="11" t="n">
        <v>1187</v>
      </c>
      <c r="D164" s="10" t="n">
        <v>2</v>
      </c>
      <c r="E164" s="10" t="n">
        <v>2</v>
      </c>
      <c r="F164" s="65" t="inlineStr">
        <is>
          <t>Market</t>
        </is>
      </c>
      <c r="G164" s="65" t="inlineStr">
        <is>
          <t>Vacant</t>
        </is>
      </c>
      <c r="H164" s="11" t="n">
        <v>1691</v>
      </c>
      <c r="I164" s="11" t="n">
        <v>0</v>
      </c>
      <c r="J164" s="11" t="n">
        <v>0</v>
      </c>
      <c r="K164" s="66" t="n"/>
      <c r="L164" s="66" t="n"/>
      <c r="M164" s="66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61" t="inlineStr">
        <is>
          <t>1316</t>
        </is>
      </c>
      <c r="B165" s="61" t="inlineStr">
        <is>
          <t>B1</t>
        </is>
      </c>
      <c r="C165" s="20" t="n">
        <v>947</v>
      </c>
      <c r="D165" s="19" t="n">
        <v>2</v>
      </c>
      <c r="E165" s="19" t="n">
        <v>2</v>
      </c>
      <c r="F165" s="62" t="inlineStr">
        <is>
          <t>Market</t>
        </is>
      </c>
      <c r="G165" s="62" t="inlineStr">
        <is>
          <t>Occupied</t>
        </is>
      </c>
      <c r="H165" s="20" t="n">
        <v>1427</v>
      </c>
      <c r="I165" s="20" t="n">
        <v>1541</v>
      </c>
      <c r="J165" s="20" t="n">
        <v>1541</v>
      </c>
      <c r="K165" s="63" t="inlineStr">
        <is>
          <t>05/24/2026</t>
        </is>
      </c>
      <c r="L165" s="63" t="inlineStr">
        <is>
          <t>08/23/2027</t>
        </is>
      </c>
      <c r="M165" s="63" t="inlineStr">
        <is>
          <t>02/24/2025</t>
        </is>
      </c>
      <c r="O165" s="20" t="n">
        <v>1541</v>
      </c>
      <c r="P165" s="20" t="n">
        <v>35</v>
      </c>
      <c r="Q165" s="20" t="n">
        <v>100</v>
      </c>
      <c r="R165" s="20" t="n"/>
      <c r="S165" s="20" t="n"/>
      <c r="T165" s="20" t="n"/>
      <c r="U165" s="20" t="n">
        <v>3</v>
      </c>
      <c r="V165" s="20" t="n">
        <v>65</v>
      </c>
      <c r="W165" s="20" t="n"/>
      <c r="X165" s="20" t="n"/>
      <c r="Y165" s="20" t="n"/>
      <c r="Z165" s="20" t="n"/>
    </row>
    <row r="166">
      <c r="A166" s="64" t="inlineStr">
        <is>
          <t>1317</t>
        </is>
      </c>
      <c r="B166" s="64" t="inlineStr">
        <is>
          <t>B1R</t>
        </is>
      </c>
      <c r="C166" s="11" t="n">
        <v>947</v>
      </c>
      <c r="D166" s="10" t="n">
        <v>2</v>
      </c>
      <c r="E166" s="10" t="n">
        <v>2</v>
      </c>
      <c r="F166" s="65" t="inlineStr">
        <is>
          <t>Market</t>
        </is>
      </c>
      <c r="G166" s="65" t="inlineStr">
        <is>
          <t>Vacant</t>
        </is>
      </c>
      <c r="H166" s="11" t="n">
        <v>1567</v>
      </c>
      <c r="I166" s="11" t="n">
        <v>0</v>
      </c>
      <c r="J166" s="11" t="n">
        <v>0</v>
      </c>
      <c r="K166" s="66" t="n"/>
      <c r="L166" s="66" t="n"/>
      <c r="M166" s="66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61" t="inlineStr">
        <is>
          <t>1318</t>
        </is>
      </c>
      <c r="B167" s="61" t="inlineStr">
        <is>
          <t>B4R</t>
        </is>
      </c>
      <c r="C167" s="20" t="n">
        <v>1187</v>
      </c>
      <c r="D167" s="19" t="n">
        <v>2</v>
      </c>
      <c r="E167" s="19" t="n">
        <v>2</v>
      </c>
      <c r="F167" s="62" t="inlineStr">
        <is>
          <t>Market</t>
        </is>
      </c>
      <c r="G167" s="62" t="inlineStr">
        <is>
          <t>Occupied</t>
        </is>
      </c>
      <c r="H167" s="20" t="n">
        <v>1831</v>
      </c>
      <c r="I167" s="20" t="n">
        <v>1690</v>
      </c>
      <c r="J167" s="20" t="n">
        <v>1690</v>
      </c>
      <c r="K167" s="63" t="inlineStr">
        <is>
          <t>07/26/2025</t>
        </is>
      </c>
      <c r="L167" s="63" t="inlineStr">
        <is>
          <t>08/25/2026</t>
        </is>
      </c>
      <c r="M167" s="63" t="inlineStr">
        <is>
          <t>07/26/2025</t>
        </is>
      </c>
      <c r="O167" s="20" t="n">
        <v>1690</v>
      </c>
      <c r="P167" s="20" t="n"/>
      <c r="Q167" s="20" t="n"/>
      <c r="R167" s="20" t="n"/>
      <c r="S167" s="20" t="n"/>
      <c r="T167" s="20" t="n"/>
      <c r="U167" s="20" t="n">
        <v>1</v>
      </c>
      <c r="V167" s="20" t="n"/>
      <c r="W167" s="20" t="n"/>
      <c r="X167" s="20" t="n"/>
      <c r="Y167" s="20" t="n"/>
      <c r="Z167" s="20" t="n"/>
    </row>
    <row r="168">
      <c r="A168" s="64" t="inlineStr">
        <is>
          <t>1321</t>
        </is>
      </c>
      <c r="B168" s="64" t="inlineStr">
        <is>
          <t>B4R</t>
        </is>
      </c>
      <c r="C168" s="11" t="n">
        <v>1187</v>
      </c>
      <c r="D168" s="10" t="n">
        <v>2</v>
      </c>
      <c r="E168" s="10" t="n">
        <v>2</v>
      </c>
      <c r="F168" s="65" t="inlineStr">
        <is>
          <t>Market</t>
        </is>
      </c>
      <c r="G168" s="65" t="inlineStr">
        <is>
          <t>Occupied</t>
        </is>
      </c>
      <c r="H168" s="11" t="n">
        <v>1796</v>
      </c>
      <c r="I168" s="11" t="n">
        <v>1401</v>
      </c>
      <c r="J168" s="11" t="n">
        <v>1401</v>
      </c>
      <c r="K168" s="66" t="inlineStr">
        <is>
          <t>12/10/2025</t>
        </is>
      </c>
      <c r="L168" s="66" t="inlineStr">
        <is>
          <t>03/09/2027</t>
        </is>
      </c>
      <c r="M168" s="66" t="inlineStr">
        <is>
          <t>12/10/2025</t>
        </is>
      </c>
      <c r="O168" s="11" t="n">
        <v>1401</v>
      </c>
      <c r="P168" s="11" t="n"/>
      <c r="Q168" s="11" t="n"/>
      <c r="R168" s="11" t="n"/>
      <c r="S168" s="11" t="n"/>
      <c r="T168" s="11" t="n"/>
      <c r="U168" s="11" t="n">
        <v>3</v>
      </c>
      <c r="V168" s="11" t="n"/>
      <c r="W168" s="11" t="n"/>
      <c r="X168" s="11" t="n"/>
      <c r="Y168" s="11" t="n"/>
      <c r="Z168" s="11" t="n"/>
    </row>
    <row r="169">
      <c r="A169" s="61" t="inlineStr">
        <is>
          <t>1322</t>
        </is>
      </c>
      <c r="B169" s="61" t="inlineStr">
        <is>
          <t>B1</t>
        </is>
      </c>
      <c r="C169" s="20" t="n">
        <v>947</v>
      </c>
      <c r="D169" s="19" t="n">
        <v>2</v>
      </c>
      <c r="E169" s="19" t="n">
        <v>2</v>
      </c>
      <c r="F169" s="62" t="inlineStr">
        <is>
          <t>Market</t>
        </is>
      </c>
      <c r="G169" s="62" t="inlineStr">
        <is>
          <t>Occupied</t>
        </is>
      </c>
      <c r="H169" s="20" t="n">
        <v>1482</v>
      </c>
      <c r="I169" s="20" t="n">
        <v>1202</v>
      </c>
      <c r="J169" s="20" t="n">
        <v>1202</v>
      </c>
      <c r="K169" s="63" t="inlineStr">
        <is>
          <t>12/07/2025</t>
        </is>
      </c>
      <c r="L169" s="63" t="inlineStr">
        <is>
          <t>03/06/2027</t>
        </is>
      </c>
      <c r="M169" s="63" t="inlineStr">
        <is>
          <t>12/07/2025</t>
        </is>
      </c>
      <c r="O169" s="20" t="n">
        <v>1202</v>
      </c>
      <c r="P169" s="20" t="n"/>
      <c r="Q169" s="20" t="n"/>
      <c r="R169" s="20" t="n"/>
      <c r="S169" s="20" t="n"/>
      <c r="T169" s="20" t="n"/>
      <c r="U169" s="20" t="n">
        <v>3</v>
      </c>
      <c r="V169" s="20" t="n"/>
      <c r="W169" s="20" t="n"/>
      <c r="X169" s="20" t="n"/>
      <c r="Y169" s="20" t="n"/>
      <c r="Z169" s="20" t="n"/>
    </row>
    <row r="170">
      <c r="A170" s="64" t="inlineStr">
        <is>
          <t>1323</t>
        </is>
      </c>
      <c r="B170" s="64" t="inlineStr">
        <is>
          <t>B1</t>
        </is>
      </c>
      <c r="C170" s="11" t="n">
        <v>947</v>
      </c>
      <c r="D170" s="10" t="n">
        <v>2</v>
      </c>
      <c r="E170" s="10" t="n">
        <v>2</v>
      </c>
      <c r="F170" s="65" t="inlineStr">
        <is>
          <t>Market</t>
        </is>
      </c>
      <c r="G170" s="65" t="inlineStr">
        <is>
          <t>Occupied</t>
        </is>
      </c>
      <c r="H170" s="11" t="n">
        <v>1347</v>
      </c>
      <c r="I170" s="11" t="n">
        <v>1289</v>
      </c>
      <c r="J170" s="11" t="n">
        <v>1289</v>
      </c>
      <c r="K170" s="66" t="inlineStr">
        <is>
          <t>10/17/2025</t>
        </is>
      </c>
      <c r="L170" s="66" t="inlineStr">
        <is>
          <t>01/16/2027</t>
        </is>
      </c>
      <c r="M170" s="66" t="inlineStr">
        <is>
          <t>10/17/2025</t>
        </is>
      </c>
      <c r="O170" s="11" t="n">
        <v>1289</v>
      </c>
      <c r="P170" s="11" t="n"/>
      <c r="Q170" s="11" t="n"/>
      <c r="R170" s="11" t="n"/>
      <c r="S170" s="11" t="n"/>
      <c r="T170" s="11" t="n"/>
      <c r="U170" s="11" t="n">
        <v>1</v>
      </c>
      <c r="V170" s="11" t="n"/>
      <c r="W170" s="11" t="n"/>
      <c r="X170" s="11" t="n"/>
      <c r="Y170" s="11" t="n"/>
      <c r="Z170" s="11" t="n"/>
    </row>
    <row r="171">
      <c r="A171" s="61" t="inlineStr">
        <is>
          <t>1324</t>
        </is>
      </c>
      <c r="B171" s="61" t="inlineStr">
        <is>
          <t>B4</t>
        </is>
      </c>
      <c r="C171" s="20" t="n">
        <v>1187</v>
      </c>
      <c r="D171" s="19" t="n">
        <v>2</v>
      </c>
      <c r="E171" s="19" t="n">
        <v>2</v>
      </c>
      <c r="F171" s="62" t="inlineStr">
        <is>
          <t>Market</t>
        </is>
      </c>
      <c r="G171" s="62" t="inlineStr">
        <is>
          <t>Vacant</t>
        </is>
      </c>
      <c r="H171" s="20" t="n">
        <v>1651</v>
      </c>
      <c r="I171" s="20" t="n">
        <v>0</v>
      </c>
      <c r="J171" s="20" t="n">
        <v>0</v>
      </c>
      <c r="K171" s="63" t="n"/>
      <c r="L171" s="63" t="n"/>
      <c r="M171" s="63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>
      <c r="A172" s="64" t="inlineStr">
        <is>
          <t>1325</t>
        </is>
      </c>
      <c r="B172" s="64" t="inlineStr">
        <is>
          <t>B4</t>
        </is>
      </c>
      <c r="C172" s="11" t="n">
        <v>1187</v>
      </c>
      <c r="D172" s="10" t="n">
        <v>2</v>
      </c>
      <c r="E172" s="10" t="n">
        <v>2</v>
      </c>
      <c r="F172" s="65" t="inlineStr">
        <is>
          <t>Market</t>
        </is>
      </c>
      <c r="G172" s="65" t="inlineStr">
        <is>
          <t>Occupied</t>
        </is>
      </c>
      <c r="H172" s="11" t="n">
        <v>1596</v>
      </c>
      <c r="I172" s="11" t="n">
        <v>1629</v>
      </c>
      <c r="J172" s="11" t="n">
        <v>1629</v>
      </c>
      <c r="K172" s="66" t="inlineStr">
        <is>
          <t>11/16/2025</t>
        </is>
      </c>
      <c r="L172" s="66" t="inlineStr">
        <is>
          <t>11/15/2026</t>
        </is>
      </c>
      <c r="M172" s="66" t="inlineStr">
        <is>
          <t>01/02/2020</t>
        </is>
      </c>
      <c r="O172" s="11" t="n">
        <v>1629</v>
      </c>
      <c r="P172" s="11" t="n"/>
      <c r="Q172" s="11" t="n"/>
      <c r="R172" s="11" t="n"/>
      <c r="S172" s="11" t="n"/>
      <c r="T172" s="11" t="n">
        <v>40</v>
      </c>
      <c r="U172" s="11" t="n">
        <v>1</v>
      </c>
      <c r="V172" s="11" t="n"/>
      <c r="W172" s="11" t="n"/>
      <c r="X172" s="11" t="n"/>
      <c r="Y172" s="11" t="n"/>
      <c r="Z172" s="11" t="n"/>
    </row>
    <row r="173">
      <c r="A173" s="61" t="inlineStr">
        <is>
          <t>1326</t>
        </is>
      </c>
      <c r="B173" s="61" t="inlineStr">
        <is>
          <t>B1</t>
        </is>
      </c>
      <c r="C173" s="20" t="n">
        <v>947</v>
      </c>
      <c r="D173" s="19" t="n">
        <v>2</v>
      </c>
      <c r="E173" s="19" t="n">
        <v>2</v>
      </c>
      <c r="F173" s="62" t="inlineStr">
        <is>
          <t>Market</t>
        </is>
      </c>
      <c r="G173" s="62" t="inlineStr">
        <is>
          <t>Occupied</t>
        </is>
      </c>
      <c r="H173" s="20" t="n">
        <v>1332</v>
      </c>
      <c r="I173" s="20" t="n">
        <v>1345</v>
      </c>
      <c r="J173" s="20" t="n">
        <v>1345</v>
      </c>
      <c r="K173" s="63" t="inlineStr">
        <is>
          <t>08/30/2025</t>
        </is>
      </c>
      <c r="L173" s="63" t="inlineStr">
        <is>
          <t>10/28/2026</t>
        </is>
      </c>
      <c r="M173" s="63" t="inlineStr">
        <is>
          <t>08/29/2025</t>
        </is>
      </c>
      <c r="O173" s="20" t="n">
        <v>1345</v>
      </c>
      <c r="P173" s="20" t="n"/>
      <c r="Q173" s="20" t="n"/>
      <c r="R173" s="20" t="n"/>
      <c r="S173" s="20" t="n"/>
      <c r="T173" s="20" t="n"/>
      <c r="U173" s="20" t="n">
        <v>1</v>
      </c>
      <c r="V173" s="20" t="n"/>
      <c r="W173" s="20" t="n"/>
      <c r="X173" s="20" t="n"/>
      <c r="Y173" s="20" t="n"/>
      <c r="Z173" s="20" t="n"/>
    </row>
    <row r="174">
      <c r="A174" s="64" t="inlineStr">
        <is>
          <t>1327</t>
        </is>
      </c>
      <c r="B174" s="64" t="inlineStr">
        <is>
          <t>B1</t>
        </is>
      </c>
      <c r="C174" s="11" t="n">
        <v>947</v>
      </c>
      <c r="D174" s="10" t="n">
        <v>2</v>
      </c>
      <c r="E174" s="10" t="n">
        <v>2</v>
      </c>
      <c r="F174" s="65" t="inlineStr">
        <is>
          <t>Market</t>
        </is>
      </c>
      <c r="G174" s="65" t="inlineStr">
        <is>
          <t>Occupied</t>
        </is>
      </c>
      <c r="H174" s="11" t="n">
        <v>1347</v>
      </c>
      <c r="I174" s="11" t="n">
        <v>1350</v>
      </c>
      <c r="J174" s="11" t="n">
        <v>1350</v>
      </c>
      <c r="K174" s="66" t="inlineStr">
        <is>
          <t>08/16/2025</t>
        </is>
      </c>
      <c r="L174" s="66" t="inlineStr">
        <is>
          <t>09/15/2026</t>
        </is>
      </c>
      <c r="M174" s="66" t="inlineStr">
        <is>
          <t>08/16/2025</t>
        </is>
      </c>
      <c r="O174" s="11" t="n">
        <v>1350</v>
      </c>
      <c r="P174" s="11" t="n"/>
      <c r="Q174" s="11" t="n"/>
      <c r="R174" s="11" t="n"/>
      <c r="S174" s="11" t="n"/>
      <c r="T174" s="11" t="n"/>
      <c r="U174" s="11" t="n">
        <v>1</v>
      </c>
      <c r="V174" s="11" t="n">
        <v>40</v>
      </c>
      <c r="W174" s="11" t="n"/>
      <c r="X174" s="11" t="n"/>
      <c r="Y174" s="11" t="n"/>
      <c r="Z174" s="11" t="n"/>
    </row>
    <row r="175">
      <c r="A175" s="61" t="inlineStr">
        <is>
          <t>1328</t>
        </is>
      </c>
      <c r="B175" s="61" t="inlineStr">
        <is>
          <t>B4</t>
        </is>
      </c>
      <c r="C175" s="20" t="n">
        <v>1187</v>
      </c>
      <c r="D175" s="19" t="n">
        <v>2</v>
      </c>
      <c r="E175" s="19" t="n">
        <v>2</v>
      </c>
      <c r="F175" s="62" t="inlineStr">
        <is>
          <t>Market</t>
        </is>
      </c>
      <c r="G175" s="62" t="inlineStr">
        <is>
          <t>Occupied</t>
        </is>
      </c>
      <c r="H175" s="20" t="n">
        <v>1651</v>
      </c>
      <c r="I175" s="20" t="n">
        <v>1593</v>
      </c>
      <c r="J175" s="20" t="n">
        <v>1593</v>
      </c>
      <c r="K175" s="63" t="inlineStr">
        <is>
          <t>04/18/2026</t>
        </is>
      </c>
      <c r="L175" s="63" t="inlineStr">
        <is>
          <t>05/17/2027</t>
        </is>
      </c>
      <c r="M175" s="63" t="inlineStr">
        <is>
          <t>02/18/2024</t>
        </is>
      </c>
      <c r="O175" s="20" t="n">
        <v>1593</v>
      </c>
      <c r="P175" s="20" t="n">
        <v>35</v>
      </c>
      <c r="Q175" s="20" t="n"/>
      <c r="R175" s="20" t="n"/>
      <c r="S175" s="20" t="n"/>
      <c r="T175" s="20" t="n"/>
      <c r="U175" s="20" t="n">
        <v>3</v>
      </c>
      <c r="V175" s="20" t="n"/>
      <c r="W175" s="20" t="n"/>
      <c r="X175" s="20" t="n"/>
      <c r="Y175" s="20" t="n"/>
      <c r="Z175" s="20" t="n"/>
    </row>
    <row r="176">
      <c r="A176" s="64" t="inlineStr">
        <is>
          <t>1332</t>
        </is>
      </c>
      <c r="B176" s="64" t="inlineStr">
        <is>
          <t>B1R</t>
        </is>
      </c>
      <c r="C176" s="11" t="n">
        <v>947</v>
      </c>
      <c r="D176" s="10" t="n">
        <v>2</v>
      </c>
      <c r="E176" s="10" t="n">
        <v>2</v>
      </c>
      <c r="F176" s="65" t="inlineStr">
        <is>
          <t>Market</t>
        </is>
      </c>
      <c r="G176" s="65" t="inlineStr">
        <is>
          <t>Occupied</t>
        </is>
      </c>
      <c r="H176" s="11" t="n">
        <v>1532</v>
      </c>
      <c r="I176" s="11" t="n">
        <v>1537</v>
      </c>
      <c r="J176" s="11" t="n">
        <v>1537</v>
      </c>
      <c r="K176" s="66" t="inlineStr">
        <is>
          <t>03/18/2025</t>
        </is>
      </c>
      <c r="L176" s="66" t="inlineStr">
        <is>
          <t>06/17/2026</t>
        </is>
      </c>
      <c r="M176" s="66" t="inlineStr">
        <is>
          <t>12/11/2022</t>
        </is>
      </c>
      <c r="O176" s="11" t="n">
        <v>1537</v>
      </c>
      <c r="P176" s="11" t="n"/>
      <c r="Q176" s="11" t="n">
        <v>100</v>
      </c>
      <c r="R176" s="11" t="n"/>
      <c r="S176" s="11" t="n"/>
      <c r="T176" s="11" t="n"/>
      <c r="U176" s="11" t="n">
        <v>1</v>
      </c>
      <c r="V176" s="11" t="n"/>
      <c r="W176" s="11" t="n"/>
      <c r="X176" s="11" t="n"/>
      <c r="Y176" s="11" t="n"/>
      <c r="Z176" s="11" t="n"/>
    </row>
    <row r="177">
      <c r="A177" s="61" t="inlineStr">
        <is>
          <t>1333</t>
        </is>
      </c>
      <c r="B177" s="61" t="inlineStr">
        <is>
          <t>B1R</t>
        </is>
      </c>
      <c r="C177" s="20" t="n">
        <v>947</v>
      </c>
      <c r="D177" s="19" t="n">
        <v>2</v>
      </c>
      <c r="E177" s="19" t="n">
        <v>2</v>
      </c>
      <c r="F177" s="62" t="inlineStr">
        <is>
          <t>Market</t>
        </is>
      </c>
      <c r="G177" s="62" t="inlineStr">
        <is>
          <t>Occupied</t>
        </is>
      </c>
      <c r="H177" s="20" t="n">
        <v>1547</v>
      </c>
      <c r="I177" s="20" t="n">
        <v>1452</v>
      </c>
      <c r="J177" s="20" t="n">
        <v>1452</v>
      </c>
      <c r="K177" s="63" t="inlineStr">
        <is>
          <t>06/24/2025</t>
        </is>
      </c>
      <c r="L177" s="63" t="inlineStr">
        <is>
          <t>09/23/2026</t>
        </is>
      </c>
      <c r="M177" s="63" t="inlineStr">
        <is>
          <t>06/20/2025</t>
        </is>
      </c>
      <c r="O177" s="20" t="n">
        <v>1452</v>
      </c>
      <c r="P177" s="20" t="n"/>
      <c r="Q177" s="20" t="n">
        <v>75</v>
      </c>
      <c r="R177" s="20" t="n"/>
      <c r="S177" s="20" t="n"/>
      <c r="T177" s="20" t="n"/>
      <c r="U177" s="20" t="n">
        <v>1</v>
      </c>
      <c r="V177" s="20" t="n"/>
      <c r="W177" s="20" t="n"/>
      <c r="X177" s="20" t="n"/>
      <c r="Y177" s="20" t="n"/>
      <c r="Z177" s="20" t="n"/>
    </row>
    <row r="178">
      <c r="A178" s="64" t="inlineStr">
        <is>
          <t>1336</t>
        </is>
      </c>
      <c r="B178" s="64" t="inlineStr">
        <is>
          <t>B1</t>
        </is>
      </c>
      <c r="C178" s="11" t="n">
        <v>947</v>
      </c>
      <c r="D178" s="10" t="n">
        <v>2</v>
      </c>
      <c r="E178" s="10" t="n">
        <v>2</v>
      </c>
      <c r="F178" s="65" t="inlineStr">
        <is>
          <t>Market</t>
        </is>
      </c>
      <c r="G178" s="65" t="inlineStr">
        <is>
          <t>Occupied</t>
        </is>
      </c>
      <c r="H178" s="11" t="n">
        <v>1372</v>
      </c>
      <c r="I178" s="11" t="n">
        <v>1456</v>
      </c>
      <c r="J178" s="11" t="n">
        <v>1456</v>
      </c>
      <c r="K178" s="66" t="inlineStr">
        <is>
          <t>07/25/2025</t>
        </is>
      </c>
      <c r="L178" s="66" t="inlineStr">
        <is>
          <t>10/24/2026</t>
        </is>
      </c>
      <c r="M178" s="66" t="inlineStr">
        <is>
          <t>02/25/2023</t>
        </is>
      </c>
      <c r="O178" s="11" t="n">
        <v>1456</v>
      </c>
      <c r="P178" s="11" t="n"/>
      <c r="Q178" s="11" t="n"/>
      <c r="R178" s="11" t="n"/>
      <c r="S178" s="11" t="n"/>
      <c r="T178" s="11" t="n"/>
      <c r="U178" s="11" t="n">
        <v>1</v>
      </c>
      <c r="V178" s="11" t="n"/>
      <c r="W178" s="11" t="n"/>
      <c r="X178" s="11" t="n"/>
      <c r="Y178" s="11" t="n"/>
      <c r="Z178" s="11" t="n"/>
    </row>
    <row r="179">
      <c r="A179" s="61" t="inlineStr">
        <is>
          <t>1337</t>
        </is>
      </c>
      <c r="B179" s="61" t="inlineStr">
        <is>
          <t>B1R</t>
        </is>
      </c>
      <c r="C179" s="20" t="n">
        <v>947</v>
      </c>
      <c r="D179" s="19" t="n">
        <v>2</v>
      </c>
      <c r="E179" s="19" t="n">
        <v>2</v>
      </c>
      <c r="F179" s="62" t="inlineStr">
        <is>
          <t>Market</t>
        </is>
      </c>
      <c r="G179" s="62" t="inlineStr">
        <is>
          <t>Vacant</t>
        </is>
      </c>
      <c r="H179" s="20" t="n">
        <v>1547</v>
      </c>
      <c r="I179" s="20" t="n">
        <v>0</v>
      </c>
      <c r="J179" s="20" t="n">
        <v>0</v>
      </c>
      <c r="K179" s="63" t="n"/>
      <c r="L179" s="63" t="n"/>
      <c r="M179" s="63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>
      <c r="A180" s="64" t="inlineStr">
        <is>
          <t>1421</t>
        </is>
      </c>
      <c r="B180" s="64" t="inlineStr">
        <is>
          <t>B2</t>
        </is>
      </c>
      <c r="C180" s="11" t="n">
        <v>1040</v>
      </c>
      <c r="D180" s="10" t="n">
        <v>2</v>
      </c>
      <c r="E180" s="10" t="n">
        <v>2</v>
      </c>
      <c r="F180" s="65" t="inlineStr">
        <is>
          <t>Market</t>
        </is>
      </c>
      <c r="G180" s="65" t="inlineStr">
        <is>
          <t>Occupied</t>
        </is>
      </c>
      <c r="H180" s="11" t="n">
        <v>1611</v>
      </c>
      <c r="I180" s="11" t="n">
        <v>1638</v>
      </c>
      <c r="J180" s="11" t="n">
        <v>1638</v>
      </c>
      <c r="K180" s="66" t="inlineStr">
        <is>
          <t>05/04/2026</t>
        </is>
      </c>
      <c r="L180" s="66" t="inlineStr">
        <is>
          <t>05/03/2027</t>
        </is>
      </c>
      <c r="M180" s="66" t="inlineStr">
        <is>
          <t>05/04/2026</t>
        </is>
      </c>
      <c r="O180" s="11" t="n">
        <v>1638</v>
      </c>
      <c r="P180" s="11" t="n">
        <v>35</v>
      </c>
      <c r="Q180" s="11" t="n"/>
      <c r="R180" s="11" t="n"/>
      <c r="S180" s="11" t="n"/>
      <c r="T180" s="11" t="n"/>
      <c r="U180" s="11" t="n">
        <v>3</v>
      </c>
      <c r="V180" s="11" t="n"/>
      <c r="W180" s="11" t="n"/>
      <c r="X180" s="11" t="n"/>
      <c r="Y180" s="11" t="n"/>
      <c r="Z180" s="11" t="n"/>
    </row>
    <row r="181">
      <c r="A181" s="61" t="inlineStr">
        <is>
          <t>1422</t>
        </is>
      </c>
      <c r="B181" s="61" t="inlineStr">
        <is>
          <t>B2</t>
        </is>
      </c>
      <c r="C181" s="20" t="n">
        <v>1040</v>
      </c>
      <c r="D181" s="19" t="n">
        <v>2</v>
      </c>
      <c r="E181" s="19" t="n">
        <v>2</v>
      </c>
      <c r="F181" s="62" t="inlineStr">
        <is>
          <t>Market</t>
        </is>
      </c>
      <c r="G181" s="62" t="inlineStr">
        <is>
          <t>Occupied</t>
        </is>
      </c>
      <c r="H181" s="20" t="n">
        <v>1701</v>
      </c>
      <c r="I181" s="20" t="n">
        <v>1531</v>
      </c>
      <c r="J181" s="20" t="n">
        <v>1531</v>
      </c>
      <c r="K181" s="63" t="inlineStr">
        <is>
          <t>01/01/2026</t>
        </is>
      </c>
      <c r="L181" s="63" t="inlineStr">
        <is>
          <t>12/31/2026</t>
        </is>
      </c>
      <c r="M181" s="63" t="inlineStr">
        <is>
          <t>09/05/2025</t>
        </is>
      </c>
      <c r="O181" s="20" t="n">
        <v>1531</v>
      </c>
      <c r="P181" s="20" t="n"/>
      <c r="Q181" s="20" t="n"/>
      <c r="R181" s="20" t="n">
        <v>-612.4</v>
      </c>
      <c r="S181" s="20" t="n"/>
      <c r="T181" s="20" t="n"/>
      <c r="U181" s="20" t="n">
        <v>1</v>
      </c>
      <c r="V181" s="20" t="n"/>
      <c r="W181" s="20" t="n"/>
      <c r="X181" s="20" t="n"/>
      <c r="Y181" s="20" t="n"/>
      <c r="Z181" s="20" t="n"/>
    </row>
    <row r="182">
      <c r="A182" s="64" t="inlineStr">
        <is>
          <t>1511</t>
        </is>
      </c>
      <c r="B182" s="64" t="inlineStr">
        <is>
          <t>B4</t>
        </is>
      </c>
      <c r="C182" s="11" t="n">
        <v>1187</v>
      </c>
      <c r="D182" s="10" t="n">
        <v>2</v>
      </c>
      <c r="E182" s="10" t="n">
        <v>2</v>
      </c>
      <c r="F182" s="65" t="inlineStr">
        <is>
          <t>Market</t>
        </is>
      </c>
      <c r="G182" s="65" t="inlineStr">
        <is>
          <t>Occupied</t>
        </is>
      </c>
      <c r="H182" s="11" t="n">
        <v>1691</v>
      </c>
      <c r="I182" s="11" t="n">
        <v>1773</v>
      </c>
      <c r="J182" s="11" t="n">
        <v>1773</v>
      </c>
      <c r="K182" s="66" t="inlineStr">
        <is>
          <t>05/05/2026</t>
        </is>
      </c>
      <c r="L182" s="66" t="inlineStr">
        <is>
          <t>08/04/2027</t>
        </is>
      </c>
      <c r="M182" s="66" t="inlineStr">
        <is>
          <t>07/22/2020</t>
        </is>
      </c>
      <c r="O182" s="11" t="n">
        <v>1773</v>
      </c>
      <c r="P182" s="11" t="n">
        <v>35</v>
      </c>
      <c r="Q182" s="11" t="n"/>
      <c r="R182" s="11" t="n"/>
      <c r="S182" s="11" t="n">
        <v>-300</v>
      </c>
      <c r="T182" s="11" t="n">
        <v>45</v>
      </c>
      <c r="U182" s="11" t="n">
        <v>3</v>
      </c>
      <c r="V182" s="11" t="n"/>
      <c r="W182" s="11" t="n"/>
      <c r="X182" s="11" t="n"/>
      <c r="Y182" s="11" t="n"/>
      <c r="Z182" s="11" t="n"/>
    </row>
    <row r="183">
      <c r="A183" s="61" t="inlineStr">
        <is>
          <t>1512</t>
        </is>
      </c>
      <c r="B183" s="61" t="inlineStr">
        <is>
          <t>B1R</t>
        </is>
      </c>
      <c r="C183" s="20" t="n">
        <v>947</v>
      </c>
      <c r="D183" s="19" t="n">
        <v>2</v>
      </c>
      <c r="E183" s="19" t="n">
        <v>2</v>
      </c>
      <c r="F183" s="62" t="inlineStr">
        <is>
          <t>Market</t>
        </is>
      </c>
      <c r="G183" s="62" t="inlineStr">
        <is>
          <t>Occupied</t>
        </is>
      </c>
      <c r="H183" s="20" t="n">
        <v>1552</v>
      </c>
      <c r="I183" s="20" t="n">
        <v>1626</v>
      </c>
      <c r="J183" s="20" t="n">
        <v>1626</v>
      </c>
      <c r="K183" s="63" t="inlineStr">
        <is>
          <t>10/10/2025</t>
        </is>
      </c>
      <c r="L183" s="63" t="inlineStr">
        <is>
          <t>11/09/2026</t>
        </is>
      </c>
      <c r="M183" s="63" t="inlineStr">
        <is>
          <t>10/10/2025</t>
        </is>
      </c>
      <c r="O183" s="20" t="n">
        <v>1626</v>
      </c>
      <c r="P183" s="20" t="n"/>
      <c r="Q183" s="20" t="n"/>
      <c r="R183" s="20" t="n"/>
      <c r="S183" s="20" t="n"/>
      <c r="T183" s="20" t="n"/>
      <c r="U183" s="20" t="n">
        <v>1</v>
      </c>
      <c r="V183" s="20" t="n"/>
      <c r="W183" s="20" t="n"/>
      <c r="X183" s="20" t="n"/>
      <c r="Y183" s="20" t="n"/>
      <c r="Z183" s="20" t="n"/>
    </row>
    <row r="184">
      <c r="A184" s="64" t="inlineStr">
        <is>
          <t>1513</t>
        </is>
      </c>
      <c r="B184" s="64" t="inlineStr">
        <is>
          <t>B1R</t>
        </is>
      </c>
      <c r="C184" s="11" t="n">
        <v>947</v>
      </c>
      <c r="D184" s="10" t="n">
        <v>2</v>
      </c>
      <c r="E184" s="10" t="n">
        <v>2</v>
      </c>
      <c r="F184" s="65" t="inlineStr">
        <is>
          <t>Market</t>
        </is>
      </c>
      <c r="G184" s="65" t="inlineStr">
        <is>
          <t>Occupied</t>
        </is>
      </c>
      <c r="H184" s="11" t="n">
        <v>1567</v>
      </c>
      <c r="I184" s="11" t="n">
        <v>1621</v>
      </c>
      <c r="J184" s="11" t="n">
        <v>1621</v>
      </c>
      <c r="K184" s="66" t="inlineStr">
        <is>
          <t>07/31/2025</t>
        </is>
      </c>
      <c r="L184" s="66" t="inlineStr">
        <is>
          <t>07/30/2026</t>
        </is>
      </c>
      <c r="M184" s="66" t="inlineStr">
        <is>
          <t>07/31/2025</t>
        </is>
      </c>
      <c r="O184" s="11" t="n">
        <v>1621</v>
      </c>
      <c r="P184" s="11" t="n"/>
      <c r="Q184" s="11" t="n"/>
      <c r="R184" s="11" t="n"/>
      <c r="S184" s="11" t="n"/>
      <c r="T184" s="11" t="n"/>
      <c r="U184" s="11" t="n">
        <v>1</v>
      </c>
      <c r="V184" s="11" t="n"/>
      <c r="W184" s="11" t="n"/>
      <c r="X184" s="11" t="n"/>
      <c r="Y184" s="11" t="n"/>
      <c r="Z184" s="11" t="n"/>
    </row>
    <row r="185">
      <c r="A185" s="61" t="inlineStr">
        <is>
          <t>1514</t>
        </is>
      </c>
      <c r="B185" s="61" t="inlineStr">
        <is>
          <t>B4R</t>
        </is>
      </c>
      <c r="C185" s="20" t="n">
        <v>1187</v>
      </c>
      <c r="D185" s="19" t="n">
        <v>2</v>
      </c>
      <c r="E185" s="19" t="n">
        <v>2</v>
      </c>
      <c r="F185" s="62" t="inlineStr">
        <is>
          <t>Market</t>
        </is>
      </c>
      <c r="G185" s="62" t="inlineStr">
        <is>
          <t>Occupied</t>
        </is>
      </c>
      <c r="H185" s="20" t="n">
        <v>1831</v>
      </c>
      <c r="I185" s="20" t="n">
        <v>1787</v>
      </c>
      <c r="J185" s="20" t="n">
        <v>1787</v>
      </c>
      <c r="K185" s="63" t="inlineStr">
        <is>
          <t>05/22/2026</t>
        </is>
      </c>
      <c r="L185" s="63" t="inlineStr">
        <is>
          <t>07/21/2027</t>
        </is>
      </c>
      <c r="M185" s="63" t="inlineStr">
        <is>
          <t>02/15/2025</t>
        </is>
      </c>
      <c r="O185" s="20" t="n">
        <v>1787</v>
      </c>
      <c r="P185" s="20" t="n">
        <v>35</v>
      </c>
      <c r="Q185" s="20" t="n"/>
      <c r="R185" s="20" t="n"/>
      <c r="S185" s="20" t="n"/>
      <c r="T185" s="20" t="n"/>
      <c r="U185" s="20" t="n">
        <v>3</v>
      </c>
      <c r="V185" s="20" t="n"/>
      <c r="W185" s="20" t="n"/>
      <c r="X185" s="20" t="n"/>
      <c r="Y185" s="20" t="n"/>
      <c r="Z185" s="20" t="n"/>
    </row>
    <row r="186">
      <c r="A186" s="64" t="inlineStr">
        <is>
          <t>1515</t>
        </is>
      </c>
      <c r="B186" s="64" t="inlineStr">
        <is>
          <t>B4R</t>
        </is>
      </c>
      <c r="C186" s="11" t="n">
        <v>1187</v>
      </c>
      <c r="D186" s="10" t="n">
        <v>2</v>
      </c>
      <c r="E186" s="10" t="n">
        <v>2</v>
      </c>
      <c r="F186" s="65" t="inlineStr">
        <is>
          <t>Market</t>
        </is>
      </c>
      <c r="G186" s="65" t="inlineStr">
        <is>
          <t>Occupied</t>
        </is>
      </c>
      <c r="H186" s="11" t="n">
        <v>1816</v>
      </c>
      <c r="I186" s="11" t="n">
        <v>1543</v>
      </c>
      <c r="J186" s="11" t="n">
        <v>1543</v>
      </c>
      <c r="K186" s="66" t="inlineStr">
        <is>
          <t>01/21/2026</t>
        </is>
      </c>
      <c r="L186" s="66" t="inlineStr">
        <is>
          <t>04/27/2027</t>
        </is>
      </c>
      <c r="M186" s="66" t="inlineStr">
        <is>
          <t>01/21/2026</t>
        </is>
      </c>
      <c r="O186" s="11" t="n">
        <v>1543</v>
      </c>
      <c r="P186" s="11" t="n">
        <v>35</v>
      </c>
      <c r="Q186" s="11" t="n"/>
      <c r="R186" s="11" t="n"/>
      <c r="S186" s="11" t="n"/>
      <c r="T186" s="11" t="n"/>
      <c r="U186" s="11" t="n">
        <v>3</v>
      </c>
      <c r="V186" s="11" t="n"/>
      <c r="W186" s="11" t="n"/>
      <c r="X186" s="11" t="n"/>
      <c r="Y186" s="11" t="n"/>
      <c r="Z186" s="11" t="n"/>
    </row>
    <row r="187">
      <c r="A187" s="61" t="inlineStr">
        <is>
          <t>1516</t>
        </is>
      </c>
      <c r="B187" s="61" t="inlineStr">
        <is>
          <t>B1R</t>
        </is>
      </c>
      <c r="C187" s="20" t="n">
        <v>947</v>
      </c>
      <c r="D187" s="19" t="n">
        <v>2</v>
      </c>
      <c r="E187" s="19" t="n">
        <v>2</v>
      </c>
      <c r="F187" s="62" t="inlineStr">
        <is>
          <t>Market</t>
        </is>
      </c>
      <c r="G187" s="62" t="inlineStr">
        <is>
          <t>Occupied</t>
        </is>
      </c>
      <c r="H187" s="20" t="n">
        <v>1552</v>
      </c>
      <c r="I187" s="20" t="n">
        <v>1449</v>
      </c>
      <c r="J187" s="20" t="n">
        <v>1449</v>
      </c>
      <c r="K187" s="63" t="inlineStr">
        <is>
          <t>03/31/2026</t>
        </is>
      </c>
      <c r="L187" s="63" t="inlineStr">
        <is>
          <t>06/29/2027</t>
        </is>
      </c>
      <c r="M187" s="63" t="inlineStr">
        <is>
          <t>03/31/2026</t>
        </is>
      </c>
      <c r="O187" s="20" t="n">
        <v>1449</v>
      </c>
      <c r="P187" s="20" t="n">
        <v>35</v>
      </c>
      <c r="Q187" s="20" t="n"/>
      <c r="R187" s="20" t="n"/>
      <c r="S187" s="20" t="n"/>
      <c r="T187" s="20" t="n"/>
      <c r="U187" s="20" t="n">
        <v>3</v>
      </c>
      <c r="V187" s="20" t="n"/>
      <c r="W187" s="20" t="n"/>
      <c r="X187" s="20" t="n"/>
      <c r="Y187" s="20" t="n"/>
      <c r="Z187" s="20" t="n"/>
    </row>
    <row r="188">
      <c r="A188" s="64" t="inlineStr">
        <is>
          <t>1517</t>
        </is>
      </c>
      <c r="B188" s="64" t="inlineStr">
        <is>
          <t>B1</t>
        </is>
      </c>
      <c r="C188" s="11" t="n">
        <v>947</v>
      </c>
      <c r="D188" s="10" t="n">
        <v>2</v>
      </c>
      <c r="E188" s="10" t="n">
        <v>2</v>
      </c>
      <c r="F188" s="65" t="inlineStr">
        <is>
          <t>Market</t>
        </is>
      </c>
      <c r="G188" s="65" t="inlineStr">
        <is>
          <t>Vacant</t>
        </is>
      </c>
      <c r="H188" s="11" t="n">
        <v>1417</v>
      </c>
      <c r="I188" s="11" t="n">
        <v>0</v>
      </c>
      <c r="J188" s="11" t="n">
        <v>0</v>
      </c>
      <c r="K188" s="66" t="n"/>
      <c r="L188" s="66" t="n"/>
      <c r="M188" s="66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61" t="inlineStr">
        <is>
          <t>1518</t>
        </is>
      </c>
      <c r="B189" s="61" t="inlineStr">
        <is>
          <t>B4R</t>
        </is>
      </c>
      <c r="C189" s="20" t="n">
        <v>1187</v>
      </c>
      <c r="D189" s="19" t="n">
        <v>2</v>
      </c>
      <c r="E189" s="19" t="n">
        <v>2</v>
      </c>
      <c r="F189" s="62" t="inlineStr">
        <is>
          <t>Market</t>
        </is>
      </c>
      <c r="G189" s="62" t="inlineStr">
        <is>
          <t>Occupied</t>
        </is>
      </c>
      <c r="H189" s="20" t="n">
        <v>1831</v>
      </c>
      <c r="I189" s="20" t="n">
        <v>1861</v>
      </c>
      <c r="J189" s="20" t="n">
        <v>1861</v>
      </c>
      <c r="K189" s="63" t="inlineStr">
        <is>
          <t>10/05/2025</t>
        </is>
      </c>
      <c r="L189" s="63" t="inlineStr">
        <is>
          <t>12/04/2026</t>
        </is>
      </c>
      <c r="M189" s="63" t="inlineStr">
        <is>
          <t>07/05/2024</t>
        </is>
      </c>
      <c r="O189" s="20" t="n">
        <v>1861</v>
      </c>
      <c r="P189" s="20" t="n"/>
      <c r="Q189" s="20" t="n">
        <v>100</v>
      </c>
      <c r="R189" s="20" t="n"/>
      <c r="S189" s="20" t="n"/>
      <c r="T189" s="20" t="n"/>
      <c r="U189" s="20" t="n">
        <v>1</v>
      </c>
      <c r="V189" s="20" t="n"/>
      <c r="W189" s="20" t="n"/>
      <c r="X189" s="20" t="n"/>
      <c r="Y189" s="20" t="n"/>
      <c r="Z189" s="20" t="n"/>
    </row>
    <row r="190">
      <c r="A190" s="64" t="inlineStr">
        <is>
          <t>1521</t>
        </is>
      </c>
      <c r="B190" s="64" t="inlineStr">
        <is>
          <t>B4</t>
        </is>
      </c>
      <c r="C190" s="11" t="n">
        <v>1187</v>
      </c>
      <c r="D190" s="10" t="n">
        <v>2</v>
      </c>
      <c r="E190" s="10" t="n">
        <v>2</v>
      </c>
      <c r="F190" s="65" t="inlineStr">
        <is>
          <t>Market</t>
        </is>
      </c>
      <c r="G190" s="65" t="inlineStr">
        <is>
          <t>Occupied</t>
        </is>
      </c>
      <c r="H190" s="11" t="n">
        <v>1596</v>
      </c>
      <c r="I190" s="11" t="n">
        <v>1469</v>
      </c>
      <c r="J190" s="11" t="n">
        <v>1469</v>
      </c>
      <c r="K190" s="66" t="inlineStr">
        <is>
          <t>09/04/2025</t>
        </is>
      </c>
      <c r="L190" s="66" t="inlineStr">
        <is>
          <t>11/02/2026</t>
        </is>
      </c>
      <c r="M190" s="66" t="inlineStr">
        <is>
          <t>09/04/2025</t>
        </is>
      </c>
      <c r="O190" s="11" t="n">
        <v>1469</v>
      </c>
      <c r="P190" s="11" t="n"/>
      <c r="Q190" s="11" t="n"/>
      <c r="R190" s="11" t="n"/>
      <c r="S190" s="11" t="n"/>
      <c r="T190" s="11" t="n"/>
      <c r="U190" s="11" t="n">
        <v>1</v>
      </c>
      <c r="V190" s="11" t="n"/>
      <c r="W190" s="11" t="n"/>
      <c r="X190" s="11" t="n"/>
      <c r="Y190" s="11" t="n"/>
      <c r="Z190" s="11" t="n"/>
    </row>
    <row r="191">
      <c r="A191" s="61" t="inlineStr">
        <is>
          <t>1522</t>
        </is>
      </c>
      <c r="B191" s="61" t="inlineStr">
        <is>
          <t>B1R</t>
        </is>
      </c>
      <c r="C191" s="20" t="n">
        <v>947</v>
      </c>
      <c r="D191" s="19" t="n">
        <v>2</v>
      </c>
      <c r="E191" s="19" t="n">
        <v>2</v>
      </c>
      <c r="F191" s="62" t="inlineStr">
        <is>
          <t>Market</t>
        </is>
      </c>
      <c r="G191" s="62" t="inlineStr">
        <is>
          <t>Occupied</t>
        </is>
      </c>
      <c r="H191" s="20" t="n">
        <v>1532</v>
      </c>
      <c r="I191" s="20" t="n">
        <v>1587</v>
      </c>
      <c r="J191" s="20" t="n">
        <v>1587</v>
      </c>
      <c r="K191" s="63" t="inlineStr">
        <is>
          <t>08/23/2025</t>
        </is>
      </c>
      <c r="L191" s="63" t="inlineStr">
        <is>
          <t>11/22/2026</t>
        </is>
      </c>
      <c r="M191" s="63" t="inlineStr">
        <is>
          <t>08/23/2025</t>
        </is>
      </c>
      <c r="O191" s="20" t="n">
        <v>1587</v>
      </c>
      <c r="P191" s="20" t="n"/>
      <c r="Q191" s="20" t="n"/>
      <c r="R191" s="20" t="n"/>
      <c r="S191" s="20" t="n"/>
      <c r="T191" s="20" t="n"/>
      <c r="U191" s="20" t="n">
        <v>1</v>
      </c>
      <c r="V191" s="20" t="n"/>
      <c r="W191" s="20" t="n"/>
      <c r="X191" s="20" t="n"/>
      <c r="Y191" s="20" t="n"/>
      <c r="Z191" s="20" t="n"/>
    </row>
    <row r="192">
      <c r="A192" s="64" t="inlineStr">
        <is>
          <t>1523</t>
        </is>
      </c>
      <c r="B192" s="64" t="inlineStr">
        <is>
          <t>B1R</t>
        </is>
      </c>
      <c r="C192" s="11" t="n">
        <v>947</v>
      </c>
      <c r="D192" s="10" t="n">
        <v>2</v>
      </c>
      <c r="E192" s="10" t="n">
        <v>2</v>
      </c>
      <c r="F192" s="65" t="inlineStr">
        <is>
          <t>Market</t>
        </is>
      </c>
      <c r="G192" s="65" t="inlineStr">
        <is>
          <t>Occupied</t>
        </is>
      </c>
      <c r="H192" s="11" t="n">
        <v>1547</v>
      </c>
      <c r="I192" s="11" t="n">
        <v>1588</v>
      </c>
      <c r="J192" s="11" t="n">
        <v>1588</v>
      </c>
      <c r="K192" s="66" t="inlineStr">
        <is>
          <t>10/13/2025</t>
        </is>
      </c>
      <c r="L192" s="66" t="inlineStr">
        <is>
          <t>12/12/2026</t>
        </is>
      </c>
      <c r="M192" s="66" t="inlineStr">
        <is>
          <t>07/20/2024</t>
        </is>
      </c>
      <c r="O192" s="11" t="n">
        <v>1588</v>
      </c>
      <c r="P192" s="11" t="n"/>
      <c r="Q192" s="11" t="n"/>
      <c r="R192" s="11" t="n"/>
      <c r="S192" s="11" t="n"/>
      <c r="T192" s="11" t="n"/>
      <c r="U192" s="11" t="n">
        <v>1</v>
      </c>
      <c r="V192" s="11" t="n"/>
      <c r="W192" s="11" t="n"/>
      <c r="X192" s="11" t="n"/>
      <c r="Y192" s="11" t="n"/>
      <c r="Z192" s="11" t="n"/>
    </row>
    <row r="193">
      <c r="A193" s="61" t="inlineStr">
        <is>
          <t>1524</t>
        </is>
      </c>
      <c r="B193" s="61" t="inlineStr">
        <is>
          <t>B4</t>
        </is>
      </c>
      <c r="C193" s="20" t="n">
        <v>1187</v>
      </c>
      <c r="D193" s="19" t="n">
        <v>2</v>
      </c>
      <c r="E193" s="19" t="n">
        <v>2</v>
      </c>
      <c r="F193" s="62" t="inlineStr">
        <is>
          <t>Market</t>
        </is>
      </c>
      <c r="G193" s="62" t="inlineStr">
        <is>
          <t>Occupied</t>
        </is>
      </c>
      <c r="H193" s="20" t="n">
        <v>1611</v>
      </c>
      <c r="I193" s="20" t="n">
        <v>1341</v>
      </c>
      <c r="J193" s="20" t="n">
        <v>1341</v>
      </c>
      <c r="K193" s="63" t="inlineStr">
        <is>
          <t>12/22/2025</t>
        </is>
      </c>
      <c r="L193" s="63" t="inlineStr">
        <is>
          <t>03/14/2027</t>
        </is>
      </c>
      <c r="M193" s="63" t="inlineStr">
        <is>
          <t>12/22/2025</t>
        </is>
      </c>
      <c r="O193" s="20" t="n">
        <v>1341</v>
      </c>
      <c r="P193" s="20" t="n">
        <v>35</v>
      </c>
      <c r="Q193" s="20" t="n"/>
      <c r="R193" s="20" t="n"/>
      <c r="S193" s="20" t="n"/>
      <c r="T193" s="20" t="n">
        <v>45</v>
      </c>
      <c r="U193" s="20" t="n">
        <v>3</v>
      </c>
      <c r="V193" s="20" t="n"/>
      <c r="W193" s="20" t="n"/>
      <c r="X193" s="20" t="n"/>
      <c r="Y193" s="20" t="n"/>
      <c r="Z193" s="20" t="n"/>
    </row>
    <row r="194">
      <c r="A194" s="64" t="inlineStr">
        <is>
          <t>1525</t>
        </is>
      </c>
      <c r="B194" s="64" t="inlineStr">
        <is>
          <t>B4</t>
        </is>
      </c>
      <c r="C194" s="11" t="n">
        <v>1187</v>
      </c>
      <c r="D194" s="10" t="n">
        <v>2</v>
      </c>
      <c r="E194" s="10" t="n">
        <v>2</v>
      </c>
      <c r="F194" s="65" t="inlineStr">
        <is>
          <t>Market</t>
        </is>
      </c>
      <c r="G194" s="65" t="inlineStr">
        <is>
          <t>Occupied</t>
        </is>
      </c>
      <c r="H194" s="11" t="n">
        <v>1596</v>
      </c>
      <c r="I194" s="11" t="n">
        <v>1223</v>
      </c>
      <c r="J194" s="11" t="n">
        <v>1223</v>
      </c>
      <c r="K194" s="66" t="inlineStr">
        <is>
          <t>12/05/2025</t>
        </is>
      </c>
      <c r="L194" s="66" t="inlineStr">
        <is>
          <t>02/04/2027</t>
        </is>
      </c>
      <c r="M194" s="66" t="inlineStr">
        <is>
          <t>12/05/2025</t>
        </is>
      </c>
      <c r="O194" s="11" t="n">
        <v>1223</v>
      </c>
      <c r="P194" s="11" t="n"/>
      <c r="Q194" s="11" t="n"/>
      <c r="R194" s="11" t="n"/>
      <c r="S194" s="11" t="n"/>
      <c r="T194" s="11" t="n"/>
      <c r="U194" s="11" t="n">
        <v>3</v>
      </c>
      <c r="V194" s="11" t="n"/>
      <c r="W194" s="11" t="n"/>
      <c r="X194" s="11" t="n"/>
      <c r="Y194" s="11" t="n"/>
      <c r="Z194" s="11" t="n"/>
    </row>
    <row r="195">
      <c r="A195" s="61" t="inlineStr">
        <is>
          <t>1526</t>
        </is>
      </c>
      <c r="B195" s="61" t="inlineStr">
        <is>
          <t>B1</t>
        </is>
      </c>
      <c r="C195" s="20" t="n">
        <v>947</v>
      </c>
      <c r="D195" s="19" t="n">
        <v>2</v>
      </c>
      <c r="E195" s="19" t="n">
        <v>2</v>
      </c>
      <c r="F195" s="62" t="inlineStr">
        <is>
          <t>Market</t>
        </is>
      </c>
      <c r="G195" s="62" t="inlineStr">
        <is>
          <t>Occupied</t>
        </is>
      </c>
      <c r="H195" s="20" t="n">
        <v>1332</v>
      </c>
      <c r="I195" s="20" t="n">
        <v>1286</v>
      </c>
      <c r="J195" s="20" t="n">
        <v>1286</v>
      </c>
      <c r="K195" s="63" t="inlineStr">
        <is>
          <t>01/03/2026</t>
        </is>
      </c>
      <c r="L195" s="63" t="inlineStr">
        <is>
          <t>02/08/2027</t>
        </is>
      </c>
      <c r="M195" s="63" t="inlineStr">
        <is>
          <t>01/03/2026</t>
        </is>
      </c>
      <c r="O195" s="20" t="n">
        <v>1286</v>
      </c>
      <c r="P195" s="20" t="n"/>
      <c r="Q195" s="20" t="n"/>
      <c r="R195" s="20" t="n"/>
      <c r="S195" s="20" t="n"/>
      <c r="T195" s="20" t="n"/>
      <c r="U195" s="20" t="n">
        <v>3</v>
      </c>
      <c r="V195" s="20" t="n"/>
      <c r="W195" s="20" t="n"/>
      <c r="X195" s="20" t="n"/>
      <c r="Y195" s="20" t="n"/>
      <c r="Z195" s="20" t="n"/>
    </row>
    <row r="196">
      <c r="A196" s="64" t="inlineStr">
        <is>
          <t>1527</t>
        </is>
      </c>
      <c r="B196" s="64" t="inlineStr">
        <is>
          <t>B1</t>
        </is>
      </c>
      <c r="C196" s="11" t="n">
        <v>947</v>
      </c>
      <c r="D196" s="10" t="n">
        <v>2</v>
      </c>
      <c r="E196" s="10" t="n">
        <v>2</v>
      </c>
      <c r="F196" s="65" t="inlineStr">
        <is>
          <t>Market</t>
        </is>
      </c>
      <c r="G196" s="65" t="inlineStr">
        <is>
          <t>Occupied</t>
        </is>
      </c>
      <c r="H196" s="11" t="n">
        <v>1347</v>
      </c>
      <c r="I196" s="11" t="n">
        <v>1471</v>
      </c>
      <c r="J196" s="11" t="n">
        <v>1471</v>
      </c>
      <c r="K196" s="66" t="inlineStr">
        <is>
          <t>02/14/2026</t>
        </is>
      </c>
      <c r="L196" s="66" t="inlineStr">
        <is>
          <t>02/13/2027</t>
        </is>
      </c>
      <c r="M196" s="66" t="inlineStr">
        <is>
          <t>05/14/2025</t>
        </is>
      </c>
      <c r="O196" s="11" t="n">
        <v>1471</v>
      </c>
      <c r="P196" s="11" t="n"/>
      <c r="Q196" s="11" t="n"/>
      <c r="R196" s="11" t="n"/>
      <c r="S196" s="11" t="n"/>
      <c r="T196" s="11" t="n"/>
      <c r="U196" s="11" t="n">
        <v>3</v>
      </c>
      <c r="V196" s="11" t="n"/>
      <c r="W196" s="11" t="n"/>
      <c r="X196" s="11" t="n"/>
      <c r="Y196" s="11" t="n"/>
      <c r="Z196" s="11" t="n"/>
    </row>
    <row r="197">
      <c r="A197" s="61" t="inlineStr">
        <is>
          <t>1528</t>
        </is>
      </c>
      <c r="B197" s="61" t="inlineStr">
        <is>
          <t>B4</t>
        </is>
      </c>
      <c r="C197" s="20" t="n">
        <v>1187</v>
      </c>
      <c r="D197" s="19" t="n">
        <v>2</v>
      </c>
      <c r="E197" s="19" t="n">
        <v>2</v>
      </c>
      <c r="F197" s="62" t="inlineStr">
        <is>
          <t>Market</t>
        </is>
      </c>
      <c r="G197" s="62" t="inlineStr">
        <is>
          <t>Occupied</t>
        </is>
      </c>
      <c r="H197" s="20" t="n">
        <v>1801</v>
      </c>
      <c r="I197" s="20" t="n">
        <v>1560</v>
      </c>
      <c r="J197" s="20" t="n">
        <v>1560</v>
      </c>
      <c r="K197" s="63" t="inlineStr">
        <is>
          <t>12/27/2025</t>
        </is>
      </c>
      <c r="L197" s="63" t="inlineStr">
        <is>
          <t>03/26/2027</t>
        </is>
      </c>
      <c r="M197" s="63" t="inlineStr">
        <is>
          <t>11/27/2024</t>
        </is>
      </c>
      <c r="O197" s="20" t="n">
        <v>1560</v>
      </c>
      <c r="P197" s="20" t="n"/>
      <c r="Q197" s="20" t="n"/>
      <c r="R197" s="20" t="n"/>
      <c r="S197" s="20" t="n"/>
      <c r="T197" s="20" t="n"/>
      <c r="U197" s="20" t="n">
        <v>1</v>
      </c>
      <c r="V197" s="20" t="n"/>
      <c r="W197" s="20" t="n"/>
      <c r="X197" s="20" t="n"/>
      <c r="Y197" s="20" t="n"/>
      <c r="Z197" s="20" t="n"/>
    </row>
    <row r="198">
      <c r="A198" s="64" t="inlineStr">
        <is>
          <t>1532</t>
        </is>
      </c>
      <c r="B198" s="64" t="inlineStr">
        <is>
          <t>B1</t>
        </is>
      </c>
      <c r="C198" s="11" t="n">
        <v>947</v>
      </c>
      <c r="D198" s="10" t="n">
        <v>2</v>
      </c>
      <c r="E198" s="10" t="n">
        <v>2</v>
      </c>
      <c r="F198" s="65" t="inlineStr">
        <is>
          <t>Market</t>
        </is>
      </c>
      <c r="G198" s="65" t="inlineStr">
        <is>
          <t>Occupied</t>
        </is>
      </c>
      <c r="H198" s="11" t="n">
        <v>1332</v>
      </c>
      <c r="I198" s="11" t="n">
        <v>1374</v>
      </c>
      <c r="J198" s="11" t="n">
        <v>1374</v>
      </c>
      <c r="K198" s="66" t="inlineStr">
        <is>
          <t>05/29/2025</t>
        </is>
      </c>
      <c r="L198" s="66" t="inlineStr">
        <is>
          <t>06/04/2026</t>
        </is>
      </c>
      <c r="M198" s="66" t="inlineStr">
        <is>
          <t>08/29/2020</t>
        </is>
      </c>
      <c r="O198" s="11" t="n">
        <v>1374</v>
      </c>
      <c r="P198" s="11" t="n"/>
      <c r="Q198" s="11" t="n"/>
      <c r="R198" s="11" t="n"/>
      <c r="S198" s="11" t="n"/>
      <c r="T198" s="11" t="n">
        <v>45</v>
      </c>
      <c r="U198" s="11" t="n">
        <v>1</v>
      </c>
      <c r="V198" s="11" t="n"/>
      <c r="W198" s="11" t="n"/>
      <c r="X198" s="11" t="n"/>
      <c r="Y198" s="11" t="n"/>
      <c r="Z198" s="11" t="n"/>
    </row>
    <row r="199">
      <c r="A199" s="61" t="inlineStr">
        <is>
          <t>1533</t>
        </is>
      </c>
      <c r="B199" s="61" t="inlineStr">
        <is>
          <t>B1</t>
        </is>
      </c>
      <c r="C199" s="20" t="n">
        <v>947</v>
      </c>
      <c r="D199" s="19" t="n">
        <v>2</v>
      </c>
      <c r="E199" s="19" t="n">
        <v>2</v>
      </c>
      <c r="F199" s="62" t="inlineStr">
        <is>
          <t>Market</t>
        </is>
      </c>
      <c r="G199" s="62" t="inlineStr">
        <is>
          <t>Occupied</t>
        </is>
      </c>
      <c r="H199" s="20" t="n">
        <v>1497</v>
      </c>
      <c r="I199" s="20" t="n">
        <v>1399</v>
      </c>
      <c r="J199" s="20" t="n">
        <v>1399</v>
      </c>
      <c r="K199" s="63" t="inlineStr">
        <is>
          <t>03/11/2025</t>
        </is>
      </c>
      <c r="L199" s="63" t="inlineStr">
        <is>
          <t>06/10/2026</t>
        </is>
      </c>
      <c r="M199" s="63" t="inlineStr">
        <is>
          <t>12/11/2023</t>
        </is>
      </c>
      <c r="O199" s="20" t="n">
        <v>1399</v>
      </c>
      <c r="P199" s="20" t="n"/>
      <c r="Q199" s="20" t="n"/>
      <c r="R199" s="20" t="n"/>
      <c r="S199" s="20" t="n"/>
      <c r="T199" s="20" t="n"/>
      <c r="U199" s="20" t="n">
        <v>1</v>
      </c>
      <c r="V199" s="20" t="n"/>
      <c r="W199" s="20" t="n"/>
      <c r="X199" s="20" t="n"/>
      <c r="Y199" s="20" t="n"/>
      <c r="Z199" s="20" t="n"/>
    </row>
    <row r="200">
      <c r="A200" s="64" t="inlineStr">
        <is>
          <t>1536</t>
        </is>
      </c>
      <c r="B200" s="64" t="inlineStr">
        <is>
          <t>B1</t>
        </is>
      </c>
      <c r="C200" s="11" t="n">
        <v>947</v>
      </c>
      <c r="D200" s="10" t="n">
        <v>2</v>
      </c>
      <c r="E200" s="10" t="n">
        <v>2</v>
      </c>
      <c r="F200" s="65" t="inlineStr">
        <is>
          <t>Market</t>
        </is>
      </c>
      <c r="G200" s="65" t="inlineStr">
        <is>
          <t>Occupied</t>
        </is>
      </c>
      <c r="H200" s="11" t="n">
        <v>1372</v>
      </c>
      <c r="I200" s="11" t="n">
        <v>1549</v>
      </c>
      <c r="J200" s="11" t="n">
        <v>1549</v>
      </c>
      <c r="K200" s="66" t="inlineStr">
        <is>
          <t>09/30/2025</t>
        </is>
      </c>
      <c r="L200" s="66" t="inlineStr">
        <is>
          <t>12/29/2026</t>
        </is>
      </c>
      <c r="M200" s="66" t="inlineStr">
        <is>
          <t>03/31/2023</t>
        </is>
      </c>
      <c r="O200" s="11" t="n">
        <v>1549</v>
      </c>
      <c r="P200" s="11" t="n"/>
      <c r="Q200" s="11" t="n"/>
      <c r="R200" s="11" t="n"/>
      <c r="S200" s="11" t="n"/>
      <c r="T200" s="11" t="n"/>
      <c r="U200" s="11" t="n">
        <v>1</v>
      </c>
      <c r="V200" s="11" t="n"/>
      <c r="W200" s="11" t="n"/>
      <c r="X200" s="11" t="n"/>
      <c r="Y200" s="11" t="n"/>
      <c r="Z200" s="11" t="n"/>
    </row>
    <row r="201">
      <c r="A201" s="61" t="inlineStr">
        <is>
          <t>1537</t>
        </is>
      </c>
      <c r="B201" s="61" t="inlineStr">
        <is>
          <t>B1</t>
        </is>
      </c>
      <c r="C201" s="20" t="n">
        <v>947</v>
      </c>
      <c r="D201" s="19" t="n">
        <v>2</v>
      </c>
      <c r="E201" s="19" t="n">
        <v>2</v>
      </c>
      <c r="F201" s="62" t="inlineStr">
        <is>
          <t>Market</t>
        </is>
      </c>
      <c r="G201" s="62" t="inlineStr">
        <is>
          <t>Occupied</t>
        </is>
      </c>
      <c r="H201" s="20" t="n">
        <v>1387</v>
      </c>
      <c r="I201" s="20" t="n">
        <v>1361</v>
      </c>
      <c r="J201" s="20" t="n">
        <v>1361</v>
      </c>
      <c r="K201" s="63" t="inlineStr">
        <is>
          <t>01/31/2026</t>
        </is>
      </c>
      <c r="L201" s="63" t="inlineStr">
        <is>
          <t>02/06/2027</t>
        </is>
      </c>
      <c r="M201" s="63" t="inlineStr">
        <is>
          <t>01/31/2025</t>
        </is>
      </c>
      <c r="O201" s="20" t="n">
        <v>1361</v>
      </c>
      <c r="P201" s="20" t="n"/>
      <c r="Q201" s="20" t="n"/>
      <c r="R201" s="20" t="n"/>
      <c r="S201" s="20" t="n"/>
      <c r="T201" s="20" t="n"/>
      <c r="U201" s="20" t="n">
        <v>3</v>
      </c>
      <c r="V201" s="20" t="n"/>
      <c r="W201" s="20" t="n"/>
      <c r="X201" s="20" t="n"/>
      <c r="Y201" s="20" t="n"/>
      <c r="Z201" s="20" t="n"/>
    </row>
    <row r="202">
      <c r="A202" s="64" t="inlineStr">
        <is>
          <t>1621</t>
        </is>
      </c>
      <c r="B202" s="64" t="inlineStr">
        <is>
          <t>B2</t>
        </is>
      </c>
      <c r="C202" s="11" t="n">
        <v>1040</v>
      </c>
      <c r="D202" s="10" t="n">
        <v>2</v>
      </c>
      <c r="E202" s="10" t="n">
        <v>2</v>
      </c>
      <c r="F202" s="65" t="inlineStr">
        <is>
          <t>Market</t>
        </is>
      </c>
      <c r="G202" s="65" t="inlineStr">
        <is>
          <t>Occupied</t>
        </is>
      </c>
      <c r="H202" s="11" t="n">
        <v>1551</v>
      </c>
      <c r="I202" s="11" t="n">
        <v>1511</v>
      </c>
      <c r="J202" s="11" t="n">
        <v>1511</v>
      </c>
      <c r="K202" s="66" t="inlineStr">
        <is>
          <t>05/11/2026</t>
        </is>
      </c>
      <c r="L202" s="66" t="inlineStr">
        <is>
          <t>06/10/2027</t>
        </is>
      </c>
      <c r="M202" s="66" t="inlineStr">
        <is>
          <t>03/17/2020</t>
        </is>
      </c>
      <c r="O202" s="11" t="n">
        <v>1511</v>
      </c>
      <c r="P202" s="11" t="n">
        <v>35</v>
      </c>
      <c r="Q202" s="11" t="n"/>
      <c r="R202" s="11" t="n"/>
      <c r="S202" s="11" t="n">
        <v>-300</v>
      </c>
      <c r="T202" s="11" t="n">
        <v>45</v>
      </c>
      <c r="U202" s="11" t="n">
        <v>3</v>
      </c>
      <c r="V202" s="11" t="n"/>
      <c r="W202" s="11" t="n"/>
      <c r="X202" s="11" t="n"/>
      <c r="Y202" s="11" t="n"/>
      <c r="Z202" s="11" t="n"/>
    </row>
    <row r="203">
      <c r="A203" s="61" t="inlineStr">
        <is>
          <t>1622</t>
        </is>
      </c>
      <c r="B203" s="61" t="inlineStr">
        <is>
          <t>B2</t>
        </is>
      </c>
      <c r="C203" s="20" t="n">
        <v>1040</v>
      </c>
      <c r="D203" s="19" t="n">
        <v>2</v>
      </c>
      <c r="E203" s="19" t="n">
        <v>2</v>
      </c>
      <c r="F203" s="62" t="inlineStr">
        <is>
          <t>Market</t>
        </is>
      </c>
      <c r="G203" s="62" t="inlineStr">
        <is>
          <t>Occupied</t>
        </is>
      </c>
      <c r="H203" s="20" t="n">
        <v>1551</v>
      </c>
      <c r="I203" s="20" t="n">
        <v>1641</v>
      </c>
      <c r="J203" s="20" t="n">
        <v>1641</v>
      </c>
      <c r="K203" s="63" t="inlineStr">
        <is>
          <t>04/13/2026</t>
        </is>
      </c>
      <c r="L203" s="63" t="inlineStr">
        <is>
          <t>07/12/2027</t>
        </is>
      </c>
      <c r="M203" s="63" t="inlineStr">
        <is>
          <t>10/13/2023</t>
        </is>
      </c>
      <c r="O203" s="20" t="n">
        <v>1641</v>
      </c>
      <c r="P203" s="20" t="n">
        <v>35</v>
      </c>
      <c r="Q203" s="20" t="n"/>
      <c r="R203" s="20" t="n"/>
      <c r="S203" s="20" t="n"/>
      <c r="T203" s="20" t="n"/>
      <c r="U203" s="20" t="n">
        <v>3</v>
      </c>
      <c r="V203" s="20" t="n"/>
      <c r="W203" s="20" t="n"/>
      <c r="X203" s="20" t="n"/>
      <c r="Y203" s="20" t="n"/>
      <c r="Z203" s="20" t="n"/>
    </row>
    <row r="204">
      <c r="A204" s="64" t="inlineStr">
        <is>
          <t>1721</t>
        </is>
      </c>
      <c r="B204" s="64" t="inlineStr">
        <is>
          <t>B2</t>
        </is>
      </c>
      <c r="C204" s="11" t="n">
        <v>1040</v>
      </c>
      <c r="D204" s="10" t="n">
        <v>2</v>
      </c>
      <c r="E204" s="10" t="n">
        <v>2</v>
      </c>
      <c r="F204" s="65" t="inlineStr">
        <is>
          <t>Market</t>
        </is>
      </c>
      <c r="G204" s="65" t="inlineStr">
        <is>
          <t>Occupied</t>
        </is>
      </c>
      <c r="H204" s="11" t="n">
        <v>1536</v>
      </c>
      <c r="I204" s="11" t="n">
        <v>1638</v>
      </c>
      <c r="J204" s="11" t="n">
        <v>1638</v>
      </c>
      <c r="K204" s="66" t="inlineStr">
        <is>
          <t>08/19/2025</t>
        </is>
      </c>
      <c r="L204" s="66" t="inlineStr">
        <is>
          <t>10/18/2026</t>
        </is>
      </c>
      <c r="M204" s="66" t="inlineStr">
        <is>
          <t>08/19/2023</t>
        </is>
      </c>
      <c r="O204" s="11" t="n">
        <v>1638</v>
      </c>
      <c r="P204" s="11" t="n"/>
      <c r="Q204" s="11" t="n"/>
      <c r="R204" s="11" t="n"/>
      <c r="S204" s="11" t="n"/>
      <c r="T204" s="11" t="n"/>
      <c r="U204" s="11" t="n">
        <v>1</v>
      </c>
      <c r="V204" s="11" t="n"/>
      <c r="W204" s="11" t="n"/>
      <c r="X204" s="11" t="n"/>
      <c r="Y204" s="11" t="n"/>
      <c r="Z204" s="11" t="n"/>
    </row>
    <row r="205">
      <c r="A205" s="61" t="inlineStr">
        <is>
          <t>1811</t>
        </is>
      </c>
      <c r="B205" s="61" t="inlineStr">
        <is>
          <t>A2</t>
        </is>
      </c>
      <c r="C205" s="20" t="n">
        <v>777</v>
      </c>
      <c r="D205" s="19" t="n">
        <v>1</v>
      </c>
      <c r="E205" s="19" t="n">
        <v>1</v>
      </c>
      <c r="F205" s="62" t="inlineStr">
        <is>
          <t>Market</t>
        </is>
      </c>
      <c r="G205" s="62" t="inlineStr">
        <is>
          <t>Occupied</t>
        </is>
      </c>
      <c r="H205" s="20" t="n">
        <v>1202</v>
      </c>
      <c r="I205" s="20" t="n">
        <v>1216</v>
      </c>
      <c r="J205" s="20" t="n">
        <v>1216</v>
      </c>
      <c r="K205" s="63" t="inlineStr">
        <is>
          <t>03/22/2025</t>
        </is>
      </c>
      <c r="L205" s="63" t="inlineStr">
        <is>
          <t>06/21/2026</t>
        </is>
      </c>
      <c r="M205" s="63" t="inlineStr">
        <is>
          <t>03/22/2025</t>
        </is>
      </c>
      <c r="O205" s="20" t="n">
        <v>1216</v>
      </c>
      <c r="P205" s="20" t="n"/>
      <c r="Q205" s="20" t="n"/>
      <c r="R205" s="20" t="n"/>
      <c r="S205" s="20" t="n"/>
      <c r="T205" s="20" t="n"/>
      <c r="U205" s="20" t="n">
        <v>1</v>
      </c>
      <c r="V205" s="20" t="n"/>
      <c r="W205" s="20" t="n"/>
      <c r="X205" s="20" t="n"/>
      <c r="Y205" s="20" t="n"/>
      <c r="Z205" s="20" t="n"/>
    </row>
    <row r="206">
      <c r="A206" s="64" t="inlineStr">
        <is>
          <t>1812</t>
        </is>
      </c>
      <c r="B206" s="64" t="inlineStr">
        <is>
          <t>A2</t>
        </is>
      </c>
      <c r="C206" s="11" t="n">
        <v>777</v>
      </c>
      <c r="D206" s="10" t="n">
        <v>1</v>
      </c>
      <c r="E206" s="10" t="n">
        <v>1</v>
      </c>
      <c r="F206" s="65" t="inlineStr">
        <is>
          <t>Market</t>
        </is>
      </c>
      <c r="G206" s="65" t="inlineStr">
        <is>
          <t>Occupied</t>
        </is>
      </c>
      <c r="H206" s="11" t="n">
        <v>1262</v>
      </c>
      <c r="I206" s="11" t="n">
        <v>1141</v>
      </c>
      <c r="J206" s="11" t="n">
        <v>1141</v>
      </c>
      <c r="K206" s="66" t="inlineStr">
        <is>
          <t>03/28/2026</t>
        </is>
      </c>
      <c r="L206" s="66" t="inlineStr">
        <is>
          <t>03/27/2027</t>
        </is>
      </c>
      <c r="M206" s="66" t="inlineStr">
        <is>
          <t>03/28/2026</t>
        </is>
      </c>
      <c r="O206" s="11" t="n">
        <v>1141</v>
      </c>
      <c r="P206" s="11" t="n">
        <v>35</v>
      </c>
      <c r="Q206" s="11" t="n"/>
      <c r="R206" s="11" t="n"/>
      <c r="S206" s="11" t="n"/>
      <c r="T206" s="11" t="n"/>
      <c r="U206" s="11" t="n">
        <v>3</v>
      </c>
      <c r="V206" s="11" t="n"/>
      <c r="W206" s="11" t="n"/>
      <c r="X206" s="11" t="n"/>
      <c r="Y206" s="11" t="n"/>
      <c r="Z206" s="11" t="n"/>
    </row>
    <row r="207">
      <c r="A207" s="61" t="inlineStr">
        <is>
          <t>1813</t>
        </is>
      </c>
      <c r="B207" s="61" t="inlineStr">
        <is>
          <t>A2</t>
        </is>
      </c>
      <c r="C207" s="20" t="n">
        <v>777</v>
      </c>
      <c r="D207" s="19" t="n">
        <v>1</v>
      </c>
      <c r="E207" s="19" t="n">
        <v>1</v>
      </c>
      <c r="F207" s="62" t="inlineStr">
        <is>
          <t>Market</t>
        </is>
      </c>
      <c r="G207" s="62" t="inlineStr">
        <is>
          <t>Occupied</t>
        </is>
      </c>
      <c r="H207" s="20" t="n">
        <v>1202</v>
      </c>
      <c r="I207" s="20" t="n">
        <v>1291</v>
      </c>
      <c r="J207" s="20" t="n">
        <v>1291</v>
      </c>
      <c r="K207" s="63" t="inlineStr">
        <is>
          <t>05/24/2025</t>
        </is>
      </c>
      <c r="L207" s="63" t="inlineStr">
        <is>
          <t>08/23/2026</t>
        </is>
      </c>
      <c r="M207" s="63" t="inlineStr">
        <is>
          <t>05/24/2025</t>
        </is>
      </c>
      <c r="O207" s="20" t="n">
        <v>1291</v>
      </c>
      <c r="P207" s="20" t="n"/>
      <c r="Q207" s="20" t="n"/>
      <c r="R207" s="20" t="n"/>
      <c r="S207" s="20" t="n"/>
      <c r="T207" s="20" t="n">
        <v>30</v>
      </c>
      <c r="U207" s="20" t="n">
        <v>1</v>
      </c>
      <c r="V207" s="20" t="n"/>
      <c r="W207" s="20" t="n"/>
      <c r="X207" s="20" t="n"/>
      <c r="Y207" s="20" t="n"/>
      <c r="Z207" s="20" t="n"/>
    </row>
    <row r="208">
      <c r="A208" s="64" t="inlineStr">
        <is>
          <t>1814</t>
        </is>
      </c>
      <c r="B208" s="64" t="inlineStr">
        <is>
          <t>A2R</t>
        </is>
      </c>
      <c r="C208" s="11" t="n">
        <v>777</v>
      </c>
      <c r="D208" s="10" t="n">
        <v>1</v>
      </c>
      <c r="E208" s="10" t="n">
        <v>1</v>
      </c>
      <c r="F208" s="65" t="inlineStr">
        <is>
          <t>Market</t>
        </is>
      </c>
      <c r="G208" s="65" t="inlineStr">
        <is>
          <t>Occupied</t>
        </is>
      </c>
      <c r="H208" s="11" t="n">
        <v>1327</v>
      </c>
      <c r="I208" s="11" t="n">
        <v>1298</v>
      </c>
      <c r="J208" s="11" t="n">
        <v>1298</v>
      </c>
      <c r="K208" s="66" t="inlineStr">
        <is>
          <t>10/16/2025</t>
        </is>
      </c>
      <c r="L208" s="66" t="inlineStr">
        <is>
          <t>10/13/2026</t>
        </is>
      </c>
      <c r="M208" s="66" t="inlineStr">
        <is>
          <t>10/16/2025</t>
        </is>
      </c>
      <c r="O208" s="11" t="n">
        <v>1298</v>
      </c>
      <c r="P208" s="11" t="n"/>
      <c r="Q208" s="11" t="n"/>
      <c r="R208" s="11" t="n"/>
      <c r="S208" s="11" t="n"/>
      <c r="T208" s="11" t="n"/>
      <c r="U208" s="11" t="n">
        <v>1</v>
      </c>
      <c r="V208" s="11" t="n"/>
      <c r="W208" s="11" t="n"/>
      <c r="X208" s="11" t="n"/>
      <c r="Y208" s="11" t="n"/>
      <c r="Z208" s="11" t="n"/>
    </row>
    <row r="209">
      <c r="A209" s="61" t="inlineStr">
        <is>
          <t>1815</t>
        </is>
      </c>
      <c r="B209" s="61" t="inlineStr">
        <is>
          <t>A2</t>
        </is>
      </c>
      <c r="C209" s="20" t="n">
        <v>777</v>
      </c>
      <c r="D209" s="19" t="n">
        <v>1</v>
      </c>
      <c r="E209" s="19" t="n">
        <v>1</v>
      </c>
      <c r="F209" s="62" t="inlineStr">
        <is>
          <t>Market</t>
        </is>
      </c>
      <c r="G209" s="62" t="inlineStr">
        <is>
          <t>Occupied</t>
        </is>
      </c>
      <c r="H209" s="20" t="n">
        <v>1202</v>
      </c>
      <c r="I209" s="20" t="n">
        <v>1277</v>
      </c>
      <c r="J209" s="20" t="n">
        <v>1277</v>
      </c>
      <c r="K209" s="63" t="inlineStr">
        <is>
          <t>05/10/2026</t>
        </is>
      </c>
      <c r="L209" s="63" t="inlineStr">
        <is>
          <t>08/09/2027</t>
        </is>
      </c>
      <c r="M209" s="63" t="inlineStr">
        <is>
          <t>05/10/2025</t>
        </is>
      </c>
      <c r="O209" s="20" t="n">
        <v>1277</v>
      </c>
      <c r="P209" s="20" t="n">
        <v>35</v>
      </c>
      <c r="Q209" s="20" t="n"/>
      <c r="R209" s="20" t="n"/>
      <c r="S209" s="20" t="n">
        <v>-300</v>
      </c>
      <c r="T209" s="20" t="n"/>
      <c r="U209" s="20" t="n">
        <v>3</v>
      </c>
      <c r="V209" s="20" t="n"/>
      <c r="W209" s="20" t="n"/>
      <c r="X209" s="20" t="n"/>
      <c r="Y209" s="20" t="n"/>
      <c r="Z209" s="20" t="n"/>
    </row>
    <row r="210">
      <c r="A210" s="64" t="inlineStr">
        <is>
          <t>1816</t>
        </is>
      </c>
      <c r="B210" s="64" t="inlineStr">
        <is>
          <t>A2R</t>
        </is>
      </c>
      <c r="C210" s="11" t="n">
        <v>777</v>
      </c>
      <c r="D210" s="10" t="n">
        <v>1</v>
      </c>
      <c r="E210" s="10" t="n">
        <v>1</v>
      </c>
      <c r="F210" s="65" t="inlineStr">
        <is>
          <t>Market</t>
        </is>
      </c>
      <c r="G210" s="65" t="inlineStr">
        <is>
          <t>Occupied</t>
        </is>
      </c>
      <c r="H210" s="11" t="n">
        <v>1302</v>
      </c>
      <c r="I210" s="11" t="n">
        <v>1186</v>
      </c>
      <c r="J210" s="11" t="n">
        <v>1186</v>
      </c>
      <c r="K210" s="66" t="inlineStr">
        <is>
          <t>05/29/2025</t>
        </is>
      </c>
      <c r="L210" s="66" t="inlineStr">
        <is>
          <t>09/04/2026</t>
        </is>
      </c>
      <c r="M210" s="66" t="inlineStr">
        <is>
          <t>05/29/2025</t>
        </is>
      </c>
      <c r="O210" s="11" t="n">
        <v>1186</v>
      </c>
      <c r="P210" s="11" t="n"/>
      <c r="Q210" s="11" t="n"/>
      <c r="R210" s="11" t="n"/>
      <c r="S210" s="11" t="n"/>
      <c r="T210" s="11" t="n">
        <v>30</v>
      </c>
      <c r="U210" s="11" t="n">
        <v>1</v>
      </c>
      <c r="V210" s="11" t="n"/>
      <c r="W210" s="11" t="n"/>
      <c r="X210" s="11" t="n"/>
      <c r="Y210" s="11" t="n"/>
      <c r="Z210" s="11" t="n"/>
    </row>
    <row r="211">
      <c r="A211" s="61" t="inlineStr">
        <is>
          <t>1817</t>
        </is>
      </c>
      <c r="B211" s="61" t="inlineStr">
        <is>
          <t>A2R</t>
        </is>
      </c>
      <c r="C211" s="20" t="n">
        <v>777</v>
      </c>
      <c r="D211" s="19" t="n">
        <v>1</v>
      </c>
      <c r="E211" s="19" t="n">
        <v>1</v>
      </c>
      <c r="F211" s="62" t="inlineStr">
        <is>
          <t>Market</t>
        </is>
      </c>
      <c r="G211" s="62" t="inlineStr">
        <is>
          <t>Occupied</t>
        </is>
      </c>
      <c r="H211" s="20" t="n">
        <v>1327</v>
      </c>
      <c r="I211" s="20" t="n">
        <v>1468</v>
      </c>
      <c r="J211" s="20" t="n">
        <v>1468</v>
      </c>
      <c r="K211" s="63" t="inlineStr">
        <is>
          <t>02/11/2026</t>
        </is>
      </c>
      <c r="L211" s="63" t="inlineStr">
        <is>
          <t>02/10/2027</t>
        </is>
      </c>
      <c r="M211" s="63" t="inlineStr">
        <is>
          <t>11/04/2024</t>
        </is>
      </c>
      <c r="O211" s="20" t="n">
        <v>1468</v>
      </c>
      <c r="P211" s="20" t="n"/>
      <c r="Q211" s="20" t="n"/>
      <c r="R211" s="20" t="n"/>
      <c r="S211" s="20" t="n"/>
      <c r="T211" s="20" t="n"/>
      <c r="U211" s="20" t="n">
        <v>3</v>
      </c>
      <c r="V211" s="20" t="n"/>
      <c r="W211" s="20" t="n"/>
      <c r="X211" s="20" t="n"/>
      <c r="Y211" s="20" t="n"/>
      <c r="Z211" s="20" t="n"/>
    </row>
    <row r="212">
      <c r="A212" s="64" t="inlineStr">
        <is>
          <t>1818</t>
        </is>
      </c>
      <c r="B212" s="64" t="inlineStr">
        <is>
          <t>A2</t>
        </is>
      </c>
      <c r="C212" s="11" t="n">
        <v>777</v>
      </c>
      <c r="D212" s="10" t="n">
        <v>1</v>
      </c>
      <c r="E212" s="10" t="n">
        <v>1</v>
      </c>
      <c r="F212" s="65" t="inlineStr">
        <is>
          <t>Market</t>
        </is>
      </c>
      <c r="G212" s="65" t="inlineStr">
        <is>
          <t>Occupied</t>
        </is>
      </c>
      <c r="H212" s="11" t="n">
        <v>1182</v>
      </c>
      <c r="I212" s="11" t="n">
        <v>1269</v>
      </c>
      <c r="J212" s="11" t="n">
        <v>1269</v>
      </c>
      <c r="K212" s="66" t="inlineStr">
        <is>
          <t>03/15/2025</t>
        </is>
      </c>
      <c r="L212" s="66" t="inlineStr">
        <is>
          <t>06/14/2026</t>
        </is>
      </c>
      <c r="M212" s="66" t="inlineStr">
        <is>
          <t>12/15/2023</t>
        </is>
      </c>
      <c r="O212" s="11" t="n">
        <v>1269</v>
      </c>
      <c r="P212" s="11" t="n"/>
      <c r="Q212" s="11" t="n"/>
      <c r="R212" s="11" t="n"/>
      <c r="S212" s="11" t="n"/>
      <c r="T212" s="11" t="n"/>
      <c r="U212" s="11" t="n">
        <v>1</v>
      </c>
      <c r="V212" s="11" t="n"/>
      <c r="W212" s="11" t="n"/>
      <c r="X212" s="11" t="n"/>
      <c r="Y212" s="11" t="n"/>
      <c r="Z212" s="11" t="n"/>
    </row>
    <row r="213">
      <c r="A213" s="61" t="inlineStr">
        <is>
          <t>1821</t>
        </is>
      </c>
      <c r="B213" s="61" t="inlineStr">
        <is>
          <t>A2</t>
        </is>
      </c>
      <c r="C213" s="20" t="n">
        <v>777</v>
      </c>
      <c r="D213" s="19" t="n">
        <v>1</v>
      </c>
      <c r="E213" s="19" t="n">
        <v>1</v>
      </c>
      <c r="F213" s="62" t="inlineStr">
        <is>
          <t>Market</t>
        </is>
      </c>
      <c r="G213" s="62" t="inlineStr">
        <is>
          <t>Occupied</t>
        </is>
      </c>
      <c r="H213" s="20" t="n">
        <v>1107</v>
      </c>
      <c r="I213" s="20" t="n">
        <v>1130</v>
      </c>
      <c r="J213" s="20" t="n">
        <v>1130</v>
      </c>
      <c r="K213" s="63" t="inlineStr">
        <is>
          <t>02/14/2026</t>
        </is>
      </c>
      <c r="L213" s="63" t="inlineStr">
        <is>
          <t>03/20/2027</t>
        </is>
      </c>
      <c r="M213" s="63" t="inlineStr">
        <is>
          <t>01/14/2025</t>
        </is>
      </c>
      <c r="O213" s="20" t="n">
        <v>1130</v>
      </c>
      <c r="P213" s="20" t="n"/>
      <c r="Q213" s="20" t="n"/>
      <c r="R213" s="20" t="n"/>
      <c r="S213" s="20" t="n"/>
      <c r="T213" s="20" t="n"/>
      <c r="U213" s="20" t="n">
        <v>3</v>
      </c>
      <c r="V213" s="20" t="n"/>
      <c r="W213" s="20" t="n"/>
      <c r="X213" s="20" t="n"/>
      <c r="Y213" s="20" t="n"/>
      <c r="Z213" s="20" t="n"/>
    </row>
    <row r="214">
      <c r="A214" s="64" t="inlineStr">
        <is>
          <t>1822</t>
        </is>
      </c>
      <c r="B214" s="64" t="inlineStr">
        <is>
          <t>A2R</t>
        </is>
      </c>
      <c r="C214" s="11" t="n">
        <v>777</v>
      </c>
      <c r="D214" s="10" t="n">
        <v>1</v>
      </c>
      <c r="E214" s="10" t="n">
        <v>1</v>
      </c>
      <c r="F214" s="65" t="inlineStr">
        <is>
          <t>Market</t>
        </is>
      </c>
      <c r="G214" s="65" t="inlineStr">
        <is>
          <t>Vacant</t>
        </is>
      </c>
      <c r="H214" s="11" t="n">
        <v>1307</v>
      </c>
      <c r="I214" s="11" t="n">
        <v>0</v>
      </c>
      <c r="J214" s="11" t="n">
        <v>0</v>
      </c>
      <c r="K214" s="66" t="n"/>
      <c r="L214" s="66" t="n"/>
      <c r="M214" s="66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61" t="inlineStr">
        <is>
          <t>1823</t>
        </is>
      </c>
      <c r="B215" s="61" t="inlineStr">
        <is>
          <t>A2R</t>
        </is>
      </c>
      <c r="C215" s="20" t="n">
        <v>777</v>
      </c>
      <c r="D215" s="19" t="n">
        <v>1</v>
      </c>
      <c r="E215" s="19" t="n">
        <v>1</v>
      </c>
      <c r="F215" s="62" t="inlineStr">
        <is>
          <t>Market</t>
        </is>
      </c>
      <c r="G215" s="62" t="inlineStr">
        <is>
          <t>Occupied</t>
        </is>
      </c>
      <c r="H215" s="20" t="n">
        <v>1307</v>
      </c>
      <c r="I215" s="20" t="n">
        <v>1494</v>
      </c>
      <c r="J215" s="20" t="n">
        <v>1494</v>
      </c>
      <c r="K215" s="63" t="inlineStr">
        <is>
          <t>04/07/2026</t>
        </is>
      </c>
      <c r="L215" s="63" t="inlineStr">
        <is>
          <t>05/13/2027</t>
        </is>
      </c>
      <c r="M215" s="63" t="inlineStr">
        <is>
          <t>03/06/2025</t>
        </is>
      </c>
      <c r="O215" s="20" t="n">
        <v>1494</v>
      </c>
      <c r="P215" s="20" t="n">
        <v>35</v>
      </c>
      <c r="Q215" s="20" t="n"/>
      <c r="R215" s="20" t="n"/>
      <c r="S215" s="20" t="n"/>
      <c r="T215" s="20" t="n"/>
      <c r="U215" s="20" t="n">
        <v>3</v>
      </c>
      <c r="V215" s="20" t="n"/>
      <c r="W215" s="20" t="n"/>
      <c r="X215" s="20" t="n"/>
      <c r="Y215" s="20" t="n"/>
      <c r="Z215" s="20" t="n"/>
    </row>
    <row r="216">
      <c r="A216" s="64" t="inlineStr">
        <is>
          <t>1824</t>
        </is>
      </c>
      <c r="B216" s="64" t="inlineStr">
        <is>
          <t>A2</t>
        </is>
      </c>
      <c r="C216" s="11" t="n">
        <v>777</v>
      </c>
      <c r="D216" s="10" t="n">
        <v>1</v>
      </c>
      <c r="E216" s="10" t="n">
        <v>1</v>
      </c>
      <c r="F216" s="65" t="inlineStr">
        <is>
          <t>Market</t>
        </is>
      </c>
      <c r="G216" s="65" t="inlineStr">
        <is>
          <t>Occupied</t>
        </is>
      </c>
      <c r="H216" s="11" t="n">
        <v>1107</v>
      </c>
      <c r="I216" s="11" t="n">
        <v>1179</v>
      </c>
      <c r="J216" s="11" t="n">
        <v>1179</v>
      </c>
      <c r="K216" s="66" t="inlineStr">
        <is>
          <t>07/15/2025</t>
        </is>
      </c>
      <c r="L216" s="66" t="inlineStr">
        <is>
          <t>08/21/2026</t>
        </is>
      </c>
      <c r="M216" s="66" t="inlineStr">
        <is>
          <t>06/22/2024</t>
        </is>
      </c>
      <c r="O216" s="11" t="n">
        <v>1179</v>
      </c>
      <c r="P216" s="11" t="n"/>
      <c r="Q216" s="11" t="n"/>
      <c r="R216" s="11" t="n"/>
      <c r="S216" s="11" t="n"/>
      <c r="T216" s="11" t="n"/>
      <c r="U216" s="11" t="n">
        <v>1</v>
      </c>
      <c r="V216" s="11" t="n"/>
      <c r="W216" s="11" t="n"/>
      <c r="X216" s="11" t="n"/>
      <c r="Y216" s="11" t="n"/>
      <c r="Z216" s="11" t="n"/>
    </row>
    <row r="217">
      <c r="A217" s="61" t="inlineStr">
        <is>
          <t>1825</t>
        </is>
      </c>
      <c r="B217" s="61" t="inlineStr">
        <is>
          <t>A2R</t>
        </is>
      </c>
      <c r="C217" s="20" t="n">
        <v>777</v>
      </c>
      <c r="D217" s="19" t="n">
        <v>1</v>
      </c>
      <c r="E217" s="19" t="n">
        <v>1</v>
      </c>
      <c r="F217" s="62" t="inlineStr">
        <is>
          <t>Market</t>
        </is>
      </c>
      <c r="G217" s="62" t="inlineStr">
        <is>
          <t>Occupied</t>
        </is>
      </c>
      <c r="H217" s="20" t="n">
        <v>1307</v>
      </c>
      <c r="I217" s="20" t="n">
        <v>1389</v>
      </c>
      <c r="J217" s="20" t="n">
        <v>1389</v>
      </c>
      <c r="K217" s="63" t="inlineStr">
        <is>
          <t>01/30/2026</t>
        </is>
      </c>
      <c r="L217" s="63" t="inlineStr">
        <is>
          <t>02/20/2027</t>
        </is>
      </c>
      <c r="M217" s="63" t="inlineStr">
        <is>
          <t>10/30/2022</t>
        </is>
      </c>
      <c r="O217" s="20" t="n">
        <v>1389</v>
      </c>
      <c r="P217" s="20" t="n"/>
      <c r="Q217" s="20" t="n"/>
      <c r="R217" s="20" t="n"/>
      <c r="S217" s="20" t="n"/>
      <c r="T217" s="20" t="n">
        <v>45</v>
      </c>
      <c r="U217" s="20" t="n">
        <v>3</v>
      </c>
      <c r="V217" s="20" t="n"/>
      <c r="W217" s="20" t="n"/>
      <c r="X217" s="20" t="n"/>
      <c r="Y217" s="20" t="n"/>
      <c r="Z217" s="20" t="n"/>
    </row>
    <row r="218">
      <c r="A218" s="64" t="inlineStr">
        <is>
          <t>1826</t>
        </is>
      </c>
      <c r="B218" s="64" t="inlineStr">
        <is>
          <t>A2R</t>
        </is>
      </c>
      <c r="C218" s="11" t="n">
        <v>777</v>
      </c>
      <c r="D218" s="10" t="n">
        <v>1</v>
      </c>
      <c r="E218" s="10" t="n">
        <v>1</v>
      </c>
      <c r="F218" s="65" t="inlineStr">
        <is>
          <t>Market</t>
        </is>
      </c>
      <c r="G218" s="65" t="inlineStr">
        <is>
          <t>Occupied</t>
        </is>
      </c>
      <c r="H218" s="11" t="n">
        <v>1307</v>
      </c>
      <c r="I218" s="11" t="n">
        <v>1350</v>
      </c>
      <c r="J218" s="11" t="n">
        <v>1350</v>
      </c>
      <c r="K218" s="66" t="inlineStr">
        <is>
          <t>04/11/2025</t>
        </is>
      </c>
      <c r="L218" s="66" t="inlineStr">
        <is>
          <t>07/10/2026</t>
        </is>
      </c>
      <c r="M218" s="66" t="inlineStr">
        <is>
          <t>04/11/2025</t>
        </is>
      </c>
      <c r="O218" s="11" t="n">
        <v>1350</v>
      </c>
      <c r="P218" s="11" t="n"/>
      <c r="Q218" s="11" t="n"/>
      <c r="R218" s="11" t="n"/>
      <c r="S218" s="11" t="n"/>
      <c r="T218" s="11" t="n">
        <v>30</v>
      </c>
      <c r="U218" s="11" t="n">
        <v>1</v>
      </c>
      <c r="V218" s="11" t="n"/>
      <c r="W218" s="11" t="n"/>
      <c r="X218" s="11" t="n"/>
      <c r="Y218" s="11" t="n"/>
      <c r="Z218" s="11" t="n"/>
    </row>
    <row r="219">
      <c r="A219" s="61" t="inlineStr">
        <is>
          <t>1827</t>
        </is>
      </c>
      <c r="B219" s="61" t="inlineStr">
        <is>
          <t>A2</t>
        </is>
      </c>
      <c r="C219" s="20" t="n">
        <v>777</v>
      </c>
      <c r="D219" s="19" t="n">
        <v>1</v>
      </c>
      <c r="E219" s="19" t="n">
        <v>1</v>
      </c>
      <c r="F219" s="62" t="inlineStr">
        <is>
          <t>Market</t>
        </is>
      </c>
      <c r="G219" s="62" t="inlineStr">
        <is>
          <t>Occupied</t>
        </is>
      </c>
      <c r="H219" s="20" t="n">
        <v>1107</v>
      </c>
      <c r="I219" s="20" t="n">
        <v>1130</v>
      </c>
      <c r="J219" s="20" t="n">
        <v>1130</v>
      </c>
      <c r="K219" s="63" t="inlineStr">
        <is>
          <t>03/01/2025</t>
        </is>
      </c>
      <c r="L219" s="63" t="inlineStr">
        <is>
          <t>05/31/2026</t>
        </is>
      </c>
      <c r="M219" s="63" t="inlineStr">
        <is>
          <t>03/01/2025</t>
        </is>
      </c>
      <c r="O219" s="20" t="n">
        <v>1130</v>
      </c>
      <c r="P219" s="20" t="n"/>
      <c r="Q219" s="20" t="n"/>
      <c r="R219" s="20" t="n"/>
      <c r="S219" s="20" t="n"/>
      <c r="T219" s="20" t="n"/>
      <c r="U219" s="20" t="n">
        <v>1</v>
      </c>
      <c r="V219" s="20" t="n"/>
      <c r="W219" s="20" t="n"/>
      <c r="X219" s="20" t="n"/>
      <c r="Y219" s="20" t="n"/>
      <c r="Z219" s="20" t="n"/>
    </row>
    <row r="220">
      <c r="A220" s="64" t="inlineStr">
        <is>
          <t>1828</t>
        </is>
      </c>
      <c r="B220" s="64" t="inlineStr">
        <is>
          <t>A2</t>
        </is>
      </c>
      <c r="C220" s="11" t="n">
        <v>777</v>
      </c>
      <c r="D220" s="10" t="n">
        <v>1</v>
      </c>
      <c r="E220" s="10" t="n">
        <v>1</v>
      </c>
      <c r="F220" s="65" t="inlineStr">
        <is>
          <t>Market</t>
        </is>
      </c>
      <c r="G220" s="65" t="inlineStr">
        <is>
          <t>Occupied</t>
        </is>
      </c>
      <c r="H220" s="11" t="n">
        <v>1107</v>
      </c>
      <c r="I220" s="11" t="n">
        <v>1024</v>
      </c>
      <c r="J220" s="11" t="n">
        <v>1024</v>
      </c>
      <c r="K220" s="66" t="inlineStr">
        <is>
          <t>05/10/2026</t>
        </is>
      </c>
      <c r="L220" s="66" t="inlineStr">
        <is>
          <t>05/02/2027</t>
        </is>
      </c>
      <c r="M220" s="66" t="inlineStr">
        <is>
          <t>05/10/2026</t>
        </is>
      </c>
      <c r="O220" s="11" t="n">
        <v>1024</v>
      </c>
      <c r="P220" s="11" t="n">
        <v>35</v>
      </c>
      <c r="Q220" s="11" t="n"/>
      <c r="R220" s="11" t="n"/>
      <c r="S220" s="11" t="n"/>
      <c r="T220" s="11" t="n"/>
      <c r="U220" s="11" t="n">
        <v>3</v>
      </c>
      <c r="V220" s="11" t="n"/>
      <c r="W220" s="11" t="n"/>
      <c r="X220" s="11" t="n"/>
      <c r="Y220" s="11" t="n"/>
      <c r="Z220" s="11" t="n"/>
    </row>
    <row r="221">
      <c r="A221" s="61" t="inlineStr">
        <is>
          <t>1832</t>
        </is>
      </c>
      <c r="B221" s="61" t="inlineStr">
        <is>
          <t>A2R</t>
        </is>
      </c>
      <c r="C221" s="20" t="n">
        <v>777</v>
      </c>
      <c r="D221" s="19" t="n">
        <v>1</v>
      </c>
      <c r="E221" s="19" t="n">
        <v>1</v>
      </c>
      <c r="F221" s="62" t="inlineStr">
        <is>
          <t>Market</t>
        </is>
      </c>
      <c r="G221" s="62" t="inlineStr">
        <is>
          <t>Vacant</t>
        </is>
      </c>
      <c r="H221" s="20" t="n">
        <v>1307</v>
      </c>
      <c r="I221" s="20" t="n">
        <v>0</v>
      </c>
      <c r="J221" s="20" t="n">
        <v>0</v>
      </c>
      <c r="K221" s="63" t="n"/>
      <c r="L221" s="63" t="n"/>
      <c r="M221" s="63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</row>
    <row r="222">
      <c r="A222" s="64" t="inlineStr">
        <is>
          <t>1833</t>
        </is>
      </c>
      <c r="B222" s="64" t="inlineStr">
        <is>
          <t>A2</t>
        </is>
      </c>
      <c r="C222" s="11" t="n">
        <v>777</v>
      </c>
      <c r="D222" s="10" t="n">
        <v>1</v>
      </c>
      <c r="E222" s="10" t="n">
        <v>1</v>
      </c>
      <c r="F222" s="65" t="inlineStr">
        <is>
          <t>Market</t>
        </is>
      </c>
      <c r="G222" s="65" t="inlineStr">
        <is>
          <t>Occupied</t>
        </is>
      </c>
      <c r="H222" s="11" t="n">
        <v>1107</v>
      </c>
      <c r="I222" s="11" t="n">
        <v>1168</v>
      </c>
      <c r="J222" s="11" t="n">
        <v>1168</v>
      </c>
      <c r="K222" s="66" t="inlineStr">
        <is>
          <t>09/28/2025</t>
        </is>
      </c>
      <c r="L222" s="66" t="inlineStr">
        <is>
          <t>12/27/2026</t>
        </is>
      </c>
      <c r="M222" s="66" t="inlineStr">
        <is>
          <t>07/28/2024</t>
        </is>
      </c>
      <c r="O222" s="11" t="n">
        <v>1168</v>
      </c>
      <c r="P222" s="11" t="n"/>
      <c r="Q222" s="11" t="n"/>
      <c r="R222" s="11" t="n"/>
      <c r="S222" s="11" t="n"/>
      <c r="T222" s="11" t="n"/>
      <c r="U222" s="11" t="n">
        <v>1</v>
      </c>
      <c r="V222" s="11" t="n"/>
      <c r="W222" s="11" t="n"/>
      <c r="X222" s="11" t="n"/>
      <c r="Y222" s="11" t="n"/>
      <c r="Z222" s="11" t="n"/>
    </row>
    <row r="223">
      <c r="A223" s="61" t="inlineStr">
        <is>
          <t>1836</t>
        </is>
      </c>
      <c r="B223" s="61" t="inlineStr">
        <is>
          <t>A2R</t>
        </is>
      </c>
      <c r="C223" s="20" t="n">
        <v>777</v>
      </c>
      <c r="D223" s="19" t="n">
        <v>1</v>
      </c>
      <c r="E223" s="19" t="n">
        <v>1</v>
      </c>
      <c r="F223" s="62" t="inlineStr">
        <is>
          <t>Market</t>
        </is>
      </c>
      <c r="G223" s="62" t="inlineStr">
        <is>
          <t>Occupied</t>
        </is>
      </c>
      <c r="H223" s="20" t="n">
        <v>1307</v>
      </c>
      <c r="I223" s="20" t="n">
        <v>1184</v>
      </c>
      <c r="J223" s="20" t="n">
        <v>1184</v>
      </c>
      <c r="K223" s="63" t="inlineStr">
        <is>
          <t>03/05/2026</t>
        </is>
      </c>
      <c r="L223" s="63" t="inlineStr">
        <is>
          <t>06/11/2027</t>
        </is>
      </c>
      <c r="M223" s="63" t="inlineStr">
        <is>
          <t>03/05/2026</t>
        </is>
      </c>
      <c r="O223" s="20" t="n">
        <v>1184</v>
      </c>
      <c r="P223" s="20" t="n">
        <v>35</v>
      </c>
      <c r="Q223" s="20" t="n"/>
      <c r="R223" s="20" t="n"/>
      <c r="S223" s="20" t="n"/>
      <c r="T223" s="20" t="n">
        <v>45</v>
      </c>
      <c r="U223" s="20" t="n">
        <v>3</v>
      </c>
      <c r="V223" s="20" t="n"/>
      <c r="W223" s="20" t="n"/>
      <c r="X223" s="20" t="n"/>
      <c r="Y223" s="20" t="n"/>
      <c r="Z223" s="20" t="n"/>
    </row>
    <row r="224">
      <c r="A224" s="64" t="inlineStr">
        <is>
          <t>1837</t>
        </is>
      </c>
      <c r="B224" s="64" t="inlineStr">
        <is>
          <t>A2</t>
        </is>
      </c>
      <c r="C224" s="11" t="n">
        <v>777</v>
      </c>
      <c r="D224" s="10" t="n">
        <v>1</v>
      </c>
      <c r="E224" s="10" t="n">
        <v>1</v>
      </c>
      <c r="F224" s="65" t="inlineStr">
        <is>
          <t>Market</t>
        </is>
      </c>
      <c r="G224" s="65" t="inlineStr">
        <is>
          <t>Occupied</t>
        </is>
      </c>
      <c r="H224" s="11" t="n">
        <v>1107</v>
      </c>
      <c r="I224" s="11" t="n">
        <v>1035</v>
      </c>
      <c r="J224" s="11" t="n">
        <v>1035</v>
      </c>
      <c r="K224" s="66" t="inlineStr">
        <is>
          <t>03/23/2026</t>
        </is>
      </c>
      <c r="L224" s="66" t="inlineStr">
        <is>
          <t>06/22/2027</t>
        </is>
      </c>
      <c r="M224" s="66" t="inlineStr">
        <is>
          <t>03/23/2026</t>
        </is>
      </c>
      <c r="O224" s="11" t="n">
        <v>1035</v>
      </c>
      <c r="P224" s="11" t="n">
        <v>35</v>
      </c>
      <c r="Q224" s="11" t="n"/>
      <c r="R224" s="11" t="n"/>
      <c r="S224" s="11" t="n"/>
      <c r="T224" s="11" t="n"/>
      <c r="U224" s="11" t="n">
        <v>3</v>
      </c>
      <c r="V224" s="11" t="n"/>
      <c r="W224" s="11" t="n"/>
      <c r="X224" s="11" t="n"/>
      <c r="Y224" s="11" t="n"/>
      <c r="Z224" s="11" t="n"/>
    </row>
    <row r="225">
      <c r="A225" s="61" t="inlineStr">
        <is>
          <t>1911</t>
        </is>
      </c>
      <c r="B225" s="61" t="inlineStr">
        <is>
          <t>B4</t>
        </is>
      </c>
      <c r="C225" s="20" t="n">
        <v>1187</v>
      </c>
      <c r="D225" s="19" t="n">
        <v>2</v>
      </c>
      <c r="E225" s="19" t="n">
        <v>2</v>
      </c>
      <c r="F225" s="62" t="inlineStr">
        <is>
          <t>Market</t>
        </is>
      </c>
      <c r="G225" s="62" t="inlineStr">
        <is>
          <t>Occupied</t>
        </is>
      </c>
      <c r="H225" s="20" t="n">
        <v>1656</v>
      </c>
      <c r="I225" s="20" t="n">
        <v>1589</v>
      </c>
      <c r="J225" s="20" t="n">
        <v>1589</v>
      </c>
      <c r="K225" s="63" t="inlineStr">
        <is>
          <t>03/25/2026</t>
        </is>
      </c>
      <c r="L225" s="63" t="inlineStr">
        <is>
          <t>05/24/2027</t>
        </is>
      </c>
      <c r="M225" s="63" t="inlineStr">
        <is>
          <t>03/25/2026</t>
        </is>
      </c>
      <c r="O225" s="20" t="n">
        <v>1589</v>
      </c>
      <c r="P225" s="20" t="n">
        <v>35</v>
      </c>
      <c r="Q225" s="20" t="n"/>
      <c r="R225" s="20" t="n"/>
      <c r="S225" s="20" t="n"/>
      <c r="T225" s="20" t="n"/>
      <c r="U225" s="20" t="n">
        <v>3</v>
      </c>
      <c r="V225" s="20" t="n">
        <v>50</v>
      </c>
      <c r="W225" s="20" t="n"/>
      <c r="X225" s="20" t="n"/>
      <c r="Y225" s="20" t="n"/>
      <c r="Z225" s="20" t="n"/>
    </row>
    <row r="226">
      <c r="A226" s="64" t="inlineStr">
        <is>
          <t>1912</t>
        </is>
      </c>
      <c r="B226" s="64" t="inlineStr">
        <is>
          <t>B1</t>
        </is>
      </c>
      <c r="C226" s="11" t="n">
        <v>947</v>
      </c>
      <c r="D226" s="10" t="n">
        <v>2</v>
      </c>
      <c r="E226" s="10" t="n">
        <v>2</v>
      </c>
      <c r="F226" s="65" t="inlineStr">
        <is>
          <t>Market</t>
        </is>
      </c>
      <c r="G226" s="65" t="inlineStr">
        <is>
          <t>Occupied</t>
        </is>
      </c>
      <c r="H226" s="11" t="n">
        <v>1352</v>
      </c>
      <c r="I226" s="11" t="n">
        <v>1574</v>
      </c>
      <c r="J226" s="11" t="n">
        <v>1574</v>
      </c>
      <c r="K226" s="66" t="inlineStr">
        <is>
          <t>10/07/2025</t>
        </is>
      </c>
      <c r="L226" s="66" t="inlineStr">
        <is>
          <t>12/06/2026</t>
        </is>
      </c>
      <c r="M226" s="66" t="inlineStr">
        <is>
          <t>10/14/2017</t>
        </is>
      </c>
      <c r="O226" s="11" t="n">
        <v>1574</v>
      </c>
      <c r="P226" s="11" t="n"/>
      <c r="Q226" s="11" t="n"/>
      <c r="R226" s="11" t="n"/>
      <c r="S226" s="11" t="n"/>
      <c r="T226" s="11" t="n"/>
      <c r="U226" s="11" t="n">
        <v>1</v>
      </c>
      <c r="V226" s="11" t="n"/>
      <c r="W226" s="11" t="n"/>
      <c r="X226" s="11" t="n"/>
      <c r="Y226" s="11" t="n"/>
      <c r="Z226" s="11" t="n"/>
    </row>
    <row r="227">
      <c r="A227" s="61" t="inlineStr">
        <is>
          <t>1913</t>
        </is>
      </c>
      <c r="B227" s="61" t="inlineStr">
        <is>
          <t>B1</t>
        </is>
      </c>
      <c r="C227" s="20" t="n">
        <v>947</v>
      </c>
      <c r="D227" s="19" t="n">
        <v>2</v>
      </c>
      <c r="E227" s="19" t="n">
        <v>2</v>
      </c>
      <c r="F227" s="62" t="inlineStr">
        <is>
          <t>Market</t>
        </is>
      </c>
      <c r="G227" s="62" t="inlineStr">
        <is>
          <t>Occupied</t>
        </is>
      </c>
      <c r="H227" s="20" t="n">
        <v>1407</v>
      </c>
      <c r="I227" s="20" t="n">
        <v>1313</v>
      </c>
      <c r="J227" s="20" t="n">
        <v>1313</v>
      </c>
      <c r="K227" s="63" t="inlineStr">
        <is>
          <t>03/15/2026</t>
        </is>
      </c>
      <c r="L227" s="63" t="inlineStr">
        <is>
          <t>03/14/2027</t>
        </is>
      </c>
      <c r="M227" s="63" t="inlineStr">
        <is>
          <t>03/15/2026</t>
        </is>
      </c>
      <c r="O227" s="20" t="n">
        <v>1313</v>
      </c>
      <c r="P227" s="20" t="n">
        <v>35</v>
      </c>
      <c r="Q227" s="20" t="n">
        <v>75</v>
      </c>
      <c r="R227" s="20" t="n"/>
      <c r="S227" s="20" t="n"/>
      <c r="T227" s="20" t="n"/>
      <c r="U227" s="20" t="n">
        <v>3</v>
      </c>
      <c r="V227" s="20" t="n"/>
      <c r="W227" s="20" t="n"/>
      <c r="X227" s="20" t="n"/>
      <c r="Y227" s="20" t="n"/>
      <c r="Z227" s="20" t="n"/>
    </row>
    <row r="228">
      <c r="A228" s="64" t="inlineStr">
        <is>
          <t>1914</t>
        </is>
      </c>
      <c r="B228" s="64" t="inlineStr">
        <is>
          <t>B4</t>
        </is>
      </c>
      <c r="C228" s="11" t="n">
        <v>1187</v>
      </c>
      <c r="D228" s="10" t="n">
        <v>2</v>
      </c>
      <c r="E228" s="10" t="n">
        <v>2</v>
      </c>
      <c r="F228" s="65" t="inlineStr">
        <is>
          <t>Market</t>
        </is>
      </c>
      <c r="G228" s="65" t="inlineStr">
        <is>
          <t>Occupied</t>
        </is>
      </c>
      <c r="H228" s="11" t="n">
        <v>1671</v>
      </c>
      <c r="I228" s="11" t="n">
        <v>1444</v>
      </c>
      <c r="J228" s="11" t="n">
        <v>1444</v>
      </c>
      <c r="K228" s="66" t="inlineStr">
        <is>
          <t>02/01/2026</t>
        </is>
      </c>
      <c r="L228" s="66" t="inlineStr">
        <is>
          <t>03/31/2027</t>
        </is>
      </c>
      <c r="M228" s="66" t="inlineStr">
        <is>
          <t>02/01/2026</t>
        </is>
      </c>
      <c r="O228" s="11" t="n">
        <v>1444</v>
      </c>
      <c r="P228" s="11" t="n">
        <v>35</v>
      </c>
      <c r="Q228" s="11" t="n">
        <v>125</v>
      </c>
      <c r="R228" s="11" t="n"/>
      <c r="S228" s="11" t="n"/>
      <c r="T228" s="11" t="n"/>
      <c r="U228" s="11" t="n">
        <v>3</v>
      </c>
      <c r="V228" s="11" t="n"/>
      <c r="W228" s="11" t="n"/>
      <c r="X228" s="11" t="n"/>
      <c r="Y228" s="11" t="n"/>
      <c r="Z228" s="11" t="n"/>
    </row>
    <row r="229">
      <c r="A229" s="61" t="inlineStr">
        <is>
          <t>1915</t>
        </is>
      </c>
      <c r="B229" s="61" t="inlineStr">
        <is>
          <t>B4</t>
        </is>
      </c>
      <c r="C229" s="20" t="n">
        <v>1187</v>
      </c>
      <c r="D229" s="19" t="n">
        <v>2</v>
      </c>
      <c r="E229" s="19" t="n">
        <v>2</v>
      </c>
      <c r="F229" s="62" t="inlineStr">
        <is>
          <t>Market</t>
        </is>
      </c>
      <c r="G229" s="62" t="inlineStr">
        <is>
          <t>Occupied</t>
        </is>
      </c>
      <c r="H229" s="20" t="n">
        <v>1656</v>
      </c>
      <c r="I229" s="20" t="n">
        <v>1335</v>
      </c>
      <c r="J229" s="20" t="n">
        <v>1335</v>
      </c>
      <c r="K229" s="63" t="inlineStr">
        <is>
          <t>11/27/2025</t>
        </is>
      </c>
      <c r="L229" s="63" t="inlineStr">
        <is>
          <t>02/19/2027</t>
        </is>
      </c>
      <c r="M229" s="63" t="inlineStr">
        <is>
          <t>11/21/2025</t>
        </is>
      </c>
      <c r="O229" s="20" t="n">
        <v>1335</v>
      </c>
      <c r="P229" s="20" t="n"/>
      <c r="Q229" s="20" t="n"/>
      <c r="R229" s="20" t="n"/>
      <c r="S229" s="20" t="n"/>
      <c r="T229" s="20" t="n"/>
      <c r="U229" s="20" t="n">
        <v>3</v>
      </c>
      <c r="V229" s="20" t="n"/>
      <c r="W229" s="20" t="n"/>
      <c r="X229" s="20" t="n"/>
      <c r="Y229" s="20" t="n"/>
      <c r="Z229" s="20" t="n"/>
    </row>
    <row r="230">
      <c r="A230" s="64" t="inlineStr">
        <is>
          <t>1916</t>
        </is>
      </c>
      <c r="B230" s="64" t="inlineStr">
        <is>
          <t>B1</t>
        </is>
      </c>
      <c r="C230" s="11" t="n">
        <v>947</v>
      </c>
      <c r="D230" s="10" t="n">
        <v>2</v>
      </c>
      <c r="E230" s="10" t="n">
        <v>2</v>
      </c>
      <c r="F230" s="65" t="inlineStr">
        <is>
          <t>Market</t>
        </is>
      </c>
      <c r="G230" s="65" t="inlineStr">
        <is>
          <t>Occupied</t>
        </is>
      </c>
      <c r="H230" s="11" t="n">
        <v>1392</v>
      </c>
      <c r="I230" s="11" t="n">
        <v>1375</v>
      </c>
      <c r="J230" s="11" t="n">
        <v>1375</v>
      </c>
      <c r="K230" s="66" t="inlineStr">
        <is>
          <t>06/30/2025</t>
        </is>
      </c>
      <c r="L230" s="66" t="inlineStr">
        <is>
          <t>06/29/2026</t>
        </is>
      </c>
      <c r="M230" s="66" t="inlineStr">
        <is>
          <t>06/30/2025</t>
        </is>
      </c>
      <c r="O230" s="11" t="n">
        <v>1375</v>
      </c>
      <c r="P230" s="11" t="n"/>
      <c r="Q230" s="11" t="n"/>
      <c r="R230" s="11" t="n"/>
      <c r="S230" s="11" t="n"/>
      <c r="T230" s="11" t="n">
        <v>60</v>
      </c>
      <c r="U230" s="11" t="n">
        <v>1</v>
      </c>
      <c r="V230" s="11" t="n"/>
      <c r="W230" s="11" t="n"/>
      <c r="X230" s="11" t="n"/>
      <c r="Y230" s="11" t="n"/>
      <c r="Z230" s="11" t="n"/>
    </row>
    <row r="231">
      <c r="A231" s="61" t="inlineStr">
        <is>
          <t>1917</t>
        </is>
      </c>
      <c r="B231" s="61" t="inlineStr">
        <is>
          <t>B1R</t>
        </is>
      </c>
      <c r="C231" s="20" t="n">
        <v>947</v>
      </c>
      <c r="D231" s="19" t="n">
        <v>2</v>
      </c>
      <c r="E231" s="19" t="n">
        <v>2</v>
      </c>
      <c r="F231" s="62" t="inlineStr">
        <is>
          <t>Market</t>
        </is>
      </c>
      <c r="G231" s="62" t="inlineStr">
        <is>
          <t>Occupied</t>
        </is>
      </c>
      <c r="H231" s="20" t="n">
        <v>1567</v>
      </c>
      <c r="I231" s="20" t="n">
        <v>1537</v>
      </c>
      <c r="J231" s="20" t="n">
        <v>1537</v>
      </c>
      <c r="K231" s="63" t="inlineStr">
        <is>
          <t>05/17/2026</t>
        </is>
      </c>
      <c r="L231" s="63" t="inlineStr">
        <is>
          <t>07/16/2027</t>
        </is>
      </c>
      <c r="M231" s="63" t="inlineStr">
        <is>
          <t>11/17/2023</t>
        </is>
      </c>
      <c r="O231" s="20" t="n">
        <v>1537</v>
      </c>
      <c r="P231" s="20" t="n">
        <v>35</v>
      </c>
      <c r="Q231" s="20" t="n">
        <v>125</v>
      </c>
      <c r="R231" s="20" t="n"/>
      <c r="S231" s="20" t="n">
        <v>-300</v>
      </c>
      <c r="T231" s="20" t="n"/>
      <c r="U231" s="20" t="n">
        <v>3</v>
      </c>
      <c r="V231" s="20" t="n"/>
      <c r="W231" s="20" t="n"/>
      <c r="X231" s="20" t="n"/>
      <c r="Y231" s="20" t="n"/>
      <c r="Z231" s="20" t="n"/>
    </row>
    <row r="232">
      <c r="A232" s="64" t="inlineStr">
        <is>
          <t>1918</t>
        </is>
      </c>
      <c r="B232" s="64" t="inlineStr">
        <is>
          <t>B4</t>
        </is>
      </c>
      <c r="C232" s="11" t="n">
        <v>1187</v>
      </c>
      <c r="D232" s="10" t="n">
        <v>2</v>
      </c>
      <c r="E232" s="10" t="n">
        <v>2</v>
      </c>
      <c r="F232" s="65" t="inlineStr">
        <is>
          <t>Market</t>
        </is>
      </c>
      <c r="G232" s="65" t="inlineStr">
        <is>
          <t>Occupied</t>
        </is>
      </c>
      <c r="H232" s="11" t="n">
        <v>1781</v>
      </c>
      <c r="I232" s="11" t="n">
        <v>1492</v>
      </c>
      <c r="J232" s="11" t="n">
        <v>1492</v>
      </c>
      <c r="K232" s="66" t="inlineStr">
        <is>
          <t>05/20/2025</t>
        </is>
      </c>
      <c r="L232" s="66" t="inlineStr">
        <is>
          <t>07/19/2026</t>
        </is>
      </c>
      <c r="M232" s="66" t="inlineStr">
        <is>
          <t>12/18/2015</t>
        </is>
      </c>
      <c r="O232" s="11" t="n">
        <v>1492</v>
      </c>
      <c r="P232" s="11" t="n"/>
      <c r="Q232" s="11" t="n"/>
      <c r="R232" s="11" t="n"/>
      <c r="S232" s="11" t="n"/>
      <c r="T232" s="11" t="n"/>
      <c r="U232" s="11" t="n">
        <v>1</v>
      </c>
      <c r="V232" s="11" t="n"/>
      <c r="W232" s="11" t="n"/>
      <c r="X232" s="11" t="n"/>
      <c r="Y232" s="11" t="n"/>
      <c r="Z232" s="11" t="n"/>
    </row>
    <row r="233">
      <c r="A233" s="61" t="inlineStr">
        <is>
          <t>1921</t>
        </is>
      </c>
      <c r="B233" s="61" t="inlineStr">
        <is>
          <t>B4</t>
        </is>
      </c>
      <c r="C233" s="20" t="n">
        <v>1187</v>
      </c>
      <c r="D233" s="19" t="n">
        <v>2</v>
      </c>
      <c r="E233" s="19" t="n">
        <v>2</v>
      </c>
      <c r="F233" s="62" t="inlineStr">
        <is>
          <t>Market</t>
        </is>
      </c>
      <c r="G233" s="62" t="inlineStr">
        <is>
          <t>Occupied</t>
        </is>
      </c>
      <c r="H233" s="20" t="n">
        <v>1596</v>
      </c>
      <c r="I233" s="20" t="n">
        <v>1620</v>
      </c>
      <c r="J233" s="20" t="n">
        <v>1620</v>
      </c>
      <c r="K233" s="63" t="inlineStr">
        <is>
          <t>09/17/2025</t>
        </is>
      </c>
      <c r="L233" s="63" t="inlineStr">
        <is>
          <t>09/16/2026</t>
        </is>
      </c>
      <c r="M233" s="63" t="inlineStr">
        <is>
          <t>08/11/2021</t>
        </is>
      </c>
      <c r="O233" s="20" t="n">
        <v>1620</v>
      </c>
      <c r="P233" s="20" t="n"/>
      <c r="Q233" s="20" t="n"/>
      <c r="R233" s="20" t="n"/>
      <c r="S233" s="20" t="n"/>
      <c r="T233" s="20" t="n"/>
      <c r="U233" s="20" t="n">
        <v>1</v>
      </c>
      <c r="V233" s="20" t="n"/>
      <c r="W233" s="20" t="n"/>
      <c r="X233" s="20" t="n"/>
      <c r="Y233" s="20" t="n"/>
      <c r="Z233" s="20" t="n"/>
    </row>
    <row r="234">
      <c r="A234" s="64" t="inlineStr">
        <is>
          <t>1922</t>
        </is>
      </c>
      <c r="B234" s="64" t="inlineStr">
        <is>
          <t>B1</t>
        </is>
      </c>
      <c r="C234" s="11" t="n">
        <v>947</v>
      </c>
      <c r="D234" s="10" t="n">
        <v>2</v>
      </c>
      <c r="E234" s="10" t="n">
        <v>2</v>
      </c>
      <c r="F234" s="65" t="inlineStr">
        <is>
          <t>Market</t>
        </is>
      </c>
      <c r="G234" s="65" t="inlineStr">
        <is>
          <t>Occupied</t>
        </is>
      </c>
      <c r="H234" s="11" t="n">
        <v>1332</v>
      </c>
      <c r="I234" s="11" t="n">
        <v>1474</v>
      </c>
      <c r="J234" s="11" t="n">
        <v>1474</v>
      </c>
      <c r="K234" s="66" t="inlineStr">
        <is>
          <t>06/18/2025</t>
        </is>
      </c>
      <c r="L234" s="66" t="inlineStr">
        <is>
          <t>09/17/2026</t>
        </is>
      </c>
      <c r="M234" s="66" t="inlineStr">
        <is>
          <t>03/18/2024</t>
        </is>
      </c>
      <c r="O234" s="11" t="n">
        <v>1474</v>
      </c>
      <c r="P234" s="11" t="n"/>
      <c r="Q234" s="11" t="n"/>
      <c r="R234" s="11" t="n"/>
      <c r="S234" s="11" t="n"/>
      <c r="T234" s="11" t="n"/>
      <c r="U234" s="11" t="n">
        <v>1</v>
      </c>
      <c r="V234" s="11" t="n"/>
      <c r="W234" s="11" t="n"/>
      <c r="X234" s="11" t="n"/>
      <c r="Y234" s="11" t="n"/>
      <c r="Z234" s="11" t="n"/>
    </row>
    <row r="235">
      <c r="A235" s="61" t="inlineStr">
        <is>
          <t>1923</t>
        </is>
      </c>
      <c r="B235" s="61" t="inlineStr">
        <is>
          <t>B1</t>
        </is>
      </c>
      <c r="C235" s="20" t="n">
        <v>947</v>
      </c>
      <c r="D235" s="19" t="n">
        <v>2</v>
      </c>
      <c r="E235" s="19" t="n">
        <v>2</v>
      </c>
      <c r="F235" s="62" t="inlineStr">
        <is>
          <t>Market</t>
        </is>
      </c>
      <c r="G235" s="62" t="inlineStr">
        <is>
          <t>Occupied</t>
        </is>
      </c>
      <c r="H235" s="20" t="n">
        <v>1347</v>
      </c>
      <c r="I235" s="20" t="n">
        <v>1272</v>
      </c>
      <c r="J235" s="20" t="n">
        <v>1272</v>
      </c>
      <c r="K235" s="63" t="inlineStr">
        <is>
          <t>03/30/2026</t>
        </is>
      </c>
      <c r="L235" s="63" t="inlineStr">
        <is>
          <t>06/29/2027</t>
        </is>
      </c>
      <c r="M235" s="63" t="inlineStr">
        <is>
          <t>03/30/2026</t>
        </is>
      </c>
      <c r="O235" s="20" t="n">
        <v>1272</v>
      </c>
      <c r="P235" s="20" t="n">
        <v>35</v>
      </c>
      <c r="Q235" s="20" t="n"/>
      <c r="R235" s="20" t="n"/>
      <c r="S235" s="20" t="n"/>
      <c r="T235" s="20" t="n"/>
      <c r="U235" s="20" t="n">
        <v>3</v>
      </c>
      <c r="V235" s="20" t="n"/>
      <c r="W235" s="20" t="n"/>
      <c r="X235" s="20" t="n"/>
      <c r="Y235" s="20" t="n"/>
      <c r="Z235" s="20" t="n"/>
    </row>
    <row r="236">
      <c r="A236" s="64" t="inlineStr">
        <is>
          <t>1924</t>
        </is>
      </c>
      <c r="B236" s="64" t="inlineStr">
        <is>
          <t>B4</t>
        </is>
      </c>
      <c r="C236" s="11" t="n">
        <v>1187</v>
      </c>
      <c r="D236" s="10" t="n">
        <v>2</v>
      </c>
      <c r="E236" s="10" t="n">
        <v>2</v>
      </c>
      <c r="F236" s="65" t="inlineStr">
        <is>
          <t>Market</t>
        </is>
      </c>
      <c r="G236" s="65" t="inlineStr">
        <is>
          <t>Occupied</t>
        </is>
      </c>
      <c r="H236" s="11" t="n">
        <v>1611</v>
      </c>
      <c r="I236" s="11" t="n">
        <v>1485</v>
      </c>
      <c r="J236" s="11" t="n">
        <v>1485</v>
      </c>
      <c r="K236" s="66" t="inlineStr">
        <is>
          <t>07/24/2025</t>
        </is>
      </c>
      <c r="L236" s="66" t="inlineStr">
        <is>
          <t>10/23/2026</t>
        </is>
      </c>
      <c r="M236" s="66" t="inlineStr">
        <is>
          <t>07/24/2025</t>
        </is>
      </c>
      <c r="O236" s="11" t="n">
        <v>1485</v>
      </c>
      <c r="P236" s="11" t="n"/>
      <c r="Q236" s="11" t="n">
        <v>125</v>
      </c>
      <c r="R236" s="11" t="n"/>
      <c r="S236" s="11" t="n"/>
      <c r="T236" s="11" t="n"/>
      <c r="U236" s="11" t="n">
        <v>1</v>
      </c>
      <c r="V236" s="11" t="n"/>
      <c r="W236" s="11" t="n"/>
      <c r="X236" s="11" t="n"/>
      <c r="Y236" s="11" t="n"/>
      <c r="Z236" s="11" t="n"/>
    </row>
    <row r="237">
      <c r="A237" s="61" t="inlineStr">
        <is>
          <t>1925</t>
        </is>
      </c>
      <c r="B237" s="61" t="inlineStr">
        <is>
          <t>B4</t>
        </is>
      </c>
      <c r="C237" s="20" t="n">
        <v>1187</v>
      </c>
      <c r="D237" s="19" t="n">
        <v>2</v>
      </c>
      <c r="E237" s="19" t="n">
        <v>2</v>
      </c>
      <c r="F237" s="62" t="inlineStr">
        <is>
          <t>Market</t>
        </is>
      </c>
      <c r="G237" s="62" t="inlineStr">
        <is>
          <t>Vacant</t>
        </is>
      </c>
      <c r="H237" s="20" t="n">
        <v>1636</v>
      </c>
      <c r="I237" s="20" t="n">
        <v>0</v>
      </c>
      <c r="J237" s="20" t="n">
        <v>0</v>
      </c>
      <c r="K237" s="63" t="n"/>
      <c r="L237" s="63" t="n"/>
      <c r="M237" s="63" t="n"/>
      <c r="O237" s="20" t="n"/>
      <c r="P237" s="20" t="n"/>
      <c r="Q237" s="20" t="n"/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</row>
    <row r="238">
      <c r="A238" s="64" t="inlineStr">
        <is>
          <t>1926</t>
        </is>
      </c>
      <c r="B238" s="64" t="inlineStr">
        <is>
          <t>B1</t>
        </is>
      </c>
      <c r="C238" s="11" t="n">
        <v>947</v>
      </c>
      <c r="D238" s="10" t="n">
        <v>2</v>
      </c>
      <c r="E238" s="10" t="n">
        <v>2</v>
      </c>
      <c r="F238" s="65" t="inlineStr">
        <is>
          <t>Market</t>
        </is>
      </c>
      <c r="G238" s="65" t="inlineStr">
        <is>
          <t>Occupied</t>
        </is>
      </c>
      <c r="H238" s="11" t="n">
        <v>1332</v>
      </c>
      <c r="I238" s="11" t="n">
        <v>1531</v>
      </c>
      <c r="J238" s="11" t="n">
        <v>1531</v>
      </c>
      <c r="K238" s="66" t="inlineStr">
        <is>
          <t>12/20/2025</t>
        </is>
      </c>
      <c r="L238" s="66" t="inlineStr">
        <is>
          <t>03/19/2027</t>
        </is>
      </c>
      <c r="M238" s="66" t="inlineStr">
        <is>
          <t>09/20/2024</t>
        </is>
      </c>
      <c r="O238" s="11" t="n">
        <v>1531</v>
      </c>
      <c r="P238" s="11" t="n"/>
      <c r="Q238" s="11" t="n"/>
      <c r="R238" s="11" t="n"/>
      <c r="S238" s="11" t="n"/>
      <c r="T238" s="11" t="n"/>
      <c r="U238" s="11" t="n">
        <v>1</v>
      </c>
      <c r="V238" s="11" t="n"/>
      <c r="W238" s="11" t="n"/>
      <c r="X238" s="11" t="n"/>
      <c r="Y238" s="11" t="n"/>
      <c r="Z238" s="11" t="n"/>
    </row>
    <row r="239">
      <c r="A239" s="61" t="inlineStr">
        <is>
          <t>1927</t>
        </is>
      </c>
      <c r="B239" s="61" t="inlineStr">
        <is>
          <t>B1R</t>
        </is>
      </c>
      <c r="C239" s="20" t="n">
        <v>947</v>
      </c>
      <c r="D239" s="19" t="n">
        <v>2</v>
      </c>
      <c r="E239" s="19" t="n">
        <v>2</v>
      </c>
      <c r="F239" s="62" t="inlineStr">
        <is>
          <t>Market</t>
        </is>
      </c>
      <c r="G239" s="62" t="inlineStr">
        <is>
          <t>Occupied</t>
        </is>
      </c>
      <c r="H239" s="20" t="n">
        <v>1547</v>
      </c>
      <c r="I239" s="20" t="n">
        <v>1375</v>
      </c>
      <c r="J239" s="20" t="n">
        <v>1375</v>
      </c>
      <c r="K239" s="63" t="inlineStr">
        <is>
          <t>01/09/2026</t>
        </is>
      </c>
      <c r="L239" s="63" t="inlineStr">
        <is>
          <t>04/08/2027</t>
        </is>
      </c>
      <c r="M239" s="63" t="inlineStr">
        <is>
          <t>01/09/2026</t>
        </is>
      </c>
      <c r="O239" s="20" t="n">
        <v>1375</v>
      </c>
      <c r="P239" s="20" t="n">
        <v>35</v>
      </c>
      <c r="Q239" s="20" t="n"/>
      <c r="R239" s="20" t="n"/>
      <c r="S239" s="20" t="n"/>
      <c r="T239" s="20" t="n"/>
      <c r="U239" s="20" t="n">
        <v>3</v>
      </c>
      <c r="V239" s="20" t="n">
        <v>100</v>
      </c>
      <c r="W239" s="20" t="n"/>
      <c r="X239" s="20" t="n"/>
      <c r="Y239" s="20" t="n"/>
      <c r="Z239" s="20" t="n"/>
    </row>
    <row r="240">
      <c r="A240" s="64" t="inlineStr">
        <is>
          <t>1928</t>
        </is>
      </c>
      <c r="B240" s="64" t="inlineStr">
        <is>
          <t>B4</t>
        </is>
      </c>
      <c r="C240" s="11" t="n">
        <v>1187</v>
      </c>
      <c r="D240" s="10" t="n">
        <v>2</v>
      </c>
      <c r="E240" s="10" t="n">
        <v>2</v>
      </c>
      <c r="F240" s="65" t="inlineStr">
        <is>
          <t>Market</t>
        </is>
      </c>
      <c r="G240" s="65" t="inlineStr">
        <is>
          <t>Occupied</t>
        </is>
      </c>
      <c r="H240" s="11" t="n">
        <v>1611</v>
      </c>
      <c r="I240" s="11" t="n">
        <v>1550</v>
      </c>
      <c r="J240" s="11" t="n">
        <v>1550</v>
      </c>
      <c r="K240" s="66" t="inlineStr">
        <is>
          <t>07/17/2025</t>
        </is>
      </c>
      <c r="L240" s="66" t="inlineStr">
        <is>
          <t>10/14/2026</t>
        </is>
      </c>
      <c r="M240" s="66" t="inlineStr">
        <is>
          <t>07/17/2025</t>
        </is>
      </c>
      <c r="O240" s="11" t="n">
        <v>1550</v>
      </c>
      <c r="P240" s="11" t="n"/>
      <c r="Q240" s="11" t="n"/>
      <c r="R240" s="11" t="n"/>
      <c r="S240" s="11" t="n"/>
      <c r="T240" s="11" t="n"/>
      <c r="U240" s="11" t="n">
        <v>1</v>
      </c>
      <c r="V240" s="11" t="n"/>
      <c r="W240" s="11" t="n"/>
      <c r="X240" s="11" t="n"/>
      <c r="Y240" s="11" t="n"/>
      <c r="Z240" s="11" t="n"/>
    </row>
    <row r="241">
      <c r="A241" s="61" t="inlineStr">
        <is>
          <t>1932</t>
        </is>
      </c>
      <c r="B241" s="61" t="inlineStr">
        <is>
          <t>B1</t>
        </is>
      </c>
      <c r="C241" s="20" t="n">
        <v>947</v>
      </c>
      <c r="D241" s="19" t="n">
        <v>2</v>
      </c>
      <c r="E241" s="19" t="n">
        <v>2</v>
      </c>
      <c r="F241" s="62" t="inlineStr">
        <is>
          <t>Market</t>
        </is>
      </c>
      <c r="G241" s="62" t="inlineStr">
        <is>
          <t>Occupied</t>
        </is>
      </c>
      <c r="H241" s="20" t="n">
        <v>1467</v>
      </c>
      <c r="I241" s="20" t="n">
        <v>1354</v>
      </c>
      <c r="J241" s="20" t="n">
        <v>1354</v>
      </c>
      <c r="K241" s="63" t="inlineStr">
        <is>
          <t>01/26/2026</t>
        </is>
      </c>
      <c r="L241" s="63" t="inlineStr">
        <is>
          <t>05/01/2027</t>
        </is>
      </c>
      <c r="M241" s="63" t="inlineStr">
        <is>
          <t>01/26/2026</t>
        </is>
      </c>
      <c r="O241" s="20" t="n">
        <v>1354</v>
      </c>
      <c r="P241" s="20" t="n">
        <v>35</v>
      </c>
      <c r="Q241" s="20" t="n"/>
      <c r="R241" s="20" t="n">
        <v>-270.8</v>
      </c>
      <c r="S241" s="20" t="n"/>
      <c r="T241" s="20" t="n"/>
      <c r="U241" s="20" t="n">
        <v>3</v>
      </c>
      <c r="V241" s="20" t="n">
        <v>65</v>
      </c>
      <c r="W241" s="20" t="n"/>
      <c r="X241" s="20" t="n"/>
      <c r="Y241" s="20" t="n"/>
      <c r="Z241" s="20" t="n"/>
    </row>
    <row r="242">
      <c r="A242" s="64" t="inlineStr">
        <is>
          <t>1933</t>
        </is>
      </c>
      <c r="B242" s="64" t="inlineStr">
        <is>
          <t>B1R</t>
        </is>
      </c>
      <c r="C242" s="11" t="n">
        <v>947</v>
      </c>
      <c r="D242" s="10" t="n">
        <v>2</v>
      </c>
      <c r="E242" s="10" t="n">
        <v>2</v>
      </c>
      <c r="F242" s="65" t="inlineStr">
        <is>
          <t>Market</t>
        </is>
      </c>
      <c r="G242" s="65" t="inlineStr">
        <is>
          <t>Vacant</t>
        </is>
      </c>
      <c r="H242" s="11" t="n">
        <v>1547</v>
      </c>
      <c r="I242" s="11" t="n">
        <v>0</v>
      </c>
      <c r="J242" s="11" t="n">
        <v>0</v>
      </c>
      <c r="K242" s="66" t="n"/>
      <c r="L242" s="66" t="n"/>
      <c r="M242" s="66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61" t="inlineStr">
        <is>
          <t>1936</t>
        </is>
      </c>
      <c r="B243" s="61" t="inlineStr">
        <is>
          <t>B1</t>
        </is>
      </c>
      <c r="C243" s="20" t="n">
        <v>947</v>
      </c>
      <c r="D243" s="19" t="n">
        <v>2</v>
      </c>
      <c r="E243" s="19" t="n">
        <v>2</v>
      </c>
      <c r="F243" s="62" t="inlineStr">
        <is>
          <t>Market</t>
        </is>
      </c>
      <c r="G243" s="62" t="inlineStr">
        <is>
          <t>Occupied</t>
        </is>
      </c>
      <c r="H243" s="20" t="n">
        <v>1372</v>
      </c>
      <c r="I243" s="20" t="n">
        <v>1235</v>
      </c>
      <c r="J243" s="20" t="n">
        <v>1235</v>
      </c>
      <c r="K243" s="63" t="inlineStr">
        <is>
          <t>02/28/2026</t>
        </is>
      </c>
      <c r="L243" s="63" t="inlineStr">
        <is>
          <t>05/27/2027</t>
        </is>
      </c>
      <c r="M243" s="63" t="inlineStr">
        <is>
          <t>02/28/2026</t>
        </is>
      </c>
      <c r="O243" s="20" t="n">
        <v>1235</v>
      </c>
      <c r="P243" s="20" t="n">
        <v>35</v>
      </c>
      <c r="Q243" s="20" t="n"/>
      <c r="R243" s="20" t="n"/>
      <c r="S243" s="20" t="n"/>
      <c r="T243" s="20" t="n"/>
      <c r="U243" s="20" t="n">
        <v>3</v>
      </c>
      <c r="V243" s="20" t="n"/>
      <c r="W243" s="20" t="n"/>
      <c r="X243" s="20" t="n"/>
      <c r="Y243" s="20" t="n"/>
      <c r="Z243" s="20" t="n"/>
    </row>
    <row r="244">
      <c r="A244" s="64" t="inlineStr">
        <is>
          <t>1937</t>
        </is>
      </c>
      <c r="B244" s="64" t="inlineStr">
        <is>
          <t>B1</t>
        </is>
      </c>
      <c r="C244" s="11" t="n">
        <v>947</v>
      </c>
      <c r="D244" s="10" t="n">
        <v>2</v>
      </c>
      <c r="E244" s="10" t="n">
        <v>2</v>
      </c>
      <c r="F244" s="65" t="inlineStr">
        <is>
          <t>Market</t>
        </is>
      </c>
      <c r="G244" s="65" t="inlineStr">
        <is>
          <t>Occupied</t>
        </is>
      </c>
      <c r="H244" s="11" t="n">
        <v>1347</v>
      </c>
      <c r="I244" s="11" t="n">
        <v>1299</v>
      </c>
      <c r="J244" s="11" t="n">
        <v>1299</v>
      </c>
      <c r="K244" s="66" t="inlineStr">
        <is>
          <t>03/17/2025</t>
        </is>
      </c>
      <c r="L244" s="66" t="inlineStr">
        <is>
          <t>06/23/2026</t>
        </is>
      </c>
      <c r="M244" s="66" t="inlineStr">
        <is>
          <t>12/20/2023</t>
        </is>
      </c>
      <c r="O244" s="11" t="n">
        <v>1299</v>
      </c>
      <c r="P244" s="11" t="n"/>
      <c r="Q244" s="11" t="n"/>
      <c r="R244" s="11" t="n"/>
      <c r="S244" s="11" t="n"/>
      <c r="T244" s="11" t="n">
        <v>30</v>
      </c>
      <c r="U244" s="11" t="n">
        <v>1</v>
      </c>
      <c r="V244" s="11" t="n"/>
      <c r="W244" s="11" t="n"/>
      <c r="X244" s="11" t="n"/>
      <c r="Y244" s="11" t="n"/>
      <c r="Z244" s="11" t="n"/>
    </row>
    <row r="245">
      <c r="A245" s="61" t="inlineStr">
        <is>
          <t>2021</t>
        </is>
      </c>
      <c r="B245" s="61" t="inlineStr">
        <is>
          <t>B2</t>
        </is>
      </c>
      <c r="C245" s="20" t="n">
        <v>1040</v>
      </c>
      <c r="D245" s="19" t="n">
        <v>2</v>
      </c>
      <c r="E245" s="19" t="n">
        <v>2</v>
      </c>
      <c r="F245" s="62" t="inlineStr">
        <is>
          <t>Market</t>
        </is>
      </c>
      <c r="G245" s="62" t="inlineStr">
        <is>
          <t>Occupied</t>
        </is>
      </c>
      <c r="H245" s="20" t="n">
        <v>1536</v>
      </c>
      <c r="I245" s="20" t="n">
        <v>1587</v>
      </c>
      <c r="J245" s="20" t="n">
        <v>1587</v>
      </c>
      <c r="K245" s="63" t="inlineStr">
        <is>
          <t>01/01/2026</t>
        </is>
      </c>
      <c r="L245" s="63" t="inlineStr">
        <is>
          <t>03/31/2027</t>
        </is>
      </c>
      <c r="M245" s="63" t="inlineStr">
        <is>
          <t>12/01/2024</t>
        </is>
      </c>
      <c r="O245" s="20" t="n">
        <v>1587</v>
      </c>
      <c r="P245" s="20" t="n"/>
      <c r="Q245" s="20" t="n"/>
      <c r="R245" s="20" t="n"/>
      <c r="S245" s="20" t="n"/>
      <c r="T245" s="20" t="n"/>
      <c r="U245" s="20" t="n">
        <v>1</v>
      </c>
      <c r="V245" s="20" t="n"/>
      <c r="W245" s="20" t="n"/>
      <c r="X245" s="20" t="n"/>
      <c r="Y245" s="20" t="n"/>
      <c r="Z245" s="20" t="n"/>
    </row>
    <row r="246">
      <c r="A246" s="64" t="inlineStr">
        <is>
          <t>2121</t>
        </is>
      </c>
      <c r="B246" s="64" t="inlineStr">
        <is>
          <t>B2</t>
        </is>
      </c>
      <c r="C246" s="11" t="n">
        <v>1040</v>
      </c>
      <c r="D246" s="10" t="n">
        <v>2</v>
      </c>
      <c r="E246" s="10" t="n">
        <v>2</v>
      </c>
      <c r="F246" s="65" t="inlineStr">
        <is>
          <t>Market</t>
        </is>
      </c>
      <c r="G246" s="65" t="inlineStr">
        <is>
          <t>Occupied</t>
        </is>
      </c>
      <c r="H246" s="11" t="n">
        <v>1551</v>
      </c>
      <c r="I246" s="11" t="n">
        <v>1505</v>
      </c>
      <c r="J246" s="11" t="n">
        <v>1505</v>
      </c>
      <c r="K246" s="66" t="inlineStr">
        <is>
          <t>08/11/2025</t>
        </is>
      </c>
      <c r="L246" s="66" t="inlineStr">
        <is>
          <t>09/10/2026</t>
        </is>
      </c>
      <c r="M246" s="66" t="inlineStr">
        <is>
          <t>08/11/2025</t>
        </is>
      </c>
      <c r="O246" s="11" t="n">
        <v>1505</v>
      </c>
      <c r="P246" s="11" t="n"/>
      <c r="Q246" s="11" t="n"/>
      <c r="R246" s="11" t="n"/>
      <c r="S246" s="11" t="n"/>
      <c r="T246" s="11" t="n"/>
      <c r="U246" s="11" t="n">
        <v>1</v>
      </c>
      <c r="V246" s="11" t="n"/>
      <c r="W246" s="11" t="n"/>
      <c r="X246" s="11" t="n"/>
      <c r="Y246" s="11" t="n"/>
      <c r="Z246" s="11" t="n"/>
    </row>
    <row r="247">
      <c r="A247" s="61" t="inlineStr">
        <is>
          <t>2122</t>
        </is>
      </c>
      <c r="B247" s="61" t="inlineStr">
        <is>
          <t>B2</t>
        </is>
      </c>
      <c r="C247" s="20" t="n">
        <v>1040</v>
      </c>
      <c r="D247" s="19" t="n">
        <v>2</v>
      </c>
      <c r="E247" s="19" t="n">
        <v>2</v>
      </c>
      <c r="F247" s="62" t="inlineStr">
        <is>
          <t>Market</t>
        </is>
      </c>
      <c r="G247" s="62" t="inlineStr">
        <is>
          <t>Occupied</t>
        </is>
      </c>
      <c r="H247" s="20" t="n">
        <v>1551</v>
      </c>
      <c r="I247" s="20" t="n">
        <v>1688</v>
      </c>
      <c r="J247" s="20" t="n">
        <v>1688</v>
      </c>
      <c r="K247" s="63" t="inlineStr">
        <is>
          <t>12/12/2025</t>
        </is>
      </c>
      <c r="L247" s="63" t="inlineStr">
        <is>
          <t>03/11/2027</t>
        </is>
      </c>
      <c r="M247" s="63" t="inlineStr">
        <is>
          <t>09/12/2024</t>
        </is>
      </c>
      <c r="O247" s="20" t="n">
        <v>1688</v>
      </c>
      <c r="P247" s="20" t="n"/>
      <c r="Q247" s="20" t="n"/>
      <c r="R247" s="20" t="n"/>
      <c r="S247" s="20" t="n"/>
      <c r="T247" s="20" t="n"/>
      <c r="U247" s="20" t="n">
        <v>1</v>
      </c>
      <c r="V247" s="20" t="n"/>
      <c r="W247" s="20" t="n"/>
      <c r="X247" s="20" t="n"/>
      <c r="Y247" s="20" t="n"/>
      <c r="Z247" s="20" t="n"/>
    </row>
    <row r="248">
      <c r="A248" s="64" t="inlineStr">
        <is>
          <t>2221</t>
        </is>
      </c>
      <c r="B248" s="64" t="inlineStr">
        <is>
          <t>B2</t>
        </is>
      </c>
      <c r="C248" s="11" t="n">
        <v>1040</v>
      </c>
      <c r="D248" s="10" t="n">
        <v>2</v>
      </c>
      <c r="E248" s="10" t="n">
        <v>2</v>
      </c>
      <c r="F248" s="65" t="inlineStr">
        <is>
          <t>Market</t>
        </is>
      </c>
      <c r="G248" s="65" t="inlineStr">
        <is>
          <t>Occupied</t>
        </is>
      </c>
      <c r="H248" s="11" t="n">
        <v>1551</v>
      </c>
      <c r="I248" s="11" t="n">
        <v>1443</v>
      </c>
      <c r="J248" s="11" t="n">
        <v>1443</v>
      </c>
      <c r="K248" s="66" t="inlineStr">
        <is>
          <t>04/15/2026</t>
        </is>
      </c>
      <c r="L248" s="66" t="inlineStr">
        <is>
          <t>07/14/2027</t>
        </is>
      </c>
      <c r="M248" s="66" t="inlineStr">
        <is>
          <t>04/15/2026</t>
        </is>
      </c>
      <c r="O248" s="11" t="n">
        <v>1443</v>
      </c>
      <c r="P248" s="11" t="n">
        <v>35</v>
      </c>
      <c r="Q248" s="11" t="n"/>
      <c r="R248" s="11" t="n"/>
      <c r="S248" s="11" t="n"/>
      <c r="T248" s="11" t="n"/>
      <c r="U248" s="11" t="n">
        <v>3</v>
      </c>
      <c r="V248" s="11" t="n"/>
      <c r="W248" s="11" t="n"/>
      <c r="X248" s="11" t="n"/>
      <c r="Y248" s="11" t="n"/>
      <c r="Z248" s="11" t="n"/>
    </row>
    <row r="249">
      <c r="A249" s="61" t="inlineStr">
        <is>
          <t>2222</t>
        </is>
      </c>
      <c r="B249" s="61" t="inlineStr">
        <is>
          <t>B2R</t>
        </is>
      </c>
      <c r="C249" s="20" t="n">
        <v>1040</v>
      </c>
      <c r="D249" s="19" t="n">
        <v>2</v>
      </c>
      <c r="E249" s="19" t="n">
        <v>2</v>
      </c>
      <c r="F249" s="62" t="inlineStr">
        <is>
          <t>Market</t>
        </is>
      </c>
      <c r="G249" s="62" t="inlineStr">
        <is>
          <t>Occupied</t>
        </is>
      </c>
      <c r="H249" s="20" t="n">
        <v>1551</v>
      </c>
      <c r="I249" s="20" t="n">
        <v>1771</v>
      </c>
      <c r="J249" s="20" t="n">
        <v>1771</v>
      </c>
      <c r="K249" s="63" t="inlineStr">
        <is>
          <t>05/27/2026</t>
        </is>
      </c>
      <c r="L249" s="63" t="inlineStr">
        <is>
          <t>05/25/2027</t>
        </is>
      </c>
      <c r="M249" s="63" t="inlineStr">
        <is>
          <t>05/27/2026</t>
        </is>
      </c>
      <c r="O249" s="20" t="n">
        <v>1771</v>
      </c>
      <c r="P249" s="20" t="n">
        <v>35</v>
      </c>
      <c r="Q249" s="20" t="n"/>
      <c r="R249" s="20" t="n"/>
      <c r="S249" s="20" t="n"/>
      <c r="T249" s="20" t="n"/>
      <c r="U249" s="20" t="n">
        <v>3</v>
      </c>
      <c r="V249" s="20" t="n"/>
      <c r="W249" s="20" t="n"/>
      <c r="X249" s="20" t="n"/>
      <c r="Y249" s="20" t="n">
        <v>30</v>
      </c>
      <c r="Z249" s="20" t="n"/>
    </row>
    <row r="250">
      <c r="A250" s="64" t="inlineStr">
        <is>
          <t>2321</t>
        </is>
      </c>
      <c r="B250" s="64" t="inlineStr">
        <is>
          <t>B2</t>
        </is>
      </c>
      <c r="C250" s="11" t="n">
        <v>1040</v>
      </c>
      <c r="D250" s="10" t="n">
        <v>2</v>
      </c>
      <c r="E250" s="10" t="n">
        <v>2</v>
      </c>
      <c r="F250" s="65" t="inlineStr">
        <is>
          <t>Market</t>
        </is>
      </c>
      <c r="G250" s="65" t="inlineStr">
        <is>
          <t>Occupied</t>
        </is>
      </c>
      <c r="H250" s="11" t="n">
        <v>1551</v>
      </c>
      <c r="I250" s="11" t="n">
        <v>1639</v>
      </c>
      <c r="J250" s="11" t="n">
        <v>1639</v>
      </c>
      <c r="K250" s="66" t="inlineStr">
        <is>
          <t>11/11/2025</t>
        </is>
      </c>
      <c r="L250" s="66" t="inlineStr">
        <is>
          <t>01/10/2027</t>
        </is>
      </c>
      <c r="M250" s="66" t="inlineStr">
        <is>
          <t>08/11/2023</t>
        </is>
      </c>
      <c r="O250" s="11" t="n">
        <v>1639</v>
      </c>
      <c r="P250" s="11" t="n"/>
      <c r="Q250" s="11" t="n"/>
      <c r="R250" s="11" t="n"/>
      <c r="S250" s="11" t="n"/>
      <c r="T250" s="11" t="n"/>
      <c r="U250" s="11" t="n">
        <v>1</v>
      </c>
      <c r="V250" s="11" t="n"/>
      <c r="W250" s="11" t="n"/>
      <c r="X250" s="11" t="n"/>
      <c r="Y250" s="11" t="n"/>
      <c r="Z250" s="11" t="n"/>
    </row>
    <row r="251">
      <c r="A251" s="61" t="inlineStr">
        <is>
          <t>2322</t>
        </is>
      </c>
      <c r="B251" s="61" t="inlineStr">
        <is>
          <t>B2</t>
        </is>
      </c>
      <c r="C251" s="20" t="n">
        <v>1040</v>
      </c>
      <c r="D251" s="19" t="n">
        <v>2</v>
      </c>
      <c r="E251" s="19" t="n">
        <v>2</v>
      </c>
      <c r="F251" s="62" t="inlineStr">
        <is>
          <t>Market</t>
        </is>
      </c>
      <c r="G251" s="62" t="inlineStr">
        <is>
          <t>Occupied</t>
        </is>
      </c>
      <c r="H251" s="20" t="n">
        <v>1591</v>
      </c>
      <c r="I251" s="20" t="n">
        <v>1463</v>
      </c>
      <c r="J251" s="20" t="n">
        <v>1463</v>
      </c>
      <c r="K251" s="63" t="inlineStr">
        <is>
          <t>04/09/2026</t>
        </is>
      </c>
      <c r="L251" s="63" t="inlineStr">
        <is>
          <t>07/08/2027</t>
        </is>
      </c>
      <c r="M251" s="63" t="inlineStr">
        <is>
          <t>01/08/2025</t>
        </is>
      </c>
      <c r="O251" s="20" t="n">
        <v>1463</v>
      </c>
      <c r="P251" s="20" t="n">
        <v>35</v>
      </c>
      <c r="Q251" s="20" t="n"/>
      <c r="R251" s="20" t="n"/>
      <c r="S251" s="20" t="n"/>
      <c r="T251" s="20" t="n"/>
      <c r="U251" s="20" t="n">
        <v>3</v>
      </c>
      <c r="V251" s="20" t="n"/>
      <c r="W251" s="20" t="n"/>
      <c r="X251" s="20" t="n"/>
      <c r="Y251" s="20" t="n"/>
      <c r="Z251" s="20" t="n"/>
    </row>
    <row r="252">
      <c r="A252" s="64" t="inlineStr">
        <is>
          <t>2411</t>
        </is>
      </c>
      <c r="B252" s="64" t="inlineStr">
        <is>
          <t>C1R</t>
        </is>
      </c>
      <c r="C252" s="11" t="n">
        <v>1258</v>
      </c>
      <c r="D252" s="10" t="n">
        <v>3</v>
      </c>
      <c r="E252" s="10" t="n">
        <v>2</v>
      </c>
      <c r="F252" s="65" t="inlineStr">
        <is>
          <t>Market</t>
        </is>
      </c>
      <c r="G252" s="65" t="inlineStr">
        <is>
          <t>Occupied</t>
        </is>
      </c>
      <c r="H252" s="11" t="n">
        <v>1995</v>
      </c>
      <c r="I252" s="11" t="n">
        <v>1887</v>
      </c>
      <c r="J252" s="11" t="n">
        <v>1887</v>
      </c>
      <c r="K252" s="66" t="inlineStr">
        <is>
          <t>05/27/2026</t>
        </is>
      </c>
      <c r="L252" s="66" t="inlineStr">
        <is>
          <t>06/26/2027</t>
        </is>
      </c>
      <c r="M252" s="66" t="inlineStr">
        <is>
          <t>11/27/2023</t>
        </is>
      </c>
      <c r="O252" s="11" t="n">
        <v>1887</v>
      </c>
      <c r="P252" s="11" t="n">
        <v>35</v>
      </c>
      <c r="Q252" s="11" t="n"/>
      <c r="R252" s="11" t="n"/>
      <c r="S252" s="11" t="n"/>
      <c r="T252" s="11" t="n"/>
      <c r="U252" s="11" t="n">
        <v>3</v>
      </c>
      <c r="V252" s="11" t="n"/>
      <c r="W252" s="11" t="n"/>
      <c r="X252" s="11" t="n"/>
      <c r="Y252" s="11" t="n"/>
      <c r="Z252" s="11" t="n"/>
    </row>
    <row r="253">
      <c r="A253" s="61" t="inlineStr">
        <is>
          <t>2412</t>
        </is>
      </c>
      <c r="B253" s="61" t="inlineStr">
        <is>
          <t>A1</t>
        </is>
      </c>
      <c r="C253" s="20" t="n">
        <v>739</v>
      </c>
      <c r="D253" s="19" t="n">
        <v>1</v>
      </c>
      <c r="E253" s="19" t="n">
        <v>1</v>
      </c>
      <c r="F253" s="62" t="inlineStr">
        <is>
          <t>Market</t>
        </is>
      </c>
      <c r="G253" s="62" t="inlineStr">
        <is>
          <t>Occupied</t>
        </is>
      </c>
      <c r="H253" s="20" t="n">
        <v>1162</v>
      </c>
      <c r="I253" s="20" t="n">
        <v>1177</v>
      </c>
      <c r="J253" s="20" t="n">
        <v>1177</v>
      </c>
      <c r="K253" s="63" t="inlineStr">
        <is>
          <t>03/27/2026</t>
        </is>
      </c>
      <c r="L253" s="63" t="inlineStr">
        <is>
          <t>06/26/2027</t>
        </is>
      </c>
      <c r="M253" s="63" t="inlineStr">
        <is>
          <t>12/27/2024</t>
        </is>
      </c>
      <c r="O253" s="20" t="n">
        <v>1177</v>
      </c>
      <c r="P253" s="20" t="n">
        <v>35</v>
      </c>
      <c r="Q253" s="20" t="n"/>
      <c r="R253" s="20" t="n"/>
      <c r="S253" s="20" t="n"/>
      <c r="T253" s="20" t="n"/>
      <c r="U253" s="20" t="n">
        <v>3</v>
      </c>
      <c r="V253" s="20" t="n"/>
      <c r="W253" s="20" t="n"/>
      <c r="X253" s="20" t="n"/>
      <c r="Y253" s="20" t="n"/>
      <c r="Z253" s="20" t="n"/>
    </row>
    <row r="254">
      <c r="A254" s="64" t="inlineStr">
        <is>
          <t>2413</t>
        </is>
      </c>
      <c r="B254" s="64" t="inlineStr">
        <is>
          <t>A1R</t>
        </is>
      </c>
      <c r="C254" s="11" t="n">
        <v>739</v>
      </c>
      <c r="D254" s="10" t="n">
        <v>1</v>
      </c>
      <c r="E254" s="10" t="n">
        <v>1</v>
      </c>
      <c r="F254" s="65" t="inlineStr">
        <is>
          <t>Market</t>
        </is>
      </c>
      <c r="G254" s="65" t="inlineStr">
        <is>
          <t>Occupied</t>
        </is>
      </c>
      <c r="H254" s="11" t="n">
        <v>1367</v>
      </c>
      <c r="I254" s="11" t="n">
        <v>1134</v>
      </c>
      <c r="J254" s="11" t="n">
        <v>1134</v>
      </c>
      <c r="K254" s="66" t="inlineStr">
        <is>
          <t>12/12/2025</t>
        </is>
      </c>
      <c r="L254" s="66" t="inlineStr">
        <is>
          <t>12/11/2026</t>
        </is>
      </c>
      <c r="M254" s="66" t="inlineStr">
        <is>
          <t>12/12/2025</t>
        </is>
      </c>
      <c r="O254" s="11" t="n">
        <v>1134</v>
      </c>
      <c r="P254" s="11" t="n">
        <v>35</v>
      </c>
      <c r="Q254" s="11" t="n"/>
      <c r="R254" s="11" t="n"/>
      <c r="S254" s="11" t="n"/>
      <c r="T254" s="11" t="n"/>
      <c r="U254" s="11" t="n">
        <v>3</v>
      </c>
      <c r="V254" s="11" t="n"/>
      <c r="W254" s="11" t="n"/>
      <c r="X254" s="11" t="n"/>
      <c r="Y254" s="11" t="n"/>
      <c r="Z254" s="11" t="n"/>
    </row>
    <row r="255">
      <c r="A255" s="61" t="inlineStr">
        <is>
          <t>2414</t>
        </is>
      </c>
      <c r="B255" s="61" t="inlineStr">
        <is>
          <t>C1</t>
        </is>
      </c>
      <c r="C255" s="20" t="n">
        <v>1258</v>
      </c>
      <c r="D255" s="19" t="n">
        <v>3</v>
      </c>
      <c r="E255" s="19" t="n">
        <v>2</v>
      </c>
      <c r="F255" s="62" t="inlineStr">
        <is>
          <t>Market</t>
        </is>
      </c>
      <c r="G255" s="62" t="inlineStr">
        <is>
          <t>Occupied</t>
        </is>
      </c>
      <c r="H255" s="20" t="n">
        <v>1885</v>
      </c>
      <c r="I255" s="20" t="n">
        <v>1706</v>
      </c>
      <c r="J255" s="20" t="n">
        <v>1706</v>
      </c>
      <c r="K255" s="63" t="inlineStr">
        <is>
          <t>03/06/2026</t>
        </is>
      </c>
      <c r="L255" s="63" t="inlineStr">
        <is>
          <t>06/05/2027</t>
        </is>
      </c>
      <c r="M255" s="63" t="inlineStr">
        <is>
          <t>03/06/2026</t>
        </is>
      </c>
      <c r="O255" s="20" t="n">
        <v>1706</v>
      </c>
      <c r="P255" s="20" t="n">
        <v>35</v>
      </c>
      <c r="Q255" s="20" t="n"/>
      <c r="R255" s="20" t="n"/>
      <c r="S255" s="20" t="n"/>
      <c r="T255" s="20" t="n"/>
      <c r="U255" s="20" t="n">
        <v>3</v>
      </c>
      <c r="V255" s="20" t="n"/>
      <c r="W255" s="20" t="n"/>
      <c r="X255" s="20" t="n"/>
      <c r="Y255" s="20" t="n"/>
      <c r="Z255" s="20" t="n"/>
    </row>
    <row r="256">
      <c r="A256" s="64" t="inlineStr">
        <is>
          <t>2415</t>
        </is>
      </c>
      <c r="B256" s="64" t="inlineStr">
        <is>
          <t>C1R</t>
        </is>
      </c>
      <c r="C256" s="11" t="n">
        <v>1258</v>
      </c>
      <c r="D256" s="10" t="n">
        <v>3</v>
      </c>
      <c r="E256" s="10" t="n">
        <v>2</v>
      </c>
      <c r="F256" s="65" t="inlineStr">
        <is>
          <t>Market</t>
        </is>
      </c>
      <c r="G256" s="65" t="inlineStr">
        <is>
          <t>Vacant</t>
        </is>
      </c>
      <c r="H256" s="11" t="n">
        <v>2145</v>
      </c>
      <c r="I256" s="11" t="n">
        <v>0</v>
      </c>
      <c r="J256" s="11" t="n">
        <v>0</v>
      </c>
      <c r="K256" s="66" t="n"/>
      <c r="L256" s="66" t="n"/>
      <c r="M256" s="66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61" t="inlineStr">
        <is>
          <t>2416</t>
        </is>
      </c>
      <c r="B257" s="61" t="inlineStr">
        <is>
          <t>A1</t>
        </is>
      </c>
      <c r="C257" s="20" t="n">
        <v>739</v>
      </c>
      <c r="D257" s="19" t="n">
        <v>1</v>
      </c>
      <c r="E257" s="19" t="n">
        <v>1</v>
      </c>
      <c r="F257" s="62" t="inlineStr">
        <is>
          <t>Market</t>
        </is>
      </c>
      <c r="G257" s="62" t="inlineStr">
        <is>
          <t>Occupied</t>
        </is>
      </c>
      <c r="H257" s="20" t="n">
        <v>1137</v>
      </c>
      <c r="I257" s="20" t="n">
        <v>1183</v>
      </c>
      <c r="J257" s="20" t="n">
        <v>1183</v>
      </c>
      <c r="K257" s="63" t="inlineStr">
        <is>
          <t>10/15/2025</t>
        </is>
      </c>
      <c r="L257" s="63" t="inlineStr">
        <is>
          <t>01/14/2027</t>
        </is>
      </c>
      <c r="M257" s="63" t="inlineStr">
        <is>
          <t>10/15/2025</t>
        </is>
      </c>
      <c r="O257" s="20" t="n">
        <v>1183</v>
      </c>
      <c r="P257" s="20" t="n"/>
      <c r="Q257" s="20" t="n"/>
      <c r="R257" s="20" t="n"/>
      <c r="S257" s="20" t="n"/>
      <c r="T257" s="20" t="n"/>
      <c r="U257" s="20" t="n">
        <v>1</v>
      </c>
      <c r="V257" s="20" t="n"/>
      <c r="W257" s="20" t="n"/>
      <c r="X257" s="20" t="n"/>
      <c r="Y257" s="20" t="n"/>
      <c r="Z257" s="20" t="n"/>
    </row>
    <row r="258">
      <c r="A258" s="64" t="inlineStr">
        <is>
          <t>2417</t>
        </is>
      </c>
      <c r="B258" s="64" t="inlineStr">
        <is>
          <t>A1R</t>
        </is>
      </c>
      <c r="C258" s="11" t="n">
        <v>739</v>
      </c>
      <c r="D258" s="10" t="n">
        <v>1</v>
      </c>
      <c r="E258" s="10" t="n">
        <v>1</v>
      </c>
      <c r="F258" s="65" t="inlineStr">
        <is>
          <t>Market</t>
        </is>
      </c>
      <c r="G258" s="65" t="inlineStr">
        <is>
          <t>Occupied</t>
        </is>
      </c>
      <c r="H258" s="11" t="n">
        <v>1302</v>
      </c>
      <c r="I258" s="11" t="n">
        <v>1470</v>
      </c>
      <c r="J258" s="11" t="n">
        <v>1470</v>
      </c>
      <c r="K258" s="66" t="inlineStr">
        <is>
          <t>01/11/2026</t>
        </is>
      </c>
      <c r="L258" s="66" t="inlineStr">
        <is>
          <t>02/10/2027</t>
        </is>
      </c>
      <c r="M258" s="66" t="inlineStr">
        <is>
          <t>12/11/2024</t>
        </is>
      </c>
      <c r="O258" s="11" t="n">
        <v>1470</v>
      </c>
      <c r="P258" s="11" t="n"/>
      <c r="Q258" s="11" t="n"/>
      <c r="R258" s="11" t="n"/>
      <c r="S258" s="11" t="n"/>
      <c r="T258" s="11" t="n"/>
      <c r="U258" s="11" t="n">
        <v>3</v>
      </c>
      <c r="V258" s="11" t="n"/>
      <c r="W258" s="11" t="n"/>
      <c r="X258" s="11" t="n"/>
      <c r="Y258" s="11" t="n"/>
      <c r="Z258" s="11" t="n"/>
    </row>
    <row r="259">
      <c r="A259" s="61" t="inlineStr">
        <is>
          <t>2418</t>
        </is>
      </c>
      <c r="B259" s="61" t="inlineStr">
        <is>
          <t>C1</t>
        </is>
      </c>
      <c r="C259" s="20" t="n">
        <v>1258</v>
      </c>
      <c r="D259" s="19" t="n">
        <v>3</v>
      </c>
      <c r="E259" s="19" t="n">
        <v>2</v>
      </c>
      <c r="F259" s="62" t="inlineStr">
        <is>
          <t>Market</t>
        </is>
      </c>
      <c r="G259" s="62" t="inlineStr">
        <is>
          <t>Occupied</t>
        </is>
      </c>
      <c r="H259" s="20" t="n">
        <v>1885</v>
      </c>
      <c r="I259" s="20" t="n">
        <v>1813</v>
      </c>
      <c r="J259" s="20" t="n">
        <v>1813</v>
      </c>
      <c r="K259" s="63" t="inlineStr">
        <is>
          <t>06/09/2025</t>
        </is>
      </c>
      <c r="L259" s="63" t="inlineStr">
        <is>
          <t>09/08/2026</t>
        </is>
      </c>
      <c r="M259" s="63" t="inlineStr">
        <is>
          <t>06/08/2020</t>
        </is>
      </c>
      <c r="O259" s="20" t="n">
        <v>1813</v>
      </c>
      <c r="P259" s="20" t="n"/>
      <c r="Q259" s="20" t="n"/>
      <c r="R259" s="20" t="n"/>
      <c r="S259" s="20" t="n"/>
      <c r="T259" s="20" t="n"/>
      <c r="U259" s="20" t="n">
        <v>1</v>
      </c>
      <c r="V259" s="20" t="n"/>
      <c r="W259" s="20" t="n"/>
      <c r="X259" s="20" t="n"/>
      <c r="Y259" s="20" t="n"/>
      <c r="Z259" s="20" t="n"/>
    </row>
    <row r="260">
      <c r="A260" s="64" t="inlineStr">
        <is>
          <t>2421</t>
        </is>
      </c>
      <c r="B260" s="64" t="inlineStr">
        <is>
          <t>C1</t>
        </is>
      </c>
      <c r="C260" s="11" t="n">
        <v>1258</v>
      </c>
      <c r="D260" s="10" t="n">
        <v>3</v>
      </c>
      <c r="E260" s="10" t="n">
        <v>2</v>
      </c>
      <c r="F260" s="65" t="inlineStr">
        <is>
          <t>Market</t>
        </is>
      </c>
      <c r="G260" s="65" t="inlineStr">
        <is>
          <t>Vacant</t>
        </is>
      </c>
      <c r="H260" s="11" t="n">
        <v>1815</v>
      </c>
      <c r="I260" s="11" t="n">
        <v>0</v>
      </c>
      <c r="J260" s="11" t="n">
        <v>0</v>
      </c>
      <c r="K260" s="66" t="n"/>
      <c r="L260" s="66" t="n"/>
      <c r="M260" s="66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61" t="inlineStr">
        <is>
          <t>2422</t>
        </is>
      </c>
      <c r="B261" s="61" t="inlineStr">
        <is>
          <t>A1</t>
        </is>
      </c>
      <c r="C261" s="20" t="n">
        <v>739</v>
      </c>
      <c r="D261" s="19" t="n">
        <v>1</v>
      </c>
      <c r="E261" s="19" t="n">
        <v>1</v>
      </c>
      <c r="F261" s="62" t="inlineStr">
        <is>
          <t>Market</t>
        </is>
      </c>
      <c r="G261" s="62" t="inlineStr">
        <is>
          <t>Occupied</t>
        </is>
      </c>
      <c r="H261" s="20" t="n">
        <v>1067</v>
      </c>
      <c r="I261" s="20" t="n">
        <v>1164</v>
      </c>
      <c r="J261" s="20" t="n">
        <v>1164</v>
      </c>
      <c r="K261" s="63" t="inlineStr">
        <is>
          <t>04/15/2026</t>
        </is>
      </c>
      <c r="L261" s="63" t="inlineStr">
        <is>
          <t>05/14/2027</t>
        </is>
      </c>
      <c r="M261" s="63" t="inlineStr">
        <is>
          <t>08/15/2018</t>
        </is>
      </c>
      <c r="O261" s="20" t="n">
        <v>1164</v>
      </c>
      <c r="P261" s="20" t="n">
        <v>35</v>
      </c>
      <c r="Q261" s="20" t="n"/>
      <c r="R261" s="20" t="n"/>
      <c r="S261" s="20" t="n"/>
      <c r="T261" s="20" t="n"/>
      <c r="U261" s="20" t="n">
        <v>3</v>
      </c>
      <c r="V261" s="20" t="n"/>
      <c r="W261" s="20" t="n"/>
      <c r="X261" s="20" t="n"/>
      <c r="Y261" s="20" t="n"/>
      <c r="Z261" s="20" t="n"/>
    </row>
    <row r="262">
      <c r="A262" s="64" t="inlineStr">
        <is>
          <t>2423</t>
        </is>
      </c>
      <c r="B262" s="64" t="inlineStr">
        <is>
          <t>A1</t>
        </is>
      </c>
      <c r="C262" s="11" t="n">
        <v>739</v>
      </c>
      <c r="D262" s="10" t="n">
        <v>1</v>
      </c>
      <c r="E262" s="10" t="n">
        <v>1</v>
      </c>
      <c r="F262" s="65" t="inlineStr">
        <is>
          <t>Market</t>
        </is>
      </c>
      <c r="G262" s="65" t="inlineStr">
        <is>
          <t>Occupied</t>
        </is>
      </c>
      <c r="H262" s="11" t="n">
        <v>1082</v>
      </c>
      <c r="I262" s="11" t="n">
        <v>1089</v>
      </c>
      <c r="J262" s="11" t="n">
        <v>1089</v>
      </c>
      <c r="K262" s="66" t="inlineStr">
        <is>
          <t>01/15/2026</t>
        </is>
      </c>
      <c r="L262" s="66" t="inlineStr">
        <is>
          <t>04/14/2027</t>
        </is>
      </c>
      <c r="M262" s="66" t="inlineStr">
        <is>
          <t>01/15/2026</t>
        </is>
      </c>
      <c r="O262" s="11" t="n">
        <v>1089</v>
      </c>
      <c r="P262" s="11" t="n">
        <v>35</v>
      </c>
      <c r="Q262" s="11" t="n"/>
      <c r="R262" s="11" t="n"/>
      <c r="S262" s="11" t="n"/>
      <c r="T262" s="11" t="n"/>
      <c r="U262" s="11" t="n">
        <v>3</v>
      </c>
      <c r="V262" s="11" t="n"/>
      <c r="W262" s="11" t="n"/>
      <c r="X262" s="11" t="n"/>
      <c r="Y262" s="11" t="n"/>
      <c r="Z262" s="11" t="n"/>
    </row>
    <row r="263">
      <c r="A263" s="61" t="inlineStr">
        <is>
          <t>2424</t>
        </is>
      </c>
      <c r="B263" s="61" t="inlineStr">
        <is>
          <t>C1</t>
        </is>
      </c>
      <c r="C263" s="20" t="n">
        <v>1258</v>
      </c>
      <c r="D263" s="19" t="n">
        <v>3</v>
      </c>
      <c r="E263" s="19" t="n">
        <v>2</v>
      </c>
      <c r="F263" s="62" t="inlineStr">
        <is>
          <t>Market</t>
        </is>
      </c>
      <c r="G263" s="62" t="inlineStr">
        <is>
          <t>Occupied</t>
        </is>
      </c>
      <c r="H263" s="20" t="n">
        <v>1790</v>
      </c>
      <c r="I263" s="20" t="n">
        <v>1678</v>
      </c>
      <c r="J263" s="20" t="n">
        <v>1678</v>
      </c>
      <c r="K263" s="63" t="inlineStr">
        <is>
          <t>03/11/2026</t>
        </is>
      </c>
      <c r="L263" s="63" t="inlineStr">
        <is>
          <t>04/10/2027</t>
        </is>
      </c>
      <c r="M263" s="63" t="inlineStr">
        <is>
          <t>01/11/2025</t>
        </is>
      </c>
      <c r="O263" s="20" t="n">
        <v>1678</v>
      </c>
      <c r="P263" s="20" t="n">
        <v>35</v>
      </c>
      <c r="Q263" s="20" t="n"/>
      <c r="R263" s="20" t="n"/>
      <c r="S263" s="20" t="n"/>
      <c r="T263" s="20" t="n"/>
      <c r="U263" s="20" t="n">
        <v>3</v>
      </c>
      <c r="V263" s="20" t="n"/>
      <c r="W263" s="20" t="n"/>
      <c r="X263" s="20" t="n"/>
      <c r="Y263" s="20" t="n"/>
      <c r="Z263" s="20" t="n"/>
    </row>
    <row r="264">
      <c r="A264" s="64" t="inlineStr">
        <is>
          <t>2425</t>
        </is>
      </c>
      <c r="B264" s="64" t="inlineStr">
        <is>
          <t>C1R</t>
        </is>
      </c>
      <c r="C264" s="11" t="n">
        <v>1258</v>
      </c>
      <c r="D264" s="10" t="n">
        <v>3</v>
      </c>
      <c r="E264" s="10" t="n">
        <v>2</v>
      </c>
      <c r="F264" s="65" t="inlineStr">
        <is>
          <t>Market</t>
        </is>
      </c>
      <c r="G264" s="65" t="inlineStr">
        <is>
          <t>Vacant</t>
        </is>
      </c>
      <c r="H264" s="11" t="n">
        <v>1975</v>
      </c>
      <c r="I264" s="11" t="n">
        <v>0</v>
      </c>
      <c r="J264" s="11" t="n">
        <v>0</v>
      </c>
      <c r="K264" s="66" t="n"/>
      <c r="L264" s="66" t="n"/>
      <c r="M264" s="66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61" t="inlineStr">
        <is>
          <t>2426</t>
        </is>
      </c>
      <c r="B265" s="61" t="inlineStr">
        <is>
          <t>A1R</t>
        </is>
      </c>
      <c r="C265" s="20" t="n">
        <v>739</v>
      </c>
      <c r="D265" s="19" t="n">
        <v>1</v>
      </c>
      <c r="E265" s="19" t="n">
        <v>1</v>
      </c>
      <c r="F265" s="62" t="inlineStr">
        <is>
          <t>Market</t>
        </is>
      </c>
      <c r="G265" s="62" t="inlineStr">
        <is>
          <t>Occupied</t>
        </is>
      </c>
      <c r="H265" s="20" t="n">
        <v>1267</v>
      </c>
      <c r="I265" s="20" t="n">
        <v>1215</v>
      </c>
      <c r="J265" s="20" t="n">
        <v>1215</v>
      </c>
      <c r="K265" s="63" t="inlineStr">
        <is>
          <t>07/15/2025</t>
        </is>
      </c>
      <c r="L265" s="63" t="inlineStr">
        <is>
          <t>07/14/2026</t>
        </is>
      </c>
      <c r="M265" s="63" t="inlineStr">
        <is>
          <t>07/15/2025</t>
        </is>
      </c>
      <c r="O265" s="20" t="n">
        <v>1215</v>
      </c>
      <c r="P265" s="20" t="n"/>
      <c r="Q265" s="20" t="n">
        <v>75</v>
      </c>
      <c r="R265" s="20" t="n"/>
      <c r="S265" s="20" t="n"/>
      <c r="T265" s="20" t="n"/>
      <c r="U265" s="20" t="n">
        <v>1</v>
      </c>
      <c r="V265" s="20" t="n"/>
      <c r="W265" s="20" t="n"/>
      <c r="X265" s="20" t="n"/>
      <c r="Y265" s="20" t="n"/>
      <c r="Z265" s="20" t="n"/>
    </row>
    <row r="266">
      <c r="A266" s="64" t="inlineStr">
        <is>
          <t>2427</t>
        </is>
      </c>
      <c r="B266" s="64" t="inlineStr">
        <is>
          <t>A1</t>
        </is>
      </c>
      <c r="C266" s="11" t="n">
        <v>739</v>
      </c>
      <c r="D266" s="10" t="n">
        <v>1</v>
      </c>
      <c r="E266" s="10" t="n">
        <v>1</v>
      </c>
      <c r="F266" s="65" t="inlineStr">
        <is>
          <t>Market</t>
        </is>
      </c>
      <c r="G266" s="65" t="inlineStr">
        <is>
          <t>Occupied</t>
        </is>
      </c>
      <c r="H266" s="11" t="n">
        <v>1082</v>
      </c>
      <c r="I266" s="11" t="n">
        <v>1112</v>
      </c>
      <c r="J266" s="11" t="n">
        <v>1112</v>
      </c>
      <c r="K266" s="66" t="inlineStr">
        <is>
          <t>04/21/2025</t>
        </is>
      </c>
      <c r="L266" s="66" t="inlineStr">
        <is>
          <t>07/20/2026</t>
        </is>
      </c>
      <c r="M266" s="66" t="inlineStr">
        <is>
          <t>04/21/2025</t>
        </is>
      </c>
      <c r="O266" s="11" t="n">
        <v>1112</v>
      </c>
      <c r="P266" s="11" t="n"/>
      <c r="Q266" s="11" t="n"/>
      <c r="R266" s="11" t="n"/>
      <c r="S266" s="11" t="n"/>
      <c r="T266" s="11" t="n">
        <v>30</v>
      </c>
      <c r="U266" s="11" t="n">
        <v>1</v>
      </c>
      <c r="V266" s="11" t="n"/>
      <c r="W266" s="11" t="n"/>
      <c r="X266" s="11" t="n"/>
      <c r="Y266" s="11" t="n"/>
      <c r="Z266" s="11" t="n"/>
    </row>
    <row r="267">
      <c r="A267" s="61" t="inlineStr">
        <is>
          <t>2428</t>
        </is>
      </c>
      <c r="B267" s="61" t="inlineStr">
        <is>
          <t>C1</t>
        </is>
      </c>
      <c r="C267" s="20" t="n">
        <v>1258</v>
      </c>
      <c r="D267" s="19" t="n">
        <v>3</v>
      </c>
      <c r="E267" s="19" t="n">
        <v>2</v>
      </c>
      <c r="F267" s="62" t="inlineStr">
        <is>
          <t>Market</t>
        </is>
      </c>
      <c r="G267" s="62" t="inlineStr">
        <is>
          <t>Occupied</t>
        </is>
      </c>
      <c r="H267" s="20" t="n">
        <v>1790</v>
      </c>
      <c r="I267" s="20" t="n">
        <v>1649</v>
      </c>
      <c r="J267" s="20" t="n">
        <v>1649</v>
      </c>
      <c r="K267" s="63" t="inlineStr">
        <is>
          <t>05/10/2025</t>
        </is>
      </c>
      <c r="L267" s="63" t="inlineStr">
        <is>
          <t>06/16/2026</t>
        </is>
      </c>
      <c r="M267" s="63" t="inlineStr">
        <is>
          <t>03/17/2023</t>
        </is>
      </c>
      <c r="O267" s="20" t="n">
        <v>1649</v>
      </c>
      <c r="P267" s="20" t="n"/>
      <c r="Q267" s="20" t="n"/>
      <c r="R267" s="20" t="n"/>
      <c r="S267" s="20" t="n"/>
      <c r="T267" s="20" t="n"/>
      <c r="U267" s="20" t="n">
        <v>1</v>
      </c>
      <c r="V267" s="20" t="n"/>
      <c r="W267" s="20" t="n"/>
      <c r="X267" s="20" t="n"/>
      <c r="Y267" s="20" t="n"/>
      <c r="Z267" s="20" t="n"/>
    </row>
    <row r="268">
      <c r="A268" s="64" t="inlineStr">
        <is>
          <t>2432</t>
        </is>
      </c>
      <c r="B268" s="64" t="inlineStr">
        <is>
          <t>A1R</t>
        </is>
      </c>
      <c r="C268" s="11" t="n">
        <v>739</v>
      </c>
      <c r="D268" s="10" t="n">
        <v>1</v>
      </c>
      <c r="E268" s="10" t="n">
        <v>1</v>
      </c>
      <c r="F268" s="65" t="inlineStr">
        <is>
          <t>Market</t>
        </is>
      </c>
      <c r="G268" s="65" t="inlineStr">
        <is>
          <t>Occupied</t>
        </is>
      </c>
      <c r="H268" s="11" t="n">
        <v>1332</v>
      </c>
      <c r="I268" s="11" t="n">
        <v>1218</v>
      </c>
      <c r="J268" s="11" t="n">
        <v>1218</v>
      </c>
      <c r="K268" s="66" t="inlineStr">
        <is>
          <t>03/28/2026</t>
        </is>
      </c>
      <c r="L268" s="66" t="inlineStr">
        <is>
          <t>03/27/2027</t>
        </is>
      </c>
      <c r="M268" s="66" t="inlineStr">
        <is>
          <t>03/28/2026</t>
        </is>
      </c>
      <c r="O268" s="11" t="n">
        <v>1218</v>
      </c>
      <c r="P268" s="11" t="n">
        <v>35</v>
      </c>
      <c r="Q268" s="11" t="n"/>
      <c r="R268" s="11" t="n"/>
      <c r="S268" s="11" t="n"/>
      <c r="T268" s="11" t="n"/>
      <c r="U268" s="11" t="n">
        <v>3</v>
      </c>
      <c r="V268" s="11" t="n"/>
      <c r="W268" s="11" t="n"/>
      <c r="X268" s="11" t="n"/>
      <c r="Y268" s="11" t="n"/>
      <c r="Z268" s="11" t="n"/>
    </row>
    <row r="269">
      <c r="A269" s="61" t="inlineStr">
        <is>
          <t>2433</t>
        </is>
      </c>
      <c r="B269" s="61" t="inlineStr">
        <is>
          <t>A1</t>
        </is>
      </c>
      <c r="C269" s="20" t="n">
        <v>739</v>
      </c>
      <c r="D269" s="19" t="n">
        <v>1</v>
      </c>
      <c r="E269" s="19" t="n">
        <v>1</v>
      </c>
      <c r="F269" s="62" t="inlineStr">
        <is>
          <t>Market</t>
        </is>
      </c>
      <c r="G269" s="62" t="inlineStr">
        <is>
          <t>Occupied</t>
        </is>
      </c>
      <c r="H269" s="20" t="n">
        <v>1122</v>
      </c>
      <c r="I269" s="20" t="n">
        <v>1258</v>
      </c>
      <c r="J269" s="20" t="n">
        <v>1258</v>
      </c>
      <c r="K269" s="63" t="inlineStr">
        <is>
          <t>06/14/2025</t>
        </is>
      </c>
      <c r="L269" s="63" t="inlineStr">
        <is>
          <t>06/06/2026</t>
        </is>
      </c>
      <c r="M269" s="63" t="inlineStr">
        <is>
          <t>03/07/2024</t>
        </is>
      </c>
      <c r="O269" s="20" t="n">
        <v>1258</v>
      </c>
      <c r="P269" s="20" t="n"/>
      <c r="Q269" s="20" t="n"/>
      <c r="R269" s="20" t="n"/>
      <c r="S269" s="20" t="n"/>
      <c r="T269" s="20" t="n"/>
      <c r="U269" s="20" t="n">
        <v>1</v>
      </c>
      <c r="V269" s="20" t="n"/>
      <c r="W269" s="20" t="n"/>
      <c r="X269" s="20" t="n"/>
      <c r="Y269" s="20" t="n"/>
      <c r="Z269" s="20" t="n"/>
    </row>
    <row r="270">
      <c r="A270" s="64" t="inlineStr">
        <is>
          <t>2436</t>
        </is>
      </c>
      <c r="B270" s="64" t="inlineStr">
        <is>
          <t>A1</t>
        </is>
      </c>
      <c r="C270" s="11" t="n">
        <v>739</v>
      </c>
      <c r="D270" s="10" t="n">
        <v>1</v>
      </c>
      <c r="E270" s="10" t="n">
        <v>1</v>
      </c>
      <c r="F270" s="65" t="inlineStr">
        <is>
          <t>Market</t>
        </is>
      </c>
      <c r="G270" s="65" t="inlineStr">
        <is>
          <t>Occupied</t>
        </is>
      </c>
      <c r="H270" s="11" t="n">
        <v>1067</v>
      </c>
      <c r="I270" s="11" t="n">
        <v>1255</v>
      </c>
      <c r="J270" s="11" t="n">
        <v>1255</v>
      </c>
      <c r="K270" s="66" t="inlineStr">
        <is>
          <t>12/16/2025</t>
        </is>
      </c>
      <c r="L270" s="66" t="inlineStr">
        <is>
          <t>06/15/2026</t>
        </is>
      </c>
      <c r="M270" s="66" t="inlineStr">
        <is>
          <t>12/16/2024</t>
        </is>
      </c>
      <c r="O270" s="11" t="n">
        <v>1255</v>
      </c>
      <c r="P270" s="11" t="n"/>
      <c r="Q270" s="11" t="n"/>
      <c r="R270" s="11" t="n"/>
      <c r="S270" s="11" t="n"/>
      <c r="T270" s="11" t="n"/>
      <c r="U270" s="11" t="n">
        <v>1</v>
      </c>
      <c r="V270" s="11" t="n"/>
      <c r="W270" s="11" t="n"/>
      <c r="X270" s="11" t="n"/>
      <c r="Y270" s="11" t="n"/>
      <c r="Z270" s="11" t="n"/>
    </row>
    <row r="271">
      <c r="A271" s="61" t="inlineStr">
        <is>
          <t>2437</t>
        </is>
      </c>
      <c r="B271" s="61" t="inlineStr">
        <is>
          <t>A1</t>
        </is>
      </c>
      <c r="C271" s="20" t="n">
        <v>739</v>
      </c>
      <c r="D271" s="19" t="n">
        <v>1</v>
      </c>
      <c r="E271" s="19" t="n">
        <v>1</v>
      </c>
      <c r="F271" s="62" t="inlineStr">
        <is>
          <t>Market</t>
        </is>
      </c>
      <c r="G271" s="62" t="inlineStr">
        <is>
          <t>Occupied</t>
        </is>
      </c>
      <c r="H271" s="20" t="n">
        <v>1082</v>
      </c>
      <c r="I271" s="20" t="n">
        <v>1240</v>
      </c>
      <c r="J271" s="20" t="n">
        <v>1240</v>
      </c>
      <c r="K271" s="63" t="inlineStr">
        <is>
          <t>02/18/2026</t>
        </is>
      </c>
      <c r="L271" s="63" t="inlineStr">
        <is>
          <t>03/17/2027</t>
        </is>
      </c>
      <c r="M271" s="63" t="inlineStr">
        <is>
          <t>10/18/2023</t>
        </is>
      </c>
      <c r="O271" s="20" t="n">
        <v>1240</v>
      </c>
      <c r="P271" s="20" t="n"/>
      <c r="Q271" s="20" t="n"/>
      <c r="R271" s="20" t="n"/>
      <c r="S271" s="20" t="n"/>
      <c r="T271" s="20" t="n"/>
      <c r="U271" s="20" t="n">
        <v>3</v>
      </c>
      <c r="V271" s="20" t="n"/>
      <c r="W271" s="20" t="n"/>
      <c r="X271" s="20" t="n"/>
      <c r="Y271" s="20" t="n"/>
      <c r="Z271" s="20" t="n"/>
    </row>
    <row r="272">
      <c r="A272" s="64" t="inlineStr">
        <is>
          <t>2711</t>
        </is>
      </c>
      <c r="B272" s="64" t="inlineStr">
        <is>
          <t>A2</t>
        </is>
      </c>
      <c r="C272" s="11" t="n">
        <v>777</v>
      </c>
      <c r="D272" s="10" t="n">
        <v>1</v>
      </c>
      <c r="E272" s="10" t="n">
        <v>1</v>
      </c>
      <c r="F272" s="65" t="inlineStr">
        <is>
          <t>Market</t>
        </is>
      </c>
      <c r="G272" s="65" t="inlineStr">
        <is>
          <t>Occupied</t>
        </is>
      </c>
      <c r="H272" s="11" t="n">
        <v>1127</v>
      </c>
      <c r="I272" s="11" t="n">
        <v>1062</v>
      </c>
      <c r="J272" s="11" t="n">
        <v>1062</v>
      </c>
      <c r="K272" s="66" t="inlineStr">
        <is>
          <t>01/29/2026</t>
        </is>
      </c>
      <c r="L272" s="66" t="inlineStr">
        <is>
          <t>04/28/2027</t>
        </is>
      </c>
      <c r="M272" s="66" t="inlineStr">
        <is>
          <t>01/29/2026</t>
        </is>
      </c>
      <c r="O272" s="11" t="n">
        <v>1062</v>
      </c>
      <c r="P272" s="11" t="n">
        <v>35</v>
      </c>
      <c r="Q272" s="11" t="n"/>
      <c r="R272" s="11" t="n"/>
      <c r="S272" s="11" t="n"/>
      <c r="T272" s="11" t="n">
        <v>45</v>
      </c>
      <c r="U272" s="11" t="n">
        <v>3</v>
      </c>
      <c r="V272" s="11" t="n"/>
      <c r="W272" s="11" t="n"/>
      <c r="X272" s="11" t="n"/>
      <c r="Y272" s="11" t="n"/>
      <c r="Z272" s="11" t="n"/>
    </row>
    <row r="273">
      <c r="A273" s="61" t="inlineStr">
        <is>
          <t>2712</t>
        </is>
      </c>
      <c r="B273" s="61" t="inlineStr">
        <is>
          <t>A2</t>
        </is>
      </c>
      <c r="C273" s="20" t="n">
        <v>777</v>
      </c>
      <c r="D273" s="19" t="n">
        <v>1</v>
      </c>
      <c r="E273" s="19" t="n">
        <v>1</v>
      </c>
      <c r="F273" s="62" t="inlineStr">
        <is>
          <t>Market</t>
        </is>
      </c>
      <c r="G273" s="62" t="inlineStr">
        <is>
          <t>Occupied</t>
        </is>
      </c>
      <c r="H273" s="20" t="n">
        <v>1287</v>
      </c>
      <c r="I273" s="20" t="n">
        <v>1220</v>
      </c>
      <c r="J273" s="20" t="n">
        <v>1220</v>
      </c>
      <c r="K273" s="63" t="inlineStr">
        <is>
          <t>04/04/2026</t>
        </is>
      </c>
      <c r="L273" s="63" t="inlineStr">
        <is>
          <t>03/27/2027</t>
        </is>
      </c>
      <c r="M273" s="63" t="inlineStr">
        <is>
          <t>04/04/2026</t>
        </is>
      </c>
      <c r="O273" s="20" t="n">
        <v>1220</v>
      </c>
      <c r="P273" s="20" t="n">
        <v>35</v>
      </c>
      <c r="Q273" s="20" t="n"/>
      <c r="R273" s="20" t="n"/>
      <c r="S273" s="20" t="n"/>
      <c r="T273" s="20" t="n"/>
      <c r="U273" s="20" t="n">
        <v>3</v>
      </c>
      <c r="V273" s="20" t="n"/>
      <c r="W273" s="20" t="n"/>
      <c r="X273" s="20" t="n"/>
      <c r="Y273" s="20" t="n"/>
      <c r="Z273" s="20" t="n"/>
    </row>
    <row r="274">
      <c r="A274" s="64" t="inlineStr">
        <is>
          <t>2713</t>
        </is>
      </c>
      <c r="B274" s="64" t="inlineStr">
        <is>
          <t>A2R</t>
        </is>
      </c>
      <c r="C274" s="11" t="n">
        <v>777</v>
      </c>
      <c r="D274" s="10" t="n">
        <v>1</v>
      </c>
      <c r="E274" s="10" t="n">
        <v>1</v>
      </c>
      <c r="F274" s="65" t="inlineStr">
        <is>
          <t>Market</t>
        </is>
      </c>
      <c r="G274" s="65" t="inlineStr">
        <is>
          <t>Occupied</t>
        </is>
      </c>
      <c r="H274" s="11" t="n">
        <v>1327</v>
      </c>
      <c r="I274" s="11" t="n">
        <v>1298</v>
      </c>
      <c r="J274" s="11" t="n">
        <v>1298</v>
      </c>
      <c r="K274" s="66" t="inlineStr">
        <is>
          <t>08/29/2025</t>
        </is>
      </c>
      <c r="L274" s="66" t="inlineStr">
        <is>
          <t>10/28/2026</t>
        </is>
      </c>
      <c r="M274" s="66" t="inlineStr">
        <is>
          <t>08/29/2025</t>
        </is>
      </c>
      <c r="O274" s="11" t="n">
        <v>1298</v>
      </c>
      <c r="P274" s="11" t="n"/>
      <c r="Q274" s="11" t="n"/>
      <c r="R274" s="11" t="n"/>
      <c r="S274" s="11" t="n"/>
      <c r="T274" s="11" t="n"/>
      <c r="U274" s="11" t="n">
        <v>1</v>
      </c>
      <c r="V274" s="11" t="n"/>
      <c r="W274" s="11" t="n"/>
      <c r="X274" s="11" t="n"/>
      <c r="Y274" s="11" t="n"/>
      <c r="Z274" s="11" t="n"/>
    </row>
    <row r="275">
      <c r="A275" s="61" t="inlineStr">
        <is>
          <t>2714</t>
        </is>
      </c>
      <c r="B275" s="61" t="inlineStr">
        <is>
          <t>A2R</t>
        </is>
      </c>
      <c r="C275" s="20" t="n">
        <v>777</v>
      </c>
      <c r="D275" s="19" t="n">
        <v>1</v>
      </c>
      <c r="E275" s="19" t="n">
        <v>1</v>
      </c>
      <c r="F275" s="62" t="inlineStr">
        <is>
          <t>Market</t>
        </is>
      </c>
      <c r="G275" s="62" t="inlineStr">
        <is>
          <t>Occupied</t>
        </is>
      </c>
      <c r="H275" s="20" t="n">
        <v>1327</v>
      </c>
      <c r="I275" s="20" t="n">
        <v>1327</v>
      </c>
      <c r="J275" s="20" t="n">
        <v>1327</v>
      </c>
      <c r="K275" s="63" t="inlineStr">
        <is>
          <t>08/29/2025</t>
        </is>
      </c>
      <c r="L275" s="63" t="inlineStr">
        <is>
          <t>09/04/2026</t>
        </is>
      </c>
      <c r="M275" s="63" t="inlineStr">
        <is>
          <t>06/29/2024</t>
        </is>
      </c>
      <c r="O275" s="20" t="n">
        <v>1327</v>
      </c>
      <c r="P275" s="20" t="n"/>
      <c r="Q275" s="20" t="n"/>
      <c r="R275" s="20" t="n"/>
      <c r="S275" s="20" t="n"/>
      <c r="T275" s="20" t="n"/>
      <c r="U275" s="20" t="n">
        <v>1</v>
      </c>
      <c r="V275" s="20" t="n"/>
      <c r="W275" s="20" t="n"/>
      <c r="X275" s="20" t="n"/>
      <c r="Y275" s="20" t="n"/>
      <c r="Z275" s="20" t="n"/>
    </row>
    <row r="276">
      <c r="A276" s="64" t="inlineStr">
        <is>
          <t>2715</t>
        </is>
      </c>
      <c r="B276" s="64" t="inlineStr">
        <is>
          <t>A2</t>
        </is>
      </c>
      <c r="C276" s="11" t="n">
        <v>777</v>
      </c>
      <c r="D276" s="10" t="n">
        <v>1</v>
      </c>
      <c r="E276" s="10" t="n">
        <v>1</v>
      </c>
      <c r="F276" s="65" t="inlineStr">
        <is>
          <t>Market</t>
        </is>
      </c>
      <c r="G276" s="65" t="inlineStr">
        <is>
          <t>Occupied</t>
        </is>
      </c>
      <c r="H276" s="11" t="n">
        <v>1167</v>
      </c>
      <c r="I276" s="11" t="n">
        <v>1148</v>
      </c>
      <c r="J276" s="11" t="n">
        <v>1148</v>
      </c>
      <c r="K276" s="66" t="inlineStr">
        <is>
          <t>02/24/2026</t>
        </is>
      </c>
      <c r="L276" s="66" t="inlineStr">
        <is>
          <t>05/30/2027</t>
        </is>
      </c>
      <c r="M276" s="66" t="inlineStr">
        <is>
          <t>02/24/2026</t>
        </is>
      </c>
      <c r="O276" s="11" t="n">
        <v>1148</v>
      </c>
      <c r="P276" s="11" t="n">
        <v>35</v>
      </c>
      <c r="Q276" s="11" t="n"/>
      <c r="R276" s="11" t="n"/>
      <c r="S276" s="11" t="n"/>
      <c r="T276" s="11" t="n"/>
      <c r="U276" s="11" t="n">
        <v>3</v>
      </c>
      <c r="V276" s="11" t="n"/>
      <c r="W276" s="11" t="n"/>
      <c r="X276" s="11" t="n"/>
      <c r="Y276" s="11" t="n"/>
      <c r="Z276" s="11" t="n"/>
    </row>
    <row r="277">
      <c r="A277" s="61" t="inlineStr">
        <is>
          <t>2716</t>
        </is>
      </c>
      <c r="B277" s="61" t="inlineStr">
        <is>
          <t>A2</t>
        </is>
      </c>
      <c r="C277" s="20" t="n">
        <v>777</v>
      </c>
      <c r="D277" s="19" t="n">
        <v>1</v>
      </c>
      <c r="E277" s="19" t="n">
        <v>1</v>
      </c>
      <c r="F277" s="62" t="inlineStr">
        <is>
          <t>Market</t>
        </is>
      </c>
      <c r="G277" s="62" t="inlineStr">
        <is>
          <t>Occupied</t>
        </is>
      </c>
      <c r="H277" s="20" t="n">
        <v>1127</v>
      </c>
      <c r="I277" s="20" t="n">
        <v>1066</v>
      </c>
      <c r="J277" s="20" t="n">
        <v>1066</v>
      </c>
      <c r="K277" s="63" t="inlineStr">
        <is>
          <t>05/26/2026</t>
        </is>
      </c>
      <c r="L277" s="63" t="inlineStr">
        <is>
          <t>05/25/2027</t>
        </is>
      </c>
      <c r="M277" s="63" t="inlineStr">
        <is>
          <t>05/26/2026</t>
        </is>
      </c>
      <c r="O277" s="20" t="n">
        <v>1066</v>
      </c>
      <c r="P277" s="20" t="n">
        <v>35</v>
      </c>
      <c r="Q277" s="20" t="n"/>
      <c r="R277" s="20" t="n"/>
      <c r="S277" s="20" t="n"/>
      <c r="T277" s="20" t="n"/>
      <c r="U277" s="20" t="n">
        <v>3</v>
      </c>
      <c r="V277" s="20" t="n"/>
      <c r="W277" s="20" t="n"/>
      <c r="X277" s="20" t="n"/>
      <c r="Y277" s="20" t="n"/>
      <c r="Z277" s="20" t="n"/>
    </row>
    <row r="278">
      <c r="A278" s="64" t="inlineStr">
        <is>
          <t>2717</t>
        </is>
      </c>
      <c r="B278" s="64" t="inlineStr">
        <is>
          <t>A2</t>
        </is>
      </c>
      <c r="C278" s="11" t="n">
        <v>777</v>
      </c>
      <c r="D278" s="10" t="n">
        <v>1</v>
      </c>
      <c r="E278" s="10" t="n">
        <v>1</v>
      </c>
      <c r="F278" s="65" t="inlineStr">
        <is>
          <t>Market</t>
        </is>
      </c>
      <c r="G278" s="65" t="inlineStr">
        <is>
          <t>Occupied</t>
        </is>
      </c>
      <c r="H278" s="11" t="n">
        <v>1127</v>
      </c>
      <c r="I278" s="11" t="n">
        <v>1265</v>
      </c>
      <c r="J278" s="11" t="n">
        <v>1265</v>
      </c>
      <c r="K278" s="66" t="inlineStr">
        <is>
          <t>05/21/2026</t>
        </is>
      </c>
      <c r="L278" s="66" t="inlineStr">
        <is>
          <t>05/20/2027</t>
        </is>
      </c>
      <c r="M278" s="66" t="inlineStr">
        <is>
          <t>03/21/2024</t>
        </is>
      </c>
      <c r="O278" s="11" t="n">
        <v>1265</v>
      </c>
      <c r="P278" s="11" t="n">
        <v>35</v>
      </c>
      <c r="Q278" s="11" t="n"/>
      <c r="R278" s="11" t="n"/>
      <c r="S278" s="11" t="n"/>
      <c r="T278" s="11" t="n"/>
      <c r="U278" s="11" t="n">
        <v>3</v>
      </c>
      <c r="V278" s="11" t="n"/>
      <c r="W278" s="11" t="n"/>
      <c r="X278" s="11" t="n"/>
      <c r="Y278" s="11" t="n"/>
      <c r="Z278" s="11" t="n"/>
    </row>
    <row r="279">
      <c r="A279" s="61" t="inlineStr">
        <is>
          <t>2718</t>
        </is>
      </c>
      <c r="B279" s="61" t="inlineStr">
        <is>
          <t>A2</t>
        </is>
      </c>
      <c r="C279" s="20" t="n">
        <v>777</v>
      </c>
      <c r="D279" s="19" t="n">
        <v>1</v>
      </c>
      <c r="E279" s="19" t="n">
        <v>1</v>
      </c>
      <c r="F279" s="62" t="inlineStr">
        <is>
          <t>Market</t>
        </is>
      </c>
      <c r="G279" s="62" t="inlineStr">
        <is>
          <t>Occupied</t>
        </is>
      </c>
      <c r="H279" s="20" t="n">
        <v>1127</v>
      </c>
      <c r="I279" s="20" t="n">
        <v>1164</v>
      </c>
      <c r="J279" s="20" t="n">
        <v>1164</v>
      </c>
      <c r="K279" s="63" t="inlineStr">
        <is>
          <t>01/01/2026</t>
        </is>
      </c>
      <c r="L279" s="63" t="inlineStr">
        <is>
          <t>03/31/2027</t>
        </is>
      </c>
      <c r="M279" s="63" t="inlineStr">
        <is>
          <t>02/18/2016</t>
        </is>
      </c>
      <c r="O279" s="20" t="n">
        <v>1164</v>
      </c>
      <c r="P279" s="20" t="n"/>
      <c r="Q279" s="20" t="n"/>
      <c r="R279" s="20" t="n"/>
      <c r="S279" s="20" t="n"/>
      <c r="T279" s="20" t="n"/>
      <c r="U279" s="20" t="n">
        <v>1</v>
      </c>
      <c r="V279" s="20" t="n"/>
      <c r="W279" s="20" t="n"/>
      <c r="X279" s="20" t="n"/>
      <c r="Y279" s="20" t="n"/>
      <c r="Z279" s="20" t="n"/>
    </row>
    <row r="280">
      <c r="A280" s="64" t="inlineStr">
        <is>
          <t>2721</t>
        </is>
      </c>
      <c r="B280" s="64" t="inlineStr">
        <is>
          <t>A2R</t>
        </is>
      </c>
      <c r="C280" s="11" t="n">
        <v>777</v>
      </c>
      <c r="D280" s="10" t="n">
        <v>1</v>
      </c>
      <c r="E280" s="10" t="n">
        <v>1</v>
      </c>
      <c r="F280" s="65" t="inlineStr">
        <is>
          <t>Market</t>
        </is>
      </c>
      <c r="G280" s="65" t="inlineStr">
        <is>
          <t>Vacant</t>
        </is>
      </c>
      <c r="H280" s="11" t="n">
        <v>1307</v>
      </c>
      <c r="I280" s="11" t="n">
        <v>0</v>
      </c>
      <c r="J280" s="11" t="n">
        <v>0</v>
      </c>
      <c r="K280" s="66" t="n"/>
      <c r="L280" s="66" t="n"/>
      <c r="M280" s="66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61" t="inlineStr">
        <is>
          <t>2722</t>
        </is>
      </c>
      <c r="B281" s="61" t="inlineStr">
        <is>
          <t>A2R</t>
        </is>
      </c>
      <c r="C281" s="20" t="n">
        <v>777</v>
      </c>
      <c r="D281" s="19" t="n">
        <v>1</v>
      </c>
      <c r="E281" s="19" t="n">
        <v>1</v>
      </c>
      <c r="F281" s="62" t="inlineStr">
        <is>
          <t>Market</t>
        </is>
      </c>
      <c r="G281" s="62" t="inlineStr">
        <is>
          <t>Occupied</t>
        </is>
      </c>
      <c r="H281" s="20" t="n">
        <v>1307</v>
      </c>
      <c r="I281" s="20" t="n">
        <v>1441</v>
      </c>
      <c r="J281" s="20" t="n">
        <v>1441</v>
      </c>
      <c r="K281" s="63" t="inlineStr">
        <is>
          <t>04/10/2025</t>
        </is>
      </c>
      <c r="L281" s="63" t="inlineStr">
        <is>
          <t>06/09/2026</t>
        </is>
      </c>
      <c r="M281" s="63" t="inlineStr">
        <is>
          <t>01/10/2024</t>
        </is>
      </c>
      <c r="O281" s="20" t="n">
        <v>1441</v>
      </c>
      <c r="P281" s="20" t="n"/>
      <c r="Q281" s="20" t="n"/>
      <c r="R281" s="20" t="n"/>
      <c r="S281" s="20" t="n"/>
      <c r="T281" s="20" t="n"/>
      <c r="U281" s="20" t="n">
        <v>1</v>
      </c>
      <c r="V281" s="20" t="n"/>
      <c r="W281" s="20" t="n"/>
      <c r="X281" s="20" t="n"/>
      <c r="Y281" s="20" t="n"/>
      <c r="Z281" s="20" t="n"/>
    </row>
    <row r="282">
      <c r="A282" s="64" t="inlineStr">
        <is>
          <t>2723</t>
        </is>
      </c>
      <c r="B282" s="64" t="inlineStr">
        <is>
          <t>A2</t>
        </is>
      </c>
      <c r="C282" s="11" t="n">
        <v>777</v>
      </c>
      <c r="D282" s="10" t="n">
        <v>1</v>
      </c>
      <c r="E282" s="10" t="n">
        <v>1</v>
      </c>
      <c r="F282" s="65" t="inlineStr">
        <is>
          <t>Market</t>
        </is>
      </c>
      <c r="G282" s="65" t="inlineStr">
        <is>
          <t>Occupied</t>
        </is>
      </c>
      <c r="H282" s="11" t="n">
        <v>1107</v>
      </c>
      <c r="I282" s="11" t="n">
        <v>1202</v>
      </c>
      <c r="J282" s="11" t="n">
        <v>1202</v>
      </c>
      <c r="K282" s="66" t="inlineStr">
        <is>
          <t>09/02/2025</t>
        </is>
      </c>
      <c r="L282" s="66" t="inlineStr">
        <is>
          <t>09/01/2026</t>
        </is>
      </c>
      <c r="M282" s="66" t="inlineStr">
        <is>
          <t>09/02/2025</t>
        </is>
      </c>
      <c r="O282" s="11" t="n">
        <v>1202</v>
      </c>
      <c r="P282" s="11" t="n"/>
      <c r="Q282" s="11" t="n"/>
      <c r="R282" s="11" t="n"/>
      <c r="S282" s="11" t="n"/>
      <c r="T282" s="11" t="n">
        <v>30</v>
      </c>
      <c r="U282" s="11" t="n">
        <v>1</v>
      </c>
      <c r="V282" s="11" t="n"/>
      <c r="W282" s="11" t="n"/>
      <c r="X282" s="11" t="n"/>
      <c r="Y282" s="11" t="n"/>
      <c r="Z282" s="11" t="n"/>
    </row>
    <row r="283">
      <c r="A283" s="61" t="inlineStr">
        <is>
          <t>2724</t>
        </is>
      </c>
      <c r="B283" s="61" t="inlineStr">
        <is>
          <t>A2R</t>
        </is>
      </c>
      <c r="C283" s="20" t="n">
        <v>777</v>
      </c>
      <c r="D283" s="19" t="n">
        <v>1</v>
      </c>
      <c r="E283" s="19" t="n">
        <v>1</v>
      </c>
      <c r="F283" s="62" t="inlineStr">
        <is>
          <t>Market</t>
        </is>
      </c>
      <c r="G283" s="62" t="inlineStr">
        <is>
          <t>Occupied</t>
        </is>
      </c>
      <c r="H283" s="20" t="n">
        <v>1307</v>
      </c>
      <c r="I283" s="20" t="n">
        <v>1311</v>
      </c>
      <c r="J283" s="20" t="n">
        <v>1311</v>
      </c>
      <c r="K283" s="63" t="inlineStr">
        <is>
          <t>05/29/2025</t>
        </is>
      </c>
      <c r="L283" s="63" t="inlineStr">
        <is>
          <t>09/04/2026</t>
        </is>
      </c>
      <c r="M283" s="63" t="inlineStr">
        <is>
          <t>05/29/2025</t>
        </is>
      </c>
      <c r="O283" s="20" t="n">
        <v>1311</v>
      </c>
      <c r="P283" s="20" t="n"/>
      <c r="Q283" s="20" t="n"/>
      <c r="R283" s="20" t="n"/>
      <c r="S283" s="20" t="n"/>
      <c r="T283" s="20" t="n"/>
      <c r="U283" s="20" t="n">
        <v>1</v>
      </c>
      <c r="V283" s="20" t="n"/>
      <c r="W283" s="20" t="n"/>
      <c r="X283" s="20" t="n"/>
      <c r="Y283" s="20" t="n"/>
      <c r="Z283" s="20" t="n"/>
    </row>
    <row r="284">
      <c r="A284" s="64" t="inlineStr">
        <is>
          <t>2725</t>
        </is>
      </c>
      <c r="B284" s="64" t="inlineStr">
        <is>
          <t>A2R</t>
        </is>
      </c>
      <c r="C284" s="11" t="n">
        <v>777</v>
      </c>
      <c r="D284" s="10" t="n">
        <v>1</v>
      </c>
      <c r="E284" s="10" t="n">
        <v>1</v>
      </c>
      <c r="F284" s="65" t="inlineStr">
        <is>
          <t>Market</t>
        </is>
      </c>
      <c r="G284" s="65" t="inlineStr">
        <is>
          <t>Occupied</t>
        </is>
      </c>
      <c r="H284" s="11" t="n">
        <v>1307</v>
      </c>
      <c r="I284" s="11" t="n">
        <v>1411</v>
      </c>
      <c r="J284" s="11" t="n">
        <v>1411</v>
      </c>
      <c r="K284" s="66" t="inlineStr">
        <is>
          <t>07/15/2025</t>
        </is>
      </c>
      <c r="L284" s="66" t="inlineStr">
        <is>
          <t>10/14/2026</t>
        </is>
      </c>
      <c r="M284" s="66" t="inlineStr">
        <is>
          <t>04/15/2024</t>
        </is>
      </c>
      <c r="O284" s="11" t="n">
        <v>1411</v>
      </c>
      <c r="P284" s="11" t="n"/>
      <c r="Q284" s="11" t="n"/>
      <c r="R284" s="11" t="n"/>
      <c r="S284" s="11" t="n"/>
      <c r="T284" s="11" t="n"/>
      <c r="U284" s="11" t="n">
        <v>1</v>
      </c>
      <c r="V284" s="11" t="n"/>
      <c r="W284" s="11" t="n"/>
      <c r="X284" s="11" t="n"/>
      <c r="Y284" s="11" t="n"/>
      <c r="Z284" s="11" t="n"/>
    </row>
    <row r="285">
      <c r="A285" s="61" t="inlineStr">
        <is>
          <t>2726</t>
        </is>
      </c>
      <c r="B285" s="61" t="inlineStr">
        <is>
          <t>A2</t>
        </is>
      </c>
      <c r="C285" s="20" t="n">
        <v>777</v>
      </c>
      <c r="D285" s="19" t="n">
        <v>1</v>
      </c>
      <c r="E285" s="19" t="n">
        <v>1</v>
      </c>
      <c r="F285" s="62" t="inlineStr">
        <is>
          <t>Market</t>
        </is>
      </c>
      <c r="G285" s="62" t="inlineStr">
        <is>
          <t>Occupied</t>
        </is>
      </c>
      <c r="H285" s="20" t="n">
        <v>1107</v>
      </c>
      <c r="I285" s="20" t="n">
        <v>1247</v>
      </c>
      <c r="J285" s="20" t="n">
        <v>1247</v>
      </c>
      <c r="K285" s="63" t="inlineStr">
        <is>
          <t>05/12/2026</t>
        </is>
      </c>
      <c r="L285" s="63" t="inlineStr">
        <is>
          <t>06/11/2027</t>
        </is>
      </c>
      <c r="M285" s="63" t="inlineStr">
        <is>
          <t>04/05/2024</t>
        </is>
      </c>
      <c r="O285" s="20" t="n">
        <v>1247</v>
      </c>
      <c r="P285" s="20" t="n">
        <v>35</v>
      </c>
      <c r="Q285" s="20" t="n"/>
      <c r="R285" s="20" t="n"/>
      <c r="S285" s="20" t="n">
        <v>-300</v>
      </c>
      <c r="T285" s="20" t="n"/>
      <c r="U285" s="20" t="n">
        <v>3</v>
      </c>
      <c r="V285" s="20" t="n"/>
      <c r="W285" s="20" t="n"/>
      <c r="X285" s="20" t="n"/>
      <c r="Y285" s="20" t="n"/>
      <c r="Z285" s="20" t="n"/>
    </row>
    <row r="286">
      <c r="A286" s="64" t="inlineStr">
        <is>
          <t>2727</t>
        </is>
      </c>
      <c r="B286" s="64" t="inlineStr">
        <is>
          <t>A2R</t>
        </is>
      </c>
      <c r="C286" s="11" t="n">
        <v>777</v>
      </c>
      <c r="D286" s="10" t="n">
        <v>1</v>
      </c>
      <c r="E286" s="10" t="n">
        <v>1</v>
      </c>
      <c r="F286" s="65" t="inlineStr">
        <is>
          <t>Market</t>
        </is>
      </c>
      <c r="G286" s="65" t="inlineStr">
        <is>
          <t>Occupied</t>
        </is>
      </c>
      <c r="H286" s="11" t="n">
        <v>1307</v>
      </c>
      <c r="I286" s="11" t="n">
        <v>1249</v>
      </c>
      <c r="J286" s="11" t="n">
        <v>1249</v>
      </c>
      <c r="K286" s="66" t="inlineStr">
        <is>
          <t>03/27/2026</t>
        </is>
      </c>
      <c r="L286" s="66" t="inlineStr">
        <is>
          <t>04/02/2027</t>
        </is>
      </c>
      <c r="M286" s="66" t="inlineStr">
        <is>
          <t>03/27/2026</t>
        </is>
      </c>
      <c r="O286" s="11" t="n">
        <v>1249</v>
      </c>
      <c r="P286" s="11" t="n">
        <v>35</v>
      </c>
      <c r="Q286" s="11" t="n"/>
      <c r="R286" s="11" t="n"/>
      <c r="S286" s="11" t="n"/>
      <c r="T286" s="11" t="n"/>
      <c r="U286" s="11" t="n">
        <v>3</v>
      </c>
      <c r="V286" s="11" t="n"/>
      <c r="W286" s="11" t="n"/>
      <c r="X286" s="11" t="n"/>
      <c r="Y286" s="11" t="n"/>
      <c r="Z286" s="11" t="n"/>
    </row>
    <row r="287">
      <c r="A287" s="61" t="inlineStr">
        <is>
          <t>2728</t>
        </is>
      </c>
      <c r="B287" s="61" t="inlineStr">
        <is>
          <t>A2R</t>
        </is>
      </c>
      <c r="C287" s="20" t="n">
        <v>777</v>
      </c>
      <c r="D287" s="19" t="n">
        <v>1</v>
      </c>
      <c r="E287" s="19" t="n">
        <v>1</v>
      </c>
      <c r="F287" s="62" t="inlineStr">
        <is>
          <t>Market</t>
        </is>
      </c>
      <c r="G287" s="62" t="inlineStr">
        <is>
          <t>Vacant</t>
        </is>
      </c>
      <c r="H287" s="20" t="n">
        <v>1307</v>
      </c>
      <c r="I287" s="20" t="n">
        <v>0</v>
      </c>
      <c r="J287" s="20" t="n">
        <v>0</v>
      </c>
      <c r="K287" s="63" t="n"/>
      <c r="L287" s="63" t="n"/>
      <c r="M287" s="63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</row>
    <row r="288">
      <c r="A288" s="64" t="inlineStr">
        <is>
          <t>2732</t>
        </is>
      </c>
      <c r="B288" s="64" t="inlineStr">
        <is>
          <t>A2</t>
        </is>
      </c>
      <c r="C288" s="11" t="n">
        <v>777</v>
      </c>
      <c r="D288" s="10" t="n">
        <v>1</v>
      </c>
      <c r="E288" s="10" t="n">
        <v>1</v>
      </c>
      <c r="F288" s="65" t="inlineStr">
        <is>
          <t>Market</t>
        </is>
      </c>
      <c r="G288" s="65" t="inlineStr">
        <is>
          <t>Occupied</t>
        </is>
      </c>
      <c r="H288" s="11" t="n">
        <v>1107</v>
      </c>
      <c r="I288" s="11" t="n">
        <v>1109</v>
      </c>
      <c r="J288" s="11" t="n">
        <v>1109</v>
      </c>
      <c r="K288" s="66" t="inlineStr">
        <is>
          <t>01/12/2026</t>
        </is>
      </c>
      <c r="L288" s="66" t="inlineStr">
        <is>
          <t>01/11/2027</t>
        </is>
      </c>
      <c r="M288" s="66" t="inlineStr">
        <is>
          <t>01/12/2026</t>
        </is>
      </c>
      <c r="O288" s="11" t="n">
        <v>1109</v>
      </c>
      <c r="P288" s="11" t="n">
        <v>35</v>
      </c>
      <c r="Q288" s="11" t="n"/>
      <c r="R288" s="11" t="n"/>
      <c r="S288" s="11" t="n"/>
      <c r="T288" s="11" t="n"/>
      <c r="U288" s="11" t="n">
        <v>3</v>
      </c>
      <c r="V288" s="11" t="n"/>
      <c r="W288" s="11" t="n"/>
      <c r="X288" s="11" t="n"/>
      <c r="Y288" s="11" t="n"/>
      <c r="Z288" s="11" t="n"/>
    </row>
    <row r="289">
      <c r="A289" s="61" t="inlineStr">
        <is>
          <t>2733</t>
        </is>
      </c>
      <c r="B289" s="61" t="inlineStr">
        <is>
          <t>A2R</t>
        </is>
      </c>
      <c r="C289" s="20" t="n">
        <v>777</v>
      </c>
      <c r="D289" s="19" t="n">
        <v>1</v>
      </c>
      <c r="E289" s="19" t="n">
        <v>1</v>
      </c>
      <c r="F289" s="62" t="inlineStr">
        <is>
          <t>Market</t>
        </is>
      </c>
      <c r="G289" s="62" t="inlineStr">
        <is>
          <t>Occupied</t>
        </is>
      </c>
      <c r="H289" s="20" t="n">
        <v>1307</v>
      </c>
      <c r="I289" s="20" t="n">
        <v>1417</v>
      </c>
      <c r="J289" s="20" t="n">
        <v>1417</v>
      </c>
      <c r="K289" s="63" t="inlineStr">
        <is>
          <t>03/07/2026</t>
        </is>
      </c>
      <c r="L289" s="63" t="inlineStr">
        <is>
          <t>04/06/2027</t>
        </is>
      </c>
      <c r="M289" s="63" t="inlineStr">
        <is>
          <t>12/07/2022</t>
        </is>
      </c>
      <c r="O289" s="20" t="n">
        <v>1417</v>
      </c>
      <c r="P289" s="20" t="n">
        <v>35</v>
      </c>
      <c r="Q289" s="20" t="n"/>
      <c r="R289" s="20" t="n"/>
      <c r="S289" s="20" t="n"/>
      <c r="T289" s="20" t="n"/>
      <c r="U289" s="20" t="n">
        <v>3</v>
      </c>
      <c r="V289" s="20" t="n"/>
      <c r="W289" s="20" t="n"/>
      <c r="X289" s="20" t="n"/>
      <c r="Y289" s="20" t="n"/>
      <c r="Z289" s="20" t="n"/>
    </row>
    <row r="290">
      <c r="A290" s="64" t="inlineStr">
        <is>
          <t>2736</t>
        </is>
      </c>
      <c r="B290" s="64" t="inlineStr">
        <is>
          <t>A2</t>
        </is>
      </c>
      <c r="C290" s="11" t="n">
        <v>777</v>
      </c>
      <c r="D290" s="10" t="n">
        <v>1</v>
      </c>
      <c r="E290" s="10" t="n">
        <v>1</v>
      </c>
      <c r="F290" s="65" t="inlineStr">
        <is>
          <t>Market</t>
        </is>
      </c>
      <c r="G290" s="65" t="inlineStr">
        <is>
          <t>Occupied</t>
        </is>
      </c>
      <c r="H290" s="11" t="n">
        <v>1107</v>
      </c>
      <c r="I290" s="11" t="n">
        <v>1275</v>
      </c>
      <c r="J290" s="11" t="n">
        <v>1275</v>
      </c>
      <c r="K290" s="66" t="inlineStr">
        <is>
          <t>01/19/2026</t>
        </is>
      </c>
      <c r="L290" s="66" t="inlineStr">
        <is>
          <t>04/18/2027</t>
        </is>
      </c>
      <c r="M290" s="66" t="inlineStr">
        <is>
          <t>07/26/2020</t>
        </is>
      </c>
      <c r="O290" s="11" t="n">
        <v>1275</v>
      </c>
      <c r="P290" s="11" t="n"/>
      <c r="Q290" s="11" t="n"/>
      <c r="R290" s="11" t="n"/>
      <c r="S290" s="11" t="n"/>
      <c r="T290" s="11" t="n"/>
      <c r="U290" s="11" t="n">
        <v>3</v>
      </c>
      <c r="V290" s="11" t="n"/>
      <c r="W290" s="11" t="n"/>
      <c r="X290" s="11" t="n"/>
      <c r="Y290" s="11" t="n"/>
      <c r="Z290" s="11" t="n"/>
    </row>
    <row r="291">
      <c r="A291" s="61" t="inlineStr">
        <is>
          <t>2737</t>
        </is>
      </c>
      <c r="B291" s="61" t="inlineStr">
        <is>
          <t>A2R</t>
        </is>
      </c>
      <c r="C291" s="20" t="n">
        <v>777</v>
      </c>
      <c r="D291" s="19" t="n">
        <v>1</v>
      </c>
      <c r="E291" s="19" t="n">
        <v>1</v>
      </c>
      <c r="F291" s="62" t="inlineStr">
        <is>
          <t>Market</t>
        </is>
      </c>
      <c r="G291" s="62" t="inlineStr">
        <is>
          <t>Occupied</t>
        </is>
      </c>
      <c r="H291" s="20" t="n">
        <v>1307</v>
      </c>
      <c r="I291" s="20" t="n">
        <v>1399</v>
      </c>
      <c r="J291" s="20" t="n">
        <v>1399</v>
      </c>
      <c r="K291" s="63" t="inlineStr">
        <is>
          <t>03/22/2026</t>
        </is>
      </c>
      <c r="L291" s="63" t="inlineStr">
        <is>
          <t>05/14/2027</t>
        </is>
      </c>
      <c r="M291" s="63" t="inlineStr">
        <is>
          <t>01/15/2023</t>
        </is>
      </c>
      <c r="O291" s="20" t="n">
        <v>1399</v>
      </c>
      <c r="P291" s="20" t="n">
        <v>35</v>
      </c>
      <c r="Q291" s="20" t="n"/>
      <c r="R291" s="20" t="n"/>
      <c r="S291" s="20" t="n"/>
      <c r="T291" s="20" t="n">
        <v>45</v>
      </c>
      <c r="U291" s="20" t="n">
        <v>3</v>
      </c>
      <c r="V291" s="20" t="n"/>
      <c r="W291" s="20" t="n"/>
      <c r="X291" s="20" t="n"/>
      <c r="Y291" s="20" t="n"/>
      <c r="Z291" s="20" t="n"/>
    </row>
    <row r="292">
      <c r="A292" s="64" t="inlineStr">
        <is>
          <t>2811</t>
        </is>
      </c>
      <c r="B292" s="64" t="inlineStr">
        <is>
          <t>A2</t>
        </is>
      </c>
      <c r="C292" s="11" t="n">
        <v>777</v>
      </c>
      <c r="D292" s="10" t="n">
        <v>1</v>
      </c>
      <c r="E292" s="10" t="n">
        <v>1</v>
      </c>
      <c r="F292" s="65" t="inlineStr">
        <is>
          <t>Market</t>
        </is>
      </c>
      <c r="G292" s="65" t="inlineStr">
        <is>
          <t>Occupied</t>
        </is>
      </c>
      <c r="H292" s="11" t="n">
        <v>1127</v>
      </c>
      <c r="I292" s="11" t="n">
        <v>1136</v>
      </c>
      <c r="J292" s="11" t="n">
        <v>1136</v>
      </c>
      <c r="K292" s="66" t="inlineStr">
        <is>
          <t>10/19/2025</t>
        </is>
      </c>
      <c r="L292" s="66" t="inlineStr">
        <is>
          <t>10/18/2026</t>
        </is>
      </c>
      <c r="M292" s="66" t="inlineStr">
        <is>
          <t>10/19/2025</t>
        </is>
      </c>
      <c r="O292" s="11" t="n">
        <v>1136</v>
      </c>
      <c r="P292" s="11" t="n"/>
      <c r="Q292" s="11" t="n"/>
      <c r="R292" s="11" t="n"/>
      <c r="S292" s="11" t="n"/>
      <c r="T292" s="11" t="n">
        <v>45</v>
      </c>
      <c r="U292" s="11" t="n">
        <v>1</v>
      </c>
      <c r="V292" s="11" t="n"/>
      <c r="W292" s="11" t="n"/>
      <c r="X292" s="11" t="n"/>
      <c r="Y292" s="11" t="n"/>
      <c r="Z292" s="11" t="n"/>
    </row>
    <row r="293">
      <c r="A293" s="61" t="inlineStr">
        <is>
          <t>2812</t>
        </is>
      </c>
      <c r="B293" s="61" t="inlineStr">
        <is>
          <t>A2R</t>
        </is>
      </c>
      <c r="C293" s="20" t="n">
        <v>777</v>
      </c>
      <c r="D293" s="19" t="n">
        <v>1</v>
      </c>
      <c r="E293" s="19" t="n">
        <v>1</v>
      </c>
      <c r="F293" s="62" t="inlineStr">
        <is>
          <t>Market</t>
        </is>
      </c>
      <c r="G293" s="62" t="inlineStr">
        <is>
          <t>Vacant</t>
        </is>
      </c>
      <c r="H293" s="20" t="n">
        <v>1327</v>
      </c>
      <c r="I293" s="20" t="n">
        <v>0</v>
      </c>
      <c r="J293" s="20" t="n">
        <v>0</v>
      </c>
      <c r="K293" s="63" t="n"/>
      <c r="L293" s="63" t="n"/>
      <c r="M293" s="63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</row>
    <row r="294">
      <c r="A294" s="64" t="inlineStr">
        <is>
          <t>2813</t>
        </is>
      </c>
      <c r="B294" s="64" t="inlineStr">
        <is>
          <t>A2</t>
        </is>
      </c>
      <c r="C294" s="11" t="n">
        <v>777</v>
      </c>
      <c r="D294" s="10" t="n">
        <v>1</v>
      </c>
      <c r="E294" s="10" t="n">
        <v>1</v>
      </c>
      <c r="F294" s="65" t="inlineStr">
        <is>
          <t>Market</t>
        </is>
      </c>
      <c r="G294" s="65" t="inlineStr">
        <is>
          <t>Occupied</t>
        </is>
      </c>
      <c r="H294" s="11" t="n">
        <v>1127</v>
      </c>
      <c r="I294" s="11" t="n">
        <v>1185</v>
      </c>
      <c r="J294" s="11" t="n">
        <v>1185</v>
      </c>
      <c r="K294" s="66" t="inlineStr">
        <is>
          <t>09/22/2025</t>
        </is>
      </c>
      <c r="L294" s="66" t="inlineStr">
        <is>
          <t>09/20/2026</t>
        </is>
      </c>
      <c r="M294" s="66" t="inlineStr">
        <is>
          <t>09/21/2025</t>
        </is>
      </c>
      <c r="O294" s="11" t="n">
        <v>1185</v>
      </c>
      <c r="P294" s="11" t="n"/>
      <c r="Q294" s="11" t="n"/>
      <c r="R294" s="11" t="n"/>
      <c r="S294" s="11" t="n"/>
      <c r="T294" s="11" t="n"/>
      <c r="U294" s="11" t="n">
        <v>1</v>
      </c>
      <c r="V294" s="11" t="n"/>
      <c r="W294" s="11" t="n"/>
      <c r="X294" s="11" t="n"/>
      <c r="Y294" s="11" t="n"/>
      <c r="Z294" s="11" t="n"/>
    </row>
    <row r="295">
      <c r="A295" s="61" t="inlineStr">
        <is>
          <t>2814</t>
        </is>
      </c>
      <c r="B295" s="61" t="inlineStr">
        <is>
          <t>A2</t>
        </is>
      </c>
      <c r="C295" s="20" t="n">
        <v>777</v>
      </c>
      <c r="D295" s="19" t="n">
        <v>1</v>
      </c>
      <c r="E295" s="19" t="n">
        <v>1</v>
      </c>
      <c r="F295" s="62" t="inlineStr">
        <is>
          <t>Market</t>
        </is>
      </c>
      <c r="G295" s="62" t="inlineStr">
        <is>
          <t>Occupied</t>
        </is>
      </c>
      <c r="H295" s="20" t="n">
        <v>1127</v>
      </c>
      <c r="I295" s="20" t="n">
        <v>1145</v>
      </c>
      <c r="J295" s="20" t="n">
        <v>1145</v>
      </c>
      <c r="K295" s="63" t="inlineStr">
        <is>
          <t>10/23/2025</t>
        </is>
      </c>
      <c r="L295" s="63" t="inlineStr">
        <is>
          <t>10/22/2026</t>
        </is>
      </c>
      <c r="M295" s="63" t="inlineStr">
        <is>
          <t>08/23/2024</t>
        </is>
      </c>
      <c r="O295" s="20" t="n">
        <v>1145</v>
      </c>
      <c r="P295" s="20" t="n"/>
      <c r="Q295" s="20" t="n"/>
      <c r="R295" s="20" t="n"/>
      <c r="S295" s="20" t="n"/>
      <c r="T295" s="20" t="n"/>
      <c r="U295" s="20" t="n">
        <v>1</v>
      </c>
      <c r="V295" s="20" t="n"/>
      <c r="W295" s="20" t="n"/>
      <c r="X295" s="20" t="n"/>
      <c r="Y295" s="20" t="n"/>
      <c r="Z295" s="20" t="n"/>
    </row>
    <row r="296">
      <c r="A296" s="64" t="inlineStr">
        <is>
          <t>2815</t>
        </is>
      </c>
      <c r="B296" s="64" t="inlineStr">
        <is>
          <t>A2</t>
        </is>
      </c>
      <c r="C296" s="11" t="n">
        <v>777</v>
      </c>
      <c r="D296" s="10" t="n">
        <v>1</v>
      </c>
      <c r="E296" s="10" t="n">
        <v>1</v>
      </c>
      <c r="F296" s="65" t="inlineStr">
        <is>
          <t>Market</t>
        </is>
      </c>
      <c r="G296" s="65" t="inlineStr">
        <is>
          <t>Occupied</t>
        </is>
      </c>
      <c r="H296" s="11" t="n">
        <v>1277</v>
      </c>
      <c r="I296" s="11" t="n">
        <v>1266</v>
      </c>
      <c r="J296" s="11" t="n">
        <v>1266</v>
      </c>
      <c r="K296" s="66" t="inlineStr">
        <is>
          <t>10/06/2025</t>
        </is>
      </c>
      <c r="L296" s="66" t="inlineStr">
        <is>
          <t>09/28/2026</t>
        </is>
      </c>
      <c r="M296" s="66" t="inlineStr">
        <is>
          <t>10/06/2018</t>
        </is>
      </c>
      <c r="O296" s="11" t="n">
        <v>1266</v>
      </c>
      <c r="P296" s="11" t="n"/>
      <c r="Q296" s="11" t="n">
        <v>100</v>
      </c>
      <c r="R296" s="11" t="n"/>
      <c r="S296" s="11" t="n"/>
      <c r="T296" s="11" t="n"/>
      <c r="U296" s="11" t="n">
        <v>1</v>
      </c>
      <c r="V296" s="11" t="n"/>
      <c r="W296" s="11" t="n"/>
      <c r="X296" s="11" t="n"/>
      <c r="Y296" s="11" t="n"/>
      <c r="Z296" s="11" t="n"/>
    </row>
    <row r="297">
      <c r="A297" s="61" t="inlineStr">
        <is>
          <t>2816</t>
        </is>
      </c>
      <c r="B297" s="61" t="inlineStr">
        <is>
          <t>A2R</t>
        </is>
      </c>
      <c r="C297" s="20" t="n">
        <v>777</v>
      </c>
      <c r="D297" s="19" t="n">
        <v>1</v>
      </c>
      <c r="E297" s="19" t="n">
        <v>1</v>
      </c>
      <c r="F297" s="62" t="inlineStr">
        <is>
          <t>Market</t>
        </is>
      </c>
      <c r="G297" s="62" t="inlineStr">
        <is>
          <t>Occupied</t>
        </is>
      </c>
      <c r="H297" s="20" t="n">
        <v>1327</v>
      </c>
      <c r="I297" s="20" t="n">
        <v>1385</v>
      </c>
      <c r="J297" s="20" t="n">
        <v>1385</v>
      </c>
      <c r="K297" s="63" t="inlineStr">
        <is>
          <t>07/21/2025</t>
        </is>
      </c>
      <c r="L297" s="63" t="inlineStr">
        <is>
          <t>07/20/2026</t>
        </is>
      </c>
      <c r="M297" s="63" t="inlineStr">
        <is>
          <t>07/21/2025</t>
        </is>
      </c>
      <c r="O297" s="20" t="n">
        <v>1385</v>
      </c>
      <c r="P297" s="20" t="n"/>
      <c r="Q297" s="20" t="n"/>
      <c r="R297" s="20" t="n"/>
      <c r="S297" s="20" t="n"/>
      <c r="T297" s="20" t="n"/>
      <c r="U297" s="20" t="n">
        <v>1</v>
      </c>
      <c r="V297" s="20" t="n"/>
      <c r="W297" s="20" t="n"/>
      <c r="X297" s="20" t="n"/>
      <c r="Y297" s="20" t="n"/>
      <c r="Z297" s="20" t="n"/>
    </row>
    <row r="298">
      <c r="A298" s="64" t="inlineStr">
        <is>
          <t>2817</t>
        </is>
      </c>
      <c r="B298" s="64" t="inlineStr">
        <is>
          <t>A2R</t>
        </is>
      </c>
      <c r="C298" s="11" t="n">
        <v>777</v>
      </c>
      <c r="D298" s="10" t="n">
        <v>1</v>
      </c>
      <c r="E298" s="10" t="n">
        <v>1</v>
      </c>
      <c r="F298" s="65" t="inlineStr">
        <is>
          <t>Market</t>
        </is>
      </c>
      <c r="G298" s="65" t="inlineStr">
        <is>
          <t>Occupied</t>
        </is>
      </c>
      <c r="H298" s="11" t="n">
        <v>1327</v>
      </c>
      <c r="I298" s="11" t="n">
        <v>1429</v>
      </c>
      <c r="J298" s="11" t="n">
        <v>1429</v>
      </c>
      <c r="K298" s="66" t="inlineStr">
        <is>
          <t>05/08/2025</t>
        </is>
      </c>
      <c r="L298" s="66" t="inlineStr">
        <is>
          <t>08/07/2026</t>
        </is>
      </c>
      <c r="M298" s="66" t="inlineStr">
        <is>
          <t>05/08/2025</t>
        </is>
      </c>
      <c r="O298" s="11" t="n">
        <v>1429</v>
      </c>
      <c r="P298" s="11" t="n"/>
      <c r="Q298" s="11" t="n"/>
      <c r="R298" s="11" t="n"/>
      <c r="S298" s="11" t="n"/>
      <c r="T298" s="11" t="n"/>
      <c r="U298" s="11" t="n">
        <v>1</v>
      </c>
      <c r="V298" s="11" t="n"/>
      <c r="W298" s="11" t="n"/>
      <c r="X298" s="11" t="n"/>
      <c r="Y298" s="11" t="n"/>
      <c r="Z298" s="11" t="n"/>
    </row>
    <row r="299">
      <c r="A299" s="61" t="inlineStr">
        <is>
          <t>2818</t>
        </is>
      </c>
      <c r="B299" s="61" t="inlineStr">
        <is>
          <t>A2R</t>
        </is>
      </c>
      <c r="C299" s="20" t="n">
        <v>777</v>
      </c>
      <c r="D299" s="19" t="n">
        <v>1</v>
      </c>
      <c r="E299" s="19" t="n">
        <v>1</v>
      </c>
      <c r="F299" s="62" t="inlineStr">
        <is>
          <t>Market</t>
        </is>
      </c>
      <c r="G299" s="62" t="inlineStr">
        <is>
          <t>Occupied</t>
        </is>
      </c>
      <c r="H299" s="20" t="n">
        <v>1327</v>
      </c>
      <c r="I299" s="20" t="n">
        <v>1385</v>
      </c>
      <c r="J299" s="20" t="n">
        <v>1385</v>
      </c>
      <c r="K299" s="63" t="inlineStr">
        <is>
          <t>07/11/2025</t>
        </is>
      </c>
      <c r="L299" s="63" t="inlineStr">
        <is>
          <t>07/10/2026</t>
        </is>
      </c>
      <c r="M299" s="63" t="inlineStr">
        <is>
          <t>07/11/2025</t>
        </is>
      </c>
      <c r="O299" s="20" t="n">
        <v>1385</v>
      </c>
      <c r="P299" s="20" t="n"/>
      <c r="Q299" s="20" t="n"/>
      <c r="R299" s="20" t="n"/>
      <c r="S299" s="20" t="n"/>
      <c r="T299" s="20" t="n"/>
      <c r="U299" s="20" t="n">
        <v>1</v>
      </c>
      <c r="V299" s="20" t="n"/>
      <c r="W299" s="20" t="n"/>
      <c r="X299" s="20" t="n"/>
      <c r="Y299" s="20" t="n"/>
      <c r="Z299" s="20" t="n"/>
    </row>
    <row r="300">
      <c r="A300" s="64" t="inlineStr">
        <is>
          <t>2821</t>
        </is>
      </c>
      <c r="B300" s="64" t="inlineStr">
        <is>
          <t>A2</t>
        </is>
      </c>
      <c r="C300" s="11" t="n">
        <v>777</v>
      </c>
      <c r="D300" s="10" t="n">
        <v>1</v>
      </c>
      <c r="E300" s="10" t="n">
        <v>1</v>
      </c>
      <c r="F300" s="65" t="inlineStr">
        <is>
          <t>Market</t>
        </is>
      </c>
      <c r="G300" s="65" t="inlineStr">
        <is>
          <t>Occupied</t>
        </is>
      </c>
      <c r="H300" s="11" t="n">
        <v>1107</v>
      </c>
      <c r="I300" s="11" t="n">
        <v>1215</v>
      </c>
      <c r="J300" s="11" t="n">
        <v>1215</v>
      </c>
      <c r="K300" s="66" t="inlineStr">
        <is>
          <t>11/18/2025</t>
        </is>
      </c>
      <c r="L300" s="66" t="inlineStr">
        <is>
          <t>01/17/2027</t>
        </is>
      </c>
      <c r="M300" s="66" t="inlineStr">
        <is>
          <t>11/18/2025</t>
        </is>
      </c>
      <c r="O300" s="11" t="n">
        <v>1215</v>
      </c>
      <c r="P300" s="11" t="n"/>
      <c r="Q300" s="11" t="n"/>
      <c r="R300" s="11" t="n"/>
      <c r="S300" s="11" t="n"/>
      <c r="T300" s="11" t="n"/>
      <c r="U300" s="11" t="n">
        <v>1</v>
      </c>
      <c r="V300" s="11" t="n"/>
      <c r="W300" s="11" t="n"/>
      <c r="X300" s="11" t="n"/>
      <c r="Y300" s="11" t="n"/>
      <c r="Z300" s="11" t="n"/>
    </row>
    <row r="301">
      <c r="A301" s="61" t="inlineStr">
        <is>
          <t>2822</t>
        </is>
      </c>
      <c r="B301" s="61" t="inlineStr">
        <is>
          <t>A2</t>
        </is>
      </c>
      <c r="C301" s="20" t="n">
        <v>777</v>
      </c>
      <c r="D301" s="19" t="n">
        <v>1</v>
      </c>
      <c r="E301" s="19" t="n">
        <v>1</v>
      </c>
      <c r="F301" s="62" t="inlineStr">
        <is>
          <t>Market</t>
        </is>
      </c>
      <c r="G301" s="62" t="inlineStr">
        <is>
          <t>Occupied</t>
        </is>
      </c>
      <c r="H301" s="20" t="n">
        <v>1147</v>
      </c>
      <c r="I301" s="20" t="n">
        <v>1292</v>
      </c>
      <c r="J301" s="20" t="n">
        <v>1292</v>
      </c>
      <c r="K301" s="63" t="inlineStr">
        <is>
          <t>02/06/2026</t>
        </is>
      </c>
      <c r="L301" s="63" t="inlineStr">
        <is>
          <t>01/29/2027</t>
        </is>
      </c>
      <c r="M301" s="63" t="inlineStr">
        <is>
          <t>02/06/2025</t>
        </is>
      </c>
      <c r="O301" s="20" t="n">
        <v>1292</v>
      </c>
      <c r="P301" s="20" t="n"/>
      <c r="Q301" s="20" t="n"/>
      <c r="R301" s="20" t="n"/>
      <c r="S301" s="20" t="n"/>
      <c r="T301" s="20" t="n"/>
      <c r="U301" s="20" t="n">
        <v>3</v>
      </c>
      <c r="V301" s="20" t="n"/>
      <c r="W301" s="20" t="n"/>
      <c r="X301" s="20" t="n"/>
      <c r="Y301" s="20" t="n"/>
      <c r="Z301" s="20" t="n"/>
    </row>
    <row r="302">
      <c r="A302" s="64" t="inlineStr">
        <is>
          <t>2823</t>
        </is>
      </c>
      <c r="B302" s="64" t="inlineStr">
        <is>
          <t>A2</t>
        </is>
      </c>
      <c r="C302" s="11" t="n">
        <v>777</v>
      </c>
      <c r="D302" s="10" t="n">
        <v>1</v>
      </c>
      <c r="E302" s="10" t="n">
        <v>1</v>
      </c>
      <c r="F302" s="65" t="inlineStr">
        <is>
          <t>Market</t>
        </is>
      </c>
      <c r="G302" s="65" t="inlineStr">
        <is>
          <t>Occupied</t>
        </is>
      </c>
      <c r="H302" s="11" t="n">
        <v>1107</v>
      </c>
      <c r="I302" s="11" t="n">
        <v>1042</v>
      </c>
      <c r="J302" s="11" t="n">
        <v>1042</v>
      </c>
      <c r="K302" s="66" t="inlineStr">
        <is>
          <t>05/11/2026</t>
        </is>
      </c>
      <c r="L302" s="66" t="inlineStr">
        <is>
          <t>06/10/2027</t>
        </is>
      </c>
      <c r="M302" s="66" t="inlineStr">
        <is>
          <t>05/11/2026</t>
        </is>
      </c>
      <c r="O302" s="11" t="n">
        <v>1042</v>
      </c>
      <c r="P302" s="11" t="n">
        <v>35</v>
      </c>
      <c r="Q302" s="11" t="n"/>
      <c r="R302" s="11" t="n"/>
      <c r="S302" s="11" t="n"/>
      <c r="T302" s="11" t="n"/>
      <c r="U302" s="11" t="n">
        <v>3</v>
      </c>
      <c r="V302" s="11" t="n"/>
      <c r="W302" s="11" t="n"/>
      <c r="X302" s="11" t="n"/>
      <c r="Y302" s="11" t="n"/>
      <c r="Z302" s="11" t="n"/>
    </row>
    <row r="303">
      <c r="A303" s="61" t="inlineStr">
        <is>
          <t>2824</t>
        </is>
      </c>
      <c r="B303" s="61" t="inlineStr">
        <is>
          <t>A2</t>
        </is>
      </c>
      <c r="C303" s="20" t="n">
        <v>777</v>
      </c>
      <c r="D303" s="19" t="n">
        <v>1</v>
      </c>
      <c r="E303" s="19" t="n">
        <v>1</v>
      </c>
      <c r="F303" s="62" t="inlineStr">
        <is>
          <t>Market</t>
        </is>
      </c>
      <c r="G303" s="62" t="inlineStr">
        <is>
          <t>Occupied</t>
        </is>
      </c>
      <c r="H303" s="20" t="n">
        <v>1107</v>
      </c>
      <c r="I303" s="20" t="n">
        <v>981</v>
      </c>
      <c r="J303" s="20" t="n">
        <v>981</v>
      </c>
      <c r="K303" s="63" t="inlineStr">
        <is>
          <t>03/14/2026</t>
        </is>
      </c>
      <c r="L303" s="63" t="inlineStr">
        <is>
          <t>06/06/2027</t>
        </is>
      </c>
      <c r="M303" s="63" t="inlineStr">
        <is>
          <t>03/14/2026</t>
        </is>
      </c>
      <c r="O303" s="20" t="n">
        <v>981</v>
      </c>
      <c r="P303" s="20" t="n">
        <v>35</v>
      </c>
      <c r="Q303" s="20" t="n"/>
      <c r="R303" s="20" t="n"/>
      <c r="S303" s="20" t="n"/>
      <c r="T303" s="20" t="n"/>
      <c r="U303" s="20" t="n">
        <v>3</v>
      </c>
      <c r="V303" s="20" t="n"/>
      <c r="W303" s="20" t="n"/>
      <c r="X303" s="20" t="n"/>
      <c r="Y303" s="20" t="n"/>
      <c r="Z303" s="20" t="n"/>
    </row>
    <row r="304">
      <c r="A304" s="64" t="inlineStr">
        <is>
          <t>2825</t>
        </is>
      </c>
      <c r="B304" s="64" t="inlineStr">
        <is>
          <t>A2</t>
        </is>
      </c>
      <c r="C304" s="11" t="n">
        <v>777</v>
      </c>
      <c r="D304" s="10" t="n">
        <v>1</v>
      </c>
      <c r="E304" s="10" t="n">
        <v>1</v>
      </c>
      <c r="F304" s="65" t="inlineStr">
        <is>
          <t>Market</t>
        </is>
      </c>
      <c r="G304" s="65" t="inlineStr">
        <is>
          <t>Occupied</t>
        </is>
      </c>
      <c r="H304" s="11" t="n">
        <v>1107</v>
      </c>
      <c r="I304" s="11" t="n">
        <v>1189</v>
      </c>
      <c r="J304" s="11" t="n">
        <v>1189</v>
      </c>
      <c r="K304" s="66" t="inlineStr">
        <is>
          <t>10/31/2025</t>
        </is>
      </c>
      <c r="L304" s="66" t="inlineStr">
        <is>
          <t>02/06/2027</t>
        </is>
      </c>
      <c r="M304" s="66" t="inlineStr">
        <is>
          <t>10/31/2025</t>
        </is>
      </c>
      <c r="O304" s="11" t="n">
        <v>1189</v>
      </c>
      <c r="P304" s="11" t="n"/>
      <c r="Q304" s="11" t="n"/>
      <c r="R304" s="11" t="n"/>
      <c r="S304" s="11" t="n"/>
      <c r="T304" s="11" t="n"/>
      <c r="U304" s="11" t="n">
        <v>1</v>
      </c>
      <c r="V304" s="11" t="n"/>
      <c r="W304" s="11" t="n"/>
      <c r="X304" s="11" t="n"/>
      <c r="Y304" s="11" t="n"/>
      <c r="Z304" s="11" t="n"/>
    </row>
    <row r="305">
      <c r="A305" s="61" t="inlineStr">
        <is>
          <t>2826</t>
        </is>
      </c>
      <c r="B305" s="61" t="inlineStr">
        <is>
          <t>A2</t>
        </is>
      </c>
      <c r="C305" s="20" t="n">
        <v>777</v>
      </c>
      <c r="D305" s="19" t="n">
        <v>1</v>
      </c>
      <c r="E305" s="19" t="n">
        <v>1</v>
      </c>
      <c r="F305" s="62" t="inlineStr">
        <is>
          <t>Market</t>
        </is>
      </c>
      <c r="G305" s="62" t="inlineStr">
        <is>
          <t>Occupied</t>
        </is>
      </c>
      <c r="H305" s="20" t="n">
        <v>1107</v>
      </c>
      <c r="I305" s="20" t="n">
        <v>1130</v>
      </c>
      <c r="J305" s="20" t="n">
        <v>1130</v>
      </c>
      <c r="K305" s="63" t="inlineStr">
        <is>
          <t>03/07/2025</t>
        </is>
      </c>
      <c r="L305" s="63" t="inlineStr">
        <is>
          <t>06/06/2026</t>
        </is>
      </c>
      <c r="M305" s="63" t="inlineStr">
        <is>
          <t>07/09/2017</t>
        </is>
      </c>
      <c r="O305" s="20" t="n">
        <v>1130</v>
      </c>
      <c r="P305" s="20" t="n"/>
      <c r="Q305" s="20" t="n"/>
      <c r="R305" s="20" t="n"/>
      <c r="S305" s="20" t="n"/>
      <c r="T305" s="20" t="n"/>
      <c r="U305" s="20" t="n">
        <v>1</v>
      </c>
      <c r="V305" s="20" t="n"/>
      <c r="W305" s="20" t="n"/>
      <c r="X305" s="20" t="n"/>
      <c r="Y305" s="20" t="n"/>
      <c r="Z305" s="20" t="n"/>
    </row>
    <row r="306">
      <c r="A306" s="64" t="inlineStr">
        <is>
          <t>2827</t>
        </is>
      </c>
      <c r="B306" s="64" t="inlineStr">
        <is>
          <t>A2R</t>
        </is>
      </c>
      <c r="C306" s="11" t="n">
        <v>777</v>
      </c>
      <c r="D306" s="10" t="n">
        <v>1</v>
      </c>
      <c r="E306" s="10" t="n">
        <v>1</v>
      </c>
      <c r="F306" s="65" t="inlineStr">
        <is>
          <t>Market</t>
        </is>
      </c>
      <c r="G306" s="65" t="inlineStr">
        <is>
          <t>Occupied</t>
        </is>
      </c>
      <c r="H306" s="11" t="n">
        <v>1307</v>
      </c>
      <c r="I306" s="11" t="n">
        <v>1183</v>
      </c>
      <c r="J306" s="11" t="n">
        <v>1183</v>
      </c>
      <c r="K306" s="66" t="inlineStr">
        <is>
          <t>05/28/2025</t>
        </is>
      </c>
      <c r="L306" s="66" t="inlineStr">
        <is>
          <t>08/27/2026</t>
        </is>
      </c>
      <c r="M306" s="66" t="inlineStr">
        <is>
          <t>05/28/2025</t>
        </is>
      </c>
      <c r="O306" s="11" t="n">
        <v>1183</v>
      </c>
      <c r="P306" s="11" t="n"/>
      <c r="Q306" s="11" t="n"/>
      <c r="R306" s="11" t="n"/>
      <c r="S306" s="11" t="n"/>
      <c r="T306" s="11" t="n"/>
      <c r="U306" s="11" t="n">
        <v>1</v>
      </c>
      <c r="V306" s="11" t="n"/>
      <c r="W306" s="11" t="n"/>
      <c r="X306" s="11" t="n"/>
      <c r="Y306" s="11" t="n"/>
      <c r="Z306" s="11" t="n"/>
    </row>
    <row r="307">
      <c r="A307" s="61" t="inlineStr">
        <is>
          <t>2828</t>
        </is>
      </c>
      <c r="B307" s="61" t="inlineStr">
        <is>
          <t>A2</t>
        </is>
      </c>
      <c r="C307" s="20" t="n">
        <v>777</v>
      </c>
      <c r="D307" s="19" t="n">
        <v>1</v>
      </c>
      <c r="E307" s="19" t="n">
        <v>1</v>
      </c>
      <c r="F307" s="62" t="inlineStr">
        <is>
          <t>Market</t>
        </is>
      </c>
      <c r="G307" s="62" t="inlineStr">
        <is>
          <t>Occupied</t>
        </is>
      </c>
      <c r="H307" s="20" t="n">
        <v>1107</v>
      </c>
      <c r="I307" s="20" t="n">
        <v>1286</v>
      </c>
      <c r="J307" s="20" t="n">
        <v>1286</v>
      </c>
      <c r="K307" s="63" t="inlineStr">
        <is>
          <t>05/05/2025</t>
        </is>
      </c>
      <c r="L307" s="63" t="inlineStr">
        <is>
          <t>08/04/2026</t>
        </is>
      </c>
      <c r="M307" s="63" t="inlineStr">
        <is>
          <t>10/29/2022</t>
        </is>
      </c>
      <c r="O307" s="20" t="n">
        <v>1286</v>
      </c>
      <c r="P307" s="20" t="n"/>
      <c r="Q307" s="20" t="n"/>
      <c r="R307" s="20" t="n"/>
      <c r="S307" s="20" t="n"/>
      <c r="T307" s="20" t="n">
        <v>30</v>
      </c>
      <c r="U307" s="20" t="n">
        <v>1</v>
      </c>
      <c r="V307" s="20" t="n"/>
      <c r="W307" s="20" t="n"/>
      <c r="X307" s="20" t="n"/>
      <c r="Y307" s="20" t="n"/>
      <c r="Z307" s="20" t="n"/>
    </row>
    <row r="308">
      <c r="A308" s="64" t="inlineStr">
        <is>
          <t>2832</t>
        </is>
      </c>
      <c r="B308" s="64" t="inlineStr">
        <is>
          <t>A2</t>
        </is>
      </c>
      <c r="C308" s="11" t="n">
        <v>777</v>
      </c>
      <c r="D308" s="10" t="n">
        <v>1</v>
      </c>
      <c r="E308" s="10" t="n">
        <v>1</v>
      </c>
      <c r="F308" s="65" t="inlineStr">
        <is>
          <t>Market</t>
        </is>
      </c>
      <c r="G308" s="65" t="inlineStr">
        <is>
          <t>Occupied</t>
        </is>
      </c>
      <c r="H308" s="11" t="n">
        <v>1107</v>
      </c>
      <c r="I308" s="11" t="n">
        <v>1116</v>
      </c>
      <c r="J308" s="11" t="n">
        <v>1116</v>
      </c>
      <c r="K308" s="66" t="inlineStr">
        <is>
          <t>11/28/2025</t>
        </is>
      </c>
      <c r="L308" s="66" t="inlineStr">
        <is>
          <t>02/27/2027</t>
        </is>
      </c>
      <c r="M308" s="66" t="inlineStr">
        <is>
          <t>11/28/2025</t>
        </is>
      </c>
      <c r="O308" s="11" t="n">
        <v>1116</v>
      </c>
      <c r="P308" s="11" t="n"/>
      <c r="Q308" s="11" t="n">
        <v>100</v>
      </c>
      <c r="R308" s="11" t="n"/>
      <c r="S308" s="11" t="n"/>
      <c r="T308" s="11" t="n"/>
      <c r="U308" s="11" t="n">
        <v>1</v>
      </c>
      <c r="V308" s="11" t="n"/>
      <c r="W308" s="11" t="n"/>
      <c r="X308" s="11" t="n"/>
      <c r="Y308" s="11" t="n"/>
      <c r="Z308" s="11" t="n"/>
    </row>
    <row r="309">
      <c r="A309" s="61" t="inlineStr">
        <is>
          <t>2833</t>
        </is>
      </c>
      <c r="B309" s="61" t="inlineStr">
        <is>
          <t>A2</t>
        </is>
      </c>
      <c r="C309" s="20" t="n">
        <v>777</v>
      </c>
      <c r="D309" s="19" t="n">
        <v>1</v>
      </c>
      <c r="E309" s="19" t="n">
        <v>1</v>
      </c>
      <c r="F309" s="62" t="inlineStr">
        <is>
          <t>Market</t>
        </is>
      </c>
      <c r="G309" s="62" t="inlineStr">
        <is>
          <t>Occupied</t>
        </is>
      </c>
      <c r="H309" s="20" t="n">
        <v>1107</v>
      </c>
      <c r="I309" s="20" t="n">
        <v>1206</v>
      </c>
      <c r="J309" s="20" t="n">
        <v>1206</v>
      </c>
      <c r="K309" s="63" t="inlineStr">
        <is>
          <t>12/30/2025</t>
        </is>
      </c>
      <c r="L309" s="63" t="inlineStr">
        <is>
          <t>03/29/2027</t>
        </is>
      </c>
      <c r="M309" s="63" t="inlineStr">
        <is>
          <t>01/30/2021</t>
        </is>
      </c>
      <c r="O309" s="20" t="n">
        <v>1206</v>
      </c>
      <c r="P309" s="20" t="n"/>
      <c r="Q309" s="20" t="n"/>
      <c r="R309" s="20" t="n"/>
      <c r="S309" s="20" t="n"/>
      <c r="T309" s="20" t="n"/>
      <c r="U309" s="20" t="n">
        <v>1</v>
      </c>
      <c r="V309" s="20" t="n"/>
      <c r="W309" s="20" t="n"/>
      <c r="X309" s="20" t="n"/>
      <c r="Y309" s="20" t="n"/>
      <c r="Z309" s="20" t="n"/>
    </row>
    <row r="310">
      <c r="A310" s="64" t="inlineStr">
        <is>
          <t>2836</t>
        </is>
      </c>
      <c r="B310" s="64" t="inlineStr">
        <is>
          <t>A2</t>
        </is>
      </c>
      <c r="C310" s="11" t="n">
        <v>777</v>
      </c>
      <c r="D310" s="10" t="n">
        <v>1</v>
      </c>
      <c r="E310" s="10" t="n">
        <v>1</v>
      </c>
      <c r="F310" s="65" t="inlineStr">
        <is>
          <t>Market</t>
        </is>
      </c>
      <c r="G310" s="65" t="inlineStr">
        <is>
          <t>Occupied</t>
        </is>
      </c>
      <c r="H310" s="11" t="n">
        <v>1107</v>
      </c>
      <c r="I310" s="11" t="n">
        <v>1383</v>
      </c>
      <c r="J310" s="11" t="n">
        <v>1383</v>
      </c>
      <c r="K310" s="66" t="inlineStr">
        <is>
          <t>11/02/2025</t>
        </is>
      </c>
      <c r="L310" s="66" t="inlineStr">
        <is>
          <t>01/08/2027</t>
        </is>
      </c>
      <c r="M310" s="66" t="inlineStr">
        <is>
          <t>08/02/2023</t>
        </is>
      </c>
      <c r="O310" s="11" t="n">
        <v>1383</v>
      </c>
      <c r="P310" s="11" t="n"/>
      <c r="Q310" s="11" t="n"/>
      <c r="R310" s="11" t="n"/>
      <c r="S310" s="11" t="n"/>
      <c r="T310" s="11" t="n"/>
      <c r="U310" s="11" t="n">
        <v>1</v>
      </c>
      <c r="V310" s="11" t="n"/>
      <c r="W310" s="11" t="n"/>
      <c r="X310" s="11" t="n"/>
      <c r="Y310" s="11" t="n"/>
      <c r="Z310" s="11" t="n"/>
    </row>
    <row r="311">
      <c r="A311" s="61" t="inlineStr">
        <is>
          <t>2837</t>
        </is>
      </c>
      <c r="B311" s="61" t="inlineStr">
        <is>
          <t>A2</t>
        </is>
      </c>
      <c r="C311" s="20" t="n">
        <v>777</v>
      </c>
      <c r="D311" s="19" t="n">
        <v>1</v>
      </c>
      <c r="E311" s="19" t="n">
        <v>1</v>
      </c>
      <c r="F311" s="62" t="inlineStr">
        <is>
          <t>Market</t>
        </is>
      </c>
      <c r="G311" s="62" t="inlineStr">
        <is>
          <t>Occupied</t>
        </is>
      </c>
      <c r="H311" s="20" t="n">
        <v>1107</v>
      </c>
      <c r="I311" s="20" t="n">
        <v>1209</v>
      </c>
      <c r="J311" s="20" t="n">
        <v>1209</v>
      </c>
      <c r="K311" s="63" t="inlineStr">
        <is>
          <t>06/14/2025</t>
        </is>
      </c>
      <c r="L311" s="63" t="inlineStr">
        <is>
          <t>08/13/2026</t>
        </is>
      </c>
      <c r="M311" s="63" t="inlineStr">
        <is>
          <t>06/14/2025</t>
        </is>
      </c>
      <c r="O311" s="20" t="n">
        <v>1209</v>
      </c>
      <c r="P311" s="20" t="n"/>
      <c r="Q311" s="20" t="n"/>
      <c r="R311" s="20" t="n"/>
      <c r="S311" s="20" t="n"/>
      <c r="T311" s="20" t="n"/>
      <c r="U311" s="20" t="n">
        <v>1</v>
      </c>
      <c r="V311" s="20" t="n"/>
      <c r="W311" s="20" t="n"/>
      <c r="X311" s="20" t="n"/>
      <c r="Y311" s="20" t="n"/>
      <c r="Z311" s="20" t="n"/>
    </row>
    <row r="312">
      <c r="A312" s="64" t="inlineStr">
        <is>
          <t>2911</t>
        </is>
      </c>
      <c r="B312" s="64" t="inlineStr">
        <is>
          <t>B4R</t>
        </is>
      </c>
      <c r="C312" s="11" t="n">
        <v>1187</v>
      </c>
      <c r="D312" s="10" t="n">
        <v>2</v>
      </c>
      <c r="E312" s="10" t="n">
        <v>2</v>
      </c>
      <c r="F312" s="65" t="inlineStr">
        <is>
          <t>Market</t>
        </is>
      </c>
      <c r="G312" s="65" t="inlineStr">
        <is>
          <t>Occupied</t>
        </is>
      </c>
      <c r="H312" s="11" t="n">
        <v>1816</v>
      </c>
      <c r="I312" s="11" t="n">
        <v>1415</v>
      </c>
      <c r="J312" s="11" t="n">
        <v>1415</v>
      </c>
      <c r="K312" s="66" t="inlineStr">
        <is>
          <t>12/05/2025</t>
        </is>
      </c>
      <c r="L312" s="66" t="inlineStr">
        <is>
          <t>02/25/2027</t>
        </is>
      </c>
      <c r="M312" s="66" t="inlineStr">
        <is>
          <t>12/05/2025</t>
        </is>
      </c>
      <c r="O312" s="11" t="n">
        <v>1415</v>
      </c>
      <c r="P312" s="11" t="n"/>
      <c r="Q312" s="11" t="n"/>
      <c r="R312" s="11" t="n"/>
      <c r="S312" s="11" t="n"/>
      <c r="T312" s="11" t="n"/>
      <c r="U312" s="11" t="n">
        <v>3</v>
      </c>
      <c r="V312" s="11" t="n"/>
      <c r="W312" s="11" t="n"/>
      <c r="X312" s="11" t="n"/>
      <c r="Y312" s="11" t="n"/>
      <c r="Z312" s="11" t="n"/>
    </row>
    <row r="313">
      <c r="A313" s="61" t="inlineStr">
        <is>
          <t>2912</t>
        </is>
      </c>
      <c r="B313" s="61" t="inlineStr">
        <is>
          <t>B1R</t>
        </is>
      </c>
      <c r="C313" s="20" t="n">
        <v>947</v>
      </c>
      <c r="D313" s="19" t="n">
        <v>2</v>
      </c>
      <c r="E313" s="19" t="n">
        <v>2</v>
      </c>
      <c r="F313" s="62" t="inlineStr">
        <is>
          <t>Market</t>
        </is>
      </c>
      <c r="G313" s="62" t="inlineStr">
        <is>
          <t>Occupied</t>
        </is>
      </c>
      <c r="H313" s="20" t="n">
        <v>1552</v>
      </c>
      <c r="I313" s="20" t="n">
        <v>1453</v>
      </c>
      <c r="J313" s="20" t="n">
        <v>1453</v>
      </c>
      <c r="K313" s="63" t="inlineStr">
        <is>
          <t>03/01/2025</t>
        </is>
      </c>
      <c r="L313" s="63" t="inlineStr">
        <is>
          <t>05/31/2026</t>
        </is>
      </c>
      <c r="M313" s="63" t="inlineStr">
        <is>
          <t>03/01/2025</t>
        </is>
      </c>
      <c r="O313" s="20" t="n">
        <v>1453</v>
      </c>
      <c r="P313" s="20" t="n"/>
      <c r="Q313" s="20" t="n">
        <v>100</v>
      </c>
      <c r="R313" s="20" t="n"/>
      <c r="S313" s="20" t="n"/>
      <c r="T313" s="20" t="n"/>
      <c r="U313" s="20" t="n">
        <v>1</v>
      </c>
      <c r="V313" s="20" t="n"/>
      <c r="W313" s="20" t="n"/>
      <c r="X313" s="20" t="n"/>
      <c r="Y313" s="20" t="n"/>
      <c r="Z313" s="20" t="n"/>
    </row>
    <row r="314">
      <c r="A314" s="64" t="inlineStr">
        <is>
          <t>2913</t>
        </is>
      </c>
      <c r="B314" s="64" t="inlineStr">
        <is>
          <t>B1</t>
        </is>
      </c>
      <c r="C314" s="11" t="n">
        <v>947</v>
      </c>
      <c r="D314" s="10" t="n">
        <v>2</v>
      </c>
      <c r="E314" s="10" t="n">
        <v>2</v>
      </c>
      <c r="F314" s="65" t="inlineStr">
        <is>
          <t>Market</t>
        </is>
      </c>
      <c r="G314" s="65" t="inlineStr">
        <is>
          <t>Occupied</t>
        </is>
      </c>
      <c r="H314" s="11" t="n">
        <v>1352</v>
      </c>
      <c r="I314" s="11" t="n">
        <v>1616</v>
      </c>
      <c r="J314" s="11" t="n">
        <v>1616</v>
      </c>
      <c r="K314" s="66" t="inlineStr">
        <is>
          <t>07/20/2025</t>
        </is>
      </c>
      <c r="L314" s="66" t="inlineStr">
        <is>
          <t>07/19/2026</t>
        </is>
      </c>
      <c r="M314" s="66" t="inlineStr">
        <is>
          <t>05/27/2023</t>
        </is>
      </c>
      <c r="O314" s="11" t="n">
        <v>1616</v>
      </c>
      <c r="P314" s="11" t="n"/>
      <c r="Q314" s="11" t="n"/>
      <c r="R314" s="11" t="n"/>
      <c r="S314" s="11" t="n"/>
      <c r="T314" s="11" t="n"/>
      <c r="U314" s="11" t="n">
        <v>1</v>
      </c>
      <c r="V314" s="11" t="n"/>
      <c r="W314" s="11" t="n"/>
      <c r="X314" s="11" t="n"/>
      <c r="Y314" s="11" t="n"/>
      <c r="Z314" s="11" t="n"/>
    </row>
    <row r="315">
      <c r="A315" s="61" t="inlineStr">
        <is>
          <t>2914</t>
        </is>
      </c>
      <c r="B315" s="61" t="inlineStr">
        <is>
          <t>B4</t>
        </is>
      </c>
      <c r="C315" s="20" t="n">
        <v>1187</v>
      </c>
      <c r="D315" s="19" t="n">
        <v>2</v>
      </c>
      <c r="E315" s="19" t="n">
        <v>2</v>
      </c>
      <c r="F315" s="62" t="inlineStr">
        <is>
          <t>Market</t>
        </is>
      </c>
      <c r="G315" s="62" t="inlineStr">
        <is>
          <t>Occupied</t>
        </is>
      </c>
      <c r="H315" s="20" t="n">
        <v>1751</v>
      </c>
      <c r="I315" s="20" t="n">
        <v>1588</v>
      </c>
      <c r="J315" s="20" t="n">
        <v>1588</v>
      </c>
      <c r="K315" s="63" t="inlineStr">
        <is>
          <t>02/13/2026</t>
        </is>
      </c>
      <c r="L315" s="63" t="inlineStr">
        <is>
          <t>05/12/2027</t>
        </is>
      </c>
      <c r="M315" s="63" t="inlineStr">
        <is>
          <t>02/13/2026</t>
        </is>
      </c>
      <c r="O315" s="20" t="n">
        <v>1588</v>
      </c>
      <c r="P315" s="20" t="n">
        <v>35</v>
      </c>
      <c r="Q315" s="20" t="n"/>
      <c r="R315" s="20" t="n"/>
      <c r="S315" s="20" t="n"/>
      <c r="T315" s="20" t="n"/>
      <c r="U315" s="20" t="n">
        <v>3</v>
      </c>
      <c r="V315" s="20" t="n"/>
      <c r="W315" s="20" t="n"/>
      <c r="X315" s="20" t="n"/>
      <c r="Y315" s="20" t="n"/>
      <c r="Z315" s="20" t="n"/>
    </row>
    <row r="316">
      <c r="A316" s="64" t="inlineStr">
        <is>
          <t>2915</t>
        </is>
      </c>
      <c r="B316" s="64" t="inlineStr">
        <is>
          <t>B4R</t>
        </is>
      </c>
      <c r="C316" s="11" t="n">
        <v>1187</v>
      </c>
      <c r="D316" s="10" t="n">
        <v>2</v>
      </c>
      <c r="E316" s="10" t="n">
        <v>2</v>
      </c>
      <c r="F316" s="65" t="inlineStr">
        <is>
          <t>Market</t>
        </is>
      </c>
      <c r="G316" s="65" t="inlineStr">
        <is>
          <t>Occupied</t>
        </is>
      </c>
      <c r="H316" s="11" t="n">
        <v>1816</v>
      </c>
      <c r="I316" s="11" t="n">
        <v>1578</v>
      </c>
      <c r="J316" s="11" t="n">
        <v>1578</v>
      </c>
      <c r="K316" s="66" t="inlineStr">
        <is>
          <t>01/21/2026</t>
        </is>
      </c>
      <c r="L316" s="66" t="inlineStr">
        <is>
          <t>04/20/2027</t>
        </is>
      </c>
      <c r="M316" s="66" t="inlineStr">
        <is>
          <t>11/14/2024</t>
        </is>
      </c>
      <c r="O316" s="11" t="n">
        <v>1578</v>
      </c>
      <c r="P316" s="11" t="n"/>
      <c r="Q316" s="11" t="n"/>
      <c r="R316" s="11" t="n"/>
      <c r="S316" s="11" t="n"/>
      <c r="T316" s="11" t="n"/>
      <c r="U316" s="11" t="n">
        <v>3</v>
      </c>
      <c r="V316" s="11" t="n"/>
      <c r="W316" s="11" t="n"/>
      <c r="X316" s="11" t="n"/>
      <c r="Y316" s="11" t="n"/>
      <c r="Z316" s="11" t="n"/>
    </row>
    <row r="317">
      <c r="A317" s="61" t="inlineStr">
        <is>
          <t>2916</t>
        </is>
      </c>
      <c r="B317" s="61" t="inlineStr">
        <is>
          <t>B1R</t>
        </is>
      </c>
      <c r="C317" s="20" t="n">
        <v>947</v>
      </c>
      <c r="D317" s="19" t="n">
        <v>2</v>
      </c>
      <c r="E317" s="19" t="n">
        <v>2</v>
      </c>
      <c r="F317" s="62" t="inlineStr">
        <is>
          <t>Market</t>
        </is>
      </c>
      <c r="G317" s="62" t="inlineStr">
        <is>
          <t>Occupied</t>
        </is>
      </c>
      <c r="H317" s="20" t="n">
        <v>1552</v>
      </c>
      <c r="I317" s="20" t="n">
        <v>1423</v>
      </c>
      <c r="J317" s="20" t="n">
        <v>1423</v>
      </c>
      <c r="K317" s="63" t="inlineStr">
        <is>
          <t>03/15/2026</t>
        </is>
      </c>
      <c r="L317" s="63" t="inlineStr">
        <is>
          <t>06/14/2027</t>
        </is>
      </c>
      <c r="M317" s="63" t="inlineStr">
        <is>
          <t>03/15/2026</t>
        </is>
      </c>
      <c r="O317" s="20" t="n">
        <v>1423</v>
      </c>
      <c r="P317" s="20" t="n">
        <v>35</v>
      </c>
      <c r="Q317" s="20" t="n"/>
      <c r="R317" s="20" t="n"/>
      <c r="S317" s="20" t="n"/>
      <c r="T317" s="20" t="n"/>
      <c r="U317" s="20" t="n">
        <v>3</v>
      </c>
      <c r="V317" s="20" t="n"/>
      <c r="W317" s="20" t="n"/>
      <c r="X317" s="20" t="n"/>
      <c r="Y317" s="20" t="n"/>
      <c r="Z317" s="20" t="n"/>
    </row>
    <row r="318">
      <c r="A318" s="64" t="inlineStr">
        <is>
          <t>2917</t>
        </is>
      </c>
      <c r="B318" s="64" t="inlineStr">
        <is>
          <t>B1R</t>
        </is>
      </c>
      <c r="C318" s="11" t="n">
        <v>947</v>
      </c>
      <c r="D318" s="10" t="n">
        <v>2</v>
      </c>
      <c r="E318" s="10" t="n">
        <v>2</v>
      </c>
      <c r="F318" s="65" t="inlineStr">
        <is>
          <t>Market</t>
        </is>
      </c>
      <c r="G318" s="65" t="inlineStr">
        <is>
          <t>Occupied</t>
        </is>
      </c>
      <c r="H318" s="11" t="n">
        <v>1552</v>
      </c>
      <c r="I318" s="11" t="n">
        <v>1609</v>
      </c>
      <c r="J318" s="11" t="n">
        <v>1609</v>
      </c>
      <c r="K318" s="66" t="inlineStr">
        <is>
          <t>05/26/2025</t>
        </is>
      </c>
      <c r="L318" s="66" t="inlineStr">
        <is>
          <t>06/01/2026</t>
        </is>
      </c>
      <c r="M318" s="66" t="inlineStr">
        <is>
          <t>11/25/2022</t>
        </is>
      </c>
      <c r="O318" s="11" t="n">
        <v>1609</v>
      </c>
      <c r="P318" s="11" t="n"/>
      <c r="Q318" s="11" t="n"/>
      <c r="R318" s="11" t="n"/>
      <c r="S318" s="11" t="n"/>
      <c r="T318" s="11" t="n"/>
      <c r="U318" s="11" t="n">
        <v>1</v>
      </c>
      <c r="V318" s="11" t="n"/>
      <c r="W318" s="11" t="n"/>
      <c r="X318" s="11" t="n"/>
      <c r="Y318" s="11" t="n"/>
      <c r="Z318" s="11" t="n"/>
    </row>
    <row r="319">
      <c r="A319" s="61" t="inlineStr">
        <is>
          <t>2918</t>
        </is>
      </c>
      <c r="B319" s="61" t="inlineStr">
        <is>
          <t>B4R</t>
        </is>
      </c>
      <c r="C319" s="20" t="n">
        <v>1187</v>
      </c>
      <c r="D319" s="19" t="n">
        <v>2</v>
      </c>
      <c r="E319" s="19" t="n">
        <v>2</v>
      </c>
      <c r="F319" s="62" t="inlineStr">
        <is>
          <t>Market</t>
        </is>
      </c>
      <c r="G319" s="62" t="inlineStr">
        <is>
          <t>Occupied</t>
        </is>
      </c>
      <c r="H319" s="20" t="n">
        <v>1816</v>
      </c>
      <c r="I319" s="20" t="n">
        <v>1552</v>
      </c>
      <c r="J319" s="20" t="n">
        <v>1552</v>
      </c>
      <c r="K319" s="63" t="inlineStr">
        <is>
          <t>01/23/2026</t>
        </is>
      </c>
      <c r="L319" s="63" t="inlineStr">
        <is>
          <t>04/13/2027</t>
        </is>
      </c>
      <c r="M319" s="63" t="inlineStr">
        <is>
          <t>01/23/2026</t>
        </is>
      </c>
      <c r="O319" s="20" t="n">
        <v>1552</v>
      </c>
      <c r="P319" s="20" t="n">
        <v>35</v>
      </c>
      <c r="Q319" s="20" t="n"/>
      <c r="R319" s="20" t="n"/>
      <c r="S319" s="20" t="n"/>
      <c r="T319" s="20" t="n"/>
      <c r="U319" s="20" t="n">
        <v>3</v>
      </c>
      <c r="V319" s="20" t="n"/>
      <c r="W319" s="20" t="n"/>
      <c r="X319" s="20" t="n"/>
      <c r="Y319" s="20" t="n"/>
      <c r="Z319" s="20" t="n"/>
    </row>
    <row r="320">
      <c r="A320" s="64" t="inlineStr">
        <is>
          <t>2921</t>
        </is>
      </c>
      <c r="B320" s="64" t="inlineStr">
        <is>
          <t>B4</t>
        </is>
      </c>
      <c r="C320" s="11" t="n">
        <v>1187</v>
      </c>
      <c r="D320" s="10" t="n">
        <v>2</v>
      </c>
      <c r="E320" s="10" t="n">
        <v>2</v>
      </c>
      <c r="F320" s="65" t="inlineStr">
        <is>
          <t>Market</t>
        </is>
      </c>
      <c r="G320" s="65" t="inlineStr">
        <is>
          <t>Occupied</t>
        </is>
      </c>
      <c r="H320" s="11" t="n">
        <v>1596</v>
      </c>
      <c r="I320" s="11" t="n">
        <v>1618</v>
      </c>
      <c r="J320" s="11" t="n">
        <v>1618</v>
      </c>
      <c r="K320" s="66" t="inlineStr">
        <is>
          <t>03/23/2026</t>
        </is>
      </c>
      <c r="L320" s="66" t="inlineStr">
        <is>
          <t>06/22/2027</t>
        </is>
      </c>
      <c r="M320" s="66" t="inlineStr">
        <is>
          <t>03/23/2026</t>
        </is>
      </c>
      <c r="O320" s="11" t="n">
        <v>1618</v>
      </c>
      <c r="P320" s="11" t="n">
        <v>35</v>
      </c>
      <c r="Q320" s="11" t="n"/>
      <c r="R320" s="11" t="n"/>
      <c r="S320" s="11" t="n"/>
      <c r="T320" s="11" t="n"/>
      <c r="U320" s="11" t="n">
        <v>3</v>
      </c>
      <c r="V320" s="11" t="n">
        <v>50</v>
      </c>
      <c r="W320" s="11" t="n"/>
      <c r="X320" s="11" t="n"/>
      <c r="Y320" s="11" t="n"/>
      <c r="Z320" s="11" t="n"/>
    </row>
    <row r="321">
      <c r="A321" s="61" t="inlineStr">
        <is>
          <t>2922</t>
        </is>
      </c>
      <c r="B321" s="61" t="inlineStr">
        <is>
          <t>B1</t>
        </is>
      </c>
      <c r="C321" s="20" t="n">
        <v>947</v>
      </c>
      <c r="D321" s="19" t="n">
        <v>2</v>
      </c>
      <c r="E321" s="19" t="n">
        <v>2</v>
      </c>
      <c r="F321" s="62" t="inlineStr">
        <is>
          <t>Market</t>
        </is>
      </c>
      <c r="G321" s="62" t="inlineStr">
        <is>
          <t>Occupied</t>
        </is>
      </c>
      <c r="H321" s="20" t="n">
        <v>1332</v>
      </c>
      <c r="I321" s="20" t="n">
        <v>1363</v>
      </c>
      <c r="J321" s="20" t="n">
        <v>1363</v>
      </c>
      <c r="K321" s="63" t="inlineStr">
        <is>
          <t>08/22/2025</t>
        </is>
      </c>
      <c r="L321" s="63" t="inlineStr">
        <is>
          <t>08/28/2026</t>
        </is>
      </c>
      <c r="M321" s="63" t="inlineStr">
        <is>
          <t>08/22/2025</t>
        </is>
      </c>
      <c r="O321" s="20" t="n">
        <v>1363</v>
      </c>
      <c r="P321" s="20" t="n"/>
      <c r="Q321" s="20" t="n"/>
      <c r="R321" s="20" t="n"/>
      <c r="S321" s="20" t="n"/>
      <c r="T321" s="20" t="n"/>
      <c r="U321" s="20" t="n">
        <v>1</v>
      </c>
      <c r="V321" s="20" t="n"/>
      <c r="W321" s="20" t="n"/>
      <c r="X321" s="20" t="n"/>
      <c r="Y321" s="20" t="n"/>
      <c r="Z321" s="20" t="n"/>
    </row>
    <row r="322">
      <c r="A322" s="64" t="inlineStr">
        <is>
          <t>2923</t>
        </is>
      </c>
      <c r="B322" s="64" t="inlineStr">
        <is>
          <t>B1R</t>
        </is>
      </c>
      <c r="C322" s="11" t="n">
        <v>947</v>
      </c>
      <c r="D322" s="10" t="n">
        <v>2</v>
      </c>
      <c r="E322" s="10" t="n">
        <v>2</v>
      </c>
      <c r="F322" s="65" t="inlineStr">
        <is>
          <t>Market</t>
        </is>
      </c>
      <c r="G322" s="65" t="inlineStr">
        <is>
          <t>Occupied</t>
        </is>
      </c>
      <c r="H322" s="11" t="n">
        <v>1532</v>
      </c>
      <c r="I322" s="11" t="n">
        <v>1375</v>
      </c>
      <c r="J322" s="11" t="n">
        <v>1375</v>
      </c>
      <c r="K322" s="66" t="inlineStr">
        <is>
          <t>05/21/2025</t>
        </is>
      </c>
      <c r="L322" s="66" t="inlineStr">
        <is>
          <t>07/20/2026</t>
        </is>
      </c>
      <c r="M322" s="66" t="inlineStr">
        <is>
          <t>05/21/2025</t>
        </is>
      </c>
      <c r="O322" s="11" t="n">
        <v>1375</v>
      </c>
      <c r="P322" s="11" t="n"/>
      <c r="Q322" s="11" t="n"/>
      <c r="R322" s="11" t="n"/>
      <c r="S322" s="11" t="n"/>
      <c r="T322" s="11" t="n"/>
      <c r="U322" s="11" t="n">
        <v>1</v>
      </c>
      <c r="V322" s="11" t="n"/>
      <c r="W322" s="11" t="n"/>
      <c r="X322" s="11" t="n"/>
      <c r="Y322" s="11" t="n"/>
      <c r="Z322" s="11" t="n"/>
    </row>
    <row r="323">
      <c r="A323" s="61" t="inlineStr">
        <is>
          <t>2924</t>
        </is>
      </c>
      <c r="B323" s="61" t="inlineStr">
        <is>
          <t>B4</t>
        </is>
      </c>
      <c r="C323" s="20" t="n">
        <v>1187</v>
      </c>
      <c r="D323" s="19" t="n">
        <v>2</v>
      </c>
      <c r="E323" s="19" t="n">
        <v>2</v>
      </c>
      <c r="F323" s="62" t="inlineStr">
        <is>
          <t>Market</t>
        </is>
      </c>
      <c r="G323" s="62" t="inlineStr">
        <is>
          <t>Occupied</t>
        </is>
      </c>
      <c r="H323" s="20" t="n">
        <v>1596</v>
      </c>
      <c r="I323" s="20" t="n">
        <v>1458</v>
      </c>
      <c r="J323" s="20" t="n">
        <v>1458</v>
      </c>
      <c r="K323" s="63" t="inlineStr">
        <is>
          <t>03/04/2026</t>
        </is>
      </c>
      <c r="L323" s="63" t="inlineStr">
        <is>
          <t>04/03/2027</t>
        </is>
      </c>
      <c r="M323" s="63" t="inlineStr">
        <is>
          <t>02/28/2025</t>
        </is>
      </c>
      <c r="O323" s="20" t="n">
        <v>1458</v>
      </c>
      <c r="P323" s="20" t="n">
        <v>35</v>
      </c>
      <c r="Q323" s="20" t="n"/>
      <c r="R323" s="20" t="n"/>
      <c r="S323" s="20" t="n"/>
      <c r="T323" s="20" t="n"/>
      <c r="U323" s="20" t="n">
        <v>3</v>
      </c>
      <c r="V323" s="20" t="n"/>
      <c r="W323" s="20" t="n"/>
      <c r="X323" s="20" t="n"/>
      <c r="Y323" s="20" t="n"/>
      <c r="Z323" s="20" t="n"/>
    </row>
    <row r="324">
      <c r="A324" s="64" t="inlineStr">
        <is>
          <t>2925</t>
        </is>
      </c>
      <c r="B324" s="64" t="inlineStr">
        <is>
          <t>B4R</t>
        </is>
      </c>
      <c r="C324" s="11" t="n">
        <v>1187</v>
      </c>
      <c r="D324" s="10" t="n">
        <v>2</v>
      </c>
      <c r="E324" s="10" t="n">
        <v>2</v>
      </c>
      <c r="F324" s="65" t="inlineStr">
        <is>
          <t>Market</t>
        </is>
      </c>
      <c r="G324" s="65" t="inlineStr">
        <is>
          <t>Occupied</t>
        </is>
      </c>
      <c r="H324" s="11" t="n">
        <v>1796</v>
      </c>
      <c r="I324" s="11" t="n">
        <v>1662</v>
      </c>
      <c r="J324" s="11" t="n">
        <v>1662</v>
      </c>
      <c r="K324" s="66" t="inlineStr">
        <is>
          <t>03/19/2026</t>
        </is>
      </c>
      <c r="L324" s="66" t="inlineStr">
        <is>
          <t>04/18/2027</t>
        </is>
      </c>
      <c r="M324" s="66" t="inlineStr">
        <is>
          <t>12/26/2024</t>
        </is>
      </c>
      <c r="O324" s="11" t="n">
        <v>1662</v>
      </c>
      <c r="P324" s="11" t="n">
        <v>35</v>
      </c>
      <c r="Q324" s="11" t="n"/>
      <c r="R324" s="11" t="n"/>
      <c r="S324" s="11" t="n"/>
      <c r="T324" s="11" t="n"/>
      <c r="U324" s="11" t="n">
        <v>3</v>
      </c>
      <c r="V324" s="11" t="n"/>
      <c r="W324" s="11" t="n"/>
      <c r="X324" s="11" t="n"/>
      <c r="Y324" s="11" t="n"/>
      <c r="Z324" s="11" t="n"/>
    </row>
    <row r="325">
      <c r="A325" s="61" t="inlineStr">
        <is>
          <t>2926</t>
        </is>
      </c>
      <c r="B325" s="61" t="inlineStr">
        <is>
          <t>B1R</t>
        </is>
      </c>
      <c r="C325" s="20" t="n">
        <v>947</v>
      </c>
      <c r="D325" s="19" t="n">
        <v>2</v>
      </c>
      <c r="E325" s="19" t="n">
        <v>2</v>
      </c>
      <c r="F325" s="62" t="inlineStr">
        <is>
          <t>Market</t>
        </is>
      </c>
      <c r="G325" s="62" t="inlineStr">
        <is>
          <t>Occupied</t>
        </is>
      </c>
      <c r="H325" s="20" t="n">
        <v>1532</v>
      </c>
      <c r="I325" s="20" t="n">
        <v>1484</v>
      </c>
      <c r="J325" s="20" t="n">
        <v>1484</v>
      </c>
      <c r="K325" s="63" t="inlineStr">
        <is>
          <t>02/15/2026</t>
        </is>
      </c>
      <c r="L325" s="63" t="inlineStr">
        <is>
          <t>03/14/2027</t>
        </is>
      </c>
      <c r="M325" s="63" t="inlineStr">
        <is>
          <t>02/15/2026</t>
        </is>
      </c>
      <c r="O325" s="20" t="n">
        <v>1484</v>
      </c>
      <c r="P325" s="20" t="n">
        <v>35</v>
      </c>
      <c r="Q325" s="20" t="n"/>
      <c r="R325" s="20" t="n"/>
      <c r="S325" s="20" t="n"/>
      <c r="T325" s="20" t="n"/>
      <c r="U325" s="20" t="n">
        <v>3</v>
      </c>
      <c r="V325" s="20" t="n"/>
      <c r="W325" s="20" t="n"/>
      <c r="X325" s="20" t="n"/>
      <c r="Y325" s="20" t="n"/>
      <c r="Z325" s="20" t="n"/>
    </row>
    <row r="326">
      <c r="A326" s="64" t="inlineStr">
        <is>
          <t>2927</t>
        </is>
      </c>
      <c r="B326" s="64" t="inlineStr">
        <is>
          <t>B1</t>
        </is>
      </c>
      <c r="C326" s="11" t="n">
        <v>947</v>
      </c>
      <c r="D326" s="10" t="n">
        <v>2</v>
      </c>
      <c r="E326" s="10" t="n">
        <v>2</v>
      </c>
      <c r="F326" s="65" t="inlineStr">
        <is>
          <t>Market</t>
        </is>
      </c>
      <c r="G326" s="65" t="inlineStr">
        <is>
          <t>Occupied</t>
        </is>
      </c>
      <c r="H326" s="11" t="n">
        <v>1332</v>
      </c>
      <c r="I326" s="11" t="n">
        <v>1556</v>
      </c>
      <c r="J326" s="11" t="n">
        <v>1556</v>
      </c>
      <c r="K326" s="66" t="inlineStr">
        <is>
          <t>10/22/2025</t>
        </is>
      </c>
      <c r="L326" s="66" t="inlineStr">
        <is>
          <t>12/14/2026</t>
        </is>
      </c>
      <c r="M326" s="66" t="inlineStr">
        <is>
          <t>11/22/2020</t>
        </is>
      </c>
      <c r="O326" s="11" t="n">
        <v>1556</v>
      </c>
      <c r="P326" s="11" t="n"/>
      <c r="Q326" s="11" t="n"/>
      <c r="R326" s="11" t="n"/>
      <c r="S326" s="11" t="n"/>
      <c r="T326" s="11" t="n"/>
      <c r="U326" s="11" t="n">
        <v>1</v>
      </c>
      <c r="V326" s="11" t="n"/>
      <c r="W326" s="11" t="n"/>
      <c r="X326" s="11" t="n"/>
      <c r="Y326" s="11" t="n"/>
      <c r="Z326" s="11" t="n"/>
    </row>
    <row r="327">
      <c r="A327" s="61" t="inlineStr">
        <is>
          <t>2928</t>
        </is>
      </c>
      <c r="B327" s="61" t="inlineStr">
        <is>
          <t>B4</t>
        </is>
      </c>
      <c r="C327" s="20" t="n">
        <v>1187</v>
      </c>
      <c r="D327" s="19" t="n">
        <v>2</v>
      </c>
      <c r="E327" s="19" t="n">
        <v>2</v>
      </c>
      <c r="F327" s="62" t="inlineStr">
        <is>
          <t>Market</t>
        </is>
      </c>
      <c r="G327" s="62" t="inlineStr">
        <is>
          <t>Occupied</t>
        </is>
      </c>
      <c r="H327" s="20" t="n">
        <v>1596</v>
      </c>
      <c r="I327" s="20" t="n">
        <v>1550</v>
      </c>
      <c r="J327" s="20" t="n">
        <v>1550</v>
      </c>
      <c r="K327" s="63" t="inlineStr">
        <is>
          <t>08/03/2025</t>
        </is>
      </c>
      <c r="L327" s="63" t="inlineStr">
        <is>
          <t>08/09/2026</t>
        </is>
      </c>
      <c r="M327" s="63" t="inlineStr">
        <is>
          <t>08/03/2025</t>
        </is>
      </c>
      <c r="O327" s="20" t="n">
        <v>1550</v>
      </c>
      <c r="P327" s="20" t="n"/>
      <c r="Q327" s="20" t="n"/>
      <c r="R327" s="20" t="n"/>
      <c r="S327" s="20" t="n"/>
      <c r="T327" s="20" t="n"/>
      <c r="U327" s="20" t="n">
        <v>1</v>
      </c>
      <c r="V327" s="20" t="n"/>
      <c r="W327" s="20" t="n"/>
      <c r="X327" s="20" t="n"/>
      <c r="Y327" s="20" t="n"/>
      <c r="Z327" s="20" t="n"/>
    </row>
    <row r="328">
      <c r="A328" s="64" t="inlineStr">
        <is>
          <t>2932</t>
        </is>
      </c>
      <c r="B328" s="64" t="inlineStr">
        <is>
          <t>B1R</t>
        </is>
      </c>
      <c r="C328" s="11" t="n">
        <v>947</v>
      </c>
      <c r="D328" s="10" t="n">
        <v>2</v>
      </c>
      <c r="E328" s="10" t="n">
        <v>2</v>
      </c>
      <c r="F328" s="65" t="inlineStr">
        <is>
          <t>Market</t>
        </is>
      </c>
      <c r="G328" s="65" t="inlineStr">
        <is>
          <t>Occupied</t>
        </is>
      </c>
      <c r="H328" s="11" t="n">
        <v>1532</v>
      </c>
      <c r="I328" s="11" t="n">
        <v>1531</v>
      </c>
      <c r="J328" s="11" t="n">
        <v>1531</v>
      </c>
      <c r="K328" s="66" t="inlineStr">
        <is>
          <t>11/01/2025</t>
        </is>
      </c>
      <c r="L328" s="66" t="inlineStr">
        <is>
          <t>01/30/2027</t>
        </is>
      </c>
      <c r="M328" s="66" t="inlineStr">
        <is>
          <t>11/01/2025</t>
        </is>
      </c>
      <c r="O328" s="11" t="n">
        <v>1531</v>
      </c>
      <c r="P328" s="11" t="n"/>
      <c r="Q328" s="11" t="n"/>
      <c r="R328" s="11" t="n"/>
      <c r="S328" s="11" t="n"/>
      <c r="T328" s="11" t="n"/>
      <c r="U328" s="11" t="n">
        <v>1</v>
      </c>
      <c r="V328" s="11" t="n"/>
      <c r="W328" s="11" t="n"/>
      <c r="X328" s="11" t="n"/>
      <c r="Y328" s="11" t="n"/>
      <c r="Z328" s="11" t="n"/>
    </row>
    <row r="329">
      <c r="A329" s="61" t="inlineStr">
        <is>
          <t>2933</t>
        </is>
      </c>
      <c r="B329" s="61" t="inlineStr">
        <is>
          <t>B1</t>
        </is>
      </c>
      <c r="C329" s="20" t="n">
        <v>947</v>
      </c>
      <c r="D329" s="19" t="n">
        <v>2</v>
      </c>
      <c r="E329" s="19" t="n">
        <v>2</v>
      </c>
      <c r="F329" s="62" t="inlineStr">
        <is>
          <t>Market</t>
        </is>
      </c>
      <c r="G329" s="62" t="inlineStr">
        <is>
          <t>Occupied</t>
        </is>
      </c>
      <c r="H329" s="20" t="n">
        <v>1332</v>
      </c>
      <c r="I329" s="20" t="n">
        <v>1368</v>
      </c>
      <c r="J329" s="20" t="n">
        <v>1368</v>
      </c>
      <c r="K329" s="63" t="inlineStr">
        <is>
          <t>10/30/2025</t>
        </is>
      </c>
      <c r="L329" s="63" t="inlineStr">
        <is>
          <t>01/22/2027</t>
        </is>
      </c>
      <c r="M329" s="63" t="inlineStr">
        <is>
          <t>10/30/2025</t>
        </is>
      </c>
      <c r="O329" s="20" t="n">
        <v>1368</v>
      </c>
      <c r="P329" s="20" t="n"/>
      <c r="Q329" s="20" t="n"/>
      <c r="R329" s="20" t="n"/>
      <c r="S329" s="20" t="n"/>
      <c r="T329" s="20" t="n">
        <v>45</v>
      </c>
      <c r="U329" s="20" t="n">
        <v>1</v>
      </c>
      <c r="V329" s="20" t="n"/>
      <c r="W329" s="20" t="n"/>
      <c r="X329" s="20" t="n"/>
      <c r="Y329" s="20" t="n"/>
      <c r="Z329" s="20" t="n"/>
    </row>
    <row r="330">
      <c r="A330" s="64" t="inlineStr">
        <is>
          <t>2936</t>
        </is>
      </c>
      <c r="B330" s="64" t="inlineStr">
        <is>
          <t>B1</t>
        </is>
      </c>
      <c r="C330" s="11" t="n">
        <v>947</v>
      </c>
      <c r="D330" s="10" t="n">
        <v>2</v>
      </c>
      <c r="E330" s="10" t="n">
        <v>2</v>
      </c>
      <c r="F330" s="65" t="inlineStr">
        <is>
          <t>Market</t>
        </is>
      </c>
      <c r="G330" s="65" t="inlineStr">
        <is>
          <t>Vacant</t>
        </is>
      </c>
      <c r="H330" s="11" t="n">
        <v>1332</v>
      </c>
      <c r="I330" s="11" t="n">
        <v>0</v>
      </c>
      <c r="J330" s="11" t="n">
        <v>0</v>
      </c>
      <c r="K330" s="66" t="n"/>
      <c r="L330" s="66" t="n"/>
      <c r="M330" s="66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61" t="inlineStr">
        <is>
          <t>2937</t>
        </is>
      </c>
      <c r="B331" s="61" t="inlineStr">
        <is>
          <t>B1R</t>
        </is>
      </c>
      <c r="C331" s="20" t="n">
        <v>947</v>
      </c>
      <c r="D331" s="19" t="n">
        <v>2</v>
      </c>
      <c r="E331" s="19" t="n">
        <v>2</v>
      </c>
      <c r="F331" s="62" t="inlineStr">
        <is>
          <t>Market</t>
        </is>
      </c>
      <c r="G331" s="62" t="inlineStr">
        <is>
          <t>Occupied</t>
        </is>
      </c>
      <c r="H331" s="20" t="n">
        <v>1532</v>
      </c>
      <c r="I331" s="20" t="n">
        <v>1395</v>
      </c>
      <c r="J331" s="20" t="n">
        <v>1395</v>
      </c>
      <c r="K331" s="63" t="inlineStr">
        <is>
          <t>05/21/2025</t>
        </is>
      </c>
      <c r="L331" s="63" t="inlineStr">
        <is>
          <t>08/20/2026</t>
        </is>
      </c>
      <c r="M331" s="63" t="inlineStr">
        <is>
          <t>05/21/2025</t>
        </is>
      </c>
      <c r="O331" s="20" t="n">
        <v>1395</v>
      </c>
      <c r="P331" s="20" t="n"/>
      <c r="Q331" s="20" t="n"/>
      <c r="R331" s="20" t="n"/>
      <c r="S331" s="20" t="n"/>
      <c r="T331" s="20" t="n"/>
      <c r="U331" s="20" t="n">
        <v>1</v>
      </c>
      <c r="V331" s="20" t="n"/>
      <c r="W331" s="20" t="n"/>
      <c r="X331" s="20" t="n"/>
      <c r="Y331" s="20" t="n"/>
      <c r="Z331" s="20" t="n"/>
    </row>
    <row r="332">
      <c r="A332" s="64" t="inlineStr">
        <is>
          <t>3011</t>
        </is>
      </c>
      <c r="B332" s="64" t="inlineStr">
        <is>
          <t>A2</t>
        </is>
      </c>
      <c r="C332" s="11" t="n">
        <v>777</v>
      </c>
      <c r="D332" s="10" t="n">
        <v>1</v>
      </c>
      <c r="E332" s="10" t="n">
        <v>1</v>
      </c>
      <c r="F332" s="65" t="inlineStr">
        <is>
          <t>Market</t>
        </is>
      </c>
      <c r="G332" s="65" t="inlineStr">
        <is>
          <t>Occupied</t>
        </is>
      </c>
      <c r="H332" s="11" t="n">
        <v>1202</v>
      </c>
      <c r="I332" s="11" t="n">
        <v>1395</v>
      </c>
      <c r="J332" s="11" t="n">
        <v>1395</v>
      </c>
      <c r="K332" s="66" t="inlineStr">
        <is>
          <t>12/14/2025</t>
        </is>
      </c>
      <c r="L332" s="66" t="inlineStr">
        <is>
          <t>03/13/2027</t>
        </is>
      </c>
      <c r="M332" s="66" t="inlineStr">
        <is>
          <t>03/21/2022</t>
        </is>
      </c>
      <c r="O332" s="11" t="n">
        <v>1395</v>
      </c>
      <c r="P332" s="11" t="n"/>
      <c r="Q332" s="11" t="n"/>
      <c r="R332" s="11" t="n"/>
      <c r="S332" s="11" t="n"/>
      <c r="T332" s="11" t="n"/>
      <c r="U332" s="11" t="n">
        <v>3</v>
      </c>
      <c r="V332" s="11" t="n"/>
      <c r="W332" s="11" t="n"/>
      <c r="X332" s="11" t="n"/>
      <c r="Y332" s="11" t="n"/>
      <c r="Z332" s="11" t="n"/>
    </row>
    <row r="333">
      <c r="A333" s="61" t="inlineStr">
        <is>
          <t>3012</t>
        </is>
      </c>
      <c r="B333" s="61" t="inlineStr">
        <is>
          <t>A2</t>
        </is>
      </c>
      <c r="C333" s="20" t="n">
        <v>777</v>
      </c>
      <c r="D333" s="19" t="n">
        <v>1</v>
      </c>
      <c r="E333" s="19" t="n">
        <v>1</v>
      </c>
      <c r="F333" s="62" t="inlineStr">
        <is>
          <t>Market</t>
        </is>
      </c>
      <c r="G333" s="62" t="inlineStr">
        <is>
          <t>Occupied</t>
        </is>
      </c>
      <c r="H333" s="20" t="n">
        <v>1202</v>
      </c>
      <c r="I333" s="20" t="n">
        <v>1172</v>
      </c>
      <c r="J333" s="20" t="n">
        <v>1172</v>
      </c>
      <c r="K333" s="63" t="inlineStr">
        <is>
          <t>09/15/2025</t>
        </is>
      </c>
      <c r="L333" s="63" t="inlineStr">
        <is>
          <t>10/14/2026</t>
        </is>
      </c>
      <c r="M333" s="63" t="inlineStr">
        <is>
          <t>09/15/2025</t>
        </is>
      </c>
      <c r="O333" s="20" t="n">
        <v>1172</v>
      </c>
      <c r="P333" s="20" t="n"/>
      <c r="Q333" s="20" t="n"/>
      <c r="R333" s="20" t="n"/>
      <c r="S333" s="20" t="n"/>
      <c r="T333" s="20" t="n"/>
      <c r="U333" s="20" t="n">
        <v>1</v>
      </c>
      <c r="V333" s="20" t="n"/>
      <c r="W333" s="20" t="n"/>
      <c r="X333" s="20" t="n"/>
      <c r="Y333" s="20" t="n"/>
      <c r="Z333" s="20" t="n"/>
    </row>
    <row r="334">
      <c r="A334" s="64" t="inlineStr">
        <is>
          <t>3013</t>
        </is>
      </c>
      <c r="B334" s="64" t="inlineStr">
        <is>
          <t>A2R</t>
        </is>
      </c>
      <c r="C334" s="11" t="n">
        <v>777</v>
      </c>
      <c r="D334" s="10" t="n">
        <v>1</v>
      </c>
      <c r="E334" s="10" t="n">
        <v>1</v>
      </c>
      <c r="F334" s="65" t="inlineStr">
        <is>
          <t>Market</t>
        </is>
      </c>
      <c r="G334" s="65" t="inlineStr">
        <is>
          <t>Occupied</t>
        </is>
      </c>
      <c r="H334" s="11" t="n">
        <v>1342</v>
      </c>
      <c r="I334" s="11" t="n">
        <v>1171</v>
      </c>
      <c r="J334" s="11" t="n">
        <v>1171</v>
      </c>
      <c r="K334" s="66" t="inlineStr">
        <is>
          <t>11/28/2025</t>
        </is>
      </c>
      <c r="L334" s="66" t="inlineStr">
        <is>
          <t>02/27/2027</t>
        </is>
      </c>
      <c r="M334" s="66" t="inlineStr">
        <is>
          <t>11/28/2025</t>
        </is>
      </c>
      <c r="O334" s="11" t="n">
        <v>1171</v>
      </c>
      <c r="P334" s="11" t="n"/>
      <c r="Q334" s="11" t="n"/>
      <c r="R334" s="11" t="n"/>
      <c r="S334" s="11" t="n"/>
      <c r="T334" s="11" t="n"/>
      <c r="U334" s="11" t="n">
        <v>3</v>
      </c>
      <c r="V334" s="11" t="n"/>
      <c r="W334" s="11" t="n"/>
      <c r="X334" s="11" t="n"/>
      <c r="Y334" s="11" t="n"/>
      <c r="Z334" s="11" t="n"/>
    </row>
    <row r="335">
      <c r="A335" s="61" t="inlineStr">
        <is>
          <t>3014</t>
        </is>
      </c>
      <c r="B335" s="61" t="inlineStr">
        <is>
          <t>A2R</t>
        </is>
      </c>
      <c r="C335" s="20" t="n">
        <v>777</v>
      </c>
      <c r="D335" s="19" t="n">
        <v>1</v>
      </c>
      <c r="E335" s="19" t="n">
        <v>1</v>
      </c>
      <c r="F335" s="62" t="inlineStr">
        <is>
          <t>Market</t>
        </is>
      </c>
      <c r="G335" s="62" t="inlineStr">
        <is>
          <t>Occupied</t>
        </is>
      </c>
      <c r="H335" s="20" t="n">
        <v>1342</v>
      </c>
      <c r="I335" s="20" t="n">
        <v>1170</v>
      </c>
      <c r="J335" s="20" t="n">
        <v>1170</v>
      </c>
      <c r="K335" s="63" t="inlineStr">
        <is>
          <t>01/08/2026</t>
        </is>
      </c>
      <c r="L335" s="63" t="inlineStr">
        <is>
          <t>04/05/2027</t>
        </is>
      </c>
      <c r="M335" s="63" t="inlineStr">
        <is>
          <t>01/07/2026</t>
        </is>
      </c>
      <c r="O335" s="20" t="n">
        <v>1170</v>
      </c>
      <c r="P335" s="20" t="n">
        <v>35</v>
      </c>
      <c r="Q335" s="20" t="n"/>
      <c r="R335" s="20" t="n"/>
      <c r="S335" s="20" t="n"/>
      <c r="T335" s="20" t="n"/>
      <c r="U335" s="20" t="n">
        <v>3</v>
      </c>
      <c r="V335" s="20" t="n"/>
      <c r="W335" s="20" t="n"/>
      <c r="X335" s="20" t="n"/>
      <c r="Y335" s="20" t="n"/>
      <c r="Z335" s="20" t="n"/>
    </row>
    <row r="336">
      <c r="A336" s="64" t="inlineStr">
        <is>
          <t>3015</t>
        </is>
      </c>
      <c r="B336" s="64" t="inlineStr">
        <is>
          <t>A2</t>
        </is>
      </c>
      <c r="C336" s="11" t="n">
        <v>777</v>
      </c>
      <c r="D336" s="10" t="n">
        <v>1</v>
      </c>
      <c r="E336" s="10" t="n">
        <v>1</v>
      </c>
      <c r="F336" s="65" t="inlineStr">
        <is>
          <t>Market</t>
        </is>
      </c>
      <c r="G336" s="65" t="inlineStr">
        <is>
          <t>Occupied</t>
        </is>
      </c>
      <c r="H336" s="11" t="n">
        <v>1202</v>
      </c>
      <c r="I336" s="11" t="n">
        <v>1289</v>
      </c>
      <c r="J336" s="11" t="n">
        <v>1289</v>
      </c>
      <c r="K336" s="66" t="inlineStr">
        <is>
          <t>03/18/2025</t>
        </is>
      </c>
      <c r="L336" s="66" t="inlineStr">
        <is>
          <t>06/17/2026</t>
        </is>
      </c>
      <c r="M336" s="66" t="inlineStr">
        <is>
          <t>12/18/2023</t>
        </is>
      </c>
      <c r="O336" s="11" t="n">
        <v>1289</v>
      </c>
      <c r="P336" s="11" t="n"/>
      <c r="Q336" s="11" t="n"/>
      <c r="R336" s="11" t="n"/>
      <c r="S336" s="11" t="n"/>
      <c r="T336" s="11" t="n"/>
      <c r="U336" s="11" t="n">
        <v>1</v>
      </c>
      <c r="V336" s="11" t="n"/>
      <c r="W336" s="11" t="n"/>
      <c r="X336" s="11" t="n"/>
      <c r="Y336" s="11" t="n"/>
      <c r="Z336" s="11" t="n"/>
    </row>
    <row r="337">
      <c r="A337" s="61" t="inlineStr">
        <is>
          <t>3016</t>
        </is>
      </c>
      <c r="B337" s="61" t="inlineStr">
        <is>
          <t>A2R</t>
        </is>
      </c>
      <c r="C337" s="20" t="n">
        <v>777</v>
      </c>
      <c r="D337" s="19" t="n">
        <v>1</v>
      </c>
      <c r="E337" s="19" t="n">
        <v>1</v>
      </c>
      <c r="F337" s="62" t="inlineStr">
        <is>
          <t>Market</t>
        </is>
      </c>
      <c r="G337" s="62" t="inlineStr">
        <is>
          <t>Occupied</t>
        </is>
      </c>
      <c r="H337" s="20" t="n">
        <v>1327</v>
      </c>
      <c r="I337" s="20" t="n">
        <v>1192</v>
      </c>
      <c r="J337" s="20" t="n">
        <v>1192</v>
      </c>
      <c r="K337" s="63" t="inlineStr">
        <is>
          <t>03/02/2026</t>
        </is>
      </c>
      <c r="L337" s="63" t="inlineStr">
        <is>
          <t>06/01/2027</t>
        </is>
      </c>
      <c r="M337" s="63" t="inlineStr">
        <is>
          <t>03/02/2026</t>
        </is>
      </c>
      <c r="O337" s="20" t="n">
        <v>1192</v>
      </c>
      <c r="P337" s="20" t="n">
        <v>35</v>
      </c>
      <c r="Q337" s="20" t="n">
        <v>100</v>
      </c>
      <c r="R337" s="20" t="n"/>
      <c r="S337" s="20" t="n"/>
      <c r="T337" s="20" t="n"/>
      <c r="U337" s="20" t="n">
        <v>3</v>
      </c>
      <c r="V337" s="20" t="n"/>
      <c r="W337" s="20" t="n"/>
      <c r="X337" s="20" t="n"/>
      <c r="Y337" s="20" t="n"/>
      <c r="Z337" s="20" t="n"/>
    </row>
    <row r="338">
      <c r="A338" s="64" t="inlineStr">
        <is>
          <t>3017</t>
        </is>
      </c>
      <c r="B338" s="64" t="inlineStr">
        <is>
          <t>A2</t>
        </is>
      </c>
      <c r="C338" s="11" t="n">
        <v>777</v>
      </c>
      <c r="D338" s="10" t="n">
        <v>1</v>
      </c>
      <c r="E338" s="10" t="n">
        <v>1</v>
      </c>
      <c r="F338" s="65" t="inlineStr">
        <is>
          <t>Market</t>
        </is>
      </c>
      <c r="G338" s="65" t="inlineStr">
        <is>
          <t>Occupied</t>
        </is>
      </c>
      <c r="H338" s="11" t="n">
        <v>1217</v>
      </c>
      <c r="I338" s="11" t="n">
        <v>1423</v>
      </c>
      <c r="J338" s="11" t="n">
        <v>1423</v>
      </c>
      <c r="K338" s="66" t="inlineStr">
        <is>
          <t>11/08/2025</t>
        </is>
      </c>
      <c r="L338" s="66" t="inlineStr">
        <is>
          <t>01/07/2027</t>
        </is>
      </c>
      <c r="M338" s="66" t="inlineStr">
        <is>
          <t>08/08/2024</t>
        </is>
      </c>
      <c r="O338" s="11" t="n">
        <v>1423</v>
      </c>
      <c r="P338" s="11" t="n"/>
      <c r="Q338" s="11" t="n"/>
      <c r="R338" s="11" t="n"/>
      <c r="S338" s="11" t="n"/>
      <c r="T338" s="11" t="n"/>
      <c r="U338" s="11" t="n">
        <v>1</v>
      </c>
      <c r="V338" s="11" t="n"/>
      <c r="W338" s="11" t="n"/>
      <c r="X338" s="11" t="n"/>
      <c r="Y338" s="11" t="n"/>
      <c r="Z338" s="11" t="n"/>
    </row>
    <row r="339">
      <c r="A339" s="61" t="inlineStr">
        <is>
          <t>3018</t>
        </is>
      </c>
      <c r="B339" s="61" t="inlineStr">
        <is>
          <t>A2R</t>
        </is>
      </c>
      <c r="C339" s="20" t="n">
        <v>777</v>
      </c>
      <c r="D339" s="19" t="n">
        <v>1</v>
      </c>
      <c r="E339" s="19" t="n">
        <v>1</v>
      </c>
      <c r="F339" s="62" t="inlineStr">
        <is>
          <t>Market</t>
        </is>
      </c>
      <c r="G339" s="62" t="inlineStr">
        <is>
          <t>Occupied</t>
        </is>
      </c>
      <c r="H339" s="20" t="n">
        <v>1342</v>
      </c>
      <c r="I339" s="20" t="n">
        <v>1238</v>
      </c>
      <c r="J339" s="20" t="n">
        <v>1238</v>
      </c>
      <c r="K339" s="63" t="inlineStr">
        <is>
          <t>05/01/2026</t>
        </is>
      </c>
      <c r="L339" s="63" t="inlineStr">
        <is>
          <t>06/30/2027</t>
        </is>
      </c>
      <c r="M339" s="63" t="inlineStr">
        <is>
          <t>05/01/2026</t>
        </is>
      </c>
      <c r="O339" s="20" t="n">
        <v>1238</v>
      </c>
      <c r="P339" s="20" t="n">
        <v>35</v>
      </c>
      <c r="Q339" s="20" t="n"/>
      <c r="R339" s="20" t="n"/>
      <c r="S339" s="20" t="n"/>
      <c r="T339" s="20" t="n"/>
      <c r="U339" s="20" t="n">
        <v>3</v>
      </c>
      <c r="V339" s="20" t="n"/>
      <c r="W339" s="20" t="n"/>
      <c r="X339" s="20" t="n"/>
      <c r="Y339" s="20" t="n"/>
      <c r="Z339" s="20" t="n"/>
    </row>
    <row r="340">
      <c r="A340" s="64" t="inlineStr">
        <is>
          <t>3021</t>
        </is>
      </c>
      <c r="B340" s="64" t="inlineStr">
        <is>
          <t>A2R</t>
        </is>
      </c>
      <c r="C340" s="11" t="n">
        <v>777</v>
      </c>
      <c r="D340" s="10" t="n">
        <v>1</v>
      </c>
      <c r="E340" s="10" t="n">
        <v>1</v>
      </c>
      <c r="F340" s="65" t="inlineStr">
        <is>
          <t>Market</t>
        </is>
      </c>
      <c r="G340" s="65" t="inlineStr">
        <is>
          <t>Occupied</t>
        </is>
      </c>
      <c r="H340" s="11" t="n">
        <v>1307</v>
      </c>
      <c r="I340" s="11" t="n">
        <v>1353</v>
      </c>
      <c r="J340" s="11" t="n">
        <v>1353</v>
      </c>
      <c r="K340" s="66" t="inlineStr">
        <is>
          <t>10/11/2025</t>
        </is>
      </c>
      <c r="L340" s="66" t="inlineStr">
        <is>
          <t>10/08/2026</t>
        </is>
      </c>
      <c r="M340" s="66" t="inlineStr">
        <is>
          <t>10/11/2025</t>
        </is>
      </c>
      <c r="O340" s="11" t="n">
        <v>1353</v>
      </c>
      <c r="P340" s="11" t="n"/>
      <c r="Q340" s="11" t="n"/>
      <c r="R340" s="11" t="n"/>
      <c r="S340" s="11" t="n"/>
      <c r="T340" s="11" t="n">
        <v>45</v>
      </c>
      <c r="U340" s="11" t="n">
        <v>1</v>
      </c>
      <c r="V340" s="11" t="n"/>
      <c r="W340" s="11" t="n"/>
      <c r="X340" s="11" t="n"/>
      <c r="Y340" s="11" t="n"/>
      <c r="Z340" s="11" t="n"/>
    </row>
    <row r="341">
      <c r="A341" s="61" t="inlineStr">
        <is>
          <t>3022</t>
        </is>
      </c>
      <c r="B341" s="61" t="inlineStr">
        <is>
          <t>A2</t>
        </is>
      </c>
      <c r="C341" s="20" t="n">
        <v>777</v>
      </c>
      <c r="D341" s="19" t="n">
        <v>1</v>
      </c>
      <c r="E341" s="19" t="n">
        <v>1</v>
      </c>
      <c r="F341" s="62" t="inlineStr">
        <is>
          <t>Market</t>
        </is>
      </c>
      <c r="G341" s="62" t="inlineStr">
        <is>
          <t>Occupied</t>
        </is>
      </c>
      <c r="H341" s="20" t="n">
        <v>1107</v>
      </c>
      <c r="I341" s="20" t="n">
        <v>1098</v>
      </c>
      <c r="J341" s="20" t="n">
        <v>1098</v>
      </c>
      <c r="K341" s="63" t="inlineStr">
        <is>
          <t>04/05/2026</t>
        </is>
      </c>
      <c r="L341" s="63" t="inlineStr">
        <is>
          <t>07/04/2027</t>
        </is>
      </c>
      <c r="M341" s="63" t="inlineStr">
        <is>
          <t>04/05/2026</t>
        </is>
      </c>
      <c r="O341" s="20" t="n">
        <v>1098</v>
      </c>
      <c r="P341" s="20" t="n">
        <v>35</v>
      </c>
      <c r="Q341" s="20" t="n"/>
      <c r="R341" s="20" t="n"/>
      <c r="S341" s="20" t="n"/>
      <c r="T341" s="20" t="n"/>
      <c r="U341" s="20" t="n">
        <v>3</v>
      </c>
      <c r="V341" s="20" t="n"/>
      <c r="W341" s="20" t="n"/>
      <c r="X341" s="20" t="n"/>
      <c r="Y341" s="20" t="n"/>
      <c r="Z341" s="20" t="n"/>
    </row>
    <row r="342">
      <c r="A342" s="64" t="inlineStr">
        <is>
          <t>3023</t>
        </is>
      </c>
      <c r="B342" s="64" t="inlineStr">
        <is>
          <t>A2</t>
        </is>
      </c>
      <c r="C342" s="11" t="n">
        <v>777</v>
      </c>
      <c r="D342" s="10" t="n">
        <v>1</v>
      </c>
      <c r="E342" s="10" t="n">
        <v>1</v>
      </c>
      <c r="F342" s="65" t="inlineStr">
        <is>
          <t>Market</t>
        </is>
      </c>
      <c r="G342" s="65" t="inlineStr">
        <is>
          <t>Occupied</t>
        </is>
      </c>
      <c r="H342" s="11" t="n">
        <v>1122</v>
      </c>
      <c r="I342" s="11" t="n">
        <v>1134</v>
      </c>
      <c r="J342" s="11" t="n">
        <v>1134</v>
      </c>
      <c r="K342" s="66" t="inlineStr">
        <is>
          <t>03/07/2025</t>
        </is>
      </c>
      <c r="L342" s="66" t="inlineStr">
        <is>
          <t>06/06/2026</t>
        </is>
      </c>
      <c r="M342" s="66" t="inlineStr">
        <is>
          <t>07/20/2018</t>
        </is>
      </c>
      <c r="O342" s="11" t="n">
        <v>1134</v>
      </c>
      <c r="P342" s="11" t="n"/>
      <c r="Q342" s="11" t="n"/>
      <c r="R342" s="11" t="n"/>
      <c r="S342" s="11" t="n"/>
      <c r="T342" s="11" t="n"/>
      <c r="U342" s="11" t="n">
        <v>1</v>
      </c>
      <c r="V342" s="11" t="n"/>
      <c r="W342" s="11" t="n"/>
      <c r="X342" s="11" t="n"/>
      <c r="Y342" s="11" t="n"/>
      <c r="Z342" s="11" t="n"/>
    </row>
    <row r="343">
      <c r="A343" s="61" t="inlineStr">
        <is>
          <t>3024</t>
        </is>
      </c>
      <c r="B343" s="61" t="inlineStr">
        <is>
          <t>A2</t>
        </is>
      </c>
      <c r="C343" s="20" t="n">
        <v>777</v>
      </c>
      <c r="D343" s="19" t="n">
        <v>1</v>
      </c>
      <c r="E343" s="19" t="n">
        <v>1</v>
      </c>
      <c r="F343" s="62" t="inlineStr">
        <is>
          <t>Market</t>
        </is>
      </c>
      <c r="G343" s="62" t="inlineStr">
        <is>
          <t>Occupied</t>
        </is>
      </c>
      <c r="H343" s="20" t="n">
        <v>1122</v>
      </c>
      <c r="I343" s="20" t="n">
        <v>1135</v>
      </c>
      <c r="J343" s="20" t="n">
        <v>1135</v>
      </c>
      <c r="K343" s="63" t="inlineStr">
        <is>
          <t>04/07/2026</t>
        </is>
      </c>
      <c r="L343" s="63" t="inlineStr">
        <is>
          <t>05/13/2027</t>
        </is>
      </c>
      <c r="M343" s="63" t="inlineStr">
        <is>
          <t>06/02/2018</t>
        </is>
      </c>
      <c r="O343" s="20" t="n">
        <v>1135</v>
      </c>
      <c r="P343" s="20" t="n">
        <v>35</v>
      </c>
      <c r="Q343" s="20" t="n"/>
      <c r="R343" s="20" t="n"/>
      <c r="S343" s="20" t="n"/>
      <c r="T343" s="20" t="n"/>
      <c r="U343" s="20" t="n">
        <v>3</v>
      </c>
      <c r="V343" s="20" t="n"/>
      <c r="W343" s="20" t="n"/>
      <c r="X343" s="20" t="n"/>
      <c r="Y343" s="20" t="n"/>
      <c r="Z343" s="20" t="n"/>
    </row>
    <row r="344">
      <c r="A344" s="64" t="inlineStr">
        <is>
          <t>3025</t>
        </is>
      </c>
      <c r="B344" s="64" t="inlineStr">
        <is>
          <t>A2R</t>
        </is>
      </c>
      <c r="C344" s="11" t="n">
        <v>777</v>
      </c>
      <c r="D344" s="10" t="n">
        <v>1</v>
      </c>
      <c r="E344" s="10" t="n">
        <v>1</v>
      </c>
      <c r="F344" s="65" t="inlineStr">
        <is>
          <t>Market</t>
        </is>
      </c>
      <c r="G344" s="65" t="inlineStr">
        <is>
          <t>Occupied</t>
        </is>
      </c>
      <c r="H344" s="11" t="n">
        <v>1307</v>
      </c>
      <c r="I344" s="11" t="n">
        <v>1414</v>
      </c>
      <c r="J344" s="11" t="n">
        <v>1414</v>
      </c>
      <c r="K344" s="66" t="inlineStr">
        <is>
          <t>01/01/2026</t>
        </is>
      </c>
      <c r="L344" s="66" t="inlineStr">
        <is>
          <t>12/31/2026</t>
        </is>
      </c>
      <c r="M344" s="66" t="inlineStr">
        <is>
          <t>09/17/2024</t>
        </is>
      </c>
      <c r="O344" s="11" t="n">
        <v>1414</v>
      </c>
      <c r="P344" s="11" t="n"/>
      <c r="Q344" s="11" t="n">
        <v>125</v>
      </c>
      <c r="R344" s="11" t="n">
        <v>-565.6</v>
      </c>
      <c r="S344" s="11" t="n"/>
      <c r="T344" s="11" t="n"/>
      <c r="U344" s="11" t="n">
        <v>1</v>
      </c>
      <c r="V344" s="11" t="n"/>
      <c r="W344" s="11" t="n"/>
      <c r="X344" s="11" t="n"/>
      <c r="Y344" s="11" t="n"/>
      <c r="Z344" s="11" t="n"/>
    </row>
    <row r="345">
      <c r="A345" s="61" t="inlineStr">
        <is>
          <t>3026</t>
        </is>
      </c>
      <c r="B345" s="61" t="inlineStr">
        <is>
          <t>A2R</t>
        </is>
      </c>
      <c r="C345" s="20" t="n">
        <v>777</v>
      </c>
      <c r="D345" s="19" t="n">
        <v>1</v>
      </c>
      <c r="E345" s="19" t="n">
        <v>1</v>
      </c>
      <c r="F345" s="62" t="inlineStr">
        <is>
          <t>Market</t>
        </is>
      </c>
      <c r="G345" s="62" t="inlineStr">
        <is>
          <t>Vacant</t>
        </is>
      </c>
      <c r="H345" s="20" t="n">
        <v>1307</v>
      </c>
      <c r="I345" s="20" t="n">
        <v>0</v>
      </c>
      <c r="J345" s="20" t="n">
        <v>0</v>
      </c>
      <c r="K345" s="63" t="n"/>
      <c r="L345" s="63" t="n"/>
      <c r="M345" s="63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</row>
    <row r="346">
      <c r="A346" s="64" t="inlineStr">
        <is>
          <t>3027</t>
        </is>
      </c>
      <c r="B346" s="64" t="inlineStr">
        <is>
          <t>A2R</t>
        </is>
      </c>
      <c r="C346" s="11" t="n">
        <v>777</v>
      </c>
      <c r="D346" s="10" t="n">
        <v>1</v>
      </c>
      <c r="E346" s="10" t="n">
        <v>1</v>
      </c>
      <c r="F346" s="65" t="inlineStr">
        <is>
          <t>Market</t>
        </is>
      </c>
      <c r="G346" s="65" t="inlineStr">
        <is>
          <t>Vacant</t>
        </is>
      </c>
      <c r="H346" s="11" t="n">
        <v>1322</v>
      </c>
      <c r="I346" s="11" t="n">
        <v>0</v>
      </c>
      <c r="J346" s="11" t="n">
        <v>0</v>
      </c>
      <c r="K346" s="66" t="n"/>
      <c r="L346" s="66" t="n"/>
      <c r="M346" s="66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61" t="inlineStr">
        <is>
          <t>3028</t>
        </is>
      </c>
      <c r="B347" s="61" t="inlineStr">
        <is>
          <t>A2</t>
        </is>
      </c>
      <c r="C347" s="20" t="n">
        <v>777</v>
      </c>
      <c r="D347" s="19" t="n">
        <v>1</v>
      </c>
      <c r="E347" s="19" t="n">
        <v>1</v>
      </c>
      <c r="F347" s="62" t="inlineStr">
        <is>
          <t>Market</t>
        </is>
      </c>
      <c r="G347" s="62" t="inlineStr">
        <is>
          <t>Occupied</t>
        </is>
      </c>
      <c r="H347" s="20" t="n">
        <v>1162</v>
      </c>
      <c r="I347" s="20" t="n">
        <v>1255</v>
      </c>
      <c r="J347" s="20" t="n">
        <v>1255</v>
      </c>
      <c r="K347" s="63" t="inlineStr">
        <is>
          <t>08/01/2025</t>
        </is>
      </c>
      <c r="L347" s="63" t="inlineStr">
        <is>
          <t>07/31/2026</t>
        </is>
      </c>
      <c r="M347" s="63" t="inlineStr">
        <is>
          <t>08/01/2025</t>
        </is>
      </c>
      <c r="O347" s="20" t="n">
        <v>1255</v>
      </c>
      <c r="P347" s="20" t="n"/>
      <c r="Q347" s="20" t="n"/>
      <c r="R347" s="20" t="n"/>
      <c r="S347" s="20" t="n"/>
      <c r="T347" s="20" t="n">
        <v>45</v>
      </c>
      <c r="U347" s="20" t="n">
        <v>1</v>
      </c>
      <c r="V347" s="20" t="n"/>
      <c r="W347" s="20" t="n"/>
      <c r="X347" s="20" t="n"/>
      <c r="Y347" s="20" t="n"/>
      <c r="Z347" s="20" t="n"/>
    </row>
    <row r="348">
      <c r="A348" s="64" t="inlineStr">
        <is>
          <t>3032</t>
        </is>
      </c>
      <c r="B348" s="64" t="inlineStr">
        <is>
          <t>A2</t>
        </is>
      </c>
      <c r="C348" s="11" t="n">
        <v>777</v>
      </c>
      <c r="D348" s="10" t="n">
        <v>1</v>
      </c>
      <c r="E348" s="10" t="n">
        <v>1</v>
      </c>
      <c r="F348" s="65" t="inlineStr">
        <is>
          <t>Market</t>
        </is>
      </c>
      <c r="G348" s="65" t="inlineStr">
        <is>
          <t>Occupied</t>
        </is>
      </c>
      <c r="H348" s="11" t="n">
        <v>1167</v>
      </c>
      <c r="I348" s="11" t="n">
        <v>1132</v>
      </c>
      <c r="J348" s="11" t="n">
        <v>1132</v>
      </c>
      <c r="K348" s="66" t="inlineStr">
        <is>
          <t>02/10/2026</t>
        </is>
      </c>
      <c r="L348" s="66" t="inlineStr">
        <is>
          <t>02/09/2027</t>
        </is>
      </c>
      <c r="M348" s="66" t="inlineStr">
        <is>
          <t>02/10/2026</t>
        </is>
      </c>
      <c r="O348" s="11" t="n">
        <v>1132</v>
      </c>
      <c r="P348" s="11" t="n">
        <v>35</v>
      </c>
      <c r="Q348" s="11" t="n"/>
      <c r="R348" s="11" t="n"/>
      <c r="S348" s="11" t="n"/>
      <c r="T348" s="11" t="n"/>
      <c r="U348" s="11" t="n">
        <v>3</v>
      </c>
      <c r="V348" s="11" t="n"/>
      <c r="W348" s="11" t="n"/>
      <c r="X348" s="11" t="n"/>
      <c r="Y348" s="11" t="n"/>
      <c r="Z348" s="11" t="n"/>
    </row>
    <row r="349">
      <c r="A349" s="61" t="inlineStr">
        <is>
          <t>3033</t>
        </is>
      </c>
      <c r="B349" s="61" t="inlineStr">
        <is>
          <t>A2R</t>
        </is>
      </c>
      <c r="C349" s="20" t="n">
        <v>777</v>
      </c>
      <c r="D349" s="19" t="n">
        <v>1</v>
      </c>
      <c r="E349" s="19" t="n">
        <v>1</v>
      </c>
      <c r="F349" s="62" t="inlineStr">
        <is>
          <t>Market</t>
        </is>
      </c>
      <c r="G349" s="62" t="inlineStr">
        <is>
          <t>Occupied</t>
        </is>
      </c>
      <c r="H349" s="20" t="n">
        <v>1387</v>
      </c>
      <c r="I349" s="20" t="n">
        <v>1359</v>
      </c>
      <c r="J349" s="20" t="n">
        <v>1359</v>
      </c>
      <c r="K349" s="63" t="inlineStr">
        <is>
          <t>03/05/2026</t>
        </is>
      </c>
      <c r="L349" s="63" t="inlineStr">
        <is>
          <t>12/03/2026</t>
        </is>
      </c>
      <c r="M349" s="63" t="inlineStr">
        <is>
          <t>03/05/2026</t>
        </is>
      </c>
      <c r="O349" s="20" t="n">
        <v>1359</v>
      </c>
      <c r="P349" s="20" t="n">
        <v>35</v>
      </c>
      <c r="Q349" s="20" t="n">
        <v>75</v>
      </c>
      <c r="R349" s="20" t="n"/>
      <c r="S349" s="20" t="n"/>
      <c r="T349" s="20" t="n"/>
      <c r="U349" s="20" t="n">
        <v>3</v>
      </c>
      <c r="V349" s="20" t="n"/>
      <c r="W349" s="20" t="n"/>
      <c r="X349" s="20" t="n"/>
      <c r="Y349" s="20" t="n"/>
      <c r="Z349" s="20" t="n"/>
    </row>
    <row r="350">
      <c r="A350" s="64" t="inlineStr">
        <is>
          <t>3036</t>
        </is>
      </c>
      <c r="B350" s="64" t="inlineStr">
        <is>
          <t>A2</t>
        </is>
      </c>
      <c r="C350" s="11" t="n">
        <v>777</v>
      </c>
      <c r="D350" s="10" t="n">
        <v>1</v>
      </c>
      <c r="E350" s="10" t="n">
        <v>1</v>
      </c>
      <c r="F350" s="65" t="inlineStr">
        <is>
          <t>Market</t>
        </is>
      </c>
      <c r="G350" s="65" t="inlineStr">
        <is>
          <t>Occupied</t>
        </is>
      </c>
      <c r="H350" s="11" t="n">
        <v>1107</v>
      </c>
      <c r="I350" s="11" t="n">
        <v>1154</v>
      </c>
      <c r="J350" s="11" t="n">
        <v>1154</v>
      </c>
      <c r="K350" s="66" t="inlineStr">
        <is>
          <t>08/14/2025</t>
        </is>
      </c>
      <c r="L350" s="66" t="inlineStr">
        <is>
          <t>08/13/2026</t>
        </is>
      </c>
      <c r="M350" s="66" t="inlineStr">
        <is>
          <t>08/14/2025</t>
        </is>
      </c>
      <c r="O350" s="11" t="n">
        <v>1154</v>
      </c>
      <c r="P350" s="11" t="n"/>
      <c r="Q350" s="11" t="n"/>
      <c r="R350" s="11" t="n"/>
      <c r="S350" s="11" t="n"/>
      <c r="T350" s="11" t="n"/>
      <c r="U350" s="11" t="n">
        <v>1</v>
      </c>
      <c r="V350" s="11" t="n"/>
      <c r="W350" s="11" t="n"/>
      <c r="X350" s="11" t="n"/>
      <c r="Y350" s="11" t="n"/>
      <c r="Z350" s="11" t="n"/>
    </row>
    <row r="351">
      <c r="A351" s="61" t="inlineStr">
        <is>
          <t>3037</t>
        </is>
      </c>
      <c r="B351" s="61" t="inlineStr">
        <is>
          <t>A2R</t>
        </is>
      </c>
      <c r="C351" s="20" t="n">
        <v>777</v>
      </c>
      <c r="D351" s="19" t="n">
        <v>1</v>
      </c>
      <c r="E351" s="19" t="n">
        <v>1</v>
      </c>
      <c r="F351" s="62" t="inlineStr">
        <is>
          <t>Market</t>
        </is>
      </c>
      <c r="G351" s="62" t="inlineStr">
        <is>
          <t>Occupied</t>
        </is>
      </c>
      <c r="H351" s="20" t="n">
        <v>1322</v>
      </c>
      <c r="I351" s="20" t="n">
        <v>1181</v>
      </c>
      <c r="J351" s="20" t="n">
        <v>1181</v>
      </c>
      <c r="K351" s="63" t="inlineStr">
        <is>
          <t>08/11/2025</t>
        </is>
      </c>
      <c r="L351" s="63" t="inlineStr">
        <is>
          <t>10/10/2026</t>
        </is>
      </c>
      <c r="M351" s="63" t="inlineStr">
        <is>
          <t>08/11/2025</t>
        </is>
      </c>
      <c r="O351" s="20" t="n">
        <v>1181</v>
      </c>
      <c r="P351" s="20" t="n"/>
      <c r="Q351" s="20" t="n"/>
      <c r="R351" s="20" t="n"/>
      <c r="S351" s="20" t="n"/>
      <c r="T351" s="20" t="n"/>
      <c r="U351" s="20" t="n">
        <v>1</v>
      </c>
      <c r="V351" s="20" t="n"/>
      <c r="W351" s="20" t="n"/>
      <c r="X351" s="20" t="n"/>
      <c r="Y351" s="20" t="n"/>
      <c r="Z351" s="20" t="n"/>
    </row>
    <row r="352">
      <c r="A352" s="64" t="inlineStr">
        <is>
          <t>3111</t>
        </is>
      </c>
      <c r="B352" s="64" t="inlineStr">
        <is>
          <t>C1</t>
        </is>
      </c>
      <c r="C352" s="11" t="n">
        <v>1258</v>
      </c>
      <c r="D352" s="10" t="n">
        <v>3</v>
      </c>
      <c r="E352" s="10" t="n">
        <v>2</v>
      </c>
      <c r="F352" s="65" t="inlineStr">
        <is>
          <t>Market</t>
        </is>
      </c>
      <c r="G352" s="65" t="inlineStr">
        <is>
          <t>Occupied</t>
        </is>
      </c>
      <c r="H352" s="11" t="n">
        <v>1835</v>
      </c>
      <c r="I352" s="11" t="n">
        <v>1840</v>
      </c>
      <c r="J352" s="11" t="n">
        <v>1840</v>
      </c>
      <c r="K352" s="66" t="inlineStr">
        <is>
          <t>04/25/2025</t>
        </is>
      </c>
      <c r="L352" s="66" t="inlineStr">
        <is>
          <t>06/24/2026</t>
        </is>
      </c>
      <c r="M352" s="66" t="inlineStr">
        <is>
          <t>06/30/2018</t>
        </is>
      </c>
      <c r="O352" s="11" t="n">
        <v>1840</v>
      </c>
      <c r="P352" s="11" t="n"/>
      <c r="Q352" s="11" t="n">
        <v>100</v>
      </c>
      <c r="R352" s="11" t="n"/>
      <c r="S352" s="11" t="n"/>
      <c r="T352" s="11" t="n"/>
      <c r="U352" s="11" t="n">
        <v>1</v>
      </c>
      <c r="V352" s="11" t="n"/>
      <c r="W352" s="11" t="n"/>
      <c r="X352" s="11" t="n"/>
      <c r="Y352" s="11" t="n"/>
      <c r="Z352" s="11" t="n"/>
    </row>
    <row r="353">
      <c r="A353" s="61" t="inlineStr">
        <is>
          <t>3112</t>
        </is>
      </c>
      <c r="B353" s="61" t="inlineStr">
        <is>
          <t>A1R</t>
        </is>
      </c>
      <c r="C353" s="20" t="n">
        <v>739</v>
      </c>
      <c r="D353" s="19" t="n">
        <v>1</v>
      </c>
      <c r="E353" s="19" t="n">
        <v>1</v>
      </c>
      <c r="F353" s="62" t="inlineStr">
        <is>
          <t>Market</t>
        </is>
      </c>
      <c r="G353" s="62" t="inlineStr">
        <is>
          <t>Vacant</t>
        </is>
      </c>
      <c r="H353" s="20" t="n">
        <v>1262</v>
      </c>
      <c r="I353" s="20" t="n">
        <v>0</v>
      </c>
      <c r="J353" s="20" t="n">
        <v>0</v>
      </c>
      <c r="K353" s="63" t="n"/>
      <c r="L353" s="63" t="n"/>
      <c r="M353" s="63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</row>
    <row r="354">
      <c r="A354" s="64" t="inlineStr">
        <is>
          <t>3113</t>
        </is>
      </c>
      <c r="B354" s="64" t="inlineStr">
        <is>
          <t>A1</t>
        </is>
      </c>
      <c r="C354" s="11" t="n">
        <v>739</v>
      </c>
      <c r="D354" s="10" t="n">
        <v>1</v>
      </c>
      <c r="E354" s="10" t="n">
        <v>1</v>
      </c>
      <c r="F354" s="65" t="inlineStr">
        <is>
          <t>Market</t>
        </is>
      </c>
      <c r="G354" s="65" t="inlineStr">
        <is>
          <t>Occupied</t>
        </is>
      </c>
      <c r="H354" s="11" t="n">
        <v>1102</v>
      </c>
      <c r="I354" s="11" t="n">
        <v>1120</v>
      </c>
      <c r="J354" s="11" t="n">
        <v>1120</v>
      </c>
      <c r="K354" s="66" t="inlineStr">
        <is>
          <t>05/23/2026</t>
        </is>
      </c>
      <c r="L354" s="66" t="inlineStr">
        <is>
          <t>04/22/2027</t>
        </is>
      </c>
      <c r="M354" s="66" t="inlineStr">
        <is>
          <t>03/16/2025</t>
        </is>
      </c>
      <c r="O354" s="11" t="n">
        <v>1120</v>
      </c>
      <c r="P354" s="11" t="n">
        <v>35</v>
      </c>
      <c r="Q354" s="11" t="n"/>
      <c r="R354" s="11" t="n"/>
      <c r="S354" s="11" t="n"/>
      <c r="T354" s="11" t="n"/>
      <c r="U354" s="11" t="n">
        <v>3</v>
      </c>
      <c r="V354" s="11" t="n"/>
      <c r="W354" s="11" t="n"/>
      <c r="X354" s="11" t="n"/>
      <c r="Y354" s="11" t="n"/>
      <c r="Z354" s="11" t="n"/>
    </row>
    <row r="355">
      <c r="A355" s="61" t="inlineStr">
        <is>
          <t>3114</t>
        </is>
      </c>
      <c r="B355" s="61" t="inlineStr">
        <is>
          <t>C1</t>
        </is>
      </c>
      <c r="C355" s="20" t="n">
        <v>1258</v>
      </c>
      <c r="D355" s="19" t="n">
        <v>3</v>
      </c>
      <c r="E355" s="19" t="n">
        <v>2</v>
      </c>
      <c r="F355" s="62" t="inlineStr">
        <is>
          <t>Market</t>
        </is>
      </c>
      <c r="G355" s="62" t="inlineStr">
        <is>
          <t>Occupied</t>
        </is>
      </c>
      <c r="H355" s="20" t="n">
        <v>1870</v>
      </c>
      <c r="I355" s="20" t="n">
        <v>1770</v>
      </c>
      <c r="J355" s="20" t="n">
        <v>1770</v>
      </c>
      <c r="K355" s="63" t="inlineStr">
        <is>
          <t>04/28/2026</t>
        </is>
      </c>
      <c r="L355" s="63" t="inlineStr">
        <is>
          <t>07/27/2027</t>
        </is>
      </c>
      <c r="M355" s="63" t="inlineStr">
        <is>
          <t>04/28/2026</t>
        </is>
      </c>
      <c r="O355" s="20" t="n">
        <v>1770</v>
      </c>
      <c r="P355" s="20" t="n">
        <v>35</v>
      </c>
      <c r="Q355" s="20" t="n"/>
      <c r="R355" s="20" t="n"/>
      <c r="S355" s="20" t="n"/>
      <c r="T355" s="20" t="n"/>
      <c r="U355" s="20" t="n">
        <v>3</v>
      </c>
      <c r="V355" s="20" t="n"/>
      <c r="W355" s="20" t="n"/>
      <c r="X355" s="20" t="n"/>
      <c r="Y355" s="20" t="n"/>
      <c r="Z355" s="20" t="n"/>
    </row>
    <row r="356">
      <c r="A356" s="64" t="inlineStr">
        <is>
          <t>3115</t>
        </is>
      </c>
      <c r="B356" s="64" t="inlineStr">
        <is>
          <t>C1</t>
        </is>
      </c>
      <c r="C356" s="11" t="n">
        <v>1258</v>
      </c>
      <c r="D356" s="10" t="n">
        <v>3</v>
      </c>
      <c r="E356" s="10" t="n">
        <v>2</v>
      </c>
      <c r="F356" s="65" t="inlineStr">
        <is>
          <t>Market</t>
        </is>
      </c>
      <c r="G356" s="65" t="inlineStr">
        <is>
          <t>Occupied</t>
        </is>
      </c>
      <c r="H356" s="11" t="n">
        <v>1795</v>
      </c>
      <c r="I356" s="11" t="n">
        <v>1695</v>
      </c>
      <c r="J356" s="11" t="n">
        <v>1695</v>
      </c>
      <c r="K356" s="66" t="inlineStr">
        <is>
          <t>03/21/2026</t>
        </is>
      </c>
      <c r="L356" s="66" t="inlineStr">
        <is>
          <t>04/20/2027</t>
        </is>
      </c>
      <c r="M356" s="66" t="inlineStr">
        <is>
          <t>12/20/2024</t>
        </is>
      </c>
      <c r="O356" s="11" t="n">
        <v>1695</v>
      </c>
      <c r="P356" s="11" t="n">
        <v>35</v>
      </c>
      <c r="Q356" s="11" t="n"/>
      <c r="R356" s="11" t="n"/>
      <c r="S356" s="11" t="n"/>
      <c r="T356" s="11" t="n"/>
      <c r="U356" s="11" t="n">
        <v>3</v>
      </c>
      <c r="V356" s="11" t="n"/>
      <c r="W356" s="11" t="n"/>
      <c r="X356" s="11" t="n"/>
      <c r="Y356" s="11" t="n"/>
      <c r="Z356" s="11" t="n"/>
    </row>
    <row r="357">
      <c r="A357" s="61" t="inlineStr">
        <is>
          <t>3116</t>
        </is>
      </c>
      <c r="B357" s="61" t="inlineStr">
        <is>
          <t>A1</t>
        </is>
      </c>
      <c r="C357" s="20" t="n">
        <v>739</v>
      </c>
      <c r="D357" s="19" t="n">
        <v>1</v>
      </c>
      <c r="E357" s="19" t="n">
        <v>1</v>
      </c>
      <c r="F357" s="62" t="inlineStr">
        <is>
          <t>Market</t>
        </is>
      </c>
      <c r="G357" s="62" t="inlineStr">
        <is>
          <t>Occupied</t>
        </is>
      </c>
      <c r="H357" s="20" t="n">
        <v>1087</v>
      </c>
      <c r="I357" s="20" t="n">
        <v>1240</v>
      </c>
      <c r="J357" s="20" t="n">
        <v>1240</v>
      </c>
      <c r="K357" s="63" t="inlineStr">
        <is>
          <t>08/25/2025</t>
        </is>
      </c>
      <c r="L357" s="63" t="inlineStr">
        <is>
          <t>08/31/2026</t>
        </is>
      </c>
      <c r="M357" s="63" t="inlineStr">
        <is>
          <t>08/25/2023</t>
        </is>
      </c>
      <c r="O357" s="20" t="n">
        <v>1240</v>
      </c>
      <c r="P357" s="20" t="n"/>
      <c r="Q357" s="20" t="n"/>
      <c r="R357" s="20" t="n"/>
      <c r="S357" s="20" t="n"/>
      <c r="T357" s="20" t="n"/>
      <c r="U357" s="20" t="n">
        <v>1</v>
      </c>
      <c r="V357" s="20" t="n"/>
      <c r="W357" s="20" t="n"/>
      <c r="X357" s="20" t="n"/>
      <c r="Y357" s="20" t="n"/>
      <c r="Z357" s="20" t="n"/>
    </row>
    <row r="358">
      <c r="A358" s="64" t="inlineStr">
        <is>
          <t>3117</t>
        </is>
      </c>
      <c r="B358" s="64" t="inlineStr">
        <is>
          <t>A1</t>
        </is>
      </c>
      <c r="C358" s="11" t="n">
        <v>739</v>
      </c>
      <c r="D358" s="10" t="n">
        <v>1</v>
      </c>
      <c r="E358" s="10" t="n">
        <v>1</v>
      </c>
      <c r="F358" s="65" t="inlineStr">
        <is>
          <t>Market</t>
        </is>
      </c>
      <c r="G358" s="65" t="inlineStr">
        <is>
          <t>Occupied</t>
        </is>
      </c>
      <c r="H358" s="11" t="n">
        <v>1162</v>
      </c>
      <c r="I358" s="11" t="n">
        <v>1028</v>
      </c>
      <c r="J358" s="11" t="n">
        <v>1028</v>
      </c>
      <c r="K358" s="66" t="inlineStr">
        <is>
          <t>03/21/2026</t>
        </is>
      </c>
      <c r="L358" s="66" t="inlineStr">
        <is>
          <t>06/13/2027</t>
        </is>
      </c>
      <c r="M358" s="66" t="inlineStr">
        <is>
          <t>03/21/2026</t>
        </is>
      </c>
      <c r="O358" s="11" t="n">
        <v>1028</v>
      </c>
      <c r="P358" s="11" t="n">
        <v>35</v>
      </c>
      <c r="Q358" s="11" t="n"/>
      <c r="R358" s="11" t="n"/>
      <c r="S358" s="11" t="n"/>
      <c r="T358" s="11" t="n"/>
      <c r="U358" s="11" t="n">
        <v>3</v>
      </c>
      <c r="V358" s="11" t="n"/>
      <c r="W358" s="11" t="n"/>
      <c r="X358" s="11" t="n"/>
      <c r="Y358" s="11" t="n"/>
      <c r="Z358" s="11" t="n"/>
    </row>
    <row r="359">
      <c r="A359" s="61" t="inlineStr">
        <is>
          <t>3118</t>
        </is>
      </c>
      <c r="B359" s="61" t="inlineStr">
        <is>
          <t>C1</t>
        </is>
      </c>
      <c r="C359" s="20" t="n">
        <v>1258</v>
      </c>
      <c r="D359" s="19" t="n">
        <v>3</v>
      </c>
      <c r="E359" s="19" t="n">
        <v>2</v>
      </c>
      <c r="F359" s="62" t="inlineStr">
        <is>
          <t>Market</t>
        </is>
      </c>
      <c r="G359" s="62" t="inlineStr">
        <is>
          <t>Occupied</t>
        </is>
      </c>
      <c r="H359" s="20" t="n">
        <v>1810</v>
      </c>
      <c r="I359" s="20" t="n">
        <v>1666</v>
      </c>
      <c r="J359" s="20" t="n">
        <v>1666</v>
      </c>
      <c r="K359" s="63" t="inlineStr">
        <is>
          <t>08/07/2025</t>
        </is>
      </c>
      <c r="L359" s="63" t="inlineStr">
        <is>
          <t>08/06/2026</t>
        </is>
      </c>
      <c r="M359" s="63" t="inlineStr">
        <is>
          <t>12/21/2019</t>
        </is>
      </c>
      <c r="O359" s="20" t="n">
        <v>1666</v>
      </c>
      <c r="P359" s="20" t="n"/>
      <c r="Q359" s="20" t="n">
        <v>100</v>
      </c>
      <c r="R359" s="20" t="n"/>
      <c r="S359" s="20" t="n"/>
      <c r="T359" s="20" t="n"/>
      <c r="U359" s="20" t="n">
        <v>1</v>
      </c>
      <c r="V359" s="20" t="n"/>
      <c r="W359" s="20" t="n"/>
      <c r="X359" s="20" t="n"/>
      <c r="Y359" s="20" t="n"/>
      <c r="Z359" s="20" t="n"/>
    </row>
    <row r="360">
      <c r="A360" s="64" t="inlineStr">
        <is>
          <t>3121</t>
        </is>
      </c>
      <c r="B360" s="64" t="inlineStr">
        <is>
          <t>C1R</t>
        </is>
      </c>
      <c r="C360" s="11" t="n">
        <v>1258</v>
      </c>
      <c r="D360" s="10" t="n">
        <v>3</v>
      </c>
      <c r="E360" s="10" t="n">
        <v>2</v>
      </c>
      <c r="F360" s="65" t="inlineStr">
        <is>
          <t>Market</t>
        </is>
      </c>
      <c r="G360" s="65" t="inlineStr">
        <is>
          <t>Occupied</t>
        </is>
      </c>
      <c r="H360" s="11" t="n">
        <v>1975</v>
      </c>
      <c r="I360" s="11" t="n">
        <v>1790</v>
      </c>
      <c r="J360" s="11" t="n">
        <v>1790</v>
      </c>
      <c r="K360" s="66" t="inlineStr">
        <is>
          <t>07/28/2025</t>
        </is>
      </c>
      <c r="L360" s="66" t="inlineStr">
        <is>
          <t>08/27/2026</t>
        </is>
      </c>
      <c r="M360" s="66" t="inlineStr">
        <is>
          <t>07/28/2025</t>
        </is>
      </c>
      <c r="O360" s="11" t="n">
        <v>1790</v>
      </c>
      <c r="P360" s="11" t="n"/>
      <c r="Q360" s="11" t="n"/>
      <c r="R360" s="11" t="n"/>
      <c r="S360" s="11" t="n"/>
      <c r="T360" s="11" t="n"/>
      <c r="U360" s="11" t="n">
        <v>1</v>
      </c>
      <c r="V360" s="11" t="n"/>
      <c r="W360" s="11" t="n"/>
      <c r="X360" s="11" t="n"/>
      <c r="Y360" s="11" t="n"/>
      <c r="Z360" s="11" t="n"/>
    </row>
    <row r="361">
      <c r="A361" s="61" t="inlineStr">
        <is>
          <t>3122</t>
        </is>
      </c>
      <c r="B361" s="61" t="inlineStr">
        <is>
          <t>A1R</t>
        </is>
      </c>
      <c r="C361" s="20" t="n">
        <v>739</v>
      </c>
      <c r="D361" s="19" t="n">
        <v>1</v>
      </c>
      <c r="E361" s="19" t="n">
        <v>1</v>
      </c>
      <c r="F361" s="62" t="inlineStr">
        <is>
          <t>Market</t>
        </is>
      </c>
      <c r="G361" s="62" t="inlineStr">
        <is>
          <t>Vacant</t>
        </is>
      </c>
      <c r="H361" s="20" t="n">
        <v>1267</v>
      </c>
      <c r="I361" s="20" t="n">
        <v>0</v>
      </c>
      <c r="J361" s="20" t="n">
        <v>0</v>
      </c>
      <c r="K361" s="63" t="n"/>
      <c r="L361" s="63" t="n"/>
      <c r="M361" s="63" t="n"/>
      <c r="O361" s="20" t="n"/>
      <c r="P361" s="20" t="n"/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</row>
    <row r="362">
      <c r="A362" s="64" t="inlineStr">
        <is>
          <t>3123</t>
        </is>
      </c>
      <c r="B362" s="64" t="inlineStr">
        <is>
          <t>A1R</t>
        </is>
      </c>
      <c r="C362" s="11" t="n">
        <v>739</v>
      </c>
      <c r="D362" s="10" t="n">
        <v>1</v>
      </c>
      <c r="E362" s="10" t="n">
        <v>1</v>
      </c>
      <c r="F362" s="65" t="inlineStr">
        <is>
          <t>Market</t>
        </is>
      </c>
      <c r="G362" s="65" t="inlineStr">
        <is>
          <t>Occupied</t>
        </is>
      </c>
      <c r="H362" s="11" t="n">
        <v>1282</v>
      </c>
      <c r="I362" s="11" t="n">
        <v>1477</v>
      </c>
      <c r="J362" s="11" t="n">
        <v>1477</v>
      </c>
      <c r="K362" s="66" t="inlineStr">
        <is>
          <t>05/27/2026</t>
        </is>
      </c>
      <c r="L362" s="66" t="inlineStr">
        <is>
          <t>08/26/2027</t>
        </is>
      </c>
      <c r="M362" s="66" t="inlineStr">
        <is>
          <t>12/27/2022</t>
        </is>
      </c>
      <c r="O362" s="11" t="n">
        <v>1477</v>
      </c>
      <c r="P362" s="11" t="n">
        <v>35</v>
      </c>
      <c r="Q362" s="11" t="n">
        <v>125</v>
      </c>
      <c r="R362" s="11" t="n"/>
      <c r="S362" s="11" t="n"/>
      <c r="T362" s="11" t="n"/>
      <c r="U362" s="11" t="n">
        <v>3</v>
      </c>
      <c r="V362" s="11" t="n"/>
      <c r="W362" s="11" t="n"/>
      <c r="X362" s="11" t="n"/>
      <c r="Y362" s="11" t="n"/>
      <c r="Z362" s="11" t="n"/>
    </row>
    <row r="363">
      <c r="A363" s="61" t="inlineStr">
        <is>
          <t>3124</t>
        </is>
      </c>
      <c r="B363" s="61" t="inlineStr">
        <is>
          <t>C1R</t>
        </is>
      </c>
      <c r="C363" s="20" t="n">
        <v>1258</v>
      </c>
      <c r="D363" s="19" t="n">
        <v>3</v>
      </c>
      <c r="E363" s="19" t="n">
        <v>2</v>
      </c>
      <c r="F363" s="62" t="inlineStr">
        <is>
          <t>Market</t>
        </is>
      </c>
      <c r="G363" s="62" t="inlineStr">
        <is>
          <t>Occupied</t>
        </is>
      </c>
      <c r="H363" s="20" t="n">
        <v>1990</v>
      </c>
      <c r="I363" s="20" t="n">
        <v>1853</v>
      </c>
      <c r="J363" s="20" t="n">
        <v>1853</v>
      </c>
      <c r="K363" s="63" t="inlineStr">
        <is>
          <t>04/18/2026</t>
        </is>
      </c>
      <c r="L363" s="63" t="inlineStr">
        <is>
          <t>05/10/2027</t>
        </is>
      </c>
      <c r="M363" s="63" t="inlineStr">
        <is>
          <t>01/11/2025</t>
        </is>
      </c>
      <c r="O363" s="20" t="n">
        <v>1853</v>
      </c>
      <c r="P363" s="20" t="n">
        <v>35</v>
      </c>
      <c r="Q363" s="20" t="n"/>
      <c r="R363" s="20" t="n"/>
      <c r="S363" s="20" t="n"/>
      <c r="T363" s="20" t="n"/>
      <c r="U363" s="20" t="n">
        <v>3</v>
      </c>
      <c r="V363" s="20" t="n">
        <v>65</v>
      </c>
      <c r="W363" s="20" t="n"/>
      <c r="X363" s="20" t="n"/>
      <c r="Y363" s="20" t="n"/>
      <c r="Z363" s="20" t="n"/>
    </row>
    <row r="364">
      <c r="A364" s="64" t="inlineStr">
        <is>
          <t>3125</t>
        </is>
      </c>
      <c r="B364" s="64" t="inlineStr">
        <is>
          <t>C1R</t>
        </is>
      </c>
      <c r="C364" s="11" t="n">
        <v>1258</v>
      </c>
      <c r="D364" s="10" t="n">
        <v>3</v>
      </c>
      <c r="E364" s="10" t="n">
        <v>2</v>
      </c>
      <c r="F364" s="65" t="inlineStr">
        <is>
          <t>Market</t>
        </is>
      </c>
      <c r="G364" s="65" t="inlineStr">
        <is>
          <t>Occupied</t>
        </is>
      </c>
      <c r="H364" s="11" t="n">
        <v>1975</v>
      </c>
      <c r="I364" s="11" t="n">
        <v>1869</v>
      </c>
      <c r="J364" s="11" t="n">
        <v>1869</v>
      </c>
      <c r="K364" s="66" t="inlineStr">
        <is>
          <t>11/08/2025</t>
        </is>
      </c>
      <c r="L364" s="66" t="inlineStr">
        <is>
          <t>01/07/2027</t>
        </is>
      </c>
      <c r="M364" s="66" t="inlineStr">
        <is>
          <t>11/08/2024</t>
        </is>
      </c>
      <c r="O364" s="11" t="n">
        <v>1869</v>
      </c>
      <c r="P364" s="11" t="n"/>
      <c r="Q364" s="11" t="n">
        <v>100</v>
      </c>
      <c r="R364" s="11" t="n"/>
      <c r="S364" s="11" t="n"/>
      <c r="T364" s="11" t="n"/>
      <c r="U364" s="11" t="n">
        <v>1</v>
      </c>
      <c r="V364" s="11" t="n"/>
      <c r="W364" s="11" t="n"/>
      <c r="X364" s="11" t="n"/>
      <c r="Y364" s="11" t="n"/>
      <c r="Z364" s="11" t="n"/>
    </row>
    <row r="365">
      <c r="A365" s="61" t="inlineStr">
        <is>
          <t>3126</t>
        </is>
      </c>
      <c r="B365" s="61" t="inlineStr">
        <is>
          <t>A1</t>
        </is>
      </c>
      <c r="C365" s="20" t="n">
        <v>739</v>
      </c>
      <c r="D365" s="19" t="n">
        <v>1</v>
      </c>
      <c r="E365" s="19" t="n">
        <v>1</v>
      </c>
      <c r="F365" s="62" t="inlineStr">
        <is>
          <t>Market</t>
        </is>
      </c>
      <c r="G365" s="62" t="inlineStr">
        <is>
          <t>Occupied</t>
        </is>
      </c>
      <c r="H365" s="20" t="n">
        <v>1067</v>
      </c>
      <c r="I365" s="20" t="n">
        <v>1187</v>
      </c>
      <c r="J365" s="20" t="n">
        <v>1187</v>
      </c>
      <c r="K365" s="63" t="inlineStr">
        <is>
          <t>02/28/2025</t>
        </is>
      </c>
      <c r="L365" s="63" t="inlineStr">
        <is>
          <t>05/27/2026</t>
        </is>
      </c>
      <c r="M365" s="63" t="inlineStr">
        <is>
          <t>02/28/2024</t>
        </is>
      </c>
      <c r="O365" s="20" t="n">
        <v>1187</v>
      </c>
      <c r="P365" s="20" t="n"/>
      <c r="Q365" s="20" t="n"/>
      <c r="R365" s="20" t="n"/>
      <c r="S365" s="20" t="n"/>
      <c r="T365" s="20" t="n"/>
      <c r="U365" s="20" t="n">
        <v>1</v>
      </c>
      <c r="V365" s="20" t="n"/>
      <c r="W365" s="20" t="n"/>
      <c r="X365" s="20" t="n"/>
      <c r="Y365" s="20" t="n"/>
      <c r="Z365" s="20" t="n"/>
    </row>
    <row r="366">
      <c r="A366" s="64" t="inlineStr">
        <is>
          <t>3127</t>
        </is>
      </c>
      <c r="B366" s="64" t="inlineStr">
        <is>
          <t>A1</t>
        </is>
      </c>
      <c r="C366" s="11" t="n">
        <v>739</v>
      </c>
      <c r="D366" s="10" t="n">
        <v>1</v>
      </c>
      <c r="E366" s="10" t="n">
        <v>1</v>
      </c>
      <c r="F366" s="65" t="inlineStr">
        <is>
          <t>Market</t>
        </is>
      </c>
      <c r="G366" s="65" t="inlineStr">
        <is>
          <t>Occupied</t>
        </is>
      </c>
      <c r="H366" s="11" t="n">
        <v>1082</v>
      </c>
      <c r="I366" s="11" t="n">
        <v>1227</v>
      </c>
      <c r="J366" s="11" t="n">
        <v>1227</v>
      </c>
      <c r="K366" s="66" t="inlineStr">
        <is>
          <t>06/29/2025</t>
        </is>
      </c>
      <c r="L366" s="66" t="inlineStr">
        <is>
          <t>07/05/2026</t>
        </is>
      </c>
      <c r="M366" s="66" t="inlineStr">
        <is>
          <t>02/13/2020</t>
        </is>
      </c>
      <c r="O366" s="11" t="n">
        <v>1227</v>
      </c>
      <c r="P366" s="11" t="n"/>
      <c r="Q366" s="11" t="n"/>
      <c r="R366" s="11" t="n"/>
      <c r="S366" s="11" t="n"/>
      <c r="T366" s="11" t="n"/>
      <c r="U366" s="11" t="n">
        <v>1</v>
      </c>
      <c r="V366" s="11" t="n"/>
      <c r="W366" s="11" t="n"/>
      <c r="X366" s="11" t="n"/>
      <c r="Y366" s="11" t="n"/>
      <c r="Z366" s="11" t="n">
        <v>1</v>
      </c>
    </row>
    <row r="367">
      <c r="A367" s="61" t="inlineStr">
        <is>
          <t>3128</t>
        </is>
      </c>
      <c r="B367" s="61" t="inlineStr">
        <is>
          <t>C1R</t>
        </is>
      </c>
      <c r="C367" s="20" t="n">
        <v>1258</v>
      </c>
      <c r="D367" s="19" t="n">
        <v>3</v>
      </c>
      <c r="E367" s="19" t="n">
        <v>2</v>
      </c>
      <c r="F367" s="62" t="inlineStr">
        <is>
          <t>Market</t>
        </is>
      </c>
      <c r="G367" s="62" t="inlineStr">
        <is>
          <t>Occupied</t>
        </is>
      </c>
      <c r="H367" s="20" t="n">
        <v>1990</v>
      </c>
      <c r="I367" s="20" t="n">
        <v>1767</v>
      </c>
      <c r="J367" s="20" t="n">
        <v>1767</v>
      </c>
      <c r="K367" s="63" t="inlineStr">
        <is>
          <t>04/03/2025</t>
        </is>
      </c>
      <c r="L367" s="63" t="inlineStr">
        <is>
          <t>07/02/2026</t>
        </is>
      </c>
      <c r="M367" s="63" t="inlineStr">
        <is>
          <t>04/03/2025</t>
        </is>
      </c>
      <c r="O367" s="20" t="n">
        <v>1767</v>
      </c>
      <c r="P367" s="20" t="n"/>
      <c r="Q367" s="20" t="n"/>
      <c r="R367" s="20" t="n"/>
      <c r="S367" s="20" t="n"/>
      <c r="T367" s="20" t="n"/>
      <c r="U367" s="20" t="n">
        <v>1</v>
      </c>
      <c r="V367" s="20" t="n"/>
      <c r="W367" s="20" t="n"/>
      <c r="X367" s="20" t="n"/>
      <c r="Y367" s="20" t="n"/>
      <c r="Z367" s="20" t="n"/>
    </row>
    <row r="368">
      <c r="A368" s="64" t="inlineStr">
        <is>
          <t>3132</t>
        </is>
      </c>
      <c r="B368" s="64" t="inlineStr">
        <is>
          <t>A1</t>
        </is>
      </c>
      <c r="C368" s="11" t="n">
        <v>739</v>
      </c>
      <c r="D368" s="10" t="n">
        <v>1</v>
      </c>
      <c r="E368" s="10" t="n">
        <v>1</v>
      </c>
      <c r="F368" s="65" t="inlineStr">
        <is>
          <t>Market</t>
        </is>
      </c>
      <c r="G368" s="65" t="inlineStr">
        <is>
          <t>Occupied</t>
        </is>
      </c>
      <c r="H368" s="11" t="n">
        <v>1067</v>
      </c>
      <c r="I368" s="11" t="n">
        <v>1096</v>
      </c>
      <c r="J368" s="11" t="n">
        <v>1096</v>
      </c>
      <c r="K368" s="66" t="inlineStr">
        <is>
          <t>06/23/2025</t>
        </is>
      </c>
      <c r="L368" s="66" t="inlineStr">
        <is>
          <t>09/22/2026</t>
        </is>
      </c>
      <c r="M368" s="66" t="inlineStr">
        <is>
          <t>07/23/2020</t>
        </is>
      </c>
      <c r="O368" s="11" t="n">
        <v>1096</v>
      </c>
      <c r="P368" s="11" t="n"/>
      <c r="Q368" s="11" t="n"/>
      <c r="R368" s="11" t="n"/>
      <c r="S368" s="11" t="n"/>
      <c r="T368" s="11" t="n"/>
      <c r="U368" s="11" t="n">
        <v>1</v>
      </c>
      <c r="V368" s="11" t="n"/>
      <c r="W368" s="11" t="n"/>
      <c r="X368" s="11" t="n"/>
      <c r="Y368" s="11" t="n"/>
      <c r="Z368" s="11" t="n"/>
    </row>
    <row r="369">
      <c r="A369" s="61" t="inlineStr">
        <is>
          <t>3133</t>
        </is>
      </c>
      <c r="B369" s="61" t="inlineStr">
        <is>
          <t>A1</t>
        </is>
      </c>
      <c r="C369" s="20" t="n">
        <v>739</v>
      </c>
      <c r="D369" s="19" t="n">
        <v>1</v>
      </c>
      <c r="E369" s="19" t="n">
        <v>1</v>
      </c>
      <c r="F369" s="62" t="inlineStr">
        <is>
          <t>Market</t>
        </is>
      </c>
      <c r="G369" s="62" t="inlineStr">
        <is>
          <t>Occupied</t>
        </is>
      </c>
      <c r="H369" s="20" t="n">
        <v>1082</v>
      </c>
      <c r="I369" s="20" t="n">
        <v>1239</v>
      </c>
      <c r="J369" s="20" t="n">
        <v>1239</v>
      </c>
      <c r="K369" s="63" t="inlineStr">
        <is>
          <t>07/25/2025</t>
        </is>
      </c>
      <c r="L369" s="63" t="inlineStr">
        <is>
          <t>07/31/2026</t>
        </is>
      </c>
      <c r="M369" s="63" t="inlineStr">
        <is>
          <t>07/29/2018</t>
        </is>
      </c>
      <c r="O369" s="20" t="n">
        <v>1239</v>
      </c>
      <c r="P369" s="20" t="n"/>
      <c r="Q369" s="20" t="n"/>
      <c r="R369" s="20" t="n"/>
      <c r="S369" s="20" t="n"/>
      <c r="T369" s="20" t="n"/>
      <c r="U369" s="20" t="n">
        <v>1</v>
      </c>
      <c r="V369" s="20" t="n"/>
      <c r="W369" s="20" t="n"/>
      <c r="X369" s="20" t="n"/>
      <c r="Y369" s="20" t="n"/>
      <c r="Z369" s="20" t="n"/>
    </row>
    <row r="370">
      <c r="A370" s="64" t="inlineStr">
        <is>
          <t>3136</t>
        </is>
      </c>
      <c r="B370" s="64" t="inlineStr">
        <is>
          <t>A1R</t>
        </is>
      </c>
      <c r="C370" s="11" t="n">
        <v>739</v>
      </c>
      <c r="D370" s="10" t="n">
        <v>1</v>
      </c>
      <c r="E370" s="10" t="n">
        <v>1</v>
      </c>
      <c r="F370" s="65" t="inlineStr">
        <is>
          <t>Market</t>
        </is>
      </c>
      <c r="G370" s="65" t="inlineStr">
        <is>
          <t>Vacant</t>
        </is>
      </c>
      <c r="H370" s="11" t="n">
        <v>1267</v>
      </c>
      <c r="I370" s="11" t="n">
        <v>0</v>
      </c>
      <c r="J370" s="11" t="n">
        <v>0</v>
      </c>
      <c r="K370" s="66" t="n"/>
      <c r="L370" s="66" t="n"/>
      <c r="M370" s="66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61" t="inlineStr">
        <is>
          <t>3137</t>
        </is>
      </c>
      <c r="B371" s="61" t="inlineStr">
        <is>
          <t>A1</t>
        </is>
      </c>
      <c r="C371" s="20" t="n">
        <v>739</v>
      </c>
      <c r="D371" s="19" t="n">
        <v>1</v>
      </c>
      <c r="E371" s="19" t="n">
        <v>1</v>
      </c>
      <c r="F371" s="62" t="inlineStr">
        <is>
          <t>Market</t>
        </is>
      </c>
      <c r="G371" s="62" t="inlineStr">
        <is>
          <t>Occupied</t>
        </is>
      </c>
      <c r="H371" s="20" t="n">
        <v>1082</v>
      </c>
      <c r="I371" s="20" t="n">
        <v>1113</v>
      </c>
      <c r="J371" s="20" t="n">
        <v>1113</v>
      </c>
      <c r="K371" s="63" t="inlineStr">
        <is>
          <t>11/20/2025</t>
        </is>
      </c>
      <c r="L371" s="63" t="inlineStr">
        <is>
          <t>02/19/2027</t>
        </is>
      </c>
      <c r="M371" s="63" t="inlineStr">
        <is>
          <t>11/20/2025</t>
        </is>
      </c>
      <c r="O371" s="20" t="n">
        <v>1113</v>
      </c>
      <c r="P371" s="20" t="n"/>
      <c r="Q371" s="20" t="n"/>
      <c r="R371" s="20" t="n"/>
      <c r="S371" s="20" t="n"/>
      <c r="T371" s="20" t="n"/>
      <c r="U371" s="20" t="n">
        <v>1</v>
      </c>
      <c r="V371" s="20" t="n"/>
      <c r="W371" s="20" t="n"/>
      <c r="X371" s="20" t="n"/>
      <c r="Y371" s="20" t="n"/>
      <c r="Z371" s="20" t="n"/>
    </row>
    <row r="372">
      <c r="A372" s="64" t="inlineStr">
        <is>
          <t>3211</t>
        </is>
      </c>
      <c r="B372" s="64" t="inlineStr">
        <is>
          <t>B4</t>
        </is>
      </c>
      <c r="C372" s="11" t="n">
        <v>1187</v>
      </c>
      <c r="D372" s="10" t="n">
        <v>2</v>
      </c>
      <c r="E372" s="10" t="n">
        <v>2</v>
      </c>
      <c r="F372" s="65" t="inlineStr">
        <is>
          <t>Market</t>
        </is>
      </c>
      <c r="G372" s="65" t="inlineStr">
        <is>
          <t>Occupied</t>
        </is>
      </c>
      <c r="H372" s="11" t="n">
        <v>1716</v>
      </c>
      <c r="I372" s="11" t="n">
        <v>1787</v>
      </c>
      <c r="J372" s="11" t="n">
        <v>1787</v>
      </c>
      <c r="K372" s="66" t="inlineStr">
        <is>
          <t>10/30/2025</t>
        </is>
      </c>
      <c r="L372" s="66" t="inlineStr">
        <is>
          <t>12/22/2026</t>
        </is>
      </c>
      <c r="M372" s="66" t="inlineStr">
        <is>
          <t>04/30/2022</t>
        </is>
      </c>
      <c r="O372" s="11" t="n">
        <v>1787</v>
      </c>
      <c r="P372" s="11" t="n"/>
      <c r="Q372" s="11" t="n"/>
      <c r="R372" s="11" t="n"/>
      <c r="S372" s="11" t="n"/>
      <c r="T372" s="11" t="n">
        <v>35</v>
      </c>
      <c r="U372" s="11" t="n">
        <v>1</v>
      </c>
      <c r="V372" s="11" t="n"/>
      <c r="W372" s="11" t="n"/>
      <c r="X372" s="11" t="n"/>
      <c r="Y372" s="11" t="n"/>
      <c r="Z372" s="11" t="n"/>
    </row>
    <row r="373">
      <c r="A373" s="61" t="inlineStr">
        <is>
          <t>3212</t>
        </is>
      </c>
      <c r="B373" s="61" t="inlineStr">
        <is>
          <t>B1</t>
        </is>
      </c>
      <c r="C373" s="20" t="n">
        <v>947</v>
      </c>
      <c r="D373" s="19" t="n">
        <v>2</v>
      </c>
      <c r="E373" s="19" t="n">
        <v>2</v>
      </c>
      <c r="F373" s="62" t="inlineStr">
        <is>
          <t>Market</t>
        </is>
      </c>
      <c r="G373" s="62" t="inlineStr">
        <is>
          <t>Occupied</t>
        </is>
      </c>
      <c r="H373" s="20" t="n">
        <v>1492</v>
      </c>
      <c r="I373" s="20" t="n">
        <v>1667</v>
      </c>
      <c r="J373" s="20" t="n">
        <v>1667</v>
      </c>
      <c r="K373" s="63" t="inlineStr">
        <is>
          <t>09/23/2025</t>
        </is>
      </c>
      <c r="L373" s="63" t="inlineStr">
        <is>
          <t>12/22/2026</t>
        </is>
      </c>
      <c r="M373" s="63" t="inlineStr">
        <is>
          <t>09/28/2023</t>
        </is>
      </c>
      <c r="O373" s="20" t="n">
        <v>1667</v>
      </c>
      <c r="P373" s="20" t="n"/>
      <c r="Q373" s="20" t="n">
        <v>100</v>
      </c>
      <c r="R373" s="20" t="n"/>
      <c r="S373" s="20" t="n"/>
      <c r="T373" s="20" t="n">
        <v>30</v>
      </c>
      <c r="U373" s="20" t="n">
        <v>1</v>
      </c>
      <c r="V373" s="20" t="n"/>
      <c r="W373" s="20" t="n"/>
      <c r="X373" s="20" t="n"/>
      <c r="Y373" s="20" t="n"/>
      <c r="Z373" s="20" t="n"/>
    </row>
    <row r="374">
      <c r="A374" s="64" t="inlineStr">
        <is>
          <t>3213</t>
        </is>
      </c>
      <c r="B374" s="64" t="inlineStr">
        <is>
          <t>B1</t>
        </is>
      </c>
      <c r="C374" s="11" t="n">
        <v>947</v>
      </c>
      <c r="D374" s="10" t="n">
        <v>2</v>
      </c>
      <c r="E374" s="10" t="n">
        <v>2</v>
      </c>
      <c r="F374" s="65" t="inlineStr">
        <is>
          <t>Market</t>
        </is>
      </c>
      <c r="G374" s="65" t="inlineStr">
        <is>
          <t>Occupied</t>
        </is>
      </c>
      <c r="H374" s="11" t="n">
        <v>1492</v>
      </c>
      <c r="I374" s="11" t="n">
        <v>1453</v>
      </c>
      <c r="J374" s="11" t="n">
        <v>1453</v>
      </c>
      <c r="K374" s="66" t="inlineStr">
        <is>
          <t>07/16/2025</t>
        </is>
      </c>
      <c r="L374" s="66" t="inlineStr">
        <is>
          <t>10/15/2026</t>
        </is>
      </c>
      <c r="M374" s="66" t="inlineStr">
        <is>
          <t>07/16/2025</t>
        </is>
      </c>
      <c r="O374" s="11" t="n">
        <v>1453</v>
      </c>
      <c r="P374" s="11" t="n"/>
      <c r="Q374" s="11" t="n"/>
      <c r="R374" s="11" t="n"/>
      <c r="S374" s="11" t="n"/>
      <c r="T374" s="11" t="n"/>
      <c r="U374" s="11" t="n">
        <v>1</v>
      </c>
      <c r="V374" s="11" t="n"/>
      <c r="W374" s="11" t="n"/>
      <c r="X374" s="11" t="n"/>
      <c r="Y374" s="11" t="n"/>
      <c r="Z374" s="11" t="n"/>
    </row>
    <row r="375">
      <c r="A375" s="61" t="inlineStr">
        <is>
          <t>3214</t>
        </is>
      </c>
      <c r="B375" s="61" t="inlineStr">
        <is>
          <t>B4</t>
        </is>
      </c>
      <c r="C375" s="20" t="n">
        <v>1187</v>
      </c>
      <c r="D375" s="19" t="n">
        <v>2</v>
      </c>
      <c r="E375" s="19" t="n">
        <v>2</v>
      </c>
      <c r="F375" s="62" t="inlineStr">
        <is>
          <t>Market</t>
        </is>
      </c>
      <c r="G375" s="62" t="inlineStr">
        <is>
          <t>Occupied</t>
        </is>
      </c>
      <c r="H375" s="20" t="n">
        <v>1716</v>
      </c>
      <c r="I375" s="20" t="n">
        <v>1600</v>
      </c>
      <c r="J375" s="20" t="n">
        <v>1600</v>
      </c>
      <c r="K375" s="63" t="inlineStr">
        <is>
          <t>10/28/2025</t>
        </is>
      </c>
      <c r="L375" s="63" t="inlineStr">
        <is>
          <t>12/27/2026</t>
        </is>
      </c>
      <c r="M375" s="63" t="inlineStr">
        <is>
          <t>03/21/2016</t>
        </is>
      </c>
      <c r="O375" s="20" t="n">
        <v>1600</v>
      </c>
      <c r="P375" s="20" t="n"/>
      <c r="Q375" s="20" t="n"/>
      <c r="R375" s="20" t="n"/>
      <c r="S375" s="20" t="n"/>
      <c r="T375" s="20" t="n"/>
      <c r="U375" s="20" t="n">
        <v>1</v>
      </c>
      <c r="V375" s="20" t="n"/>
      <c r="W375" s="20" t="n"/>
      <c r="X375" s="20" t="n"/>
      <c r="Y375" s="20" t="n"/>
      <c r="Z375" s="20" t="n"/>
    </row>
    <row r="376">
      <c r="A376" s="64" t="inlineStr">
        <is>
          <t>3215</t>
        </is>
      </c>
      <c r="B376" s="64" t="inlineStr">
        <is>
          <t>B4</t>
        </is>
      </c>
      <c r="C376" s="11" t="n">
        <v>1187</v>
      </c>
      <c r="D376" s="10" t="n">
        <v>2</v>
      </c>
      <c r="E376" s="10" t="n">
        <v>2</v>
      </c>
      <c r="F376" s="65" t="inlineStr">
        <is>
          <t>Market</t>
        </is>
      </c>
      <c r="G376" s="65" t="inlineStr">
        <is>
          <t>Occupied</t>
        </is>
      </c>
      <c r="H376" s="11" t="n">
        <v>1716</v>
      </c>
      <c r="I376" s="11" t="n">
        <v>1467</v>
      </c>
      <c r="J376" s="11" t="n">
        <v>1467</v>
      </c>
      <c r="K376" s="66" t="inlineStr">
        <is>
          <t>02/12/2026</t>
        </is>
      </c>
      <c r="L376" s="66" t="inlineStr">
        <is>
          <t>05/11/2027</t>
        </is>
      </c>
      <c r="M376" s="66" t="inlineStr">
        <is>
          <t>02/12/2026</t>
        </is>
      </c>
      <c r="O376" s="11" t="n">
        <v>1467</v>
      </c>
      <c r="P376" s="11" t="n">
        <v>35</v>
      </c>
      <c r="Q376" s="11" t="n">
        <v>75</v>
      </c>
      <c r="R376" s="11" t="n"/>
      <c r="S376" s="11" t="n"/>
      <c r="T376" s="11" t="n"/>
      <c r="U376" s="11" t="n">
        <v>3</v>
      </c>
      <c r="V376" s="11" t="n"/>
      <c r="W376" s="11" t="n"/>
      <c r="X376" s="11" t="n"/>
      <c r="Y376" s="11" t="n"/>
      <c r="Z376" s="11" t="n"/>
    </row>
    <row r="377">
      <c r="A377" s="61" t="inlineStr">
        <is>
          <t>3216</t>
        </is>
      </c>
      <c r="B377" s="61" t="inlineStr">
        <is>
          <t>B1</t>
        </is>
      </c>
      <c r="C377" s="20" t="n">
        <v>947</v>
      </c>
      <c r="D377" s="19" t="n">
        <v>2</v>
      </c>
      <c r="E377" s="19" t="n">
        <v>2</v>
      </c>
      <c r="F377" s="62" t="inlineStr">
        <is>
          <t>Market</t>
        </is>
      </c>
      <c r="G377" s="62" t="inlineStr">
        <is>
          <t>Occupied</t>
        </is>
      </c>
      <c r="H377" s="20" t="n">
        <v>1452</v>
      </c>
      <c r="I377" s="20" t="n">
        <v>1406</v>
      </c>
      <c r="J377" s="20" t="n">
        <v>1406</v>
      </c>
      <c r="K377" s="63" t="inlineStr">
        <is>
          <t>10/31/2025</t>
        </is>
      </c>
      <c r="L377" s="63" t="inlineStr">
        <is>
          <t>01/30/2027</t>
        </is>
      </c>
      <c r="M377" s="63" t="inlineStr">
        <is>
          <t>10/31/2025</t>
        </is>
      </c>
      <c r="O377" s="20" t="n">
        <v>1406</v>
      </c>
      <c r="P377" s="20" t="n"/>
      <c r="Q377" s="20" t="n"/>
      <c r="R377" s="20" t="n"/>
      <c r="S377" s="20" t="n"/>
      <c r="T377" s="20" t="n"/>
      <c r="U377" s="20" t="n">
        <v>1</v>
      </c>
      <c r="V377" s="20" t="n"/>
      <c r="W377" s="20" t="n"/>
      <c r="X377" s="20" t="n"/>
      <c r="Y377" s="20" t="n"/>
      <c r="Z377" s="20" t="n"/>
    </row>
    <row r="378">
      <c r="A378" s="64" t="inlineStr">
        <is>
          <t>3217</t>
        </is>
      </c>
      <c r="B378" s="64" t="inlineStr">
        <is>
          <t>B1</t>
        </is>
      </c>
      <c r="C378" s="11" t="n">
        <v>947</v>
      </c>
      <c r="D378" s="10" t="n">
        <v>2</v>
      </c>
      <c r="E378" s="10" t="n">
        <v>2</v>
      </c>
      <c r="F378" s="65" t="inlineStr">
        <is>
          <t>Market</t>
        </is>
      </c>
      <c r="G378" s="65" t="inlineStr">
        <is>
          <t>Occupied</t>
        </is>
      </c>
      <c r="H378" s="11" t="n">
        <v>1452</v>
      </c>
      <c r="I378" s="11" t="n">
        <v>1682</v>
      </c>
      <c r="J378" s="11" t="n">
        <v>1682</v>
      </c>
      <c r="K378" s="66" t="inlineStr">
        <is>
          <t>10/09/2025</t>
        </is>
      </c>
      <c r="L378" s="66" t="inlineStr">
        <is>
          <t>12/08/2026</t>
        </is>
      </c>
      <c r="M378" s="66" t="inlineStr">
        <is>
          <t>05/09/2023</t>
        </is>
      </c>
      <c r="O378" s="11" t="n">
        <v>1682</v>
      </c>
      <c r="P378" s="11" t="n"/>
      <c r="Q378" s="11" t="n"/>
      <c r="R378" s="11" t="n"/>
      <c r="S378" s="11" t="n"/>
      <c r="T378" s="11" t="n"/>
      <c r="U378" s="11" t="n">
        <v>1</v>
      </c>
      <c r="V378" s="11" t="n"/>
      <c r="W378" s="11" t="n"/>
      <c r="X378" s="11" t="n"/>
      <c r="Y378" s="11" t="n"/>
      <c r="Z378" s="11" t="n"/>
    </row>
    <row r="379">
      <c r="A379" s="61" t="inlineStr">
        <is>
          <t>3218</t>
        </is>
      </c>
      <c r="B379" s="61" t="inlineStr">
        <is>
          <t>B4</t>
        </is>
      </c>
      <c r="C379" s="20" t="n">
        <v>1187</v>
      </c>
      <c r="D379" s="19" t="n">
        <v>2</v>
      </c>
      <c r="E379" s="19" t="n">
        <v>2</v>
      </c>
      <c r="F379" s="62" t="inlineStr">
        <is>
          <t>Market</t>
        </is>
      </c>
      <c r="G379" s="62" t="inlineStr">
        <is>
          <t>Occupied</t>
        </is>
      </c>
      <c r="H379" s="20" t="n">
        <v>1756</v>
      </c>
      <c r="I379" s="20" t="n">
        <v>1612</v>
      </c>
      <c r="J379" s="20" t="n">
        <v>1612</v>
      </c>
      <c r="K379" s="63" t="inlineStr">
        <is>
          <t>01/11/2026</t>
        </is>
      </c>
      <c r="L379" s="63" t="inlineStr">
        <is>
          <t>10/10/2026</t>
        </is>
      </c>
      <c r="M379" s="63" t="inlineStr">
        <is>
          <t>11/11/2024</t>
        </is>
      </c>
      <c r="O379" s="20" t="n">
        <v>1612</v>
      </c>
      <c r="P379" s="20" t="n"/>
      <c r="Q379" s="20" t="n"/>
      <c r="R379" s="20" t="n"/>
      <c r="S379" s="20" t="n"/>
      <c r="T379" s="20" t="n">
        <v>45</v>
      </c>
      <c r="U379" s="20" t="n">
        <v>3</v>
      </c>
      <c r="V379" s="20" t="n"/>
      <c r="W379" s="20" t="n"/>
      <c r="X379" s="20" t="n"/>
      <c r="Y379" s="20" t="n"/>
      <c r="Z379" s="20" t="n"/>
    </row>
    <row r="380">
      <c r="A380" s="64" t="inlineStr">
        <is>
          <t>3221</t>
        </is>
      </c>
      <c r="B380" s="64" t="inlineStr">
        <is>
          <t>B4</t>
        </is>
      </c>
      <c r="C380" s="11" t="n">
        <v>1187</v>
      </c>
      <c r="D380" s="10" t="n">
        <v>2</v>
      </c>
      <c r="E380" s="10" t="n">
        <v>2</v>
      </c>
      <c r="F380" s="65" t="inlineStr">
        <is>
          <t>Market</t>
        </is>
      </c>
      <c r="G380" s="65" t="inlineStr">
        <is>
          <t>Occupied</t>
        </is>
      </c>
      <c r="H380" s="11" t="n">
        <v>1696</v>
      </c>
      <c r="I380" s="11" t="n">
        <v>1574</v>
      </c>
      <c r="J380" s="11" t="n">
        <v>1574</v>
      </c>
      <c r="K380" s="66" t="inlineStr">
        <is>
          <t>05/16/2025</t>
        </is>
      </c>
      <c r="L380" s="66" t="inlineStr">
        <is>
          <t>07/15/2026</t>
        </is>
      </c>
      <c r="M380" s="66" t="inlineStr">
        <is>
          <t>05/16/2025</t>
        </is>
      </c>
      <c r="O380" s="11" t="n">
        <v>1574</v>
      </c>
      <c r="P380" s="11" t="n"/>
      <c r="Q380" s="11" t="n"/>
      <c r="R380" s="11" t="n"/>
      <c r="S380" s="11" t="n"/>
      <c r="T380" s="11" t="n"/>
      <c r="U380" s="11" t="n">
        <v>1</v>
      </c>
      <c r="V380" s="11" t="n"/>
      <c r="W380" s="11" t="n"/>
      <c r="X380" s="11" t="n"/>
      <c r="Y380" s="11" t="n"/>
      <c r="Z380" s="11" t="n"/>
    </row>
    <row r="381">
      <c r="A381" s="61" t="inlineStr">
        <is>
          <t>3222</t>
        </is>
      </c>
      <c r="B381" s="61" t="inlineStr">
        <is>
          <t>B1</t>
        </is>
      </c>
      <c r="C381" s="20" t="n">
        <v>947</v>
      </c>
      <c r="D381" s="19" t="n">
        <v>2</v>
      </c>
      <c r="E381" s="19" t="n">
        <v>2</v>
      </c>
      <c r="F381" s="62" t="inlineStr">
        <is>
          <t>Market</t>
        </is>
      </c>
      <c r="G381" s="62" t="inlineStr">
        <is>
          <t>Occupied</t>
        </is>
      </c>
      <c r="H381" s="20" t="n">
        <v>1432</v>
      </c>
      <c r="I381" s="20" t="n">
        <v>1627</v>
      </c>
      <c r="J381" s="20" t="n">
        <v>1627</v>
      </c>
      <c r="K381" s="63" t="inlineStr">
        <is>
          <t>09/19/2025</t>
        </is>
      </c>
      <c r="L381" s="63" t="inlineStr">
        <is>
          <t>09/18/2026</t>
        </is>
      </c>
      <c r="M381" s="63" t="inlineStr">
        <is>
          <t>06/27/2023</t>
        </is>
      </c>
      <c r="O381" s="20" t="n">
        <v>1627</v>
      </c>
      <c r="P381" s="20" t="n"/>
      <c r="Q381" s="20" t="n"/>
      <c r="R381" s="20" t="n"/>
      <c r="S381" s="20" t="n"/>
      <c r="T381" s="20" t="n"/>
      <c r="U381" s="20" t="n">
        <v>1</v>
      </c>
      <c r="V381" s="20" t="n"/>
      <c r="W381" s="20" t="n"/>
      <c r="X381" s="20" t="n"/>
      <c r="Y381" s="20" t="n"/>
      <c r="Z381" s="20" t="n"/>
    </row>
    <row r="382">
      <c r="A382" s="64" t="inlineStr">
        <is>
          <t>3223</t>
        </is>
      </c>
      <c r="B382" s="64" t="inlineStr">
        <is>
          <t>B1</t>
        </is>
      </c>
      <c r="C382" s="11" t="n">
        <v>947</v>
      </c>
      <c r="D382" s="10" t="n">
        <v>2</v>
      </c>
      <c r="E382" s="10" t="n">
        <v>2</v>
      </c>
      <c r="F382" s="65" t="inlineStr">
        <is>
          <t>Market</t>
        </is>
      </c>
      <c r="G382" s="65" t="inlineStr">
        <is>
          <t>Occupied</t>
        </is>
      </c>
      <c r="H382" s="11" t="n">
        <v>1432</v>
      </c>
      <c r="I382" s="11" t="n">
        <v>1451</v>
      </c>
      <c r="J382" s="11" t="n">
        <v>1451</v>
      </c>
      <c r="K382" s="66" t="inlineStr">
        <is>
          <t>04/10/2026</t>
        </is>
      </c>
      <c r="L382" s="66" t="inlineStr">
        <is>
          <t>05/16/2027</t>
        </is>
      </c>
      <c r="M382" s="66" t="inlineStr">
        <is>
          <t>04/10/2025</t>
        </is>
      </c>
      <c r="O382" s="11" t="n">
        <v>1451</v>
      </c>
      <c r="P382" s="11" t="n">
        <v>35</v>
      </c>
      <c r="Q382" s="11" t="n"/>
      <c r="R382" s="11" t="n"/>
      <c r="S382" s="11" t="n"/>
      <c r="T382" s="11" t="n"/>
      <c r="U382" s="11" t="n">
        <v>3</v>
      </c>
      <c r="V382" s="11" t="n"/>
      <c r="W382" s="11" t="n"/>
      <c r="X382" s="11" t="n"/>
      <c r="Y382" s="11" t="n"/>
      <c r="Z382" s="11" t="n"/>
    </row>
    <row r="383">
      <c r="A383" s="61" t="inlineStr">
        <is>
          <t>3224</t>
        </is>
      </c>
      <c r="B383" s="61" t="inlineStr">
        <is>
          <t>B4</t>
        </is>
      </c>
      <c r="C383" s="20" t="n">
        <v>1187</v>
      </c>
      <c r="D383" s="19" t="n">
        <v>2</v>
      </c>
      <c r="E383" s="19" t="n">
        <v>2</v>
      </c>
      <c r="F383" s="62" t="inlineStr">
        <is>
          <t>Market</t>
        </is>
      </c>
      <c r="G383" s="62" t="inlineStr">
        <is>
          <t>Occupied</t>
        </is>
      </c>
      <c r="H383" s="20" t="n">
        <v>1696</v>
      </c>
      <c r="I383" s="20" t="n">
        <v>1822</v>
      </c>
      <c r="J383" s="20" t="n">
        <v>1822</v>
      </c>
      <c r="K383" s="63" t="inlineStr">
        <is>
          <t>05/07/2026</t>
        </is>
      </c>
      <c r="L383" s="63" t="inlineStr">
        <is>
          <t>08/06/2027</t>
        </is>
      </c>
      <c r="M383" s="63" t="inlineStr">
        <is>
          <t>02/07/2025</t>
        </is>
      </c>
      <c r="O383" s="20" t="n">
        <v>1822</v>
      </c>
      <c r="P383" s="20" t="n">
        <v>35</v>
      </c>
      <c r="Q383" s="20" t="n"/>
      <c r="R383" s="20" t="n"/>
      <c r="S383" s="20" t="n">
        <v>-300</v>
      </c>
      <c r="T383" s="20" t="n"/>
      <c r="U383" s="20" t="n">
        <v>3</v>
      </c>
      <c r="V383" s="20" t="n"/>
      <c r="W383" s="20" t="n"/>
      <c r="X383" s="20" t="n"/>
      <c r="Y383" s="20" t="n"/>
      <c r="Z383" s="20" t="n"/>
    </row>
    <row r="384">
      <c r="A384" s="64" t="inlineStr">
        <is>
          <t>3225</t>
        </is>
      </c>
      <c r="B384" s="64" t="inlineStr">
        <is>
          <t>B4</t>
        </is>
      </c>
      <c r="C384" s="11" t="n">
        <v>1187</v>
      </c>
      <c r="D384" s="10" t="n">
        <v>2</v>
      </c>
      <c r="E384" s="10" t="n">
        <v>2</v>
      </c>
      <c r="F384" s="65" t="inlineStr">
        <is>
          <t>Market</t>
        </is>
      </c>
      <c r="G384" s="65" t="inlineStr">
        <is>
          <t>Occupied</t>
        </is>
      </c>
      <c r="H384" s="11" t="n">
        <v>1696</v>
      </c>
      <c r="I384" s="11" t="n">
        <v>1737</v>
      </c>
      <c r="J384" s="11" t="n">
        <v>1737</v>
      </c>
      <c r="K384" s="66" t="inlineStr">
        <is>
          <t>05/11/2025</t>
        </is>
      </c>
      <c r="L384" s="66" t="inlineStr">
        <is>
          <t>06/17/2026</t>
        </is>
      </c>
      <c r="M384" s="66" t="inlineStr">
        <is>
          <t>01/27/2023</t>
        </is>
      </c>
      <c r="O384" s="11" t="n">
        <v>1737</v>
      </c>
      <c r="P384" s="11" t="n"/>
      <c r="Q384" s="11" t="n"/>
      <c r="R384" s="11" t="n"/>
      <c r="S384" s="11" t="n"/>
      <c r="T384" s="11" t="n"/>
      <c r="U384" s="11" t="n">
        <v>1</v>
      </c>
      <c r="V384" s="11" t="n"/>
      <c r="W384" s="11" t="n"/>
      <c r="X384" s="11" t="n"/>
      <c r="Y384" s="11" t="n"/>
      <c r="Z384" s="11" t="n"/>
    </row>
    <row r="385">
      <c r="A385" s="61" t="inlineStr">
        <is>
          <t>3226</t>
        </is>
      </c>
      <c r="B385" s="61" t="inlineStr">
        <is>
          <t>B1</t>
        </is>
      </c>
      <c r="C385" s="20" t="n">
        <v>947</v>
      </c>
      <c r="D385" s="19" t="n">
        <v>2</v>
      </c>
      <c r="E385" s="19" t="n">
        <v>2</v>
      </c>
      <c r="F385" s="62" t="inlineStr">
        <is>
          <t>Market</t>
        </is>
      </c>
      <c r="G385" s="62" t="inlineStr">
        <is>
          <t>Occupied</t>
        </is>
      </c>
      <c r="H385" s="20" t="n">
        <v>1432</v>
      </c>
      <c r="I385" s="20" t="n">
        <v>1397</v>
      </c>
      <c r="J385" s="20" t="n">
        <v>1397</v>
      </c>
      <c r="K385" s="63" t="inlineStr">
        <is>
          <t>03/17/2025</t>
        </is>
      </c>
      <c r="L385" s="63" t="inlineStr">
        <is>
          <t>06/16/2026</t>
        </is>
      </c>
      <c r="M385" s="63" t="inlineStr">
        <is>
          <t>09/17/2022</t>
        </is>
      </c>
      <c r="O385" s="20" t="n">
        <v>1397</v>
      </c>
      <c r="P385" s="20" t="n"/>
      <c r="Q385" s="20" t="n"/>
      <c r="R385" s="20" t="n"/>
      <c r="S385" s="20" t="n"/>
      <c r="T385" s="20" t="n">
        <v>60</v>
      </c>
      <c r="U385" s="20" t="n">
        <v>1</v>
      </c>
      <c r="V385" s="20" t="n"/>
      <c r="W385" s="20" t="n"/>
      <c r="X385" s="20" t="n"/>
      <c r="Y385" s="20" t="n"/>
      <c r="Z385" s="20" t="n"/>
    </row>
    <row r="386">
      <c r="A386" s="64" t="inlineStr">
        <is>
          <t>3227</t>
        </is>
      </c>
      <c r="B386" s="64" t="inlineStr">
        <is>
          <t>B1</t>
        </is>
      </c>
      <c r="C386" s="11" t="n">
        <v>947</v>
      </c>
      <c r="D386" s="10" t="n">
        <v>2</v>
      </c>
      <c r="E386" s="10" t="n">
        <v>2</v>
      </c>
      <c r="F386" s="65" t="inlineStr">
        <is>
          <t>Market</t>
        </is>
      </c>
      <c r="G386" s="65" t="inlineStr">
        <is>
          <t>Occupied</t>
        </is>
      </c>
      <c r="H386" s="11" t="n">
        <v>1432</v>
      </c>
      <c r="I386" s="11" t="n">
        <v>1529</v>
      </c>
      <c r="J386" s="11" t="n">
        <v>1529</v>
      </c>
      <c r="K386" s="66" t="inlineStr">
        <is>
          <t>04/16/2026</t>
        </is>
      </c>
      <c r="L386" s="66" t="inlineStr">
        <is>
          <t>05/15/2027</t>
        </is>
      </c>
      <c r="M386" s="66" t="inlineStr">
        <is>
          <t>05/09/2025</t>
        </is>
      </c>
      <c r="O386" s="11" t="n">
        <v>1529</v>
      </c>
      <c r="P386" s="11" t="n">
        <v>35</v>
      </c>
      <c r="Q386" s="11" t="n"/>
      <c r="R386" s="11" t="n"/>
      <c r="S386" s="11" t="n"/>
      <c r="T386" s="11" t="n"/>
      <c r="U386" s="11" t="n">
        <v>3</v>
      </c>
      <c r="V386" s="11" t="n"/>
      <c r="W386" s="11" t="n"/>
      <c r="X386" s="11" t="n"/>
      <c r="Y386" s="11" t="n"/>
      <c r="Z386" s="11" t="n"/>
    </row>
    <row r="387">
      <c r="A387" s="61" t="inlineStr">
        <is>
          <t>3228</t>
        </is>
      </c>
      <c r="B387" s="61" t="inlineStr">
        <is>
          <t>B4</t>
        </is>
      </c>
      <c r="C387" s="20" t="n">
        <v>1187</v>
      </c>
      <c r="D387" s="19" t="n">
        <v>2</v>
      </c>
      <c r="E387" s="19" t="n">
        <v>2</v>
      </c>
      <c r="F387" s="62" t="inlineStr">
        <is>
          <t>Market</t>
        </is>
      </c>
      <c r="G387" s="62" t="inlineStr">
        <is>
          <t>Occupied</t>
        </is>
      </c>
      <c r="H387" s="20" t="n">
        <v>1696</v>
      </c>
      <c r="I387" s="20" t="n">
        <v>1573</v>
      </c>
      <c r="J387" s="20" t="n">
        <v>1573</v>
      </c>
      <c r="K387" s="63" t="inlineStr">
        <is>
          <t>07/24/2025</t>
        </is>
      </c>
      <c r="L387" s="63" t="inlineStr">
        <is>
          <t>10/23/2026</t>
        </is>
      </c>
      <c r="M387" s="63" t="inlineStr">
        <is>
          <t>07/24/2025</t>
        </is>
      </c>
      <c r="O387" s="20" t="n">
        <v>1573</v>
      </c>
      <c r="P387" s="20" t="n"/>
      <c r="Q387" s="20" t="n">
        <v>75</v>
      </c>
      <c r="R387" s="20" t="n"/>
      <c r="S387" s="20" t="n"/>
      <c r="T387" s="20" t="n">
        <v>30</v>
      </c>
      <c r="U387" s="20" t="n">
        <v>1</v>
      </c>
      <c r="V387" s="20" t="n"/>
      <c r="W387" s="20" t="n"/>
      <c r="X387" s="20" t="n"/>
      <c r="Y387" s="20" t="n"/>
      <c r="Z387" s="20" t="n"/>
    </row>
    <row r="388">
      <c r="A388" s="64" t="inlineStr">
        <is>
          <t>3232</t>
        </is>
      </c>
      <c r="B388" s="64" t="inlineStr">
        <is>
          <t>B1</t>
        </is>
      </c>
      <c r="C388" s="11" t="n">
        <v>947</v>
      </c>
      <c r="D388" s="10" t="n">
        <v>2</v>
      </c>
      <c r="E388" s="10" t="n">
        <v>2</v>
      </c>
      <c r="F388" s="65" t="inlineStr">
        <is>
          <t>Market</t>
        </is>
      </c>
      <c r="G388" s="65" t="inlineStr">
        <is>
          <t>Occupied</t>
        </is>
      </c>
      <c r="H388" s="11" t="n">
        <v>1432</v>
      </c>
      <c r="I388" s="11" t="n">
        <v>1423</v>
      </c>
      <c r="J388" s="11" t="n">
        <v>1423</v>
      </c>
      <c r="K388" s="66" t="inlineStr">
        <is>
          <t>05/14/2026</t>
        </is>
      </c>
      <c r="L388" s="66" t="inlineStr">
        <is>
          <t>05/06/2027</t>
        </is>
      </c>
      <c r="M388" s="66" t="inlineStr">
        <is>
          <t>03/14/2025</t>
        </is>
      </c>
      <c r="O388" s="11" t="n">
        <v>1423</v>
      </c>
      <c r="P388" s="11" t="n">
        <v>35</v>
      </c>
      <c r="Q388" s="11" t="n"/>
      <c r="R388" s="11" t="n"/>
      <c r="S388" s="11" t="n"/>
      <c r="T388" s="11" t="n">
        <v>45</v>
      </c>
      <c r="U388" s="11" t="n">
        <v>3</v>
      </c>
      <c r="V388" s="11" t="n"/>
      <c r="W388" s="11" t="n"/>
      <c r="X388" s="11" t="n"/>
      <c r="Y388" s="11" t="n"/>
      <c r="Z388" s="11" t="n"/>
    </row>
    <row r="389">
      <c r="A389" s="61" t="inlineStr">
        <is>
          <t>3233</t>
        </is>
      </c>
      <c r="B389" s="61" t="inlineStr">
        <is>
          <t>B1</t>
        </is>
      </c>
      <c r="C389" s="20" t="n">
        <v>947</v>
      </c>
      <c r="D389" s="19" t="n">
        <v>2</v>
      </c>
      <c r="E389" s="19" t="n">
        <v>2</v>
      </c>
      <c r="F389" s="62" t="inlineStr">
        <is>
          <t>Market</t>
        </is>
      </c>
      <c r="G389" s="62" t="inlineStr">
        <is>
          <t>Occupied</t>
        </is>
      </c>
      <c r="H389" s="20" t="n">
        <v>1432</v>
      </c>
      <c r="I389" s="20" t="n">
        <v>1380</v>
      </c>
      <c r="J389" s="20" t="n">
        <v>1380</v>
      </c>
      <c r="K389" s="63" t="inlineStr">
        <is>
          <t>06/02/2025</t>
        </is>
      </c>
      <c r="L389" s="63" t="inlineStr">
        <is>
          <t>07/01/2026</t>
        </is>
      </c>
      <c r="M389" s="63" t="inlineStr">
        <is>
          <t>06/02/2025</t>
        </is>
      </c>
      <c r="O389" s="20" t="n">
        <v>1380</v>
      </c>
      <c r="P389" s="20" t="n"/>
      <c r="Q389" s="20" t="n"/>
      <c r="R389" s="20" t="n"/>
      <c r="S389" s="20" t="n"/>
      <c r="T389" s="20" t="n"/>
      <c r="U389" s="20" t="n">
        <v>1</v>
      </c>
      <c r="V389" s="20" t="n"/>
      <c r="W389" s="20" t="n"/>
      <c r="X389" s="20" t="n"/>
      <c r="Y389" s="20" t="n"/>
      <c r="Z389" s="20" t="n"/>
    </row>
    <row r="390">
      <c r="A390" s="64" t="inlineStr">
        <is>
          <t>3236</t>
        </is>
      </c>
      <c r="B390" s="64" t="inlineStr">
        <is>
          <t>B1</t>
        </is>
      </c>
      <c r="C390" s="11" t="n">
        <v>947</v>
      </c>
      <c r="D390" s="10" t="n">
        <v>2</v>
      </c>
      <c r="E390" s="10" t="n">
        <v>2</v>
      </c>
      <c r="F390" s="65" t="inlineStr">
        <is>
          <t>Market</t>
        </is>
      </c>
      <c r="G390" s="65" t="inlineStr">
        <is>
          <t>Occupied</t>
        </is>
      </c>
      <c r="H390" s="11" t="n">
        <v>1432</v>
      </c>
      <c r="I390" s="11" t="n">
        <v>1384</v>
      </c>
      <c r="J390" s="11" t="n">
        <v>1384</v>
      </c>
      <c r="K390" s="66" t="inlineStr">
        <is>
          <t>05/29/2025</t>
        </is>
      </c>
      <c r="L390" s="66" t="inlineStr">
        <is>
          <t>06/21/2026</t>
        </is>
      </c>
      <c r="M390" s="66" t="inlineStr">
        <is>
          <t>05/29/2025</t>
        </is>
      </c>
      <c r="O390" s="11" t="n">
        <v>1384</v>
      </c>
      <c r="P390" s="11" t="n"/>
      <c r="Q390" s="11" t="n"/>
      <c r="R390" s="11" t="n"/>
      <c r="S390" s="11" t="n"/>
      <c r="T390" s="11" t="n"/>
      <c r="U390" s="11" t="n">
        <v>1</v>
      </c>
      <c r="V390" s="11" t="n"/>
      <c r="W390" s="11" t="n"/>
      <c r="X390" s="11" t="n"/>
      <c r="Y390" s="11" t="n"/>
      <c r="Z390" s="11" t="n"/>
    </row>
    <row r="391">
      <c r="A391" s="61" t="inlineStr">
        <is>
          <t>3237</t>
        </is>
      </c>
      <c r="B391" s="61" t="inlineStr">
        <is>
          <t>B1</t>
        </is>
      </c>
      <c r="C391" s="20" t="n">
        <v>947</v>
      </c>
      <c r="D391" s="19" t="n">
        <v>2</v>
      </c>
      <c r="E391" s="19" t="n">
        <v>2</v>
      </c>
      <c r="F391" s="62" t="inlineStr">
        <is>
          <t>Market</t>
        </is>
      </c>
      <c r="G391" s="62" t="inlineStr">
        <is>
          <t>Occupied</t>
        </is>
      </c>
      <c r="H391" s="20" t="n">
        <v>1432</v>
      </c>
      <c r="I391" s="20" t="n">
        <v>1290</v>
      </c>
      <c r="J391" s="20" t="n">
        <v>1290</v>
      </c>
      <c r="K391" s="63" t="inlineStr">
        <is>
          <t>05/21/2026</t>
        </is>
      </c>
      <c r="L391" s="63" t="inlineStr">
        <is>
          <t>06/20/2027</t>
        </is>
      </c>
      <c r="M391" s="63" t="inlineStr">
        <is>
          <t>05/21/2026</t>
        </is>
      </c>
      <c r="O391" s="20" t="n">
        <v>1290</v>
      </c>
      <c r="P391" s="20" t="n">
        <v>35</v>
      </c>
      <c r="Q391" s="20" t="n"/>
      <c r="R391" s="20" t="n"/>
      <c r="S391" s="20" t="n"/>
      <c r="T391" s="20" t="n"/>
      <c r="U391" s="20" t="n">
        <v>3</v>
      </c>
      <c r="V391" s="20" t="n"/>
      <c r="W391" s="20" t="n"/>
      <c r="X391" s="20" t="n"/>
      <c r="Y391" s="20" t="n"/>
      <c r="Z391" s="20" t="n"/>
    </row>
    <row r="392">
      <c r="A392" s="64" t="inlineStr">
        <is>
          <t>3311</t>
        </is>
      </c>
      <c r="B392" s="64" t="inlineStr">
        <is>
          <t>A2</t>
        </is>
      </c>
      <c r="C392" s="11" t="n">
        <v>777</v>
      </c>
      <c r="D392" s="10" t="n">
        <v>1</v>
      </c>
      <c r="E392" s="10" t="n">
        <v>1</v>
      </c>
      <c r="F392" s="65" t="inlineStr">
        <is>
          <t>Market</t>
        </is>
      </c>
      <c r="G392" s="65" t="inlineStr">
        <is>
          <t>Occupied</t>
        </is>
      </c>
      <c r="H392" s="11" t="n">
        <v>1227</v>
      </c>
      <c r="I392" s="11" t="n">
        <v>1383</v>
      </c>
      <c r="J392" s="11" t="n">
        <v>1383</v>
      </c>
      <c r="K392" s="66" t="inlineStr">
        <is>
          <t>06/15/2025</t>
        </is>
      </c>
      <c r="L392" s="66" t="inlineStr">
        <is>
          <t>09/14/2026</t>
        </is>
      </c>
      <c r="M392" s="66" t="inlineStr">
        <is>
          <t>03/15/2024</t>
        </is>
      </c>
      <c r="O392" s="11" t="n">
        <v>1383</v>
      </c>
      <c r="P392" s="11" t="n"/>
      <c r="Q392" s="11" t="n"/>
      <c r="R392" s="11" t="n"/>
      <c r="S392" s="11" t="n"/>
      <c r="T392" s="11" t="n">
        <v>30</v>
      </c>
      <c r="U392" s="11" t="n">
        <v>1</v>
      </c>
      <c r="V392" s="11" t="n"/>
      <c r="W392" s="11" t="n"/>
      <c r="X392" s="11" t="n"/>
      <c r="Y392" s="11" t="n"/>
      <c r="Z392" s="11" t="n"/>
    </row>
    <row r="393">
      <c r="A393" s="61" t="inlineStr">
        <is>
          <t>3312</t>
        </is>
      </c>
      <c r="B393" s="61" t="inlineStr">
        <is>
          <t>A2</t>
        </is>
      </c>
      <c r="C393" s="20" t="n">
        <v>777</v>
      </c>
      <c r="D393" s="19" t="n">
        <v>1</v>
      </c>
      <c r="E393" s="19" t="n">
        <v>1</v>
      </c>
      <c r="F393" s="62" t="inlineStr">
        <is>
          <t>Market</t>
        </is>
      </c>
      <c r="G393" s="62" t="inlineStr">
        <is>
          <t>Occupied</t>
        </is>
      </c>
      <c r="H393" s="20" t="n">
        <v>1227</v>
      </c>
      <c r="I393" s="20" t="n">
        <v>1440</v>
      </c>
      <c r="J393" s="20" t="n">
        <v>1440</v>
      </c>
      <c r="K393" s="63" t="inlineStr">
        <is>
          <t>01/31/2026</t>
        </is>
      </c>
      <c r="L393" s="63" t="inlineStr">
        <is>
          <t>04/29/2027</t>
        </is>
      </c>
      <c r="M393" s="63" t="inlineStr">
        <is>
          <t>11/24/2024</t>
        </is>
      </c>
      <c r="O393" s="20" t="n">
        <v>1440</v>
      </c>
      <c r="P393" s="20" t="n"/>
      <c r="Q393" s="20" t="n"/>
      <c r="R393" s="20" t="n"/>
      <c r="S393" s="20" t="n"/>
      <c r="T393" s="20" t="n"/>
      <c r="U393" s="20" t="n">
        <v>3</v>
      </c>
      <c r="V393" s="20" t="n"/>
      <c r="W393" s="20" t="n"/>
      <c r="X393" s="20" t="n"/>
      <c r="Y393" s="20" t="n"/>
      <c r="Z393" s="20" t="n"/>
    </row>
    <row r="394">
      <c r="A394" s="64" t="inlineStr">
        <is>
          <t>3313</t>
        </is>
      </c>
      <c r="B394" s="64" t="inlineStr">
        <is>
          <t>A2</t>
        </is>
      </c>
      <c r="C394" s="11" t="n">
        <v>777</v>
      </c>
      <c r="D394" s="10" t="n">
        <v>1</v>
      </c>
      <c r="E394" s="10" t="n">
        <v>1</v>
      </c>
      <c r="F394" s="65" t="inlineStr">
        <is>
          <t>Market</t>
        </is>
      </c>
      <c r="G394" s="65" t="inlineStr">
        <is>
          <t>Occupied</t>
        </is>
      </c>
      <c r="H394" s="11" t="n">
        <v>1227</v>
      </c>
      <c r="I394" s="11" t="n">
        <v>1144</v>
      </c>
      <c r="J394" s="11" t="n">
        <v>1144</v>
      </c>
      <c r="K394" s="66" t="inlineStr">
        <is>
          <t>03/03/2026</t>
        </is>
      </c>
      <c r="L394" s="66" t="inlineStr">
        <is>
          <t>06/02/2027</t>
        </is>
      </c>
      <c r="M394" s="66" t="inlineStr">
        <is>
          <t>03/03/2026</t>
        </is>
      </c>
      <c r="O394" s="11" t="n">
        <v>1144</v>
      </c>
      <c r="P394" s="11" t="n">
        <v>35</v>
      </c>
      <c r="Q394" s="11" t="n"/>
      <c r="R394" s="11" t="n"/>
      <c r="S394" s="11" t="n"/>
      <c r="T394" s="11" t="n"/>
      <c r="U394" s="11" t="n">
        <v>3</v>
      </c>
      <c r="V394" s="11" t="n"/>
      <c r="W394" s="11" t="n"/>
      <c r="X394" s="11" t="n"/>
      <c r="Y394" s="11" t="n"/>
      <c r="Z394" s="11" t="n"/>
    </row>
    <row r="395">
      <c r="A395" s="61" t="inlineStr">
        <is>
          <t>3314</t>
        </is>
      </c>
      <c r="B395" s="61" t="inlineStr">
        <is>
          <t>A2</t>
        </is>
      </c>
      <c r="C395" s="20" t="n">
        <v>777</v>
      </c>
      <c r="D395" s="19" t="n">
        <v>1</v>
      </c>
      <c r="E395" s="19" t="n">
        <v>1</v>
      </c>
      <c r="F395" s="62" t="inlineStr">
        <is>
          <t>Market</t>
        </is>
      </c>
      <c r="G395" s="62" t="inlineStr">
        <is>
          <t>Occupied</t>
        </is>
      </c>
      <c r="H395" s="20" t="n">
        <v>1227</v>
      </c>
      <c r="I395" s="20" t="n">
        <v>1243</v>
      </c>
      <c r="J395" s="20" t="n">
        <v>1243</v>
      </c>
      <c r="K395" s="63" t="inlineStr">
        <is>
          <t>06/19/2025</t>
        </is>
      </c>
      <c r="L395" s="63" t="inlineStr">
        <is>
          <t>08/18/2026</t>
        </is>
      </c>
      <c r="M395" s="63" t="inlineStr">
        <is>
          <t>06/19/2025</t>
        </is>
      </c>
      <c r="O395" s="20" t="n">
        <v>1243</v>
      </c>
      <c r="P395" s="20" t="n"/>
      <c r="Q395" s="20" t="n"/>
      <c r="R395" s="20" t="n"/>
      <c r="S395" s="20" t="n"/>
      <c r="T395" s="20" t="n"/>
      <c r="U395" s="20" t="n">
        <v>1</v>
      </c>
      <c r="V395" s="20" t="n"/>
      <c r="W395" s="20" t="n"/>
      <c r="X395" s="20" t="n"/>
      <c r="Y395" s="20" t="n"/>
      <c r="Z395" s="20" t="n"/>
    </row>
    <row r="396">
      <c r="A396" s="64" t="inlineStr">
        <is>
          <t>3315</t>
        </is>
      </c>
      <c r="B396" s="64" t="inlineStr">
        <is>
          <t>A2</t>
        </is>
      </c>
      <c r="C396" s="11" t="n">
        <v>777</v>
      </c>
      <c r="D396" s="10" t="n">
        <v>1</v>
      </c>
      <c r="E396" s="10" t="n">
        <v>1</v>
      </c>
      <c r="F396" s="65" t="inlineStr">
        <is>
          <t>Market</t>
        </is>
      </c>
      <c r="G396" s="65" t="inlineStr">
        <is>
          <t>Occupied</t>
        </is>
      </c>
      <c r="H396" s="11" t="n">
        <v>1227</v>
      </c>
      <c r="I396" s="11" t="n">
        <v>1364</v>
      </c>
      <c r="J396" s="11" t="n">
        <v>1364</v>
      </c>
      <c r="K396" s="66" t="inlineStr">
        <is>
          <t>06/01/2025</t>
        </is>
      </c>
      <c r="L396" s="66" t="inlineStr">
        <is>
          <t>08/31/2026</t>
        </is>
      </c>
      <c r="M396" s="66" t="inlineStr">
        <is>
          <t>12/01/2022</t>
        </is>
      </c>
      <c r="O396" s="11" t="n">
        <v>1364</v>
      </c>
      <c r="P396" s="11" t="n"/>
      <c r="Q396" s="11" t="n"/>
      <c r="R396" s="11" t="n"/>
      <c r="S396" s="11" t="n"/>
      <c r="T396" s="11" t="n"/>
      <c r="U396" s="11" t="n">
        <v>1</v>
      </c>
      <c r="V396" s="11" t="n"/>
      <c r="W396" s="11" t="n"/>
      <c r="X396" s="11" t="n"/>
      <c r="Y396" s="11" t="n"/>
      <c r="Z396" s="11" t="n"/>
    </row>
    <row r="397">
      <c r="A397" s="61" t="inlineStr">
        <is>
          <t>3316</t>
        </is>
      </c>
      <c r="B397" s="61" t="inlineStr">
        <is>
          <t>A2</t>
        </is>
      </c>
      <c r="C397" s="20" t="n">
        <v>777</v>
      </c>
      <c r="D397" s="19" t="n">
        <v>1</v>
      </c>
      <c r="E397" s="19" t="n">
        <v>1</v>
      </c>
      <c r="F397" s="62" t="inlineStr">
        <is>
          <t>Market</t>
        </is>
      </c>
      <c r="G397" s="62" t="inlineStr">
        <is>
          <t>Occupied</t>
        </is>
      </c>
      <c r="H397" s="20" t="n">
        <v>1227</v>
      </c>
      <c r="I397" s="20" t="n">
        <v>1240</v>
      </c>
      <c r="J397" s="20" t="n">
        <v>1240</v>
      </c>
      <c r="K397" s="63" t="inlineStr">
        <is>
          <t>04/11/2026</t>
        </is>
      </c>
      <c r="L397" s="63" t="inlineStr">
        <is>
          <t>05/10/2027</t>
        </is>
      </c>
      <c r="M397" s="63" t="inlineStr">
        <is>
          <t>04/11/2026</t>
        </is>
      </c>
      <c r="O397" s="20" t="n">
        <v>1240</v>
      </c>
      <c r="P397" s="20" t="n">
        <v>35</v>
      </c>
      <c r="Q397" s="20" t="n"/>
      <c r="R397" s="20" t="n"/>
      <c r="S397" s="20" t="n"/>
      <c r="T397" s="20" t="n"/>
      <c r="U397" s="20" t="n">
        <v>3</v>
      </c>
      <c r="V397" s="20" t="n"/>
      <c r="W397" s="20" t="n"/>
      <c r="X397" s="20" t="n"/>
      <c r="Y397" s="20" t="n"/>
      <c r="Z397" s="20" t="n"/>
    </row>
    <row r="398">
      <c r="A398" s="64" t="inlineStr">
        <is>
          <t>3317</t>
        </is>
      </c>
      <c r="B398" s="64" t="inlineStr">
        <is>
          <t>A2</t>
        </is>
      </c>
      <c r="C398" s="11" t="n">
        <v>777</v>
      </c>
      <c r="D398" s="10" t="n">
        <v>1</v>
      </c>
      <c r="E398" s="10" t="n">
        <v>1</v>
      </c>
      <c r="F398" s="65" t="inlineStr">
        <is>
          <t>Market</t>
        </is>
      </c>
      <c r="G398" s="65" t="inlineStr">
        <is>
          <t>Occupied</t>
        </is>
      </c>
      <c r="H398" s="11" t="n">
        <v>1227</v>
      </c>
      <c r="I398" s="11" t="n">
        <v>1337</v>
      </c>
      <c r="J398" s="11" t="n">
        <v>1337</v>
      </c>
      <c r="K398" s="66" t="inlineStr">
        <is>
          <t>05/02/2026</t>
        </is>
      </c>
      <c r="L398" s="66" t="inlineStr">
        <is>
          <t>08/01/2027</t>
        </is>
      </c>
      <c r="M398" s="66" t="inlineStr">
        <is>
          <t>02/09/2025</t>
        </is>
      </c>
      <c r="O398" s="11" t="n">
        <v>1337</v>
      </c>
      <c r="P398" s="11" t="n">
        <v>35</v>
      </c>
      <c r="Q398" s="11" t="n"/>
      <c r="R398" s="11" t="n"/>
      <c r="S398" s="11" t="n"/>
      <c r="T398" s="11" t="n"/>
      <c r="U398" s="11" t="n">
        <v>3</v>
      </c>
      <c r="V398" s="11" t="n"/>
      <c r="W398" s="11" t="n"/>
      <c r="X398" s="11" t="n"/>
      <c r="Y398" s="11" t="n"/>
      <c r="Z398" s="11" t="n"/>
    </row>
    <row r="399">
      <c r="A399" s="61" t="inlineStr">
        <is>
          <t>3318</t>
        </is>
      </c>
      <c r="B399" s="61" t="inlineStr">
        <is>
          <t>A2</t>
        </is>
      </c>
      <c r="C399" s="20" t="n">
        <v>777</v>
      </c>
      <c r="D399" s="19" t="n">
        <v>1</v>
      </c>
      <c r="E399" s="19" t="n">
        <v>1</v>
      </c>
      <c r="F399" s="62" t="inlineStr">
        <is>
          <t>Market</t>
        </is>
      </c>
      <c r="G399" s="62" t="inlineStr">
        <is>
          <t>Occupied</t>
        </is>
      </c>
      <c r="H399" s="20" t="n">
        <v>1227</v>
      </c>
      <c r="I399" s="20" t="n">
        <v>1377</v>
      </c>
      <c r="J399" s="20" t="n">
        <v>1377</v>
      </c>
      <c r="K399" s="63" t="inlineStr">
        <is>
          <t>08/15/2025</t>
        </is>
      </c>
      <c r="L399" s="63" t="inlineStr">
        <is>
          <t>10/07/2026</t>
        </is>
      </c>
      <c r="M399" s="63" t="inlineStr">
        <is>
          <t>08/15/2023</t>
        </is>
      </c>
      <c r="O399" s="20" t="n">
        <v>1377</v>
      </c>
      <c r="P399" s="20" t="n"/>
      <c r="Q399" s="20" t="n"/>
      <c r="R399" s="20" t="n"/>
      <c r="S399" s="20" t="n"/>
      <c r="T399" s="20" t="n">
        <v>30</v>
      </c>
      <c r="U399" s="20" t="n">
        <v>1</v>
      </c>
      <c r="V399" s="20" t="n"/>
      <c r="W399" s="20" t="n"/>
      <c r="X399" s="20" t="n"/>
      <c r="Y399" s="20" t="n"/>
      <c r="Z399" s="20" t="n"/>
    </row>
    <row r="400">
      <c r="A400" s="64" t="inlineStr">
        <is>
          <t>3321</t>
        </is>
      </c>
      <c r="B400" s="64" t="inlineStr">
        <is>
          <t>A2</t>
        </is>
      </c>
      <c r="C400" s="11" t="n">
        <v>777</v>
      </c>
      <c r="D400" s="10" t="n">
        <v>1</v>
      </c>
      <c r="E400" s="10" t="n">
        <v>1</v>
      </c>
      <c r="F400" s="65" t="inlineStr">
        <is>
          <t>Market</t>
        </is>
      </c>
      <c r="G400" s="65" t="inlineStr">
        <is>
          <t>Occupied</t>
        </is>
      </c>
      <c r="H400" s="11" t="n">
        <v>1247</v>
      </c>
      <c r="I400" s="11" t="n">
        <v>1255</v>
      </c>
      <c r="J400" s="11" t="n">
        <v>1255</v>
      </c>
      <c r="K400" s="66" t="inlineStr">
        <is>
          <t>04/03/2026</t>
        </is>
      </c>
      <c r="L400" s="66" t="inlineStr">
        <is>
          <t>07/02/2027</t>
        </is>
      </c>
      <c r="M400" s="66" t="inlineStr">
        <is>
          <t>01/03/2025</t>
        </is>
      </c>
      <c r="O400" s="11" t="n">
        <v>1255</v>
      </c>
      <c r="P400" s="11" t="n">
        <v>35</v>
      </c>
      <c r="Q400" s="11" t="n">
        <v>125</v>
      </c>
      <c r="R400" s="11" t="n"/>
      <c r="S400" s="11" t="n"/>
      <c r="T400" s="11" t="n">
        <v>45</v>
      </c>
      <c r="U400" s="11" t="n">
        <v>3</v>
      </c>
      <c r="V400" s="11" t="n"/>
      <c r="W400" s="11" t="n"/>
      <c r="X400" s="11" t="n"/>
      <c r="Y400" s="11" t="n"/>
      <c r="Z400" s="11" t="n"/>
    </row>
    <row r="401">
      <c r="A401" s="61" t="inlineStr">
        <is>
          <t>3322</t>
        </is>
      </c>
      <c r="B401" s="61" t="inlineStr">
        <is>
          <t>A2</t>
        </is>
      </c>
      <c r="C401" s="20" t="n">
        <v>777</v>
      </c>
      <c r="D401" s="19" t="n">
        <v>1</v>
      </c>
      <c r="E401" s="19" t="n">
        <v>1</v>
      </c>
      <c r="F401" s="62" t="inlineStr">
        <is>
          <t>Market</t>
        </is>
      </c>
      <c r="G401" s="62" t="inlineStr">
        <is>
          <t>Occupied</t>
        </is>
      </c>
      <c r="H401" s="20" t="n">
        <v>1207</v>
      </c>
      <c r="I401" s="20" t="n">
        <v>1314</v>
      </c>
      <c r="J401" s="20" t="n">
        <v>1314</v>
      </c>
      <c r="K401" s="63" t="inlineStr">
        <is>
          <t>09/13/2025</t>
        </is>
      </c>
      <c r="L401" s="63" t="inlineStr">
        <is>
          <t>12/12/2026</t>
        </is>
      </c>
      <c r="M401" s="63" t="inlineStr">
        <is>
          <t>07/13/2024</t>
        </is>
      </c>
      <c r="O401" s="20" t="n">
        <v>1314</v>
      </c>
      <c r="P401" s="20" t="n"/>
      <c r="Q401" s="20" t="n"/>
      <c r="R401" s="20" t="n"/>
      <c r="S401" s="20" t="n"/>
      <c r="T401" s="20" t="n"/>
      <c r="U401" s="20" t="n">
        <v>1</v>
      </c>
      <c r="V401" s="20" t="n"/>
      <c r="W401" s="20" t="n"/>
      <c r="X401" s="20" t="n"/>
      <c r="Y401" s="20" t="n"/>
      <c r="Z401" s="20" t="n"/>
    </row>
    <row r="402">
      <c r="A402" s="64" t="inlineStr">
        <is>
          <t>3323</t>
        </is>
      </c>
      <c r="B402" s="64" t="inlineStr">
        <is>
          <t>A2</t>
        </is>
      </c>
      <c r="C402" s="11" t="n">
        <v>777</v>
      </c>
      <c r="D402" s="10" t="n">
        <v>1</v>
      </c>
      <c r="E402" s="10" t="n">
        <v>1</v>
      </c>
      <c r="F402" s="65" t="inlineStr">
        <is>
          <t>Market</t>
        </is>
      </c>
      <c r="G402" s="65" t="inlineStr">
        <is>
          <t>Occupied</t>
        </is>
      </c>
      <c r="H402" s="11" t="n">
        <v>1207</v>
      </c>
      <c r="I402" s="11" t="n">
        <v>1047</v>
      </c>
      <c r="J402" s="11" t="n">
        <v>1047</v>
      </c>
      <c r="K402" s="66" t="inlineStr">
        <is>
          <t>11/28/2025</t>
        </is>
      </c>
      <c r="L402" s="66" t="inlineStr">
        <is>
          <t>02/27/2027</t>
        </is>
      </c>
      <c r="M402" s="66" t="inlineStr">
        <is>
          <t>11/28/2025</t>
        </is>
      </c>
      <c r="O402" s="11" t="n">
        <v>1047</v>
      </c>
      <c r="P402" s="11" t="n"/>
      <c r="Q402" s="11" t="n"/>
      <c r="R402" s="11" t="n"/>
      <c r="S402" s="11" t="n"/>
      <c r="T402" s="11" t="n"/>
      <c r="U402" s="11" t="n">
        <v>3</v>
      </c>
      <c r="V402" s="11" t="n"/>
      <c r="W402" s="11" t="n"/>
      <c r="X402" s="11" t="n"/>
      <c r="Y402" s="11" t="n"/>
      <c r="Z402" s="11" t="n"/>
    </row>
    <row r="403">
      <c r="A403" s="61" t="inlineStr">
        <is>
          <t>3324</t>
        </is>
      </c>
      <c r="B403" s="61" t="inlineStr">
        <is>
          <t>A2</t>
        </is>
      </c>
      <c r="C403" s="20" t="n">
        <v>777</v>
      </c>
      <c r="D403" s="19" t="n">
        <v>1</v>
      </c>
      <c r="E403" s="19" t="n">
        <v>1</v>
      </c>
      <c r="F403" s="62" t="inlineStr">
        <is>
          <t>Market</t>
        </is>
      </c>
      <c r="G403" s="62" t="inlineStr">
        <is>
          <t>Occupied</t>
        </is>
      </c>
      <c r="H403" s="20" t="n">
        <v>1207</v>
      </c>
      <c r="I403" s="20" t="n">
        <v>1369</v>
      </c>
      <c r="J403" s="20" t="n">
        <v>1369</v>
      </c>
      <c r="K403" s="63" t="inlineStr">
        <is>
          <t>04/15/2026</t>
        </is>
      </c>
      <c r="L403" s="63" t="inlineStr">
        <is>
          <t>07/14/2027</t>
        </is>
      </c>
      <c r="M403" s="63" t="inlineStr">
        <is>
          <t>04/14/2023</t>
        </is>
      </c>
      <c r="O403" s="20" t="n">
        <v>1369</v>
      </c>
      <c r="P403" s="20" t="n">
        <v>35</v>
      </c>
      <c r="Q403" s="20" t="n"/>
      <c r="R403" s="20" t="n"/>
      <c r="S403" s="20" t="n"/>
      <c r="T403" s="20" t="n"/>
      <c r="U403" s="20" t="n">
        <v>3</v>
      </c>
      <c r="V403" s="20" t="n"/>
      <c r="W403" s="20" t="n"/>
      <c r="X403" s="20" t="n"/>
      <c r="Y403" s="20" t="n"/>
      <c r="Z403" s="20" t="n"/>
    </row>
    <row r="404">
      <c r="A404" s="64" t="inlineStr">
        <is>
          <t>3325</t>
        </is>
      </c>
      <c r="B404" s="64" t="inlineStr">
        <is>
          <t>A2</t>
        </is>
      </c>
      <c r="C404" s="11" t="n">
        <v>777</v>
      </c>
      <c r="D404" s="10" t="n">
        <v>1</v>
      </c>
      <c r="E404" s="10" t="n">
        <v>1</v>
      </c>
      <c r="F404" s="65" t="inlineStr">
        <is>
          <t>Market</t>
        </is>
      </c>
      <c r="G404" s="65" t="inlineStr">
        <is>
          <t>Occupied</t>
        </is>
      </c>
      <c r="H404" s="11" t="n">
        <v>1207</v>
      </c>
      <c r="I404" s="11" t="n">
        <v>1230</v>
      </c>
      <c r="J404" s="11" t="n">
        <v>1230</v>
      </c>
      <c r="K404" s="66" t="inlineStr">
        <is>
          <t>04/01/2025</t>
        </is>
      </c>
      <c r="L404" s="66" t="inlineStr">
        <is>
          <t>06/30/2026</t>
        </is>
      </c>
      <c r="M404" s="66" t="inlineStr">
        <is>
          <t>04/01/2020</t>
        </is>
      </c>
      <c r="O404" s="11" t="n">
        <v>1230</v>
      </c>
      <c r="P404" s="11" t="n"/>
      <c r="Q404" s="11" t="n">
        <v>100</v>
      </c>
      <c r="R404" s="11" t="n"/>
      <c r="S404" s="11" t="n"/>
      <c r="T404" s="11" t="n"/>
      <c r="U404" s="11" t="n">
        <v>1</v>
      </c>
      <c r="V404" s="11" t="n"/>
      <c r="W404" s="11" t="n"/>
      <c r="X404" s="11" t="n"/>
      <c r="Y404" s="11" t="n"/>
      <c r="Z404" s="11" t="n"/>
    </row>
    <row r="405">
      <c r="A405" s="61" t="inlineStr">
        <is>
          <t>3326</t>
        </is>
      </c>
      <c r="B405" s="61" t="inlineStr">
        <is>
          <t>A2</t>
        </is>
      </c>
      <c r="C405" s="20" t="n">
        <v>777</v>
      </c>
      <c r="D405" s="19" t="n">
        <v>1</v>
      </c>
      <c r="E405" s="19" t="n">
        <v>1</v>
      </c>
      <c r="F405" s="62" t="inlineStr">
        <is>
          <t>Market</t>
        </is>
      </c>
      <c r="G405" s="62" t="inlineStr">
        <is>
          <t>Occupied</t>
        </is>
      </c>
      <c r="H405" s="20" t="n">
        <v>1207</v>
      </c>
      <c r="I405" s="20" t="n">
        <v>1180</v>
      </c>
      <c r="J405" s="20" t="n">
        <v>1180</v>
      </c>
      <c r="K405" s="63" t="inlineStr">
        <is>
          <t>05/15/2026</t>
        </is>
      </c>
      <c r="L405" s="63" t="inlineStr">
        <is>
          <t>06/07/2027</t>
        </is>
      </c>
      <c r="M405" s="63" t="inlineStr">
        <is>
          <t>05/15/2026</t>
        </is>
      </c>
      <c r="O405" s="20" t="n">
        <v>1180</v>
      </c>
      <c r="P405" s="20" t="n">
        <v>35</v>
      </c>
      <c r="Q405" s="20" t="n"/>
      <c r="R405" s="20" t="n"/>
      <c r="S405" s="20" t="n"/>
      <c r="T405" s="20" t="n"/>
      <c r="U405" s="20" t="n">
        <v>3</v>
      </c>
      <c r="V405" s="20" t="n"/>
      <c r="W405" s="20" t="n"/>
      <c r="X405" s="20" t="n"/>
      <c r="Y405" s="20" t="n"/>
      <c r="Z405" s="20" t="n"/>
    </row>
    <row r="406">
      <c r="A406" s="64" t="inlineStr">
        <is>
          <t>3327</t>
        </is>
      </c>
      <c r="B406" s="64" t="inlineStr">
        <is>
          <t>A2</t>
        </is>
      </c>
      <c r="C406" s="11" t="n">
        <v>777</v>
      </c>
      <c r="D406" s="10" t="n">
        <v>1</v>
      </c>
      <c r="E406" s="10" t="n">
        <v>1</v>
      </c>
      <c r="F406" s="65" t="inlineStr">
        <is>
          <t>Market</t>
        </is>
      </c>
      <c r="G406" s="65" t="inlineStr">
        <is>
          <t>Occupied</t>
        </is>
      </c>
      <c r="H406" s="11" t="n">
        <v>1207</v>
      </c>
      <c r="I406" s="11" t="n">
        <v>1151</v>
      </c>
      <c r="J406" s="11" t="n">
        <v>1151</v>
      </c>
      <c r="K406" s="66" t="inlineStr">
        <is>
          <t>02/06/2026</t>
        </is>
      </c>
      <c r="L406" s="66" t="inlineStr">
        <is>
          <t>05/05/2027</t>
        </is>
      </c>
      <c r="M406" s="66" t="inlineStr">
        <is>
          <t>02/06/2026</t>
        </is>
      </c>
      <c r="O406" s="11" t="n">
        <v>1151</v>
      </c>
      <c r="P406" s="11" t="n">
        <v>35</v>
      </c>
      <c r="Q406" s="11" t="n">
        <v>75</v>
      </c>
      <c r="R406" s="11" t="n"/>
      <c r="S406" s="11" t="n"/>
      <c r="T406" s="11" t="n"/>
      <c r="U406" s="11" t="n">
        <v>3</v>
      </c>
      <c r="V406" s="11" t="n"/>
      <c r="W406" s="11" t="n"/>
      <c r="X406" s="11" t="n"/>
      <c r="Y406" s="11" t="n"/>
      <c r="Z406" s="11" t="n"/>
    </row>
    <row r="407">
      <c r="A407" s="61" t="inlineStr">
        <is>
          <t>3328</t>
        </is>
      </c>
      <c r="B407" s="61" t="inlineStr">
        <is>
          <t>A2</t>
        </is>
      </c>
      <c r="C407" s="20" t="n">
        <v>777</v>
      </c>
      <c r="D407" s="19" t="n">
        <v>1</v>
      </c>
      <c r="E407" s="19" t="n">
        <v>1</v>
      </c>
      <c r="F407" s="62" t="inlineStr">
        <is>
          <t>Market</t>
        </is>
      </c>
      <c r="G407" s="62" t="inlineStr">
        <is>
          <t>Occupied</t>
        </is>
      </c>
      <c r="H407" s="20" t="n">
        <v>1207</v>
      </c>
      <c r="I407" s="20" t="n">
        <v>1255</v>
      </c>
      <c r="J407" s="20" t="n">
        <v>1255</v>
      </c>
      <c r="K407" s="63" t="inlineStr">
        <is>
          <t>04/13/2026</t>
        </is>
      </c>
      <c r="L407" s="63" t="inlineStr">
        <is>
          <t>05/12/2027</t>
        </is>
      </c>
      <c r="M407" s="63" t="inlineStr">
        <is>
          <t>01/13/2025</t>
        </is>
      </c>
      <c r="O407" s="20" t="n">
        <v>1255</v>
      </c>
      <c r="P407" s="20" t="n">
        <v>35</v>
      </c>
      <c r="Q407" s="20" t="n"/>
      <c r="R407" s="20" t="n"/>
      <c r="S407" s="20" t="n"/>
      <c r="T407" s="20" t="n"/>
      <c r="U407" s="20" t="n">
        <v>3</v>
      </c>
      <c r="V407" s="20" t="n"/>
      <c r="W407" s="20" t="n"/>
      <c r="X407" s="20" t="n"/>
      <c r="Y407" s="20" t="n"/>
      <c r="Z407" s="20" t="n"/>
    </row>
    <row r="408">
      <c r="A408" s="64" t="inlineStr">
        <is>
          <t>3332</t>
        </is>
      </c>
      <c r="B408" s="64" t="inlineStr">
        <is>
          <t>A2</t>
        </is>
      </c>
      <c r="C408" s="11" t="n">
        <v>777</v>
      </c>
      <c r="D408" s="10" t="n">
        <v>1</v>
      </c>
      <c r="E408" s="10" t="n">
        <v>1</v>
      </c>
      <c r="F408" s="65" t="inlineStr">
        <is>
          <t>Market</t>
        </is>
      </c>
      <c r="G408" s="65" t="inlineStr">
        <is>
          <t>Occupied</t>
        </is>
      </c>
      <c r="H408" s="11" t="n">
        <v>1207</v>
      </c>
      <c r="I408" s="11" t="n">
        <v>1153</v>
      </c>
      <c r="J408" s="11" t="n">
        <v>1153</v>
      </c>
      <c r="K408" s="66" t="inlineStr">
        <is>
          <t>12/22/2025</t>
        </is>
      </c>
      <c r="L408" s="66" t="inlineStr">
        <is>
          <t>12/21/2026</t>
        </is>
      </c>
      <c r="M408" s="66" t="inlineStr">
        <is>
          <t>12/22/2025</t>
        </is>
      </c>
      <c r="O408" s="11" t="n">
        <v>1153</v>
      </c>
      <c r="P408" s="11" t="n">
        <v>35</v>
      </c>
      <c r="Q408" s="11" t="n"/>
      <c r="R408" s="11" t="n"/>
      <c r="S408" s="11" t="n"/>
      <c r="T408" s="11" t="n">
        <v>45</v>
      </c>
      <c r="U408" s="11" t="n">
        <v>3</v>
      </c>
      <c r="V408" s="11" t="n"/>
      <c r="W408" s="11" t="n"/>
      <c r="X408" s="11" t="n"/>
      <c r="Y408" s="11" t="n"/>
      <c r="Z408" s="11" t="n"/>
    </row>
    <row r="409">
      <c r="A409" s="61" t="inlineStr">
        <is>
          <t>3333</t>
        </is>
      </c>
      <c r="B409" s="61" t="inlineStr">
        <is>
          <t>A2</t>
        </is>
      </c>
      <c r="C409" s="20" t="n">
        <v>777</v>
      </c>
      <c r="D409" s="19" t="n">
        <v>1</v>
      </c>
      <c r="E409" s="19" t="n">
        <v>1</v>
      </c>
      <c r="F409" s="62" t="inlineStr">
        <is>
          <t>Market</t>
        </is>
      </c>
      <c r="G409" s="62" t="inlineStr">
        <is>
          <t>Occupied</t>
        </is>
      </c>
      <c r="H409" s="20" t="n">
        <v>1207</v>
      </c>
      <c r="I409" s="20" t="n">
        <v>1295</v>
      </c>
      <c r="J409" s="20" t="n">
        <v>1295</v>
      </c>
      <c r="K409" s="63" t="inlineStr">
        <is>
          <t>10/24/2025</t>
        </is>
      </c>
      <c r="L409" s="63" t="inlineStr">
        <is>
          <t>01/23/2027</t>
        </is>
      </c>
      <c r="M409" s="63" t="inlineStr">
        <is>
          <t>10/24/2025</t>
        </is>
      </c>
      <c r="O409" s="20" t="n">
        <v>1295</v>
      </c>
      <c r="P409" s="20" t="n"/>
      <c r="Q409" s="20" t="n"/>
      <c r="R409" s="20" t="n"/>
      <c r="S409" s="20" t="n"/>
      <c r="T409" s="20" t="n"/>
      <c r="U409" s="20" t="n">
        <v>1</v>
      </c>
      <c r="V409" s="20" t="n"/>
      <c r="W409" s="20" t="n"/>
      <c r="X409" s="20" t="n"/>
      <c r="Y409" s="20" t="n"/>
      <c r="Z409" s="20" t="n"/>
    </row>
    <row r="410">
      <c r="A410" s="64" t="inlineStr">
        <is>
          <t>3336</t>
        </is>
      </c>
      <c r="B410" s="64" t="inlineStr">
        <is>
          <t>A2</t>
        </is>
      </c>
      <c r="C410" s="11" t="n">
        <v>777</v>
      </c>
      <c r="D410" s="10" t="n">
        <v>1</v>
      </c>
      <c r="E410" s="10" t="n">
        <v>1</v>
      </c>
      <c r="F410" s="65" t="inlineStr">
        <is>
          <t>Market</t>
        </is>
      </c>
      <c r="G410" s="65" t="inlineStr">
        <is>
          <t>Occupied</t>
        </is>
      </c>
      <c r="H410" s="11" t="n">
        <v>1207</v>
      </c>
      <c r="I410" s="11" t="n">
        <v>1148</v>
      </c>
      <c r="J410" s="11" t="n">
        <v>1148</v>
      </c>
      <c r="K410" s="66" t="inlineStr">
        <is>
          <t>05/15/2026</t>
        </is>
      </c>
      <c r="L410" s="66" t="inlineStr">
        <is>
          <t>06/14/2027</t>
        </is>
      </c>
      <c r="M410" s="66" t="inlineStr">
        <is>
          <t>05/15/2026</t>
        </is>
      </c>
      <c r="O410" s="11" t="n">
        <v>1148</v>
      </c>
      <c r="P410" s="11" t="n">
        <v>35</v>
      </c>
      <c r="Q410" s="11" t="n"/>
      <c r="R410" s="11" t="n"/>
      <c r="S410" s="11" t="n"/>
      <c r="T410" s="11" t="n">
        <v>90</v>
      </c>
      <c r="U410" s="11" t="n">
        <v>3</v>
      </c>
      <c r="V410" s="11" t="n"/>
      <c r="W410" s="11" t="n"/>
      <c r="X410" s="11" t="n"/>
      <c r="Y410" s="11" t="n"/>
      <c r="Z410" s="11" t="n"/>
    </row>
    <row r="411">
      <c r="A411" s="61" t="inlineStr">
        <is>
          <t>3337</t>
        </is>
      </c>
      <c r="B411" s="61" t="inlineStr">
        <is>
          <t>A2</t>
        </is>
      </c>
      <c r="C411" s="20" t="n">
        <v>777</v>
      </c>
      <c r="D411" s="19" t="n">
        <v>1</v>
      </c>
      <c r="E411" s="19" t="n">
        <v>1</v>
      </c>
      <c r="F411" s="62" t="inlineStr">
        <is>
          <t>Market</t>
        </is>
      </c>
      <c r="G411" s="62" t="inlineStr">
        <is>
          <t>Occupied</t>
        </is>
      </c>
      <c r="H411" s="20" t="n">
        <v>1207</v>
      </c>
      <c r="I411" s="20" t="n">
        <v>1364</v>
      </c>
      <c r="J411" s="20" t="n">
        <v>1364</v>
      </c>
      <c r="K411" s="63" t="inlineStr">
        <is>
          <t>12/05/2025</t>
        </is>
      </c>
      <c r="L411" s="63" t="inlineStr">
        <is>
          <t>03/04/2027</t>
        </is>
      </c>
      <c r="M411" s="63" t="inlineStr">
        <is>
          <t>11/12/2023</t>
        </is>
      </c>
      <c r="O411" s="20" t="n">
        <v>1364</v>
      </c>
      <c r="P411" s="20" t="n"/>
      <c r="Q411" s="20" t="n">
        <v>100</v>
      </c>
      <c r="R411" s="20" t="n"/>
      <c r="S411" s="20" t="n"/>
      <c r="T411" s="20" t="n"/>
      <c r="U411" s="20" t="n">
        <v>1</v>
      </c>
      <c r="V411" s="20" t="n"/>
      <c r="W411" s="20" t="n"/>
      <c r="X411" s="20" t="n"/>
      <c r="Y411" s="20" t="n"/>
      <c r="Z411" s="20" t="n"/>
    </row>
    <row r="412">
      <c r="A412" s="64" t="inlineStr">
        <is>
          <t>3411</t>
        </is>
      </c>
      <c r="B412" s="64" t="inlineStr">
        <is>
          <t>B4</t>
        </is>
      </c>
      <c r="C412" s="11" t="n">
        <v>1187</v>
      </c>
      <c r="D412" s="10" t="n">
        <v>2</v>
      </c>
      <c r="E412" s="10" t="n">
        <v>2</v>
      </c>
      <c r="F412" s="65" t="inlineStr">
        <is>
          <t>Market</t>
        </is>
      </c>
      <c r="G412" s="65" t="inlineStr">
        <is>
          <t>Occupied</t>
        </is>
      </c>
      <c r="H412" s="11" t="n">
        <v>1791</v>
      </c>
      <c r="I412" s="11" t="n">
        <v>1853</v>
      </c>
      <c r="J412" s="11" t="n">
        <v>1853</v>
      </c>
      <c r="K412" s="66" t="inlineStr">
        <is>
          <t>08/12/2025</t>
        </is>
      </c>
      <c r="L412" s="66" t="inlineStr">
        <is>
          <t>08/11/2026</t>
        </is>
      </c>
      <c r="M412" s="66" t="inlineStr">
        <is>
          <t>08/12/2023</t>
        </is>
      </c>
      <c r="O412" s="11" t="n">
        <v>1853</v>
      </c>
      <c r="P412" s="11" t="n"/>
      <c r="Q412" s="11" t="n"/>
      <c r="R412" s="11" t="n"/>
      <c r="S412" s="11" t="n"/>
      <c r="T412" s="11" t="n"/>
      <c r="U412" s="11" t="n">
        <v>1</v>
      </c>
      <c r="V412" s="11" t="n"/>
      <c r="W412" s="11" t="n"/>
      <c r="X412" s="11" t="n"/>
      <c r="Y412" s="11" t="n"/>
      <c r="Z412" s="11" t="n"/>
    </row>
    <row r="413">
      <c r="A413" s="61" t="inlineStr">
        <is>
          <t>3412</t>
        </is>
      </c>
      <c r="B413" s="61" t="inlineStr">
        <is>
          <t>B1</t>
        </is>
      </c>
      <c r="C413" s="20" t="n">
        <v>947</v>
      </c>
      <c r="D413" s="19" t="n">
        <v>2</v>
      </c>
      <c r="E413" s="19" t="n">
        <v>2</v>
      </c>
      <c r="F413" s="62" t="inlineStr">
        <is>
          <t>Market</t>
        </is>
      </c>
      <c r="G413" s="62" t="inlineStr">
        <is>
          <t>Occupied</t>
        </is>
      </c>
      <c r="H413" s="20" t="n">
        <v>1527</v>
      </c>
      <c r="I413" s="20" t="n">
        <v>1721</v>
      </c>
      <c r="J413" s="20" t="n">
        <v>1721</v>
      </c>
      <c r="K413" s="63" t="inlineStr">
        <is>
          <t>04/02/2026</t>
        </is>
      </c>
      <c r="L413" s="63" t="inlineStr">
        <is>
          <t>04/24/2027</t>
        </is>
      </c>
      <c r="M413" s="63" t="inlineStr">
        <is>
          <t>02/02/2024</t>
        </is>
      </c>
      <c r="O413" s="20" t="n">
        <v>1721</v>
      </c>
      <c r="P413" s="20" t="n">
        <v>35</v>
      </c>
      <c r="Q413" s="20" t="n"/>
      <c r="R413" s="20" t="n"/>
      <c r="S413" s="20" t="n"/>
      <c r="T413" s="20" t="n"/>
      <c r="U413" s="20" t="n">
        <v>3</v>
      </c>
      <c r="V413" s="20" t="n"/>
      <c r="W413" s="20" t="n"/>
      <c r="X413" s="20" t="n"/>
      <c r="Y413" s="20" t="n"/>
      <c r="Z413" s="20" t="n"/>
    </row>
    <row r="414">
      <c r="A414" s="64" t="inlineStr">
        <is>
          <t>3413</t>
        </is>
      </c>
      <c r="B414" s="64" t="inlineStr">
        <is>
          <t>A1</t>
        </is>
      </c>
      <c r="C414" s="11" t="n">
        <v>739</v>
      </c>
      <c r="D414" s="10" t="n">
        <v>1</v>
      </c>
      <c r="E414" s="10" t="n">
        <v>1</v>
      </c>
      <c r="F414" s="65" t="inlineStr">
        <is>
          <t>Market</t>
        </is>
      </c>
      <c r="G414" s="65" t="inlineStr">
        <is>
          <t>Vacant</t>
        </is>
      </c>
      <c r="H414" s="11" t="n">
        <v>1282</v>
      </c>
      <c r="I414" s="11" t="n">
        <v>0</v>
      </c>
      <c r="J414" s="11" t="n">
        <v>0</v>
      </c>
      <c r="K414" s="66" t="n"/>
      <c r="L414" s="66" t="n"/>
      <c r="M414" s="66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61" t="inlineStr">
        <is>
          <t>3414</t>
        </is>
      </c>
      <c r="B415" s="61" t="inlineStr">
        <is>
          <t>A2</t>
        </is>
      </c>
      <c r="C415" s="20" t="n">
        <v>777</v>
      </c>
      <c r="D415" s="19" t="n">
        <v>1</v>
      </c>
      <c r="E415" s="19" t="n">
        <v>1</v>
      </c>
      <c r="F415" s="62" t="inlineStr">
        <is>
          <t>Market</t>
        </is>
      </c>
      <c r="G415" s="62" t="inlineStr">
        <is>
          <t>Occupied</t>
        </is>
      </c>
      <c r="H415" s="20" t="n">
        <v>1362</v>
      </c>
      <c r="I415" s="20" t="n">
        <v>1566</v>
      </c>
      <c r="J415" s="20" t="n">
        <v>1566</v>
      </c>
      <c r="K415" s="63" t="inlineStr">
        <is>
          <t>07/24/2025</t>
        </is>
      </c>
      <c r="L415" s="63" t="inlineStr">
        <is>
          <t>07/08/2026</t>
        </is>
      </c>
      <c r="M415" s="63" t="inlineStr">
        <is>
          <t>07/13/2019</t>
        </is>
      </c>
      <c r="O415" s="20" t="n">
        <v>1566</v>
      </c>
      <c r="P415" s="20" t="n"/>
      <c r="Q415" s="20" t="n"/>
      <c r="R415" s="20" t="n"/>
      <c r="S415" s="20" t="n"/>
      <c r="T415" s="20" t="n"/>
      <c r="U415" s="20" t="n">
        <v>1</v>
      </c>
      <c r="V415" s="20" t="n"/>
      <c r="W415" s="20" t="n"/>
      <c r="X415" s="20" t="n"/>
      <c r="Y415" s="20" t="n"/>
      <c r="Z415" s="20" t="n"/>
    </row>
    <row r="416">
      <c r="A416" s="64" t="inlineStr">
        <is>
          <t>3421</t>
        </is>
      </c>
      <c r="B416" s="64" t="inlineStr">
        <is>
          <t>B4</t>
        </is>
      </c>
      <c r="C416" s="11" t="n">
        <v>1187</v>
      </c>
      <c r="D416" s="10" t="n">
        <v>2</v>
      </c>
      <c r="E416" s="10" t="n">
        <v>2</v>
      </c>
      <c r="F416" s="65" t="inlineStr">
        <is>
          <t>Market</t>
        </is>
      </c>
      <c r="G416" s="65" t="inlineStr">
        <is>
          <t>Occupied</t>
        </is>
      </c>
      <c r="H416" s="11" t="n">
        <v>1841</v>
      </c>
      <c r="I416" s="11" t="n">
        <v>1716</v>
      </c>
      <c r="J416" s="11" t="n">
        <v>1716</v>
      </c>
      <c r="K416" s="66" t="inlineStr">
        <is>
          <t>05/09/2026</t>
        </is>
      </c>
      <c r="L416" s="66" t="inlineStr">
        <is>
          <t>06/08/2027</t>
        </is>
      </c>
      <c r="M416" s="66" t="inlineStr">
        <is>
          <t>05/09/2026</t>
        </is>
      </c>
      <c r="O416" s="11" t="n">
        <v>1716</v>
      </c>
      <c r="P416" s="11" t="n"/>
      <c r="Q416" s="11" t="n"/>
      <c r="R416" s="11" t="n"/>
      <c r="S416" s="11" t="n"/>
      <c r="T416" s="11" t="n"/>
      <c r="U416" s="11" t="n">
        <v>3</v>
      </c>
      <c r="V416" s="11" t="n"/>
      <c r="W416" s="11" t="n"/>
      <c r="X416" s="11" t="n"/>
      <c r="Y416" s="11" t="n">
        <v>30</v>
      </c>
      <c r="Z416" s="11" t="n"/>
    </row>
    <row r="417">
      <c r="A417" s="61" t="inlineStr">
        <is>
          <t>3422</t>
        </is>
      </c>
      <c r="B417" s="61" t="inlineStr">
        <is>
          <t>B1</t>
        </is>
      </c>
      <c r="C417" s="20" t="n">
        <v>947</v>
      </c>
      <c r="D417" s="19" t="n">
        <v>2</v>
      </c>
      <c r="E417" s="19" t="n">
        <v>2</v>
      </c>
      <c r="F417" s="62" t="inlineStr">
        <is>
          <t>Market</t>
        </is>
      </c>
      <c r="G417" s="62" t="inlineStr">
        <is>
          <t>Occupied</t>
        </is>
      </c>
      <c r="H417" s="20" t="n">
        <v>1432</v>
      </c>
      <c r="I417" s="20" t="n">
        <v>1345</v>
      </c>
      <c r="J417" s="20" t="n">
        <v>1345</v>
      </c>
      <c r="K417" s="63" t="inlineStr">
        <is>
          <t>05/15/2025</t>
        </is>
      </c>
      <c r="L417" s="63" t="inlineStr">
        <is>
          <t>07/14/2026</t>
        </is>
      </c>
      <c r="M417" s="63" t="inlineStr">
        <is>
          <t>05/15/2025</t>
        </is>
      </c>
      <c r="O417" s="20" t="n">
        <v>1345</v>
      </c>
      <c r="P417" s="20" t="n"/>
      <c r="Q417" s="20" t="n"/>
      <c r="R417" s="20" t="n"/>
      <c r="S417" s="20" t="n"/>
      <c r="T417" s="20" t="n"/>
      <c r="U417" s="20" t="n">
        <v>1</v>
      </c>
      <c r="V417" s="20" t="n"/>
      <c r="W417" s="20" t="n"/>
      <c r="X417" s="20" t="n"/>
      <c r="Y417" s="20" t="n"/>
      <c r="Z417" s="20" t="n"/>
    </row>
    <row r="418">
      <c r="A418" s="64" t="inlineStr">
        <is>
          <t>3423</t>
        </is>
      </c>
      <c r="B418" s="64" t="inlineStr">
        <is>
          <t>A1</t>
        </is>
      </c>
      <c r="C418" s="11" t="n">
        <v>739</v>
      </c>
      <c r="D418" s="10" t="n">
        <v>1</v>
      </c>
      <c r="E418" s="10" t="n">
        <v>1</v>
      </c>
      <c r="F418" s="65" t="inlineStr">
        <is>
          <t>Market</t>
        </is>
      </c>
      <c r="G418" s="65" t="inlineStr">
        <is>
          <t>Occupied</t>
        </is>
      </c>
      <c r="H418" s="11" t="n">
        <v>1187</v>
      </c>
      <c r="I418" s="11" t="n">
        <v>1321</v>
      </c>
      <c r="J418" s="11" t="n">
        <v>1321</v>
      </c>
      <c r="K418" s="66" t="inlineStr">
        <is>
          <t>06/01/2025</t>
        </is>
      </c>
      <c r="L418" s="66" t="inlineStr">
        <is>
          <t>07/31/2026</t>
        </is>
      </c>
      <c r="M418" s="66" t="inlineStr">
        <is>
          <t>06/01/2025</t>
        </is>
      </c>
      <c r="O418" s="11" t="n">
        <v>1321</v>
      </c>
      <c r="P418" s="11" t="n"/>
      <c r="Q418" s="11" t="n"/>
      <c r="R418" s="11" t="n"/>
      <c r="S418" s="11" t="n"/>
      <c r="T418" s="11" t="n"/>
      <c r="U418" s="11" t="n">
        <v>1</v>
      </c>
      <c r="V418" s="11" t="n"/>
      <c r="W418" s="11" t="n"/>
      <c r="X418" s="11" t="n"/>
      <c r="Y418" s="11" t="n"/>
      <c r="Z418" s="11" t="n"/>
    </row>
    <row r="419">
      <c r="A419" s="61" t="inlineStr">
        <is>
          <t>3424</t>
        </is>
      </c>
      <c r="B419" s="61" t="inlineStr">
        <is>
          <t>A2</t>
        </is>
      </c>
      <c r="C419" s="20" t="n">
        <v>777</v>
      </c>
      <c r="D419" s="19" t="n">
        <v>1</v>
      </c>
      <c r="E419" s="19" t="n">
        <v>1</v>
      </c>
      <c r="F419" s="62" t="inlineStr">
        <is>
          <t>Market</t>
        </is>
      </c>
      <c r="G419" s="62" t="inlineStr">
        <is>
          <t>Occupied</t>
        </is>
      </c>
      <c r="H419" s="20" t="n">
        <v>1267</v>
      </c>
      <c r="I419" s="20" t="n">
        <v>1268</v>
      </c>
      <c r="J419" s="20" t="n">
        <v>1268</v>
      </c>
      <c r="K419" s="63" t="inlineStr">
        <is>
          <t>08/05/2025</t>
        </is>
      </c>
      <c r="L419" s="63" t="inlineStr">
        <is>
          <t>09/04/2026</t>
        </is>
      </c>
      <c r="M419" s="63" t="inlineStr">
        <is>
          <t>08/05/2025</t>
        </is>
      </c>
      <c r="O419" s="20" t="n">
        <v>1268</v>
      </c>
      <c r="P419" s="20" t="n"/>
      <c r="Q419" s="20" t="n"/>
      <c r="R419" s="20" t="n"/>
      <c r="S419" s="20" t="n"/>
      <c r="T419" s="20" t="n"/>
      <c r="U419" s="20" t="n">
        <v>1</v>
      </c>
      <c r="V419" s="20" t="n"/>
      <c r="W419" s="20" t="n"/>
      <c r="X419" s="20" t="n"/>
      <c r="Y419" s="20" t="n"/>
      <c r="Z419" s="20" t="n"/>
    </row>
    <row r="420">
      <c r="A420" s="64" t="inlineStr">
        <is>
          <t>3431</t>
        </is>
      </c>
      <c r="B420" s="64" t="inlineStr">
        <is>
          <t>B4</t>
        </is>
      </c>
      <c r="C420" s="11" t="n">
        <v>1187</v>
      </c>
      <c r="D420" s="10" t="n">
        <v>2</v>
      </c>
      <c r="E420" s="10" t="n">
        <v>2</v>
      </c>
      <c r="F420" s="65" t="inlineStr">
        <is>
          <t>Market</t>
        </is>
      </c>
      <c r="G420" s="65" t="inlineStr">
        <is>
          <t>Occupied</t>
        </is>
      </c>
      <c r="H420" s="11" t="n">
        <v>1696</v>
      </c>
      <c r="I420" s="11" t="n">
        <v>1372</v>
      </c>
      <c r="J420" s="11" t="n">
        <v>1372</v>
      </c>
      <c r="K420" s="66" t="inlineStr">
        <is>
          <t>07/07/2025</t>
        </is>
      </c>
      <c r="L420" s="66" t="inlineStr">
        <is>
          <t>10/06/2026</t>
        </is>
      </c>
      <c r="M420" s="66" t="inlineStr">
        <is>
          <t>07/07/2025</t>
        </is>
      </c>
      <c r="O420" s="11" t="n">
        <v>1372</v>
      </c>
      <c r="P420" s="11" t="n"/>
      <c r="Q420" s="11" t="n"/>
      <c r="R420" s="11" t="n"/>
      <c r="S420" s="11" t="n"/>
      <c r="T420" s="11" t="n"/>
      <c r="U420" s="11" t="n">
        <v>1</v>
      </c>
      <c r="V420" s="11" t="n"/>
      <c r="W420" s="11" t="n"/>
      <c r="X420" s="11" t="n"/>
      <c r="Y420" s="11" t="n"/>
      <c r="Z420" s="11" t="n"/>
    </row>
    <row r="421">
      <c r="A421" s="61" t="inlineStr">
        <is>
          <t>3432</t>
        </is>
      </c>
      <c r="B421" s="61" t="inlineStr">
        <is>
          <t>B1</t>
        </is>
      </c>
      <c r="C421" s="20" t="n">
        <v>947</v>
      </c>
      <c r="D421" s="19" t="n">
        <v>2</v>
      </c>
      <c r="E421" s="19" t="n">
        <v>2</v>
      </c>
      <c r="F421" s="62" t="inlineStr">
        <is>
          <t>Market</t>
        </is>
      </c>
      <c r="G421" s="62" t="inlineStr">
        <is>
          <t>Occupied</t>
        </is>
      </c>
      <c r="H421" s="20" t="n">
        <v>1432</v>
      </c>
      <c r="I421" s="20" t="n">
        <v>1475</v>
      </c>
      <c r="J421" s="20" t="n">
        <v>1475</v>
      </c>
      <c r="K421" s="63" t="inlineStr">
        <is>
          <t>07/11/2025</t>
        </is>
      </c>
      <c r="L421" s="63" t="inlineStr">
        <is>
          <t>10/03/2026</t>
        </is>
      </c>
      <c r="M421" s="63" t="inlineStr">
        <is>
          <t>07/11/2025</t>
        </is>
      </c>
      <c r="O421" s="20" t="n">
        <v>1475</v>
      </c>
      <c r="P421" s="20" t="n"/>
      <c r="Q421" s="20" t="n"/>
      <c r="R421" s="20" t="n"/>
      <c r="S421" s="20" t="n"/>
      <c r="T421" s="20" t="n"/>
      <c r="U421" s="20" t="n">
        <v>1</v>
      </c>
      <c r="V421" s="20" t="n"/>
      <c r="W421" s="20" t="n"/>
      <c r="X421" s="20" t="n"/>
      <c r="Y421" s="20" t="n"/>
      <c r="Z421" s="20" t="n"/>
    </row>
    <row r="422">
      <c r="A422" s="64" t="inlineStr">
        <is>
          <t>3433</t>
        </is>
      </c>
      <c r="B422" s="64" t="inlineStr">
        <is>
          <t>A1</t>
        </is>
      </c>
      <c r="C422" s="11" t="n">
        <v>739</v>
      </c>
      <c r="D422" s="10" t="n">
        <v>1</v>
      </c>
      <c r="E422" s="10" t="n">
        <v>1</v>
      </c>
      <c r="F422" s="65" t="inlineStr">
        <is>
          <t>Market</t>
        </is>
      </c>
      <c r="G422" s="65" t="inlineStr">
        <is>
          <t>Occupied</t>
        </is>
      </c>
      <c r="H422" s="11" t="n">
        <v>1187</v>
      </c>
      <c r="I422" s="11" t="n">
        <v>1265</v>
      </c>
      <c r="J422" s="11" t="n">
        <v>1265</v>
      </c>
      <c r="K422" s="66" t="inlineStr">
        <is>
          <t>07/28/2025</t>
        </is>
      </c>
      <c r="L422" s="66" t="inlineStr">
        <is>
          <t>07/27/2026</t>
        </is>
      </c>
      <c r="M422" s="66" t="inlineStr">
        <is>
          <t>11/01/2013</t>
        </is>
      </c>
      <c r="O422" s="11" t="n">
        <v>1265</v>
      </c>
      <c r="P422" s="11" t="n"/>
      <c r="Q422" s="11" t="n"/>
      <c r="R422" s="11" t="n"/>
      <c r="S422" s="11" t="n"/>
      <c r="T422" s="11" t="n">
        <v>30</v>
      </c>
      <c r="U422" s="11" t="n">
        <v>1</v>
      </c>
      <c r="V422" s="11" t="n"/>
      <c r="W422" s="11" t="n"/>
      <c r="X422" s="11" t="n"/>
      <c r="Y422" s="11" t="n"/>
      <c r="Z422" s="11" t="n"/>
    </row>
    <row r="423">
      <c r="A423" s="61" t="inlineStr">
        <is>
          <t>3434</t>
        </is>
      </c>
      <c r="B423" s="61" t="inlineStr">
        <is>
          <t>A2</t>
        </is>
      </c>
      <c r="C423" s="20" t="n">
        <v>777</v>
      </c>
      <c r="D423" s="19" t="n">
        <v>1</v>
      </c>
      <c r="E423" s="19" t="n">
        <v>1</v>
      </c>
      <c r="F423" s="62" t="inlineStr">
        <is>
          <t>Market</t>
        </is>
      </c>
      <c r="G423" s="62" t="inlineStr">
        <is>
          <t>Occupied</t>
        </is>
      </c>
      <c r="H423" s="20" t="n">
        <v>1312</v>
      </c>
      <c r="I423" s="20" t="n">
        <v>1730</v>
      </c>
      <c r="J423" s="20" t="n">
        <v>1730</v>
      </c>
      <c r="K423" s="63" t="inlineStr">
        <is>
          <t>10/08/2025</t>
        </is>
      </c>
      <c r="L423" s="63" t="inlineStr">
        <is>
          <t>04/06/2026</t>
        </is>
      </c>
      <c r="M423" s="63" t="inlineStr">
        <is>
          <t>08/25/2024</t>
        </is>
      </c>
      <c r="O423" s="20" t="n">
        <v>1730</v>
      </c>
      <c r="P423" s="20" t="n"/>
      <c r="Q423" s="20" t="n"/>
      <c r="R423" s="20" t="n"/>
      <c r="S423" s="20" t="n"/>
      <c r="T423" s="20" t="n"/>
      <c r="U423" s="20" t="n">
        <v>1</v>
      </c>
      <c r="V423" s="20" t="n"/>
      <c r="W423" s="20" t="n"/>
      <c r="X423" s="20" t="n"/>
      <c r="Y423" s="20" t="n"/>
      <c r="Z423" s="20" t="n"/>
    </row>
    <row r="424">
      <c r="A424" s="64" t="inlineStr">
        <is>
          <t>3511</t>
        </is>
      </c>
      <c r="B424" s="64" t="inlineStr">
        <is>
          <t>C2</t>
        </is>
      </c>
      <c r="C424" s="11" t="n">
        <v>1364</v>
      </c>
      <c r="D424" s="10" t="n">
        <v>3</v>
      </c>
      <c r="E424" s="10" t="n">
        <v>2</v>
      </c>
      <c r="F424" s="65" t="inlineStr">
        <is>
          <t>Market</t>
        </is>
      </c>
      <c r="G424" s="65" t="inlineStr">
        <is>
          <t>Occupied</t>
        </is>
      </c>
      <c r="H424" s="11" t="n">
        <v>2135</v>
      </c>
      <c r="I424" s="11" t="n">
        <v>1972</v>
      </c>
      <c r="J424" s="11" t="n">
        <v>1972</v>
      </c>
      <c r="K424" s="66" t="inlineStr">
        <is>
          <t>07/22/2025</t>
        </is>
      </c>
      <c r="L424" s="66" t="inlineStr">
        <is>
          <t>09/28/2026</t>
        </is>
      </c>
      <c r="M424" s="66" t="inlineStr">
        <is>
          <t>04/22/2024</t>
        </is>
      </c>
      <c r="O424" s="11" t="n">
        <v>1972</v>
      </c>
      <c r="P424" s="11" t="n"/>
      <c r="Q424" s="11" t="n"/>
      <c r="R424" s="11" t="n"/>
      <c r="S424" s="11" t="n"/>
      <c r="T424" s="11" t="n"/>
      <c r="U424" s="11" t="n">
        <v>1</v>
      </c>
      <c r="V424" s="11" t="n"/>
      <c r="W424" s="11" t="n"/>
      <c r="X424" s="11" t="n"/>
      <c r="Y424" s="11" t="n"/>
      <c r="Z424" s="11" t="n"/>
    </row>
    <row r="425">
      <c r="A425" s="61" t="inlineStr">
        <is>
          <t>3512</t>
        </is>
      </c>
      <c r="B425" s="61" t="inlineStr">
        <is>
          <t>C2</t>
        </is>
      </c>
      <c r="C425" s="20" t="n">
        <v>1364</v>
      </c>
      <c r="D425" s="19" t="n">
        <v>3</v>
      </c>
      <c r="E425" s="19" t="n">
        <v>2</v>
      </c>
      <c r="F425" s="62" t="inlineStr">
        <is>
          <t>Market</t>
        </is>
      </c>
      <c r="G425" s="62" t="inlineStr">
        <is>
          <t>Occupied</t>
        </is>
      </c>
      <c r="H425" s="20" t="n">
        <v>2135</v>
      </c>
      <c r="I425" s="20" t="n">
        <v>1950</v>
      </c>
      <c r="J425" s="20" t="n">
        <v>1950</v>
      </c>
      <c r="K425" s="63" t="inlineStr">
        <is>
          <t>01/01/2026</t>
        </is>
      </c>
      <c r="L425" s="63" t="inlineStr">
        <is>
          <t>12/24/2026</t>
        </is>
      </c>
      <c r="M425" s="63" t="inlineStr">
        <is>
          <t>01/03/2023</t>
        </is>
      </c>
      <c r="O425" s="20" t="n">
        <v>1950</v>
      </c>
      <c r="P425" s="20" t="n"/>
      <c r="Q425" s="20" t="n"/>
      <c r="R425" s="20" t="n">
        <v>-780</v>
      </c>
      <c r="S425" s="20" t="n"/>
      <c r="T425" s="20" t="n"/>
      <c r="U425" s="20" t="n">
        <v>1</v>
      </c>
      <c r="V425" s="20" t="n"/>
      <c r="W425" s="20" t="n"/>
      <c r="X425" s="20" t="n"/>
      <c r="Y425" s="20" t="n"/>
      <c r="Z425" s="20" t="n"/>
    </row>
    <row r="426">
      <c r="A426" s="64" t="inlineStr">
        <is>
          <t>3513</t>
        </is>
      </c>
      <c r="B426" s="64" t="inlineStr">
        <is>
          <t>C2</t>
        </is>
      </c>
      <c r="C426" s="11" t="n">
        <v>1364</v>
      </c>
      <c r="D426" s="10" t="n">
        <v>3</v>
      </c>
      <c r="E426" s="10" t="n">
        <v>2</v>
      </c>
      <c r="F426" s="65" t="inlineStr">
        <is>
          <t>Market</t>
        </is>
      </c>
      <c r="G426" s="65" t="inlineStr">
        <is>
          <t>Occupied</t>
        </is>
      </c>
      <c r="H426" s="11" t="n">
        <v>2135</v>
      </c>
      <c r="I426" s="11" t="n">
        <v>2041</v>
      </c>
      <c r="J426" s="11" t="n">
        <v>2041</v>
      </c>
      <c r="K426" s="66" t="inlineStr">
        <is>
          <t>11/22/2025</t>
        </is>
      </c>
      <c r="L426" s="66" t="inlineStr">
        <is>
          <t>12/31/2026</t>
        </is>
      </c>
      <c r="M426" s="66" t="inlineStr">
        <is>
          <t>11/22/2025</t>
        </is>
      </c>
      <c r="O426" s="11" t="n">
        <v>2041</v>
      </c>
      <c r="P426" s="11" t="n"/>
      <c r="Q426" s="11" t="n"/>
      <c r="R426" s="11" t="n">
        <v>-762.4</v>
      </c>
      <c r="S426" s="11" t="n"/>
      <c r="T426" s="11" t="n"/>
      <c r="U426" s="11" t="n">
        <v>3</v>
      </c>
      <c r="V426" s="11" t="n"/>
      <c r="W426" s="11" t="n"/>
      <c r="X426" s="11" t="n"/>
      <c r="Y426" s="11" t="n"/>
      <c r="Z426" s="11" t="n"/>
    </row>
    <row r="427">
      <c r="A427" s="61" t="inlineStr">
        <is>
          <t>3514</t>
        </is>
      </c>
      <c r="B427" s="61" t="inlineStr">
        <is>
          <t>C2</t>
        </is>
      </c>
      <c r="C427" s="20" t="n">
        <v>1364</v>
      </c>
      <c r="D427" s="19" t="n">
        <v>3</v>
      </c>
      <c r="E427" s="19" t="n">
        <v>2</v>
      </c>
      <c r="F427" s="62" t="inlineStr">
        <is>
          <t>Market</t>
        </is>
      </c>
      <c r="G427" s="62" t="inlineStr">
        <is>
          <t>Occupied</t>
        </is>
      </c>
      <c r="H427" s="20" t="n">
        <v>2135</v>
      </c>
      <c r="I427" s="20" t="n">
        <v>2049</v>
      </c>
      <c r="J427" s="20" t="n">
        <v>2049</v>
      </c>
      <c r="K427" s="63" t="inlineStr">
        <is>
          <t>10/03/2025</t>
        </is>
      </c>
      <c r="L427" s="63" t="inlineStr">
        <is>
          <t>01/02/2027</t>
        </is>
      </c>
      <c r="M427" s="63" t="inlineStr">
        <is>
          <t>10/03/2025</t>
        </is>
      </c>
      <c r="O427" s="20" t="n">
        <v>2049</v>
      </c>
      <c r="P427" s="20" t="n"/>
      <c r="Q427" s="20" t="n"/>
      <c r="R427" s="20" t="n"/>
      <c r="S427" s="20" t="n"/>
      <c r="T427" s="20" t="n"/>
      <c r="U427" s="20" t="n">
        <v>1</v>
      </c>
      <c r="V427" s="20" t="n"/>
      <c r="W427" s="20" t="n"/>
      <c r="X427" s="20" t="n"/>
      <c r="Y427" s="20" t="n"/>
      <c r="Z427" s="20" t="n"/>
    </row>
    <row r="428">
      <c r="A428" s="64" t="inlineStr">
        <is>
          <t>3515</t>
        </is>
      </c>
      <c r="B428" s="64" t="inlineStr">
        <is>
          <t>C2</t>
        </is>
      </c>
      <c r="C428" s="11" t="n">
        <v>1364</v>
      </c>
      <c r="D428" s="10" t="n">
        <v>3</v>
      </c>
      <c r="E428" s="10" t="n">
        <v>2</v>
      </c>
      <c r="F428" s="65" t="inlineStr">
        <is>
          <t>Market</t>
        </is>
      </c>
      <c r="G428" s="65" t="inlineStr">
        <is>
          <t>Vacant</t>
        </is>
      </c>
      <c r="H428" s="11" t="n">
        <v>2135</v>
      </c>
      <c r="I428" s="11" t="n">
        <v>0</v>
      </c>
      <c r="J428" s="11" t="n">
        <v>0</v>
      </c>
      <c r="K428" s="66" t="n"/>
      <c r="L428" s="66" t="n"/>
      <c r="M428" s="66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61" t="inlineStr">
        <is>
          <t>3611</t>
        </is>
      </c>
      <c r="B429" s="61" t="inlineStr">
        <is>
          <t>C1</t>
        </is>
      </c>
      <c r="C429" s="20" t="n">
        <v>1258</v>
      </c>
      <c r="D429" s="19" t="n">
        <v>3</v>
      </c>
      <c r="E429" s="19" t="n">
        <v>2</v>
      </c>
      <c r="F429" s="62" t="inlineStr">
        <is>
          <t>Market</t>
        </is>
      </c>
      <c r="G429" s="62" t="inlineStr">
        <is>
          <t>Occupied</t>
        </is>
      </c>
      <c r="H429" s="20" t="n">
        <v>1935</v>
      </c>
      <c r="I429" s="20" t="n">
        <v>1870</v>
      </c>
      <c r="J429" s="20" t="n">
        <v>1870</v>
      </c>
      <c r="K429" s="63" t="inlineStr">
        <is>
          <t>03/25/2026</t>
        </is>
      </c>
      <c r="L429" s="63" t="inlineStr">
        <is>
          <t>04/24/2027</t>
        </is>
      </c>
      <c r="M429" s="63" t="inlineStr">
        <is>
          <t>01/30/2025</t>
        </is>
      </c>
      <c r="O429" s="20" t="n">
        <v>1870</v>
      </c>
      <c r="P429" s="20" t="n">
        <v>35</v>
      </c>
      <c r="Q429" s="20" t="n">
        <v>125</v>
      </c>
      <c r="R429" s="20" t="n"/>
      <c r="S429" s="20" t="n"/>
      <c r="T429" s="20" t="n"/>
      <c r="U429" s="20" t="n">
        <v>3</v>
      </c>
      <c r="V429" s="20" t="n"/>
      <c r="W429" s="20" t="n"/>
      <c r="X429" s="20" t="n"/>
      <c r="Y429" s="20" t="n"/>
      <c r="Z429" s="20" t="n"/>
    </row>
    <row r="430">
      <c r="A430" s="64" t="inlineStr">
        <is>
          <t>3612</t>
        </is>
      </c>
      <c r="B430" s="64" t="inlineStr">
        <is>
          <t>A1</t>
        </is>
      </c>
      <c r="C430" s="11" t="n">
        <v>739</v>
      </c>
      <c r="D430" s="10" t="n">
        <v>1</v>
      </c>
      <c r="E430" s="10" t="n">
        <v>1</v>
      </c>
      <c r="F430" s="65" t="inlineStr">
        <is>
          <t>Market</t>
        </is>
      </c>
      <c r="G430" s="65" t="inlineStr">
        <is>
          <t>Occupied</t>
        </is>
      </c>
      <c r="H430" s="11" t="n">
        <v>1247</v>
      </c>
      <c r="I430" s="11" t="n">
        <v>1394</v>
      </c>
      <c r="J430" s="11" t="n">
        <v>1394</v>
      </c>
      <c r="K430" s="66" t="inlineStr">
        <is>
          <t>08/01/2025</t>
        </is>
      </c>
      <c r="L430" s="66" t="inlineStr">
        <is>
          <t>06/07/2026</t>
        </is>
      </c>
      <c r="M430" s="66" t="inlineStr">
        <is>
          <t>05/11/2019</t>
        </is>
      </c>
      <c r="O430" s="11" t="n">
        <v>1394</v>
      </c>
      <c r="P430" s="11" t="n"/>
      <c r="Q430" s="11" t="n"/>
      <c r="R430" s="11" t="n"/>
      <c r="S430" s="11" t="n"/>
      <c r="T430" s="11" t="n"/>
      <c r="U430" s="11" t="n">
        <v>1</v>
      </c>
      <c r="V430" s="11" t="n"/>
      <c r="W430" s="11" t="n"/>
      <c r="X430" s="11" t="n"/>
      <c r="Y430" s="11" t="n"/>
      <c r="Z430" s="11" t="n"/>
    </row>
    <row r="431">
      <c r="A431" s="61" t="inlineStr">
        <is>
          <t>3613</t>
        </is>
      </c>
      <c r="B431" s="61" t="inlineStr">
        <is>
          <t>A1</t>
        </is>
      </c>
      <c r="C431" s="20" t="n">
        <v>739</v>
      </c>
      <c r="D431" s="19" t="n">
        <v>1</v>
      </c>
      <c r="E431" s="19" t="n">
        <v>1</v>
      </c>
      <c r="F431" s="62" t="inlineStr">
        <is>
          <t>Market</t>
        </is>
      </c>
      <c r="G431" s="62" t="inlineStr">
        <is>
          <t>Occupied</t>
        </is>
      </c>
      <c r="H431" s="20" t="n">
        <v>1187</v>
      </c>
      <c r="I431" s="20" t="n">
        <v>1093</v>
      </c>
      <c r="J431" s="20" t="n">
        <v>1093</v>
      </c>
      <c r="K431" s="63" t="inlineStr">
        <is>
          <t>08/08/2025</t>
        </is>
      </c>
      <c r="L431" s="63" t="inlineStr">
        <is>
          <t>09/07/2026</t>
        </is>
      </c>
      <c r="M431" s="63" t="inlineStr">
        <is>
          <t>08/08/2025</t>
        </is>
      </c>
      <c r="O431" s="20" t="n">
        <v>1093</v>
      </c>
      <c r="P431" s="20" t="n"/>
      <c r="Q431" s="20" t="n"/>
      <c r="R431" s="20" t="n"/>
      <c r="S431" s="20" t="n"/>
      <c r="T431" s="20" t="n"/>
      <c r="U431" s="20" t="n">
        <v>1</v>
      </c>
      <c r="V431" s="20" t="n"/>
      <c r="W431" s="20" t="n"/>
      <c r="X431" s="20" t="n"/>
      <c r="Y431" s="20" t="n"/>
      <c r="Z431" s="20" t="n"/>
    </row>
    <row r="432">
      <c r="A432" s="64" t="inlineStr">
        <is>
          <t>3614</t>
        </is>
      </c>
      <c r="B432" s="64" t="inlineStr">
        <is>
          <t>C1</t>
        </is>
      </c>
      <c r="C432" s="11" t="n">
        <v>1258</v>
      </c>
      <c r="D432" s="10" t="n">
        <v>3</v>
      </c>
      <c r="E432" s="10" t="n">
        <v>2</v>
      </c>
      <c r="F432" s="65" t="inlineStr">
        <is>
          <t>Market</t>
        </is>
      </c>
      <c r="G432" s="65" t="inlineStr">
        <is>
          <t>Occupied</t>
        </is>
      </c>
      <c r="H432" s="11" t="n">
        <v>1935</v>
      </c>
      <c r="I432" s="11" t="n">
        <v>1891</v>
      </c>
      <c r="J432" s="11" t="n">
        <v>1891</v>
      </c>
      <c r="K432" s="66" t="inlineStr">
        <is>
          <t>03/08/2026</t>
        </is>
      </c>
      <c r="L432" s="66" t="inlineStr">
        <is>
          <t>06/07/2027</t>
        </is>
      </c>
      <c r="M432" s="66" t="inlineStr">
        <is>
          <t>11/30/2024</t>
        </is>
      </c>
      <c r="O432" s="11" t="n">
        <v>1891</v>
      </c>
      <c r="P432" s="11" t="n">
        <v>35</v>
      </c>
      <c r="Q432" s="11" t="n"/>
      <c r="R432" s="11" t="n"/>
      <c r="S432" s="11" t="n"/>
      <c r="T432" s="11" t="n"/>
      <c r="U432" s="11" t="n">
        <v>3</v>
      </c>
      <c r="V432" s="11" t="n"/>
      <c r="W432" s="11" t="n"/>
      <c r="X432" s="11" t="n"/>
      <c r="Y432" s="11" t="n"/>
      <c r="Z432" s="11" t="n"/>
    </row>
    <row r="433">
      <c r="A433" s="61" t="inlineStr">
        <is>
          <t>3615</t>
        </is>
      </c>
      <c r="B433" s="61" t="inlineStr">
        <is>
          <t>C1</t>
        </is>
      </c>
      <c r="C433" s="20" t="n">
        <v>1258</v>
      </c>
      <c r="D433" s="19" t="n">
        <v>3</v>
      </c>
      <c r="E433" s="19" t="n">
        <v>2</v>
      </c>
      <c r="F433" s="62" t="inlineStr">
        <is>
          <t>Market</t>
        </is>
      </c>
      <c r="G433" s="62" t="inlineStr">
        <is>
          <t>Occupied</t>
        </is>
      </c>
      <c r="H433" s="20" t="n">
        <v>1945</v>
      </c>
      <c r="I433" s="20" t="n">
        <v>1916</v>
      </c>
      <c r="J433" s="20" t="n">
        <v>1916</v>
      </c>
      <c r="K433" s="63" t="inlineStr">
        <is>
          <t>06/22/2025</t>
        </is>
      </c>
      <c r="L433" s="63" t="inlineStr">
        <is>
          <t>08/21/2026</t>
        </is>
      </c>
      <c r="M433" s="63" t="inlineStr">
        <is>
          <t>06/22/2025</t>
        </is>
      </c>
      <c r="O433" s="20" t="n">
        <v>1916</v>
      </c>
      <c r="P433" s="20" t="n"/>
      <c r="Q433" s="20" t="n">
        <v>75</v>
      </c>
      <c r="R433" s="20" t="n"/>
      <c r="S433" s="20" t="n"/>
      <c r="T433" s="20" t="n">
        <v>30</v>
      </c>
      <c r="U433" s="20" t="n">
        <v>1</v>
      </c>
      <c r="V433" s="20" t="n"/>
      <c r="W433" s="20" t="n"/>
      <c r="X433" s="20" t="n"/>
      <c r="Y433" s="20" t="n"/>
      <c r="Z433" s="20" t="n"/>
    </row>
    <row r="434">
      <c r="A434" s="64" t="inlineStr">
        <is>
          <t>3616</t>
        </is>
      </c>
      <c r="B434" s="64" t="inlineStr">
        <is>
          <t>A1</t>
        </is>
      </c>
      <c r="C434" s="11" t="n">
        <v>739</v>
      </c>
      <c r="D434" s="10" t="n">
        <v>1</v>
      </c>
      <c r="E434" s="10" t="n">
        <v>1</v>
      </c>
      <c r="F434" s="65" t="inlineStr">
        <is>
          <t>Market</t>
        </is>
      </c>
      <c r="G434" s="65" t="inlineStr">
        <is>
          <t>Occupied</t>
        </is>
      </c>
      <c r="H434" s="11" t="n">
        <v>1227</v>
      </c>
      <c r="I434" s="11" t="n">
        <v>1174</v>
      </c>
      <c r="J434" s="11" t="n">
        <v>1174</v>
      </c>
      <c r="K434" s="66" t="inlineStr">
        <is>
          <t>03/16/2026</t>
        </is>
      </c>
      <c r="L434" s="66" t="inlineStr">
        <is>
          <t>05/15/2027</t>
        </is>
      </c>
      <c r="M434" s="66" t="inlineStr">
        <is>
          <t>03/16/2026</t>
        </is>
      </c>
      <c r="O434" s="11" t="n">
        <v>1174</v>
      </c>
      <c r="P434" s="11" t="n">
        <v>35</v>
      </c>
      <c r="Q434" s="11" t="n"/>
      <c r="R434" s="11" t="n"/>
      <c r="S434" s="11" t="n"/>
      <c r="T434" s="11" t="n"/>
      <c r="U434" s="11" t="n">
        <v>3</v>
      </c>
      <c r="V434" s="11" t="n"/>
      <c r="W434" s="11" t="n"/>
      <c r="X434" s="11" t="n"/>
      <c r="Y434" s="11" t="n"/>
      <c r="Z434" s="11" t="n"/>
    </row>
    <row r="435">
      <c r="A435" s="61" t="inlineStr">
        <is>
          <t>3617</t>
        </is>
      </c>
      <c r="B435" s="61" t="inlineStr">
        <is>
          <t>A1</t>
        </is>
      </c>
      <c r="C435" s="20" t="n">
        <v>739</v>
      </c>
      <c r="D435" s="19" t="n">
        <v>1</v>
      </c>
      <c r="E435" s="19" t="n">
        <v>1</v>
      </c>
      <c r="F435" s="62" t="inlineStr">
        <is>
          <t>Market</t>
        </is>
      </c>
      <c r="G435" s="62" t="inlineStr">
        <is>
          <t>Occupied</t>
        </is>
      </c>
      <c r="H435" s="20" t="n">
        <v>1207</v>
      </c>
      <c r="I435" s="20" t="n">
        <v>1464</v>
      </c>
      <c r="J435" s="20" t="n">
        <v>1464</v>
      </c>
      <c r="K435" s="63" t="inlineStr">
        <is>
          <t>03/27/2025</t>
        </is>
      </c>
      <c r="L435" s="63" t="inlineStr">
        <is>
          <t>06/26/2026</t>
        </is>
      </c>
      <c r="M435" s="63" t="inlineStr">
        <is>
          <t>11/27/2021</t>
        </is>
      </c>
      <c r="O435" s="20" t="n">
        <v>1464</v>
      </c>
      <c r="P435" s="20" t="n"/>
      <c r="Q435" s="20" t="n"/>
      <c r="R435" s="20" t="n"/>
      <c r="S435" s="20" t="n"/>
      <c r="T435" s="20" t="n"/>
      <c r="U435" s="20" t="n">
        <v>1</v>
      </c>
      <c r="V435" s="20" t="n"/>
      <c r="W435" s="20" t="n"/>
      <c r="X435" s="20" t="n"/>
      <c r="Y435" s="20" t="n"/>
      <c r="Z435" s="20" t="n"/>
    </row>
    <row r="436">
      <c r="A436" s="64" t="inlineStr">
        <is>
          <t>3618</t>
        </is>
      </c>
      <c r="B436" s="64" t="inlineStr">
        <is>
          <t>C1</t>
        </is>
      </c>
      <c r="C436" s="11" t="n">
        <v>1258</v>
      </c>
      <c r="D436" s="10" t="n">
        <v>3</v>
      </c>
      <c r="E436" s="10" t="n">
        <v>2</v>
      </c>
      <c r="F436" s="65" t="inlineStr">
        <is>
          <t>Market</t>
        </is>
      </c>
      <c r="G436" s="65" t="inlineStr">
        <is>
          <t>Occupied</t>
        </is>
      </c>
      <c r="H436" s="11" t="n">
        <v>1955</v>
      </c>
      <c r="I436" s="11" t="n">
        <v>1867</v>
      </c>
      <c r="J436" s="11" t="n">
        <v>1867</v>
      </c>
      <c r="K436" s="66" t="inlineStr">
        <is>
          <t>05/14/2025</t>
        </is>
      </c>
      <c r="L436" s="66" t="inlineStr">
        <is>
          <t>08/13/2026</t>
        </is>
      </c>
      <c r="M436" s="66" t="inlineStr">
        <is>
          <t>10/14/2021</t>
        </is>
      </c>
      <c r="O436" s="11" t="n">
        <v>1867</v>
      </c>
      <c r="P436" s="11" t="n"/>
      <c r="Q436" s="11" t="n"/>
      <c r="R436" s="11" t="n"/>
      <c r="S436" s="11" t="n"/>
      <c r="T436" s="11" t="n"/>
      <c r="U436" s="11" t="n">
        <v>1</v>
      </c>
      <c r="V436" s="11" t="n"/>
      <c r="W436" s="11" t="n"/>
      <c r="X436" s="11" t="n"/>
      <c r="Y436" s="11" t="n"/>
      <c r="Z436" s="11" t="n"/>
    </row>
    <row r="437">
      <c r="A437" s="61" t="inlineStr">
        <is>
          <t>3621</t>
        </is>
      </c>
      <c r="B437" s="61" t="inlineStr">
        <is>
          <t>C1</t>
        </is>
      </c>
      <c r="C437" s="20" t="n">
        <v>1258</v>
      </c>
      <c r="D437" s="19" t="n">
        <v>3</v>
      </c>
      <c r="E437" s="19" t="n">
        <v>2</v>
      </c>
      <c r="F437" s="62" t="inlineStr">
        <is>
          <t>Market</t>
        </is>
      </c>
      <c r="G437" s="62" t="inlineStr">
        <is>
          <t>Occupied</t>
        </is>
      </c>
      <c r="H437" s="20" t="n">
        <v>1875</v>
      </c>
      <c r="I437" s="20" t="n">
        <v>1796</v>
      </c>
      <c r="J437" s="20" t="n">
        <v>1796</v>
      </c>
      <c r="K437" s="63" t="inlineStr">
        <is>
          <t>07/06/2025</t>
        </is>
      </c>
      <c r="L437" s="63" t="inlineStr">
        <is>
          <t>09/05/2026</t>
        </is>
      </c>
      <c r="M437" s="63" t="inlineStr">
        <is>
          <t>07/06/2025</t>
        </is>
      </c>
      <c r="O437" s="20" t="n">
        <v>1796</v>
      </c>
      <c r="P437" s="20" t="n"/>
      <c r="Q437" s="20" t="n"/>
      <c r="R437" s="20" t="n"/>
      <c r="S437" s="20" t="n"/>
      <c r="T437" s="20" t="n"/>
      <c r="U437" s="20" t="n">
        <v>1</v>
      </c>
      <c r="V437" s="20" t="n"/>
      <c r="W437" s="20" t="n"/>
      <c r="X437" s="20" t="n"/>
      <c r="Y437" s="20" t="n"/>
      <c r="Z437" s="20" t="n"/>
    </row>
    <row r="438">
      <c r="A438" s="64" t="inlineStr">
        <is>
          <t>3622</t>
        </is>
      </c>
      <c r="B438" s="64" t="inlineStr">
        <is>
          <t>A1</t>
        </is>
      </c>
      <c r="C438" s="11" t="n">
        <v>739</v>
      </c>
      <c r="D438" s="10" t="n">
        <v>1</v>
      </c>
      <c r="E438" s="10" t="n">
        <v>1</v>
      </c>
      <c r="F438" s="65" t="inlineStr">
        <is>
          <t>Market</t>
        </is>
      </c>
      <c r="G438" s="65" t="inlineStr">
        <is>
          <t>Occupied</t>
        </is>
      </c>
      <c r="H438" s="11" t="n">
        <v>1167</v>
      </c>
      <c r="I438" s="11" t="n">
        <v>1353</v>
      </c>
      <c r="J438" s="11" t="n">
        <v>1353</v>
      </c>
      <c r="K438" s="66" t="inlineStr">
        <is>
          <t>06/26/2025</t>
        </is>
      </c>
      <c r="L438" s="66" t="inlineStr">
        <is>
          <t>08/25/2026</t>
        </is>
      </c>
      <c r="M438" s="66" t="inlineStr">
        <is>
          <t>03/26/2024</t>
        </is>
      </c>
      <c r="O438" s="11" t="n">
        <v>1353</v>
      </c>
      <c r="P438" s="11" t="n"/>
      <c r="Q438" s="11" t="n"/>
      <c r="R438" s="11" t="n"/>
      <c r="S438" s="11" t="n"/>
      <c r="T438" s="11" t="n"/>
      <c r="U438" s="11" t="n">
        <v>1</v>
      </c>
      <c r="V438" s="11" t="n"/>
      <c r="W438" s="11" t="n"/>
      <c r="X438" s="11" t="n"/>
      <c r="Y438" s="11" t="n"/>
      <c r="Z438" s="11" t="n"/>
    </row>
    <row r="439">
      <c r="A439" s="61" t="inlineStr">
        <is>
          <t>3623</t>
        </is>
      </c>
      <c r="B439" s="61" t="inlineStr">
        <is>
          <t>A1</t>
        </is>
      </c>
      <c r="C439" s="20" t="n">
        <v>739</v>
      </c>
      <c r="D439" s="19" t="n">
        <v>1</v>
      </c>
      <c r="E439" s="19" t="n">
        <v>1</v>
      </c>
      <c r="F439" s="62" t="inlineStr">
        <is>
          <t>Market</t>
        </is>
      </c>
      <c r="G439" s="62" t="inlineStr">
        <is>
          <t>Occupied</t>
        </is>
      </c>
      <c r="H439" s="20" t="n">
        <v>1142</v>
      </c>
      <c r="I439" s="20" t="n">
        <v>1180</v>
      </c>
      <c r="J439" s="20" t="n">
        <v>1180</v>
      </c>
      <c r="K439" s="63" t="inlineStr">
        <is>
          <t>06/20/2025</t>
        </is>
      </c>
      <c r="L439" s="63" t="inlineStr">
        <is>
          <t>08/19/2026</t>
        </is>
      </c>
      <c r="M439" s="63" t="inlineStr">
        <is>
          <t>06/20/2025</t>
        </is>
      </c>
      <c r="O439" s="20" t="n">
        <v>1180</v>
      </c>
      <c r="P439" s="20" t="n"/>
      <c r="Q439" s="20" t="n"/>
      <c r="R439" s="20" t="n"/>
      <c r="S439" s="20" t="n"/>
      <c r="T439" s="20" t="n"/>
      <c r="U439" s="20" t="n">
        <v>1</v>
      </c>
      <c r="V439" s="20" t="n"/>
      <c r="W439" s="20" t="n"/>
      <c r="X439" s="20" t="n"/>
      <c r="Y439" s="20" t="n"/>
      <c r="Z439" s="20" t="n"/>
    </row>
    <row r="440">
      <c r="A440" s="64" t="inlineStr">
        <is>
          <t>3624</t>
        </is>
      </c>
      <c r="B440" s="64" t="inlineStr">
        <is>
          <t>C1</t>
        </is>
      </c>
      <c r="C440" s="11" t="n">
        <v>1258</v>
      </c>
      <c r="D440" s="10" t="n">
        <v>3</v>
      </c>
      <c r="E440" s="10" t="n">
        <v>2</v>
      </c>
      <c r="F440" s="65" t="inlineStr">
        <is>
          <t>Market</t>
        </is>
      </c>
      <c r="G440" s="65" t="inlineStr">
        <is>
          <t>Occupied</t>
        </is>
      </c>
      <c r="H440" s="11" t="n">
        <v>1875</v>
      </c>
      <c r="I440" s="11" t="n">
        <v>2267</v>
      </c>
      <c r="J440" s="11" t="n">
        <v>2267</v>
      </c>
      <c r="K440" s="66" t="inlineStr">
        <is>
          <t>09/07/2025</t>
        </is>
      </c>
      <c r="L440" s="66" t="inlineStr">
        <is>
          <t>12/06/2026</t>
        </is>
      </c>
      <c r="M440" s="66" t="inlineStr">
        <is>
          <t>04/07/2023</t>
        </is>
      </c>
      <c r="O440" s="11" t="n">
        <v>2267</v>
      </c>
      <c r="P440" s="11" t="n"/>
      <c r="Q440" s="11" t="n"/>
      <c r="R440" s="11" t="n"/>
      <c r="S440" s="11" t="n"/>
      <c r="T440" s="11" t="n"/>
      <c r="U440" s="11" t="n">
        <v>1</v>
      </c>
      <c r="V440" s="11" t="n"/>
      <c r="W440" s="11" t="n"/>
      <c r="X440" s="11" t="n"/>
      <c r="Y440" s="11" t="n"/>
      <c r="Z440" s="11" t="n"/>
    </row>
    <row r="441">
      <c r="A441" s="61" t="inlineStr">
        <is>
          <t>3625</t>
        </is>
      </c>
      <c r="B441" s="61" t="inlineStr">
        <is>
          <t>C1</t>
        </is>
      </c>
      <c r="C441" s="20" t="n">
        <v>1258</v>
      </c>
      <c r="D441" s="19" t="n">
        <v>3</v>
      </c>
      <c r="E441" s="19" t="n">
        <v>2</v>
      </c>
      <c r="F441" s="62" t="inlineStr">
        <is>
          <t>Market</t>
        </is>
      </c>
      <c r="G441" s="62" t="inlineStr">
        <is>
          <t>Occupied</t>
        </is>
      </c>
      <c r="H441" s="20" t="n">
        <v>1875</v>
      </c>
      <c r="I441" s="20" t="n">
        <v>1696</v>
      </c>
      <c r="J441" s="20" t="n">
        <v>1696</v>
      </c>
      <c r="K441" s="63" t="inlineStr">
        <is>
          <t>11/18/2025</t>
        </is>
      </c>
      <c r="L441" s="63" t="inlineStr">
        <is>
          <t>11/19/2026</t>
        </is>
      </c>
      <c r="M441" s="63" t="inlineStr">
        <is>
          <t>11/18/2025</t>
        </is>
      </c>
      <c r="O441" s="20" t="n">
        <v>1696</v>
      </c>
      <c r="P441" s="20" t="n"/>
      <c r="Q441" s="20" t="n"/>
      <c r="R441" s="20" t="n"/>
      <c r="S441" s="20" t="n"/>
      <c r="T441" s="20" t="n"/>
      <c r="U441" s="20" t="n">
        <v>3</v>
      </c>
      <c r="V441" s="20" t="n"/>
      <c r="W441" s="20" t="n"/>
      <c r="X441" s="20" t="n"/>
      <c r="Y441" s="20" t="n"/>
      <c r="Z441" s="20" t="n"/>
    </row>
    <row r="442">
      <c r="A442" s="64" t="inlineStr">
        <is>
          <t>3626</t>
        </is>
      </c>
      <c r="B442" s="64" t="inlineStr">
        <is>
          <t>A1</t>
        </is>
      </c>
      <c r="C442" s="11" t="n">
        <v>739</v>
      </c>
      <c r="D442" s="10" t="n">
        <v>1</v>
      </c>
      <c r="E442" s="10" t="n">
        <v>1</v>
      </c>
      <c r="F442" s="65" t="inlineStr">
        <is>
          <t>Market</t>
        </is>
      </c>
      <c r="G442" s="65" t="inlineStr">
        <is>
          <t>Occupied</t>
        </is>
      </c>
      <c r="H442" s="11" t="n">
        <v>1167</v>
      </c>
      <c r="I442" s="11" t="n">
        <v>1176</v>
      </c>
      <c r="J442" s="11" t="n">
        <v>1176</v>
      </c>
      <c r="K442" s="66" t="inlineStr">
        <is>
          <t>12/01/2025</t>
        </is>
      </c>
      <c r="L442" s="66" t="inlineStr">
        <is>
          <t>01/07/2027</t>
        </is>
      </c>
      <c r="M442" s="66" t="inlineStr">
        <is>
          <t>12/01/2025</t>
        </is>
      </c>
      <c r="O442" s="11" t="n">
        <v>1176</v>
      </c>
      <c r="P442" s="11" t="n"/>
      <c r="Q442" s="11" t="n"/>
      <c r="R442" s="11" t="n"/>
      <c r="S442" s="11" t="n"/>
      <c r="T442" s="11" t="n"/>
      <c r="U442" s="11" t="n">
        <v>1</v>
      </c>
      <c r="V442" s="11" t="n"/>
      <c r="W442" s="11" t="n"/>
      <c r="X442" s="11" t="n"/>
      <c r="Y442" s="11" t="n"/>
      <c r="Z442" s="11" t="n"/>
    </row>
    <row r="443">
      <c r="A443" s="61" t="inlineStr">
        <is>
          <t>3627</t>
        </is>
      </c>
      <c r="B443" s="61" t="inlineStr">
        <is>
          <t>A1</t>
        </is>
      </c>
      <c r="C443" s="20" t="n">
        <v>739</v>
      </c>
      <c r="D443" s="19" t="n">
        <v>1</v>
      </c>
      <c r="E443" s="19" t="n">
        <v>1</v>
      </c>
      <c r="F443" s="62" t="inlineStr">
        <is>
          <t>Market</t>
        </is>
      </c>
      <c r="G443" s="62" t="inlineStr">
        <is>
          <t>Occupied</t>
        </is>
      </c>
      <c r="H443" s="20" t="n">
        <v>1272</v>
      </c>
      <c r="I443" s="20" t="n">
        <v>1150</v>
      </c>
      <c r="J443" s="20" t="n">
        <v>1150</v>
      </c>
      <c r="K443" s="63" t="inlineStr">
        <is>
          <t>03/24/2026</t>
        </is>
      </c>
      <c r="L443" s="63" t="inlineStr">
        <is>
          <t>04/23/2027</t>
        </is>
      </c>
      <c r="M443" s="63" t="inlineStr">
        <is>
          <t>03/24/2026</t>
        </is>
      </c>
      <c r="O443" s="20" t="n">
        <v>1150</v>
      </c>
      <c r="P443" s="20" t="n">
        <v>35</v>
      </c>
      <c r="Q443" s="20" t="n"/>
      <c r="R443" s="20" t="n"/>
      <c r="S443" s="20" t="n"/>
      <c r="T443" s="20" t="n"/>
      <c r="U443" s="20" t="n">
        <v>3</v>
      </c>
      <c r="V443" s="20" t="n"/>
      <c r="W443" s="20" t="n"/>
      <c r="X443" s="20" t="n"/>
      <c r="Y443" s="20" t="n"/>
      <c r="Z443" s="20" t="n"/>
    </row>
    <row r="444">
      <c r="A444" s="64" t="inlineStr">
        <is>
          <t>3628</t>
        </is>
      </c>
      <c r="B444" s="64" t="inlineStr">
        <is>
          <t>C1</t>
        </is>
      </c>
      <c r="C444" s="11" t="n">
        <v>1258</v>
      </c>
      <c r="D444" s="10" t="n">
        <v>3</v>
      </c>
      <c r="E444" s="10" t="n">
        <v>2</v>
      </c>
      <c r="F444" s="65" t="inlineStr">
        <is>
          <t>Market</t>
        </is>
      </c>
      <c r="G444" s="65" t="inlineStr">
        <is>
          <t>Vacant</t>
        </is>
      </c>
      <c r="H444" s="11" t="n">
        <v>2030</v>
      </c>
      <c r="I444" s="11" t="n">
        <v>0</v>
      </c>
      <c r="J444" s="11" t="n">
        <v>0</v>
      </c>
      <c r="K444" s="66" t="n"/>
      <c r="L444" s="66" t="n"/>
      <c r="M444" s="66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61" t="inlineStr">
        <is>
          <t>3632</t>
        </is>
      </c>
      <c r="B445" s="61" t="inlineStr">
        <is>
          <t>A1</t>
        </is>
      </c>
      <c r="C445" s="20" t="n">
        <v>739</v>
      </c>
      <c r="D445" s="19" t="n">
        <v>1</v>
      </c>
      <c r="E445" s="19" t="n">
        <v>1</v>
      </c>
      <c r="F445" s="62" t="inlineStr">
        <is>
          <t>Market</t>
        </is>
      </c>
      <c r="G445" s="62" t="inlineStr">
        <is>
          <t>Occupied</t>
        </is>
      </c>
      <c r="H445" s="20" t="n">
        <v>1167</v>
      </c>
      <c r="I445" s="20" t="n">
        <v>1242</v>
      </c>
      <c r="J445" s="20" t="n">
        <v>1242</v>
      </c>
      <c r="K445" s="63" t="inlineStr">
        <is>
          <t>08/10/2025</t>
        </is>
      </c>
      <c r="L445" s="63" t="inlineStr">
        <is>
          <t>11/09/2026</t>
        </is>
      </c>
      <c r="M445" s="63" t="inlineStr">
        <is>
          <t>11/03/2020</t>
        </is>
      </c>
      <c r="O445" s="20" t="n">
        <v>1242</v>
      </c>
      <c r="P445" s="20" t="n"/>
      <c r="Q445" s="20" t="n">
        <v>100</v>
      </c>
      <c r="R445" s="20" t="n"/>
      <c r="S445" s="20" t="n"/>
      <c r="T445" s="20" t="n"/>
      <c r="U445" s="20" t="n">
        <v>1</v>
      </c>
      <c r="V445" s="20" t="n"/>
      <c r="W445" s="20" t="n"/>
      <c r="X445" s="20" t="n"/>
      <c r="Y445" s="20" t="n"/>
      <c r="Z445" s="20" t="n"/>
    </row>
    <row r="446">
      <c r="A446" s="64" t="inlineStr">
        <is>
          <t>3633</t>
        </is>
      </c>
      <c r="B446" s="64" t="inlineStr">
        <is>
          <t>A1</t>
        </is>
      </c>
      <c r="C446" s="11" t="n">
        <v>739</v>
      </c>
      <c r="D446" s="10" t="n">
        <v>1</v>
      </c>
      <c r="E446" s="10" t="n">
        <v>1</v>
      </c>
      <c r="F446" s="65" t="inlineStr">
        <is>
          <t>Market</t>
        </is>
      </c>
      <c r="G446" s="65" t="inlineStr">
        <is>
          <t>Occupied</t>
        </is>
      </c>
      <c r="H446" s="11" t="n">
        <v>1302</v>
      </c>
      <c r="I446" s="11" t="n">
        <v>1240</v>
      </c>
      <c r="J446" s="11" t="n">
        <v>1240</v>
      </c>
      <c r="K446" s="66" t="inlineStr">
        <is>
          <t>02/06/2026</t>
        </is>
      </c>
      <c r="L446" s="66" t="inlineStr">
        <is>
          <t>02/02/2027</t>
        </is>
      </c>
      <c r="M446" s="66" t="inlineStr">
        <is>
          <t>02/06/2026</t>
        </is>
      </c>
      <c r="O446" s="11" t="n">
        <v>1240</v>
      </c>
      <c r="P446" s="11" t="n">
        <v>35</v>
      </c>
      <c r="Q446" s="11" t="n"/>
      <c r="R446" s="11" t="n"/>
      <c r="S446" s="11" t="n"/>
      <c r="T446" s="11" t="n"/>
      <c r="U446" s="11" t="n">
        <v>3</v>
      </c>
      <c r="V446" s="11" t="n"/>
      <c r="W446" s="11" t="n"/>
      <c r="X446" s="11" t="n"/>
      <c r="Y446" s="11" t="n"/>
      <c r="Z446" s="11" t="n"/>
    </row>
    <row r="447">
      <c r="A447" s="61" t="inlineStr">
        <is>
          <t>3636</t>
        </is>
      </c>
      <c r="B447" s="61" t="inlineStr">
        <is>
          <t>A1</t>
        </is>
      </c>
      <c r="C447" s="20" t="n">
        <v>739</v>
      </c>
      <c r="D447" s="19" t="n">
        <v>1</v>
      </c>
      <c r="E447" s="19" t="n">
        <v>1</v>
      </c>
      <c r="F447" s="62" t="inlineStr">
        <is>
          <t>Market</t>
        </is>
      </c>
      <c r="G447" s="62" t="inlineStr">
        <is>
          <t>Occupied</t>
        </is>
      </c>
      <c r="H447" s="20" t="n">
        <v>1167</v>
      </c>
      <c r="I447" s="20" t="n">
        <v>1171</v>
      </c>
      <c r="J447" s="20" t="n">
        <v>1171</v>
      </c>
      <c r="K447" s="63" t="inlineStr">
        <is>
          <t>07/28/2025</t>
        </is>
      </c>
      <c r="L447" s="63" t="inlineStr">
        <is>
          <t>07/19/2026</t>
        </is>
      </c>
      <c r="M447" s="63" t="inlineStr">
        <is>
          <t>07/28/2025</t>
        </is>
      </c>
      <c r="O447" s="20" t="n">
        <v>1171</v>
      </c>
      <c r="P447" s="20" t="n"/>
      <c r="Q447" s="20" t="n"/>
      <c r="R447" s="20" t="n"/>
      <c r="S447" s="20" t="n"/>
      <c r="T447" s="20" t="n"/>
      <c r="U447" s="20" t="n">
        <v>1</v>
      </c>
      <c r="V447" s="20" t="n"/>
      <c r="W447" s="20" t="n"/>
      <c r="X447" s="20" t="n"/>
      <c r="Y447" s="20" t="n"/>
      <c r="Z447" s="20" t="n"/>
    </row>
    <row r="448">
      <c r="A448" s="64" t="inlineStr">
        <is>
          <t>3637</t>
        </is>
      </c>
      <c r="B448" s="64" t="inlineStr">
        <is>
          <t>A1</t>
        </is>
      </c>
      <c r="C448" s="11" t="n">
        <v>739</v>
      </c>
      <c r="D448" s="10" t="n">
        <v>1</v>
      </c>
      <c r="E448" s="10" t="n">
        <v>1</v>
      </c>
      <c r="F448" s="65" t="inlineStr">
        <is>
          <t>Market</t>
        </is>
      </c>
      <c r="G448" s="65" t="inlineStr">
        <is>
          <t>Occupied</t>
        </is>
      </c>
      <c r="H448" s="11" t="n">
        <v>1187</v>
      </c>
      <c r="I448" s="11" t="n">
        <v>1269</v>
      </c>
      <c r="J448" s="11" t="n">
        <v>1269</v>
      </c>
      <c r="K448" s="66" t="inlineStr">
        <is>
          <t>10/20/2025</t>
        </is>
      </c>
      <c r="L448" s="66" t="inlineStr">
        <is>
          <t>11/19/2026</t>
        </is>
      </c>
      <c r="M448" s="66" t="inlineStr">
        <is>
          <t>10/20/2025</t>
        </is>
      </c>
      <c r="O448" s="11" t="n">
        <v>1269</v>
      </c>
      <c r="P448" s="11" t="n"/>
      <c r="Q448" s="11" t="n"/>
      <c r="R448" s="11" t="n"/>
      <c r="S448" s="11" t="n"/>
      <c r="T448" s="11" t="n"/>
      <c r="U448" s="11" t="n">
        <v>1</v>
      </c>
      <c r="V448" s="11" t="n"/>
      <c r="W448" s="11" t="n"/>
      <c r="X448" s="11" t="n"/>
      <c r="Y448" s="11" t="n"/>
      <c r="Z448" s="11" t="n"/>
    </row>
    <row r="449">
      <c r="A449" s="61" t="inlineStr">
        <is>
          <t>3711</t>
        </is>
      </c>
      <c r="B449" s="61" t="inlineStr">
        <is>
          <t>B3</t>
        </is>
      </c>
      <c r="C449" s="20" t="n">
        <v>1173</v>
      </c>
      <c r="D449" s="19" t="n">
        <v>2</v>
      </c>
      <c r="E449" s="19" t="n">
        <v>2</v>
      </c>
      <c r="F449" s="62" t="inlineStr">
        <is>
          <t>Market</t>
        </is>
      </c>
      <c r="G449" s="62" t="inlineStr">
        <is>
          <t>Occupied</t>
        </is>
      </c>
      <c r="H449" s="20" t="n">
        <v>1816</v>
      </c>
      <c r="I449" s="20" t="n">
        <v>1600</v>
      </c>
      <c r="J449" s="20" t="n">
        <v>1600</v>
      </c>
      <c r="K449" s="63" t="inlineStr">
        <is>
          <t>01/11/2026</t>
        </is>
      </c>
      <c r="L449" s="63" t="inlineStr">
        <is>
          <t>04/10/2027</t>
        </is>
      </c>
      <c r="M449" s="63" t="inlineStr">
        <is>
          <t>02/09/2018</t>
        </is>
      </c>
      <c r="O449" s="20" t="n">
        <v>1600</v>
      </c>
      <c r="P449" s="20" t="n"/>
      <c r="Q449" s="20" t="n"/>
      <c r="R449" s="20" t="n"/>
      <c r="S449" s="20" t="n"/>
      <c r="T449" s="20" t="n">
        <v>45</v>
      </c>
      <c r="U449" s="20" t="n">
        <v>3</v>
      </c>
      <c r="V449" s="20" t="n"/>
      <c r="W449" s="20" t="n"/>
      <c r="X449" s="20" t="n"/>
      <c r="Y449" s="20" t="n"/>
      <c r="Z449" s="20" t="n"/>
    </row>
    <row r="450">
      <c r="A450" s="64" t="inlineStr">
        <is>
          <t>3712</t>
        </is>
      </c>
      <c r="B450" s="64" t="inlineStr">
        <is>
          <t>B3</t>
        </is>
      </c>
      <c r="C450" s="11" t="n">
        <v>1173</v>
      </c>
      <c r="D450" s="10" t="n">
        <v>2</v>
      </c>
      <c r="E450" s="10" t="n">
        <v>2</v>
      </c>
      <c r="F450" s="65" t="inlineStr">
        <is>
          <t>Market</t>
        </is>
      </c>
      <c r="G450" s="65" t="inlineStr">
        <is>
          <t>Vacant</t>
        </is>
      </c>
      <c r="H450" s="11" t="n">
        <v>1816</v>
      </c>
      <c r="I450" s="11" t="n">
        <v>0</v>
      </c>
      <c r="J450" s="11" t="n">
        <v>0</v>
      </c>
      <c r="K450" s="66" t="n"/>
      <c r="L450" s="66" t="n"/>
      <c r="M450" s="66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61" t="inlineStr">
        <is>
          <t>3713</t>
        </is>
      </c>
      <c r="B451" s="61" t="inlineStr">
        <is>
          <t>B3</t>
        </is>
      </c>
      <c r="C451" s="20" t="n">
        <v>1173</v>
      </c>
      <c r="D451" s="19" t="n">
        <v>2</v>
      </c>
      <c r="E451" s="19" t="n">
        <v>2</v>
      </c>
      <c r="F451" s="62" t="inlineStr">
        <is>
          <t>Market</t>
        </is>
      </c>
      <c r="G451" s="62" t="inlineStr">
        <is>
          <t>Occupied</t>
        </is>
      </c>
      <c r="H451" s="20" t="n">
        <v>1816</v>
      </c>
      <c r="I451" s="20" t="n">
        <v>1749</v>
      </c>
      <c r="J451" s="20" t="n">
        <v>1749</v>
      </c>
      <c r="K451" s="63" t="inlineStr">
        <is>
          <t>09/15/2025</t>
        </is>
      </c>
      <c r="L451" s="63" t="inlineStr">
        <is>
          <t>09/14/2026</t>
        </is>
      </c>
      <c r="M451" s="63" t="inlineStr">
        <is>
          <t>09/20/2017</t>
        </is>
      </c>
      <c r="O451" s="20" t="n">
        <v>1749</v>
      </c>
      <c r="P451" s="20" t="n"/>
      <c r="Q451" s="20" t="n"/>
      <c r="R451" s="20" t="n"/>
      <c r="S451" s="20" t="n"/>
      <c r="T451" s="20" t="n"/>
      <c r="U451" s="20" t="n">
        <v>1</v>
      </c>
      <c r="V451" s="20" t="n"/>
      <c r="W451" s="20" t="n"/>
      <c r="X451" s="20" t="n"/>
      <c r="Y451" s="20" t="n"/>
      <c r="Z451" s="20" t="n"/>
    </row>
    <row r="452">
      <c r="A452" s="64" t="inlineStr">
        <is>
          <t>3714</t>
        </is>
      </c>
      <c r="B452" s="64" t="inlineStr">
        <is>
          <t>B3</t>
        </is>
      </c>
      <c r="C452" s="11" t="n">
        <v>1173</v>
      </c>
      <c r="D452" s="10" t="n">
        <v>2</v>
      </c>
      <c r="E452" s="10" t="n">
        <v>2</v>
      </c>
      <c r="F452" s="65" t="inlineStr">
        <is>
          <t>Market</t>
        </is>
      </c>
      <c r="G452" s="65" t="inlineStr">
        <is>
          <t>Occupied</t>
        </is>
      </c>
      <c r="H452" s="11" t="n">
        <v>1816</v>
      </c>
      <c r="I452" s="11" t="n">
        <v>1735</v>
      </c>
      <c r="J452" s="11" t="n">
        <v>1735</v>
      </c>
      <c r="K452" s="66" t="inlineStr">
        <is>
          <t>12/16/2025</t>
        </is>
      </c>
      <c r="L452" s="66" t="inlineStr">
        <is>
          <t>03/15/2027</t>
        </is>
      </c>
      <c r="M452" s="66" t="inlineStr">
        <is>
          <t>11/15/2024</t>
        </is>
      </c>
      <c r="O452" s="11" t="n">
        <v>1735</v>
      </c>
      <c r="P452" s="11" t="n"/>
      <c r="Q452" s="11" t="n"/>
      <c r="R452" s="11" t="n"/>
      <c r="S452" s="11" t="n"/>
      <c r="T452" s="11" t="n"/>
      <c r="U452" s="11" t="n">
        <v>1</v>
      </c>
      <c r="V452" s="11" t="n"/>
      <c r="W452" s="11" t="n"/>
      <c r="X452" s="11" t="n"/>
      <c r="Y452" s="11" t="n"/>
      <c r="Z452" s="11" t="n"/>
    </row>
    <row r="453">
      <c r="A453" s="61" t="inlineStr">
        <is>
          <t>3715</t>
        </is>
      </c>
      <c r="B453" s="61" t="inlineStr">
        <is>
          <t>B3</t>
        </is>
      </c>
      <c r="C453" s="20" t="n">
        <v>1173</v>
      </c>
      <c r="D453" s="19" t="n">
        <v>2</v>
      </c>
      <c r="E453" s="19" t="n">
        <v>2</v>
      </c>
      <c r="F453" s="62" t="inlineStr">
        <is>
          <t>Market</t>
        </is>
      </c>
      <c r="G453" s="62" t="inlineStr">
        <is>
          <t>Occupied</t>
        </is>
      </c>
      <c r="H453" s="20" t="n">
        <v>1816</v>
      </c>
      <c r="I453" s="20" t="n">
        <v>1678</v>
      </c>
      <c r="J453" s="20" t="n">
        <v>1678</v>
      </c>
      <c r="K453" s="63" t="inlineStr">
        <is>
          <t>03/16/2026</t>
        </is>
      </c>
      <c r="L453" s="63" t="inlineStr">
        <is>
          <t>05/15/2027</t>
        </is>
      </c>
      <c r="M453" s="63" t="inlineStr">
        <is>
          <t>12/16/2024</t>
        </is>
      </c>
      <c r="O453" s="20" t="n">
        <v>1678</v>
      </c>
      <c r="P453" s="20" t="n">
        <v>35</v>
      </c>
      <c r="Q453" s="20" t="n"/>
      <c r="R453" s="20" t="n"/>
      <c r="S453" s="20" t="n"/>
      <c r="T453" s="20" t="n"/>
      <c r="U453" s="20" t="n">
        <v>3</v>
      </c>
      <c r="V453" s="20" t="n"/>
      <c r="W453" s="20" t="n"/>
      <c r="X453" s="20" t="n"/>
      <c r="Y453" s="20" t="n"/>
      <c r="Z453" s="20" t="n"/>
    </row>
    <row r="454">
      <c r="A454" s="64" t="inlineStr">
        <is>
          <t>3811</t>
        </is>
      </c>
      <c r="B454" s="64" t="inlineStr">
        <is>
          <t>A2</t>
        </is>
      </c>
      <c r="C454" s="11" t="n">
        <v>777</v>
      </c>
      <c r="D454" s="10" t="n">
        <v>1</v>
      </c>
      <c r="E454" s="10" t="n">
        <v>1</v>
      </c>
      <c r="F454" s="65" t="inlineStr">
        <is>
          <t>Market</t>
        </is>
      </c>
      <c r="G454" s="65" t="inlineStr">
        <is>
          <t>Occupied</t>
        </is>
      </c>
      <c r="H454" s="11" t="n">
        <v>1227</v>
      </c>
      <c r="I454" s="11" t="n">
        <v>1200</v>
      </c>
      <c r="J454" s="11" t="n">
        <v>1200</v>
      </c>
      <c r="K454" s="66" t="inlineStr">
        <is>
          <t>07/20/2025</t>
        </is>
      </c>
      <c r="L454" s="66" t="inlineStr">
        <is>
          <t>07/26/2026</t>
        </is>
      </c>
      <c r="M454" s="66" t="inlineStr">
        <is>
          <t>06/20/2024</t>
        </is>
      </c>
      <c r="O454" s="11" t="n">
        <v>1200</v>
      </c>
      <c r="P454" s="11" t="n"/>
      <c r="Q454" s="11" t="n"/>
      <c r="R454" s="11" t="n"/>
      <c r="S454" s="11" t="n"/>
      <c r="T454" s="11" t="n">
        <v>30</v>
      </c>
      <c r="U454" s="11" t="n">
        <v>1</v>
      </c>
      <c r="V454" s="11" t="n"/>
      <c r="W454" s="11" t="n"/>
      <c r="X454" s="11" t="n"/>
      <c r="Y454" s="11" t="n"/>
      <c r="Z454" s="11" t="n"/>
    </row>
    <row r="455">
      <c r="A455" s="61" t="inlineStr">
        <is>
          <t>3812</t>
        </is>
      </c>
      <c r="B455" s="61" t="inlineStr">
        <is>
          <t>A2</t>
        </is>
      </c>
      <c r="C455" s="20" t="n">
        <v>777</v>
      </c>
      <c r="D455" s="19" t="n">
        <v>1</v>
      </c>
      <c r="E455" s="19" t="n">
        <v>1</v>
      </c>
      <c r="F455" s="62" t="inlineStr">
        <is>
          <t>Market</t>
        </is>
      </c>
      <c r="G455" s="62" t="inlineStr">
        <is>
          <t>Occupied</t>
        </is>
      </c>
      <c r="H455" s="20" t="n">
        <v>1267</v>
      </c>
      <c r="I455" s="20" t="n">
        <v>1490</v>
      </c>
      <c r="J455" s="20" t="n">
        <v>1490</v>
      </c>
      <c r="K455" s="63" t="inlineStr">
        <is>
          <t>05/16/2026</t>
        </is>
      </c>
      <c r="L455" s="63" t="inlineStr">
        <is>
          <t>08/15/2027</t>
        </is>
      </c>
      <c r="M455" s="63" t="inlineStr">
        <is>
          <t>11/02/2022</t>
        </is>
      </c>
      <c r="O455" s="20" t="n">
        <v>1490</v>
      </c>
      <c r="P455" s="20" t="n">
        <v>35</v>
      </c>
      <c r="Q455" s="20" t="n">
        <v>125</v>
      </c>
      <c r="R455" s="20" t="n"/>
      <c r="S455" s="20" t="n"/>
      <c r="T455" s="20" t="n"/>
      <c r="U455" s="20" t="n">
        <v>3</v>
      </c>
      <c r="V455" s="20" t="n"/>
      <c r="W455" s="20" t="n">
        <v>-300</v>
      </c>
      <c r="X455" s="20" t="n"/>
      <c r="Y455" s="20" t="n"/>
      <c r="Z455" s="20" t="n"/>
    </row>
    <row r="456">
      <c r="A456" s="64" t="inlineStr">
        <is>
          <t>3813</t>
        </is>
      </c>
      <c r="B456" s="64" t="inlineStr">
        <is>
          <t>A2</t>
        </is>
      </c>
      <c r="C456" s="11" t="n">
        <v>777</v>
      </c>
      <c r="D456" s="10" t="n">
        <v>1</v>
      </c>
      <c r="E456" s="10" t="n">
        <v>1</v>
      </c>
      <c r="F456" s="65" t="inlineStr">
        <is>
          <t>Market</t>
        </is>
      </c>
      <c r="G456" s="65" t="inlineStr">
        <is>
          <t>Occupied</t>
        </is>
      </c>
      <c r="H456" s="11" t="n">
        <v>1227</v>
      </c>
      <c r="I456" s="11" t="n">
        <v>1248</v>
      </c>
      <c r="J456" s="11" t="n">
        <v>1248</v>
      </c>
      <c r="K456" s="66" t="inlineStr">
        <is>
          <t>12/28/2025</t>
        </is>
      </c>
      <c r="L456" s="66" t="inlineStr">
        <is>
          <t>03/27/2027</t>
        </is>
      </c>
      <c r="M456" s="66" t="inlineStr">
        <is>
          <t>12/28/2016</t>
        </is>
      </c>
      <c r="O456" s="11" t="n">
        <v>1248</v>
      </c>
      <c r="P456" s="11" t="n"/>
      <c r="Q456" s="11" t="n">
        <v>125</v>
      </c>
      <c r="R456" s="11" t="n"/>
      <c r="S456" s="11" t="n"/>
      <c r="T456" s="11" t="n"/>
      <c r="U456" s="11" t="n">
        <v>1</v>
      </c>
      <c r="V456" s="11" t="n"/>
      <c r="W456" s="11" t="n"/>
      <c r="X456" s="11" t="n"/>
      <c r="Y456" s="11" t="n"/>
      <c r="Z456" s="11" t="n"/>
    </row>
    <row r="457">
      <c r="A457" s="61" t="inlineStr">
        <is>
          <t>3814</t>
        </is>
      </c>
      <c r="B457" s="61" t="inlineStr">
        <is>
          <t>A2</t>
        </is>
      </c>
      <c r="C457" s="20" t="n">
        <v>777</v>
      </c>
      <c r="D457" s="19" t="n">
        <v>1</v>
      </c>
      <c r="E457" s="19" t="n">
        <v>1</v>
      </c>
      <c r="F457" s="62" t="inlineStr">
        <is>
          <t>Market</t>
        </is>
      </c>
      <c r="G457" s="62" t="inlineStr">
        <is>
          <t>Occupied</t>
        </is>
      </c>
      <c r="H457" s="20" t="n">
        <v>1227</v>
      </c>
      <c r="I457" s="20" t="n">
        <v>1315</v>
      </c>
      <c r="J457" s="20" t="n">
        <v>1315</v>
      </c>
      <c r="K457" s="63" t="inlineStr">
        <is>
          <t>03/01/2025</t>
        </is>
      </c>
      <c r="L457" s="63" t="inlineStr">
        <is>
          <t>05/31/2026</t>
        </is>
      </c>
      <c r="M457" s="63" t="inlineStr">
        <is>
          <t>07/10/2012</t>
        </is>
      </c>
      <c r="O457" s="20" t="n">
        <v>1315</v>
      </c>
      <c r="P457" s="20" t="n"/>
      <c r="Q457" s="20" t="n"/>
      <c r="R457" s="20" t="n"/>
      <c r="S457" s="20" t="n"/>
      <c r="T457" s="20" t="n"/>
      <c r="U457" s="20" t="n">
        <v>1</v>
      </c>
      <c r="V457" s="20" t="n"/>
      <c r="W457" s="20" t="n"/>
      <c r="X457" s="20" t="n"/>
      <c r="Y457" s="20" t="n"/>
      <c r="Z457" s="20" t="n"/>
    </row>
    <row r="458">
      <c r="A458" s="64" t="inlineStr">
        <is>
          <t>3815</t>
        </is>
      </c>
      <c r="B458" s="64" t="inlineStr">
        <is>
          <t>A2</t>
        </is>
      </c>
      <c r="C458" s="11" t="n">
        <v>777</v>
      </c>
      <c r="D458" s="10" t="n">
        <v>1</v>
      </c>
      <c r="E458" s="10" t="n">
        <v>1</v>
      </c>
      <c r="F458" s="65" t="inlineStr">
        <is>
          <t>Market</t>
        </is>
      </c>
      <c r="G458" s="65" t="inlineStr">
        <is>
          <t>Vacant</t>
        </is>
      </c>
      <c r="H458" s="11" t="n">
        <v>1287</v>
      </c>
      <c r="I458" s="11" t="n">
        <v>0</v>
      </c>
      <c r="J458" s="11" t="n">
        <v>0</v>
      </c>
      <c r="K458" s="66" t="n"/>
      <c r="L458" s="66" t="n"/>
      <c r="M458" s="66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61" t="inlineStr">
        <is>
          <t>3816</t>
        </is>
      </c>
      <c r="B459" s="61" t="inlineStr">
        <is>
          <t>A2</t>
        </is>
      </c>
      <c r="C459" s="20" t="n">
        <v>777</v>
      </c>
      <c r="D459" s="19" t="n">
        <v>1</v>
      </c>
      <c r="E459" s="19" t="n">
        <v>1</v>
      </c>
      <c r="F459" s="62" t="inlineStr">
        <is>
          <t>Market</t>
        </is>
      </c>
      <c r="G459" s="62" t="inlineStr">
        <is>
          <t>Occupied</t>
        </is>
      </c>
      <c r="H459" s="20" t="n">
        <v>1227</v>
      </c>
      <c r="I459" s="20" t="n">
        <v>1304</v>
      </c>
      <c r="J459" s="20" t="n">
        <v>1304</v>
      </c>
      <c r="K459" s="63" t="inlineStr">
        <is>
          <t>03/27/2026</t>
        </is>
      </c>
      <c r="L459" s="63" t="inlineStr">
        <is>
          <t>09/26/2026</t>
        </is>
      </c>
      <c r="M459" s="63" t="inlineStr">
        <is>
          <t>03/27/2026</t>
        </is>
      </c>
      <c r="O459" s="20" t="n">
        <v>1304</v>
      </c>
      <c r="P459" s="20" t="n">
        <v>35</v>
      </c>
      <c r="Q459" s="20" t="n"/>
      <c r="R459" s="20" t="n"/>
      <c r="S459" s="20" t="n"/>
      <c r="T459" s="20" t="n"/>
      <c r="U459" s="20" t="n">
        <v>3</v>
      </c>
      <c r="V459" s="20" t="n"/>
      <c r="W459" s="20" t="n"/>
      <c r="X459" s="20" t="n"/>
      <c r="Y459" s="20" t="n"/>
      <c r="Z459" s="20" t="n"/>
    </row>
    <row r="460">
      <c r="A460" s="64" t="inlineStr">
        <is>
          <t>3817</t>
        </is>
      </c>
      <c r="B460" s="64" t="inlineStr">
        <is>
          <t>A2</t>
        </is>
      </c>
      <c r="C460" s="11" t="n">
        <v>777</v>
      </c>
      <c r="D460" s="10" t="n">
        <v>1</v>
      </c>
      <c r="E460" s="10" t="n">
        <v>1</v>
      </c>
      <c r="F460" s="65" t="inlineStr">
        <is>
          <t>Market</t>
        </is>
      </c>
      <c r="G460" s="65" t="inlineStr">
        <is>
          <t>Occupied</t>
        </is>
      </c>
      <c r="H460" s="11" t="n">
        <v>1227</v>
      </c>
      <c r="I460" s="11" t="n">
        <v>1162</v>
      </c>
      <c r="J460" s="11" t="n">
        <v>1162</v>
      </c>
      <c r="K460" s="66" t="inlineStr">
        <is>
          <t>12/16/2025</t>
        </is>
      </c>
      <c r="L460" s="66" t="inlineStr">
        <is>
          <t>12/15/2026</t>
        </is>
      </c>
      <c r="M460" s="66" t="inlineStr">
        <is>
          <t>12/16/2025</t>
        </is>
      </c>
      <c r="O460" s="11" t="n">
        <v>1162</v>
      </c>
      <c r="P460" s="11" t="n"/>
      <c r="Q460" s="11" t="n"/>
      <c r="R460" s="11" t="n"/>
      <c r="S460" s="11" t="n"/>
      <c r="T460" s="11" t="n"/>
      <c r="U460" s="11" t="n">
        <v>3</v>
      </c>
      <c r="V460" s="11" t="n"/>
      <c r="W460" s="11" t="n"/>
      <c r="X460" s="11" t="n"/>
      <c r="Y460" s="11" t="n"/>
      <c r="Z460" s="11" t="n"/>
    </row>
    <row r="461">
      <c r="A461" s="61" t="inlineStr">
        <is>
          <t>3818</t>
        </is>
      </c>
      <c r="B461" s="61" t="inlineStr">
        <is>
          <t>A2</t>
        </is>
      </c>
      <c r="C461" s="20" t="n">
        <v>777</v>
      </c>
      <c r="D461" s="19" t="n">
        <v>1</v>
      </c>
      <c r="E461" s="19" t="n">
        <v>1</v>
      </c>
      <c r="F461" s="62" t="inlineStr">
        <is>
          <t>Market</t>
        </is>
      </c>
      <c r="G461" s="62" t="inlineStr">
        <is>
          <t>Occupied</t>
        </is>
      </c>
      <c r="H461" s="20" t="n">
        <v>1362</v>
      </c>
      <c r="I461" s="20" t="n">
        <v>1269</v>
      </c>
      <c r="J461" s="20" t="n">
        <v>1269</v>
      </c>
      <c r="K461" s="63" t="inlineStr">
        <is>
          <t>03/10/2026</t>
        </is>
      </c>
      <c r="L461" s="63" t="inlineStr">
        <is>
          <t>04/09/2027</t>
        </is>
      </c>
      <c r="M461" s="63" t="inlineStr">
        <is>
          <t>03/10/2026</t>
        </is>
      </c>
      <c r="O461" s="20" t="n">
        <v>1269</v>
      </c>
      <c r="P461" s="20" t="n">
        <v>35</v>
      </c>
      <c r="Q461" s="20" t="n"/>
      <c r="R461" s="20" t="n"/>
      <c r="S461" s="20" t="n"/>
      <c r="T461" s="20" t="n"/>
      <c r="U461" s="20" t="n">
        <v>3</v>
      </c>
      <c r="V461" s="20" t="n"/>
      <c r="W461" s="20" t="n"/>
      <c r="X461" s="20" t="n"/>
      <c r="Y461" s="20" t="n"/>
      <c r="Z461" s="20" t="n"/>
    </row>
    <row r="462">
      <c r="A462" s="64" t="inlineStr">
        <is>
          <t>3821</t>
        </is>
      </c>
      <c r="B462" s="64" t="inlineStr">
        <is>
          <t>A2</t>
        </is>
      </c>
      <c r="C462" s="11" t="n">
        <v>777</v>
      </c>
      <c r="D462" s="10" t="n">
        <v>1</v>
      </c>
      <c r="E462" s="10" t="n">
        <v>1</v>
      </c>
      <c r="F462" s="65" t="inlineStr">
        <is>
          <t>Market</t>
        </is>
      </c>
      <c r="G462" s="65" t="inlineStr">
        <is>
          <t>Occupied</t>
        </is>
      </c>
      <c r="H462" s="11" t="n">
        <v>1247</v>
      </c>
      <c r="I462" s="11" t="n">
        <v>1030</v>
      </c>
      <c r="J462" s="11" t="n">
        <v>1030</v>
      </c>
      <c r="K462" s="66" t="inlineStr">
        <is>
          <t>03/03/2026</t>
        </is>
      </c>
      <c r="L462" s="66" t="inlineStr">
        <is>
          <t>05/30/2027</t>
        </is>
      </c>
      <c r="M462" s="66" t="inlineStr">
        <is>
          <t>03/03/2026</t>
        </is>
      </c>
      <c r="O462" s="11" t="n">
        <v>1030</v>
      </c>
      <c r="P462" s="11" t="n">
        <v>35</v>
      </c>
      <c r="Q462" s="11" t="n"/>
      <c r="R462" s="11" t="n"/>
      <c r="S462" s="11" t="n"/>
      <c r="T462" s="11" t="n">
        <v>45</v>
      </c>
      <c r="U462" s="11" t="n">
        <v>3</v>
      </c>
      <c r="V462" s="11" t="n"/>
      <c r="W462" s="11" t="n"/>
      <c r="X462" s="11" t="n"/>
      <c r="Y462" s="11" t="n"/>
      <c r="Z462" s="11" t="n"/>
    </row>
    <row r="463">
      <c r="A463" s="61" t="inlineStr">
        <is>
          <t>3822</t>
        </is>
      </c>
      <c r="B463" s="61" t="inlineStr">
        <is>
          <t>A2</t>
        </is>
      </c>
      <c r="C463" s="20" t="n">
        <v>777</v>
      </c>
      <c r="D463" s="19" t="n">
        <v>1</v>
      </c>
      <c r="E463" s="19" t="n">
        <v>1</v>
      </c>
      <c r="F463" s="62" t="inlineStr">
        <is>
          <t>Market</t>
        </is>
      </c>
      <c r="G463" s="62" t="inlineStr">
        <is>
          <t>Occupied</t>
        </is>
      </c>
      <c r="H463" s="20" t="n">
        <v>1207</v>
      </c>
      <c r="I463" s="20" t="n">
        <v>1144</v>
      </c>
      <c r="J463" s="20" t="n">
        <v>1144</v>
      </c>
      <c r="K463" s="63" t="inlineStr">
        <is>
          <t>12/15/2025</t>
        </is>
      </c>
      <c r="L463" s="63" t="inlineStr">
        <is>
          <t>12/14/2026</t>
        </is>
      </c>
      <c r="M463" s="63" t="inlineStr">
        <is>
          <t>12/15/2025</t>
        </is>
      </c>
      <c r="O463" s="20" t="n">
        <v>1144</v>
      </c>
      <c r="P463" s="20" t="n"/>
      <c r="Q463" s="20" t="n"/>
      <c r="R463" s="20" t="n"/>
      <c r="S463" s="20" t="n"/>
      <c r="T463" s="20" t="n"/>
      <c r="U463" s="20" t="n">
        <v>3</v>
      </c>
      <c r="V463" s="20" t="n"/>
      <c r="W463" s="20" t="n"/>
      <c r="X463" s="20" t="n"/>
      <c r="Y463" s="20" t="n"/>
      <c r="Z463" s="20" t="n"/>
    </row>
    <row r="464">
      <c r="A464" s="64" t="inlineStr">
        <is>
          <t>3823</t>
        </is>
      </c>
      <c r="B464" s="64" t="inlineStr">
        <is>
          <t>A2</t>
        </is>
      </c>
      <c r="C464" s="11" t="n">
        <v>777</v>
      </c>
      <c r="D464" s="10" t="n">
        <v>1</v>
      </c>
      <c r="E464" s="10" t="n">
        <v>1</v>
      </c>
      <c r="F464" s="65" t="inlineStr">
        <is>
          <t>Market</t>
        </is>
      </c>
      <c r="G464" s="65" t="inlineStr">
        <is>
          <t>Occupied</t>
        </is>
      </c>
      <c r="H464" s="11" t="n">
        <v>1207</v>
      </c>
      <c r="I464" s="11" t="n">
        <v>1314</v>
      </c>
      <c r="J464" s="11" t="n">
        <v>1314</v>
      </c>
      <c r="K464" s="66" t="inlineStr">
        <is>
          <t>03/20/2026</t>
        </is>
      </c>
      <c r="L464" s="66" t="inlineStr">
        <is>
          <t>06/19/2027</t>
        </is>
      </c>
      <c r="M464" s="66" t="inlineStr">
        <is>
          <t>12/20/2024</t>
        </is>
      </c>
      <c r="O464" s="11" t="n">
        <v>1314</v>
      </c>
      <c r="P464" s="11" t="n">
        <v>35</v>
      </c>
      <c r="Q464" s="11" t="n"/>
      <c r="R464" s="11" t="n"/>
      <c r="S464" s="11" t="n"/>
      <c r="T464" s="11" t="n"/>
      <c r="U464" s="11" t="n">
        <v>3</v>
      </c>
      <c r="V464" s="11" t="n"/>
      <c r="W464" s="11" t="n"/>
      <c r="X464" s="11" t="n"/>
      <c r="Y464" s="11" t="n"/>
      <c r="Z464" s="11" t="n"/>
    </row>
    <row r="465">
      <c r="A465" s="61" t="inlineStr">
        <is>
          <t>3824</t>
        </is>
      </c>
      <c r="B465" s="61" t="inlineStr">
        <is>
          <t>A2</t>
        </is>
      </c>
      <c r="C465" s="20" t="n">
        <v>777</v>
      </c>
      <c r="D465" s="19" t="n">
        <v>1</v>
      </c>
      <c r="E465" s="19" t="n">
        <v>1</v>
      </c>
      <c r="F465" s="62" t="inlineStr">
        <is>
          <t>Market</t>
        </is>
      </c>
      <c r="G465" s="62" t="inlineStr">
        <is>
          <t>Occupied</t>
        </is>
      </c>
      <c r="H465" s="20" t="n">
        <v>1207</v>
      </c>
      <c r="I465" s="20" t="n">
        <v>1375</v>
      </c>
      <c r="J465" s="20" t="n">
        <v>1375</v>
      </c>
      <c r="K465" s="63" t="inlineStr">
        <is>
          <t>01/26/2026</t>
        </is>
      </c>
      <c r="L465" s="63" t="inlineStr">
        <is>
          <t>04/25/2027</t>
        </is>
      </c>
      <c r="M465" s="63" t="inlineStr">
        <is>
          <t>10/26/2024</t>
        </is>
      </c>
      <c r="O465" s="20" t="n">
        <v>1375</v>
      </c>
      <c r="P465" s="20" t="n"/>
      <c r="Q465" s="20" t="n"/>
      <c r="R465" s="20" t="n"/>
      <c r="S465" s="20" t="n"/>
      <c r="T465" s="20" t="n"/>
      <c r="U465" s="20" t="n">
        <v>3</v>
      </c>
      <c r="V465" s="20" t="n"/>
      <c r="W465" s="20" t="n"/>
      <c r="X465" s="20" t="n"/>
      <c r="Y465" s="20" t="n"/>
      <c r="Z465" s="20" t="n"/>
    </row>
    <row r="466">
      <c r="A466" s="64" t="inlineStr">
        <is>
          <t>3825</t>
        </is>
      </c>
      <c r="B466" s="64" t="inlineStr">
        <is>
          <t>A2</t>
        </is>
      </c>
      <c r="C466" s="11" t="n">
        <v>777</v>
      </c>
      <c r="D466" s="10" t="n">
        <v>1</v>
      </c>
      <c r="E466" s="10" t="n">
        <v>1</v>
      </c>
      <c r="F466" s="65" t="inlineStr">
        <is>
          <t>Market</t>
        </is>
      </c>
      <c r="G466" s="65" t="inlineStr">
        <is>
          <t>Vacant</t>
        </is>
      </c>
      <c r="H466" s="11" t="n">
        <v>1292</v>
      </c>
      <c r="I466" s="11" t="n">
        <v>0</v>
      </c>
      <c r="J466" s="11" t="n">
        <v>0</v>
      </c>
      <c r="K466" s="66" t="n"/>
      <c r="L466" s="66" t="n"/>
      <c r="M466" s="66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61" t="inlineStr">
        <is>
          <t>3826</t>
        </is>
      </c>
      <c r="B467" s="61" t="inlineStr">
        <is>
          <t>A2</t>
        </is>
      </c>
      <c r="C467" s="20" t="n">
        <v>777</v>
      </c>
      <c r="D467" s="19" t="n">
        <v>1</v>
      </c>
      <c r="E467" s="19" t="n">
        <v>1</v>
      </c>
      <c r="F467" s="62" t="inlineStr">
        <is>
          <t>Market</t>
        </is>
      </c>
      <c r="G467" s="62" t="inlineStr">
        <is>
          <t>Occupied</t>
        </is>
      </c>
      <c r="H467" s="20" t="n">
        <v>1292</v>
      </c>
      <c r="I467" s="20" t="n">
        <v>1282</v>
      </c>
      <c r="J467" s="20" t="n">
        <v>1282</v>
      </c>
      <c r="K467" s="63" t="inlineStr">
        <is>
          <t>07/20/2025</t>
        </is>
      </c>
      <c r="L467" s="63" t="inlineStr">
        <is>
          <t>07/26/2026</t>
        </is>
      </c>
      <c r="M467" s="63" t="inlineStr">
        <is>
          <t>06/20/2024</t>
        </is>
      </c>
      <c r="O467" s="20" t="n">
        <v>1282</v>
      </c>
      <c r="P467" s="20" t="n"/>
      <c r="Q467" s="20" t="n"/>
      <c r="R467" s="20" t="n"/>
      <c r="S467" s="20" t="n"/>
      <c r="T467" s="20" t="n"/>
      <c r="U467" s="20" t="n">
        <v>1</v>
      </c>
      <c r="V467" s="20" t="n"/>
      <c r="W467" s="20" t="n"/>
      <c r="X467" s="20" t="n"/>
      <c r="Y467" s="20" t="n"/>
      <c r="Z467" s="20" t="n"/>
    </row>
    <row r="468">
      <c r="A468" s="64" t="inlineStr">
        <is>
          <t>3827</t>
        </is>
      </c>
      <c r="B468" s="64" t="inlineStr">
        <is>
          <t>A2</t>
        </is>
      </c>
      <c r="C468" s="11" t="n">
        <v>777</v>
      </c>
      <c r="D468" s="10" t="n">
        <v>1</v>
      </c>
      <c r="E468" s="10" t="n">
        <v>1</v>
      </c>
      <c r="F468" s="65" t="inlineStr">
        <is>
          <t>Market</t>
        </is>
      </c>
      <c r="G468" s="65" t="inlineStr">
        <is>
          <t>Occupied</t>
        </is>
      </c>
      <c r="H468" s="11" t="n">
        <v>1207</v>
      </c>
      <c r="I468" s="11" t="n">
        <v>1254</v>
      </c>
      <c r="J468" s="11" t="n">
        <v>1254</v>
      </c>
      <c r="K468" s="66" t="inlineStr">
        <is>
          <t>07/27/2025</t>
        </is>
      </c>
      <c r="L468" s="66" t="inlineStr">
        <is>
          <t>07/26/2026</t>
        </is>
      </c>
      <c r="M468" s="66" t="inlineStr">
        <is>
          <t>07/27/2025</t>
        </is>
      </c>
      <c r="O468" s="11" t="n">
        <v>1254</v>
      </c>
      <c r="P468" s="11" t="n"/>
      <c r="Q468" s="11" t="n">
        <v>75</v>
      </c>
      <c r="R468" s="11" t="n"/>
      <c r="S468" s="11" t="n"/>
      <c r="T468" s="11" t="n"/>
      <c r="U468" s="11" t="n">
        <v>1</v>
      </c>
      <c r="V468" s="11" t="n"/>
      <c r="W468" s="11" t="n"/>
      <c r="X468" s="11" t="n"/>
      <c r="Y468" s="11" t="n"/>
      <c r="Z468" s="11" t="n"/>
    </row>
    <row r="469">
      <c r="A469" s="61" t="inlineStr">
        <is>
          <t>3828</t>
        </is>
      </c>
      <c r="B469" s="61" t="inlineStr">
        <is>
          <t>A2</t>
        </is>
      </c>
      <c r="C469" s="20" t="n">
        <v>777</v>
      </c>
      <c r="D469" s="19" t="n">
        <v>1</v>
      </c>
      <c r="E469" s="19" t="n">
        <v>1</v>
      </c>
      <c r="F469" s="62" t="inlineStr">
        <is>
          <t>Market</t>
        </is>
      </c>
      <c r="G469" s="62" t="inlineStr">
        <is>
          <t>Occupied</t>
        </is>
      </c>
      <c r="H469" s="20" t="n">
        <v>1207</v>
      </c>
      <c r="I469" s="20" t="n">
        <v>1297</v>
      </c>
      <c r="J469" s="20" t="n">
        <v>1297</v>
      </c>
      <c r="K469" s="63" t="inlineStr">
        <is>
          <t>01/21/2026</t>
        </is>
      </c>
      <c r="L469" s="63" t="inlineStr">
        <is>
          <t>04/20/2027</t>
        </is>
      </c>
      <c r="M469" s="63" t="inlineStr">
        <is>
          <t>03/03/2019</t>
        </is>
      </c>
      <c r="O469" s="20" t="n">
        <v>1297</v>
      </c>
      <c r="P469" s="20" t="n"/>
      <c r="Q469" s="20" t="n"/>
      <c r="R469" s="20" t="n"/>
      <c r="S469" s="20" t="n"/>
      <c r="T469" s="20" t="n"/>
      <c r="U469" s="20" t="n">
        <v>3</v>
      </c>
      <c r="V469" s="20" t="n"/>
      <c r="W469" s="20" t="n"/>
      <c r="X469" s="20" t="n"/>
      <c r="Y469" s="20" t="n"/>
      <c r="Z469" s="20" t="n"/>
    </row>
    <row r="470">
      <c r="A470" s="64" t="inlineStr">
        <is>
          <t>3832</t>
        </is>
      </c>
      <c r="B470" s="64" t="inlineStr">
        <is>
          <t>A2</t>
        </is>
      </c>
      <c r="C470" s="11" t="n">
        <v>777</v>
      </c>
      <c r="D470" s="10" t="n">
        <v>1</v>
      </c>
      <c r="E470" s="10" t="n">
        <v>1</v>
      </c>
      <c r="F470" s="65" t="inlineStr">
        <is>
          <t>Market</t>
        </is>
      </c>
      <c r="G470" s="65" t="inlineStr">
        <is>
          <t>Occupied</t>
        </is>
      </c>
      <c r="H470" s="11" t="n">
        <v>1207</v>
      </c>
      <c r="I470" s="11" t="n">
        <v>1185</v>
      </c>
      <c r="J470" s="11" t="n">
        <v>1185</v>
      </c>
      <c r="K470" s="66" t="inlineStr">
        <is>
          <t>03/29/2026</t>
        </is>
      </c>
      <c r="L470" s="66" t="inlineStr">
        <is>
          <t>06/28/2027</t>
        </is>
      </c>
      <c r="M470" s="66" t="inlineStr">
        <is>
          <t>12/30/2024</t>
        </is>
      </c>
      <c r="O470" s="11" t="n">
        <v>1185</v>
      </c>
      <c r="P470" s="11" t="n">
        <v>35</v>
      </c>
      <c r="Q470" s="11" t="n"/>
      <c r="R470" s="11" t="n"/>
      <c r="S470" s="11" t="n"/>
      <c r="T470" s="11" t="n"/>
      <c r="U470" s="11" t="n">
        <v>3</v>
      </c>
      <c r="V470" s="11" t="n"/>
      <c r="W470" s="11" t="n"/>
      <c r="X470" s="11" t="n"/>
      <c r="Y470" s="11" t="n"/>
      <c r="Z470" s="11" t="n"/>
    </row>
    <row r="471">
      <c r="A471" s="61" t="inlineStr">
        <is>
          <t>3833</t>
        </is>
      </c>
      <c r="B471" s="61" t="inlineStr">
        <is>
          <t>A2</t>
        </is>
      </c>
      <c r="C471" s="20" t="n">
        <v>777</v>
      </c>
      <c r="D471" s="19" t="n">
        <v>1</v>
      </c>
      <c r="E471" s="19" t="n">
        <v>1</v>
      </c>
      <c r="F471" s="62" t="inlineStr">
        <is>
          <t>Market</t>
        </is>
      </c>
      <c r="G471" s="62" t="inlineStr">
        <is>
          <t>Occupied</t>
        </is>
      </c>
      <c r="H471" s="20" t="n">
        <v>1292</v>
      </c>
      <c r="I471" s="20" t="n">
        <v>1280</v>
      </c>
      <c r="J471" s="20" t="n">
        <v>1280</v>
      </c>
      <c r="K471" s="63" t="inlineStr">
        <is>
          <t>08/19/2025</t>
        </is>
      </c>
      <c r="L471" s="63" t="inlineStr">
        <is>
          <t>09/18/2026</t>
        </is>
      </c>
      <c r="M471" s="63" t="inlineStr">
        <is>
          <t>08/19/2025</t>
        </is>
      </c>
      <c r="O471" s="20" t="n">
        <v>1280</v>
      </c>
      <c r="P471" s="20" t="n"/>
      <c r="Q471" s="20" t="n"/>
      <c r="R471" s="20" t="n"/>
      <c r="S471" s="20" t="n"/>
      <c r="T471" s="20" t="n">
        <v>45</v>
      </c>
      <c r="U471" s="20" t="n">
        <v>1</v>
      </c>
      <c r="V471" s="20" t="n"/>
      <c r="W471" s="20" t="n"/>
      <c r="X471" s="20" t="n"/>
      <c r="Y471" s="20" t="n"/>
      <c r="Z471" s="20" t="n"/>
    </row>
    <row r="472">
      <c r="A472" s="64" t="inlineStr">
        <is>
          <t>3836</t>
        </is>
      </c>
      <c r="B472" s="64" t="inlineStr">
        <is>
          <t>A2</t>
        </is>
      </c>
      <c r="C472" s="11" t="n">
        <v>777</v>
      </c>
      <c r="D472" s="10" t="n">
        <v>1</v>
      </c>
      <c r="E472" s="10" t="n">
        <v>1</v>
      </c>
      <c r="F472" s="65" t="inlineStr">
        <is>
          <t>Market</t>
        </is>
      </c>
      <c r="G472" s="65" t="inlineStr">
        <is>
          <t>Occupied</t>
        </is>
      </c>
      <c r="H472" s="11" t="n">
        <v>1292</v>
      </c>
      <c r="I472" s="11" t="n">
        <v>1129</v>
      </c>
      <c r="J472" s="11" t="n">
        <v>1129</v>
      </c>
      <c r="K472" s="66" t="inlineStr">
        <is>
          <t>12/07/2025</t>
        </is>
      </c>
      <c r="L472" s="66" t="inlineStr">
        <is>
          <t>03/06/2027</t>
        </is>
      </c>
      <c r="M472" s="66" t="inlineStr">
        <is>
          <t>12/07/2025</t>
        </is>
      </c>
      <c r="O472" s="11" t="n">
        <v>1129</v>
      </c>
      <c r="P472" s="11" t="n"/>
      <c r="Q472" s="11" t="n"/>
      <c r="R472" s="11" t="n"/>
      <c r="S472" s="11" t="n"/>
      <c r="T472" s="11" t="n"/>
      <c r="U472" s="11" t="n">
        <v>3</v>
      </c>
      <c r="V472" s="11" t="n"/>
      <c r="W472" s="11" t="n"/>
      <c r="X472" s="11" t="n"/>
      <c r="Y472" s="11" t="n"/>
      <c r="Z472" s="11" t="n"/>
    </row>
    <row r="473">
      <c r="A473" s="61" t="inlineStr">
        <is>
          <t>3837</t>
        </is>
      </c>
      <c r="B473" s="61" t="inlineStr">
        <is>
          <t>A2</t>
        </is>
      </c>
      <c r="C473" s="20" t="n">
        <v>777</v>
      </c>
      <c r="D473" s="19" t="n">
        <v>1</v>
      </c>
      <c r="E473" s="19" t="n">
        <v>1</v>
      </c>
      <c r="F473" s="62" t="inlineStr">
        <is>
          <t>Market</t>
        </is>
      </c>
      <c r="G473" s="62" t="inlineStr">
        <is>
          <t>Occupied</t>
        </is>
      </c>
      <c r="H473" s="20" t="n">
        <v>1207</v>
      </c>
      <c r="I473" s="20" t="n">
        <v>1351</v>
      </c>
      <c r="J473" s="20" t="n">
        <v>1351</v>
      </c>
      <c r="K473" s="63" t="inlineStr">
        <is>
          <t>12/02/2025</t>
        </is>
      </c>
      <c r="L473" s="63" t="inlineStr">
        <is>
          <t>03/08/2027</t>
        </is>
      </c>
      <c r="M473" s="63" t="inlineStr">
        <is>
          <t>09/03/2024</t>
        </is>
      </c>
      <c r="O473" s="20" t="n">
        <v>1351</v>
      </c>
      <c r="P473" s="20" t="n"/>
      <c r="Q473" s="20" t="n"/>
      <c r="R473" s="20" t="n"/>
      <c r="S473" s="20" t="n"/>
      <c r="T473" s="20" t="n"/>
      <c r="U473" s="20" t="n">
        <v>1</v>
      </c>
      <c r="V473" s="20" t="n"/>
      <c r="W473" s="20" t="n"/>
      <c r="X473" s="20" t="n"/>
      <c r="Y473" s="20" t="n"/>
      <c r="Z473" s="20" t="n"/>
    </row>
    <row r="474">
      <c r="A474" s="64" t="inlineStr">
        <is>
          <t>3911</t>
        </is>
      </c>
      <c r="B474" s="64" t="inlineStr">
        <is>
          <t>B4</t>
        </is>
      </c>
      <c r="C474" s="11" t="n">
        <v>1187</v>
      </c>
      <c r="D474" s="10" t="n">
        <v>2</v>
      </c>
      <c r="E474" s="10" t="n">
        <v>2</v>
      </c>
      <c r="F474" s="65" t="inlineStr">
        <is>
          <t>Market</t>
        </is>
      </c>
      <c r="G474" s="65" t="inlineStr">
        <is>
          <t>Occupied</t>
        </is>
      </c>
      <c r="H474" s="11" t="n">
        <v>1756</v>
      </c>
      <c r="I474" s="11" t="n">
        <v>1748</v>
      </c>
      <c r="J474" s="11" t="n">
        <v>1748</v>
      </c>
      <c r="K474" s="66" t="inlineStr">
        <is>
          <t>03/29/2025</t>
        </is>
      </c>
      <c r="L474" s="66" t="inlineStr">
        <is>
          <t>06/28/2026</t>
        </is>
      </c>
      <c r="M474" s="66" t="inlineStr">
        <is>
          <t>03/29/2025</t>
        </is>
      </c>
      <c r="O474" s="11" t="n">
        <v>1748</v>
      </c>
      <c r="P474" s="11" t="n"/>
      <c r="Q474" s="11" t="n"/>
      <c r="R474" s="11" t="n"/>
      <c r="S474" s="11" t="n"/>
      <c r="T474" s="11" t="n"/>
      <c r="U474" s="11" t="n">
        <v>1</v>
      </c>
      <c r="V474" s="11" t="n"/>
      <c r="W474" s="11" t="n"/>
      <c r="X474" s="11" t="n"/>
      <c r="Y474" s="11" t="n"/>
      <c r="Z474" s="11" t="n"/>
    </row>
    <row r="475">
      <c r="A475" s="61" t="inlineStr">
        <is>
          <t>3912</t>
        </is>
      </c>
      <c r="B475" s="61" t="inlineStr">
        <is>
          <t>B1</t>
        </is>
      </c>
      <c r="C475" s="20" t="n">
        <v>947</v>
      </c>
      <c r="D475" s="19" t="n">
        <v>2</v>
      </c>
      <c r="E475" s="19" t="n">
        <v>2</v>
      </c>
      <c r="F475" s="62" t="inlineStr">
        <is>
          <t>Market</t>
        </is>
      </c>
      <c r="G475" s="62" t="inlineStr">
        <is>
          <t>Occupied</t>
        </is>
      </c>
      <c r="H475" s="20" t="n">
        <v>1512</v>
      </c>
      <c r="I475" s="20" t="n">
        <v>1531</v>
      </c>
      <c r="J475" s="20" t="n">
        <v>1531</v>
      </c>
      <c r="K475" s="63" t="inlineStr">
        <is>
          <t>04/04/2026</t>
        </is>
      </c>
      <c r="L475" s="63" t="inlineStr">
        <is>
          <t>07/03/2027</t>
        </is>
      </c>
      <c r="M475" s="63" t="inlineStr">
        <is>
          <t>04/04/2026</t>
        </is>
      </c>
      <c r="O475" s="20" t="n">
        <v>1531</v>
      </c>
      <c r="P475" s="20" t="n">
        <v>35</v>
      </c>
      <c r="Q475" s="20" t="n"/>
      <c r="R475" s="20" t="n"/>
      <c r="S475" s="20" t="n"/>
      <c r="T475" s="20" t="n"/>
      <c r="U475" s="20" t="n">
        <v>3</v>
      </c>
      <c r="V475" s="20" t="n"/>
      <c r="W475" s="20" t="n"/>
      <c r="X475" s="20" t="n"/>
      <c r="Y475" s="20" t="n"/>
      <c r="Z475" s="20" t="n"/>
    </row>
    <row r="476">
      <c r="A476" s="64" t="inlineStr">
        <is>
          <t>3913</t>
        </is>
      </c>
      <c r="B476" s="64" t="inlineStr">
        <is>
          <t>B1</t>
        </is>
      </c>
      <c r="C476" s="11" t="n">
        <v>947</v>
      </c>
      <c r="D476" s="10" t="n">
        <v>2</v>
      </c>
      <c r="E476" s="10" t="n">
        <v>2</v>
      </c>
      <c r="F476" s="65" t="inlineStr">
        <is>
          <t>Market</t>
        </is>
      </c>
      <c r="G476" s="65" t="inlineStr">
        <is>
          <t>Occupied</t>
        </is>
      </c>
      <c r="H476" s="11" t="n">
        <v>1492</v>
      </c>
      <c r="I476" s="11" t="n">
        <v>1624</v>
      </c>
      <c r="J476" s="11" t="n">
        <v>1624</v>
      </c>
      <c r="K476" s="66" t="inlineStr">
        <is>
          <t>05/08/2026</t>
        </is>
      </c>
      <c r="L476" s="66" t="inlineStr">
        <is>
          <t>08/07/2027</t>
        </is>
      </c>
      <c r="M476" s="66" t="inlineStr">
        <is>
          <t>01/08/2023</t>
        </is>
      </c>
      <c r="O476" s="11" t="n">
        <v>1624</v>
      </c>
      <c r="P476" s="11" t="n">
        <v>35</v>
      </c>
      <c r="Q476" s="11" t="n"/>
      <c r="R476" s="11" t="n"/>
      <c r="S476" s="11" t="n"/>
      <c r="T476" s="11" t="n">
        <v>90</v>
      </c>
      <c r="U476" s="11" t="n">
        <v>3</v>
      </c>
      <c r="V476" s="11" t="n"/>
      <c r="W476" s="11" t="n"/>
      <c r="X476" s="11" t="n"/>
      <c r="Y476" s="11" t="n"/>
      <c r="Z476" s="11" t="n"/>
    </row>
    <row r="477">
      <c r="A477" s="61" t="inlineStr">
        <is>
          <t>3914</t>
        </is>
      </c>
      <c r="B477" s="61" t="inlineStr">
        <is>
          <t>B4</t>
        </is>
      </c>
      <c r="C477" s="20" t="n">
        <v>1187</v>
      </c>
      <c r="D477" s="19" t="n">
        <v>2</v>
      </c>
      <c r="E477" s="19" t="n">
        <v>2</v>
      </c>
      <c r="F477" s="62" t="inlineStr">
        <is>
          <t>Market</t>
        </is>
      </c>
      <c r="G477" s="62" t="inlineStr">
        <is>
          <t>Occupied</t>
        </is>
      </c>
      <c r="H477" s="20" t="n">
        <v>1756</v>
      </c>
      <c r="I477" s="20" t="n">
        <v>1523</v>
      </c>
      <c r="J477" s="20" t="n">
        <v>1523</v>
      </c>
      <c r="K477" s="63" t="inlineStr">
        <is>
          <t>07/30/2025</t>
        </is>
      </c>
      <c r="L477" s="63" t="inlineStr">
        <is>
          <t>07/29/2026</t>
        </is>
      </c>
      <c r="M477" s="63" t="inlineStr">
        <is>
          <t>07/30/2025</t>
        </is>
      </c>
      <c r="O477" s="20" t="n">
        <v>1523</v>
      </c>
      <c r="P477" s="20" t="n"/>
      <c r="Q477" s="20" t="n"/>
      <c r="R477" s="20" t="n"/>
      <c r="S477" s="20" t="n"/>
      <c r="T477" s="20" t="n"/>
      <c r="U477" s="20" t="n">
        <v>1</v>
      </c>
      <c r="V477" s="20" t="n"/>
      <c r="W477" s="20" t="n"/>
      <c r="X477" s="20" t="n"/>
      <c r="Y477" s="20" t="n"/>
      <c r="Z477" s="20" t="n"/>
    </row>
    <row r="478">
      <c r="A478" s="64" t="inlineStr">
        <is>
          <t>3915</t>
        </is>
      </c>
      <c r="B478" s="64" t="inlineStr">
        <is>
          <t>B4</t>
        </is>
      </c>
      <c r="C478" s="11" t="n">
        <v>1187</v>
      </c>
      <c r="D478" s="10" t="n">
        <v>2</v>
      </c>
      <c r="E478" s="10" t="n">
        <v>2</v>
      </c>
      <c r="F478" s="65" t="inlineStr">
        <is>
          <t>Market</t>
        </is>
      </c>
      <c r="G478" s="65" t="inlineStr">
        <is>
          <t>Occupied</t>
        </is>
      </c>
      <c r="H478" s="11" t="n">
        <v>1716</v>
      </c>
      <c r="I478" s="11" t="n">
        <v>1513</v>
      </c>
      <c r="J478" s="11" t="n">
        <v>1513</v>
      </c>
      <c r="K478" s="66" t="inlineStr">
        <is>
          <t>09/15/2025</t>
        </is>
      </c>
      <c r="L478" s="66" t="inlineStr">
        <is>
          <t>12/14/2026</t>
        </is>
      </c>
      <c r="M478" s="66" t="inlineStr">
        <is>
          <t>09/15/2025</t>
        </is>
      </c>
      <c r="O478" s="11" t="n">
        <v>1513</v>
      </c>
      <c r="P478" s="11" t="n"/>
      <c r="Q478" s="11" t="n"/>
      <c r="R478" s="11" t="n"/>
      <c r="S478" s="11" t="n"/>
      <c r="T478" s="11" t="n"/>
      <c r="U478" s="11" t="n">
        <v>1</v>
      </c>
      <c r="V478" s="11" t="n"/>
      <c r="W478" s="11" t="n"/>
      <c r="X478" s="11" t="n"/>
      <c r="Y478" s="11" t="n"/>
      <c r="Z478" s="11" t="n"/>
    </row>
    <row r="479">
      <c r="A479" s="61" t="inlineStr">
        <is>
          <t>3916</t>
        </is>
      </c>
      <c r="B479" s="61" t="inlineStr">
        <is>
          <t>B1</t>
        </is>
      </c>
      <c r="C479" s="20" t="n">
        <v>947</v>
      </c>
      <c r="D479" s="19" t="n">
        <v>2</v>
      </c>
      <c r="E479" s="19" t="n">
        <v>2</v>
      </c>
      <c r="F479" s="62" t="inlineStr">
        <is>
          <t>Market</t>
        </is>
      </c>
      <c r="G479" s="62" t="inlineStr">
        <is>
          <t>Occupied</t>
        </is>
      </c>
      <c r="H479" s="20" t="n">
        <v>1452</v>
      </c>
      <c r="I479" s="20" t="n">
        <v>1257</v>
      </c>
      <c r="J479" s="20" t="n">
        <v>1257</v>
      </c>
      <c r="K479" s="63" t="inlineStr">
        <is>
          <t>12/12/2025</t>
        </is>
      </c>
      <c r="L479" s="63" t="inlineStr">
        <is>
          <t>03/11/2027</t>
        </is>
      </c>
      <c r="M479" s="63" t="inlineStr">
        <is>
          <t>12/12/2025</t>
        </is>
      </c>
      <c r="O479" s="20" t="n">
        <v>1257</v>
      </c>
      <c r="P479" s="20" t="n">
        <v>35</v>
      </c>
      <c r="Q479" s="20" t="n"/>
      <c r="R479" s="20" t="n"/>
      <c r="S479" s="20" t="n"/>
      <c r="T479" s="20" t="n"/>
      <c r="U479" s="20" t="n">
        <v>3</v>
      </c>
      <c r="V479" s="20" t="n"/>
      <c r="W479" s="20" t="n"/>
      <c r="X479" s="20" t="n"/>
      <c r="Y479" s="20" t="n"/>
      <c r="Z479" s="20" t="n"/>
    </row>
    <row r="480">
      <c r="A480" s="64" t="inlineStr">
        <is>
          <t>3917</t>
        </is>
      </c>
      <c r="B480" s="64" t="inlineStr">
        <is>
          <t>B1</t>
        </is>
      </c>
      <c r="C480" s="11" t="n">
        <v>947</v>
      </c>
      <c r="D480" s="10" t="n">
        <v>2</v>
      </c>
      <c r="E480" s="10" t="n">
        <v>2</v>
      </c>
      <c r="F480" s="65" t="inlineStr">
        <is>
          <t>Market</t>
        </is>
      </c>
      <c r="G480" s="65" t="inlineStr">
        <is>
          <t>Occupied</t>
        </is>
      </c>
      <c r="H480" s="11" t="n">
        <v>1492</v>
      </c>
      <c r="I480" s="11" t="n">
        <v>1441</v>
      </c>
      <c r="J480" s="11" t="n">
        <v>1441</v>
      </c>
      <c r="K480" s="66" t="inlineStr">
        <is>
          <t>07/01/2025</t>
        </is>
      </c>
      <c r="L480" s="66" t="inlineStr">
        <is>
          <t>07/31/2026</t>
        </is>
      </c>
      <c r="M480" s="66" t="inlineStr">
        <is>
          <t>07/01/2025</t>
        </is>
      </c>
      <c r="O480" s="11" t="n">
        <v>1441</v>
      </c>
      <c r="P480" s="11" t="n"/>
      <c r="Q480" s="11" t="n"/>
      <c r="R480" s="11" t="n"/>
      <c r="S480" s="11" t="n"/>
      <c r="T480" s="11" t="n"/>
      <c r="U480" s="11" t="n">
        <v>1</v>
      </c>
      <c r="V480" s="11" t="n"/>
      <c r="W480" s="11" t="n"/>
      <c r="X480" s="11" t="n"/>
      <c r="Y480" s="11" t="n"/>
      <c r="Z480" s="11" t="n"/>
    </row>
    <row r="481">
      <c r="A481" s="61" t="inlineStr">
        <is>
          <t>3918</t>
        </is>
      </c>
      <c r="B481" s="61" t="inlineStr">
        <is>
          <t>B4</t>
        </is>
      </c>
      <c r="C481" s="20" t="n">
        <v>1187</v>
      </c>
      <c r="D481" s="19" t="n">
        <v>2</v>
      </c>
      <c r="E481" s="19" t="n">
        <v>2</v>
      </c>
      <c r="F481" s="62" t="inlineStr">
        <is>
          <t>Market</t>
        </is>
      </c>
      <c r="G481" s="62" t="inlineStr">
        <is>
          <t>Occupied</t>
        </is>
      </c>
      <c r="H481" s="20" t="n">
        <v>1716</v>
      </c>
      <c r="I481" s="20" t="n">
        <v>1788</v>
      </c>
      <c r="J481" s="20" t="n">
        <v>1788</v>
      </c>
      <c r="K481" s="63" t="inlineStr">
        <is>
          <t>06/24/2025</t>
        </is>
      </c>
      <c r="L481" s="63" t="inlineStr">
        <is>
          <t>09/23/2026</t>
        </is>
      </c>
      <c r="M481" s="63" t="inlineStr">
        <is>
          <t>03/17/2024</t>
        </is>
      </c>
      <c r="O481" s="20" t="n">
        <v>1788</v>
      </c>
      <c r="P481" s="20" t="n"/>
      <c r="Q481" s="20" t="n"/>
      <c r="R481" s="20" t="n"/>
      <c r="S481" s="20" t="n"/>
      <c r="T481" s="20" t="n"/>
      <c r="U481" s="20" t="n">
        <v>1</v>
      </c>
      <c r="V481" s="20" t="n"/>
      <c r="W481" s="20" t="n"/>
      <c r="X481" s="20" t="n"/>
      <c r="Y481" s="20" t="n"/>
      <c r="Z481" s="20" t="n"/>
    </row>
    <row r="482">
      <c r="A482" s="64" t="inlineStr">
        <is>
          <t>3921</t>
        </is>
      </c>
      <c r="B482" s="64" t="inlineStr">
        <is>
          <t>B4</t>
        </is>
      </c>
      <c r="C482" s="11" t="n">
        <v>1187</v>
      </c>
      <c r="D482" s="10" t="n">
        <v>2</v>
      </c>
      <c r="E482" s="10" t="n">
        <v>2</v>
      </c>
      <c r="F482" s="65" t="inlineStr">
        <is>
          <t>Market</t>
        </is>
      </c>
      <c r="G482" s="65" t="inlineStr">
        <is>
          <t>Occupied</t>
        </is>
      </c>
      <c r="H482" s="11" t="n">
        <v>1696</v>
      </c>
      <c r="I482" s="11" t="n">
        <v>1581</v>
      </c>
      <c r="J482" s="11" t="n">
        <v>1581</v>
      </c>
      <c r="K482" s="66" t="inlineStr">
        <is>
          <t>08/27/2025</t>
        </is>
      </c>
      <c r="L482" s="66" t="inlineStr">
        <is>
          <t>08/26/2026</t>
        </is>
      </c>
      <c r="M482" s="66" t="inlineStr">
        <is>
          <t>08/27/2025</t>
        </is>
      </c>
      <c r="O482" s="11" t="n">
        <v>1581</v>
      </c>
      <c r="P482" s="11" t="n"/>
      <c r="Q482" s="11" t="n"/>
      <c r="R482" s="11" t="n"/>
      <c r="S482" s="11" t="n"/>
      <c r="T482" s="11" t="n"/>
      <c r="U482" s="11" t="n">
        <v>1</v>
      </c>
      <c r="V482" s="11" t="n"/>
      <c r="W482" s="11" t="n"/>
      <c r="X482" s="11" t="n"/>
      <c r="Y482" s="11" t="n"/>
      <c r="Z482" s="11" t="n"/>
    </row>
    <row r="483">
      <c r="A483" s="61" t="inlineStr">
        <is>
          <t>3922</t>
        </is>
      </c>
      <c r="B483" s="61" t="inlineStr">
        <is>
          <t>B1</t>
        </is>
      </c>
      <c r="C483" s="20" t="n">
        <v>947</v>
      </c>
      <c r="D483" s="19" t="n">
        <v>2</v>
      </c>
      <c r="E483" s="19" t="n">
        <v>2</v>
      </c>
      <c r="F483" s="62" t="inlineStr">
        <is>
          <t>Market</t>
        </is>
      </c>
      <c r="G483" s="62" t="inlineStr">
        <is>
          <t>Occupied</t>
        </is>
      </c>
      <c r="H483" s="20" t="n">
        <v>1432</v>
      </c>
      <c r="I483" s="20" t="n">
        <v>1451</v>
      </c>
      <c r="J483" s="20" t="n">
        <v>1451</v>
      </c>
      <c r="K483" s="63" t="inlineStr">
        <is>
          <t>06/07/2025</t>
        </is>
      </c>
      <c r="L483" s="63" t="inlineStr">
        <is>
          <t>06/06/2026</t>
        </is>
      </c>
      <c r="M483" s="63" t="inlineStr">
        <is>
          <t>06/07/2025</t>
        </is>
      </c>
      <c r="O483" s="20" t="n">
        <v>1451</v>
      </c>
      <c r="P483" s="20" t="n"/>
      <c r="Q483" s="20" t="n"/>
      <c r="R483" s="20" t="n"/>
      <c r="S483" s="20" t="n"/>
      <c r="T483" s="20" t="n"/>
      <c r="U483" s="20" t="n">
        <v>1</v>
      </c>
      <c r="V483" s="20" t="n"/>
      <c r="W483" s="20" t="n"/>
      <c r="X483" s="20" t="n"/>
      <c r="Y483" s="20" t="n"/>
      <c r="Z483" s="20" t="n"/>
    </row>
    <row r="484">
      <c r="A484" s="64" t="inlineStr">
        <is>
          <t>3923</t>
        </is>
      </c>
      <c r="B484" s="64" t="inlineStr">
        <is>
          <t>B1</t>
        </is>
      </c>
      <c r="C484" s="11" t="n">
        <v>947</v>
      </c>
      <c r="D484" s="10" t="n">
        <v>2</v>
      </c>
      <c r="E484" s="10" t="n">
        <v>2</v>
      </c>
      <c r="F484" s="65" t="inlineStr">
        <is>
          <t>Market</t>
        </is>
      </c>
      <c r="G484" s="65" t="inlineStr">
        <is>
          <t>Occupied</t>
        </is>
      </c>
      <c r="H484" s="11" t="n">
        <v>1432</v>
      </c>
      <c r="I484" s="11" t="n">
        <v>1342</v>
      </c>
      <c r="J484" s="11" t="n">
        <v>1342</v>
      </c>
      <c r="K484" s="66" t="inlineStr">
        <is>
          <t>05/27/2025</t>
        </is>
      </c>
      <c r="L484" s="66" t="inlineStr">
        <is>
          <t>07/26/2026</t>
        </is>
      </c>
      <c r="M484" s="66" t="inlineStr">
        <is>
          <t>05/27/2025</t>
        </is>
      </c>
      <c r="O484" s="11" t="n">
        <v>1342</v>
      </c>
      <c r="P484" s="11" t="n"/>
      <c r="Q484" s="11" t="n"/>
      <c r="R484" s="11" t="n"/>
      <c r="S484" s="11" t="n"/>
      <c r="T484" s="11" t="n">
        <v>30</v>
      </c>
      <c r="U484" s="11" t="n">
        <v>1</v>
      </c>
      <c r="V484" s="11" t="n"/>
      <c r="W484" s="11" t="n"/>
      <c r="X484" s="11" t="n"/>
      <c r="Y484" s="11" t="n"/>
      <c r="Z484" s="11" t="n"/>
    </row>
    <row r="485">
      <c r="A485" s="61" t="inlineStr">
        <is>
          <t>3924</t>
        </is>
      </c>
      <c r="B485" s="61" t="inlineStr">
        <is>
          <t>B4</t>
        </is>
      </c>
      <c r="C485" s="20" t="n">
        <v>1187</v>
      </c>
      <c r="D485" s="19" t="n">
        <v>2</v>
      </c>
      <c r="E485" s="19" t="n">
        <v>2</v>
      </c>
      <c r="F485" s="62" t="inlineStr">
        <is>
          <t>Market</t>
        </is>
      </c>
      <c r="G485" s="62" t="inlineStr">
        <is>
          <t>Occupied</t>
        </is>
      </c>
      <c r="H485" s="20" t="n">
        <v>1696</v>
      </c>
      <c r="I485" s="20" t="n">
        <v>1531</v>
      </c>
      <c r="J485" s="20" t="n">
        <v>1531</v>
      </c>
      <c r="K485" s="63" t="inlineStr">
        <is>
          <t>03/26/2026</t>
        </is>
      </c>
      <c r="L485" s="63" t="inlineStr">
        <is>
          <t>04/25/2027</t>
        </is>
      </c>
      <c r="M485" s="63" t="inlineStr">
        <is>
          <t>12/26/2024</t>
        </is>
      </c>
      <c r="O485" s="20" t="n">
        <v>1531</v>
      </c>
      <c r="P485" s="20" t="n">
        <v>35</v>
      </c>
      <c r="Q485" s="20" t="n"/>
      <c r="R485" s="20" t="n"/>
      <c r="S485" s="20" t="n"/>
      <c r="T485" s="20" t="n"/>
      <c r="U485" s="20" t="n">
        <v>3</v>
      </c>
      <c r="V485" s="20" t="n"/>
      <c r="W485" s="20" t="n"/>
      <c r="X485" s="20" t="n"/>
      <c r="Y485" s="20" t="n"/>
      <c r="Z485" s="20" t="n"/>
    </row>
    <row r="486">
      <c r="A486" s="64" t="inlineStr">
        <is>
          <t>3925</t>
        </is>
      </c>
      <c r="B486" s="64" t="inlineStr">
        <is>
          <t>B4</t>
        </is>
      </c>
      <c r="C486" s="11" t="n">
        <v>1187</v>
      </c>
      <c r="D486" s="10" t="n">
        <v>2</v>
      </c>
      <c r="E486" s="10" t="n">
        <v>2</v>
      </c>
      <c r="F486" s="65" t="inlineStr">
        <is>
          <t>Market</t>
        </is>
      </c>
      <c r="G486" s="65" t="inlineStr">
        <is>
          <t>Occupied</t>
        </is>
      </c>
      <c r="H486" s="11" t="n">
        <v>1696</v>
      </c>
      <c r="I486" s="11" t="n">
        <v>1518</v>
      </c>
      <c r="J486" s="11" t="n">
        <v>1518</v>
      </c>
      <c r="K486" s="66" t="inlineStr">
        <is>
          <t>04/25/2026</t>
        </is>
      </c>
      <c r="L486" s="66" t="inlineStr">
        <is>
          <t>06/01/2027</t>
        </is>
      </c>
      <c r="M486" s="66" t="inlineStr">
        <is>
          <t>01/25/2025</t>
        </is>
      </c>
      <c r="O486" s="11" t="n">
        <v>1518</v>
      </c>
      <c r="P486" s="11" t="n">
        <v>35</v>
      </c>
      <c r="Q486" s="11" t="n"/>
      <c r="R486" s="11" t="n"/>
      <c r="S486" s="11" t="n"/>
      <c r="T486" s="11" t="n"/>
      <c r="U486" s="11" t="n">
        <v>3</v>
      </c>
      <c r="V486" s="11" t="n"/>
      <c r="W486" s="11" t="n"/>
      <c r="X486" s="11" t="n"/>
      <c r="Y486" s="11" t="n"/>
      <c r="Z486" s="11" t="n"/>
    </row>
    <row r="487">
      <c r="A487" s="61" t="inlineStr">
        <is>
          <t>3926</t>
        </is>
      </c>
      <c r="B487" s="61" t="inlineStr">
        <is>
          <t>B1</t>
        </is>
      </c>
      <c r="C487" s="20" t="n">
        <v>947</v>
      </c>
      <c r="D487" s="19" t="n">
        <v>2</v>
      </c>
      <c r="E487" s="19" t="n">
        <v>2</v>
      </c>
      <c r="F487" s="62" t="inlineStr">
        <is>
          <t>Market</t>
        </is>
      </c>
      <c r="G487" s="62" t="inlineStr">
        <is>
          <t>Occupied</t>
        </is>
      </c>
      <c r="H487" s="20" t="n">
        <v>1432</v>
      </c>
      <c r="I487" s="20" t="n">
        <v>1451</v>
      </c>
      <c r="J487" s="20" t="n">
        <v>1451</v>
      </c>
      <c r="K487" s="63" t="inlineStr">
        <is>
          <t>04/18/2025</t>
        </is>
      </c>
      <c r="L487" s="63" t="inlineStr">
        <is>
          <t>07/17/2026</t>
        </is>
      </c>
      <c r="M487" s="63" t="inlineStr">
        <is>
          <t>04/18/2025</t>
        </is>
      </c>
      <c r="O487" s="20" t="n">
        <v>1451</v>
      </c>
      <c r="P487" s="20" t="n"/>
      <c r="Q487" s="20" t="n"/>
      <c r="R487" s="20" t="n"/>
      <c r="S487" s="20" t="n"/>
      <c r="T487" s="20" t="n"/>
      <c r="U487" s="20" t="n">
        <v>1</v>
      </c>
      <c r="V487" s="20" t="n"/>
      <c r="W487" s="20" t="n"/>
      <c r="X487" s="20" t="n"/>
      <c r="Y487" s="20" t="n"/>
      <c r="Z487" s="20" t="n"/>
    </row>
    <row r="488">
      <c r="A488" s="64" t="inlineStr">
        <is>
          <t>3927</t>
        </is>
      </c>
      <c r="B488" s="64" t="inlineStr">
        <is>
          <t>B1</t>
        </is>
      </c>
      <c r="C488" s="11" t="n">
        <v>947</v>
      </c>
      <c r="D488" s="10" t="n">
        <v>2</v>
      </c>
      <c r="E488" s="10" t="n">
        <v>2</v>
      </c>
      <c r="F488" s="65" t="inlineStr">
        <is>
          <t>Market</t>
        </is>
      </c>
      <c r="G488" s="65" t="inlineStr">
        <is>
          <t>Occupied</t>
        </is>
      </c>
      <c r="H488" s="11" t="n">
        <v>1432</v>
      </c>
      <c r="I488" s="11" t="n">
        <v>1426</v>
      </c>
      <c r="J488" s="11" t="n">
        <v>1426</v>
      </c>
      <c r="K488" s="66" t="inlineStr">
        <is>
          <t>05/01/2026</t>
        </is>
      </c>
      <c r="L488" s="66" t="inlineStr">
        <is>
          <t>06/01/2027</t>
        </is>
      </c>
      <c r="M488" s="66" t="inlineStr">
        <is>
          <t>12/01/2023</t>
        </is>
      </c>
      <c r="O488" s="11" t="n">
        <v>1426</v>
      </c>
      <c r="P488" s="11" t="n">
        <v>35</v>
      </c>
      <c r="Q488" s="11" t="n"/>
      <c r="R488" s="11" t="n"/>
      <c r="S488" s="11" t="n"/>
      <c r="T488" s="11" t="n"/>
      <c r="U488" s="11" t="n">
        <v>3</v>
      </c>
      <c r="V488" s="11" t="n"/>
      <c r="W488" s="11" t="n"/>
      <c r="X488" s="11" t="n"/>
      <c r="Y488" s="11" t="n"/>
      <c r="Z488" s="11" t="n"/>
    </row>
    <row r="489">
      <c r="A489" s="61" t="inlineStr">
        <is>
          <t>3928</t>
        </is>
      </c>
      <c r="B489" s="61" t="inlineStr">
        <is>
          <t>B4</t>
        </is>
      </c>
      <c r="C489" s="20" t="n">
        <v>1187</v>
      </c>
      <c r="D489" s="19" t="n">
        <v>2</v>
      </c>
      <c r="E489" s="19" t="n">
        <v>2</v>
      </c>
      <c r="F489" s="62" t="inlineStr">
        <is>
          <t>Market</t>
        </is>
      </c>
      <c r="G489" s="62" t="inlineStr">
        <is>
          <t>Occupied</t>
        </is>
      </c>
      <c r="H489" s="20" t="n">
        <v>1696</v>
      </c>
      <c r="I489" s="20" t="n">
        <v>1573</v>
      </c>
      <c r="J489" s="20" t="n">
        <v>1573</v>
      </c>
      <c r="K489" s="63" t="inlineStr">
        <is>
          <t>09/16/2025</t>
        </is>
      </c>
      <c r="L489" s="63" t="inlineStr">
        <is>
          <t>09/15/2026</t>
        </is>
      </c>
      <c r="M489" s="63" t="inlineStr">
        <is>
          <t>07/08/2012</t>
        </is>
      </c>
      <c r="O489" s="20" t="n">
        <v>1573</v>
      </c>
      <c r="P489" s="20" t="n"/>
      <c r="Q489" s="20" t="n"/>
      <c r="R489" s="20" t="n"/>
      <c r="S489" s="20" t="n"/>
      <c r="T489" s="20" t="n"/>
      <c r="U489" s="20" t="n">
        <v>1</v>
      </c>
      <c r="V489" s="20" t="n"/>
      <c r="W489" s="20" t="n"/>
      <c r="X489" s="20" t="n"/>
      <c r="Y489" s="20" t="n"/>
      <c r="Z489" s="20" t="n"/>
    </row>
    <row r="490">
      <c r="A490" s="64" t="inlineStr">
        <is>
          <t>3932</t>
        </is>
      </c>
      <c r="B490" s="64" t="inlineStr">
        <is>
          <t>B1</t>
        </is>
      </c>
      <c r="C490" s="11" t="n">
        <v>947</v>
      </c>
      <c r="D490" s="10" t="n">
        <v>2</v>
      </c>
      <c r="E490" s="10" t="n">
        <v>2</v>
      </c>
      <c r="F490" s="65" t="inlineStr">
        <is>
          <t>Market</t>
        </is>
      </c>
      <c r="G490" s="65" t="inlineStr">
        <is>
          <t>Vacant</t>
        </is>
      </c>
      <c r="H490" s="11" t="n">
        <v>1432</v>
      </c>
      <c r="I490" s="11" t="n">
        <v>0</v>
      </c>
      <c r="J490" s="11" t="n">
        <v>0</v>
      </c>
      <c r="K490" s="66" t="n"/>
      <c r="L490" s="66" t="n"/>
      <c r="M490" s="66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61" t="inlineStr">
        <is>
          <t>3933</t>
        </is>
      </c>
      <c r="B491" s="61" t="inlineStr">
        <is>
          <t>B1</t>
        </is>
      </c>
      <c r="C491" s="20" t="n">
        <v>947</v>
      </c>
      <c r="D491" s="19" t="n">
        <v>2</v>
      </c>
      <c r="E491" s="19" t="n">
        <v>2</v>
      </c>
      <c r="F491" s="62" t="inlineStr">
        <is>
          <t>Market</t>
        </is>
      </c>
      <c r="G491" s="62" t="inlineStr">
        <is>
          <t>Occupied</t>
        </is>
      </c>
      <c r="H491" s="20" t="n">
        <v>1432</v>
      </c>
      <c r="I491" s="20" t="n">
        <v>1506</v>
      </c>
      <c r="J491" s="20" t="n">
        <v>1506</v>
      </c>
      <c r="K491" s="63" t="inlineStr">
        <is>
          <t>08/30/2025</t>
        </is>
      </c>
      <c r="L491" s="63" t="inlineStr">
        <is>
          <t>09/29/2026</t>
        </is>
      </c>
      <c r="M491" s="63" t="inlineStr">
        <is>
          <t>08/30/2025</t>
        </is>
      </c>
      <c r="O491" s="20" t="n">
        <v>1506</v>
      </c>
      <c r="P491" s="20" t="n"/>
      <c r="Q491" s="20" t="n"/>
      <c r="R491" s="20" t="n"/>
      <c r="S491" s="20" t="n"/>
      <c r="T491" s="20" t="n"/>
      <c r="U491" s="20" t="n">
        <v>1</v>
      </c>
      <c r="V491" s="20" t="n"/>
      <c r="W491" s="20" t="n"/>
      <c r="X491" s="20" t="n"/>
      <c r="Y491" s="20" t="n"/>
      <c r="Z491" s="20" t="n"/>
    </row>
    <row r="492">
      <c r="A492" s="64" t="inlineStr">
        <is>
          <t>3936</t>
        </is>
      </c>
      <c r="B492" s="64" t="inlineStr">
        <is>
          <t>B1</t>
        </is>
      </c>
      <c r="C492" s="11" t="n">
        <v>947</v>
      </c>
      <c r="D492" s="10" t="n">
        <v>2</v>
      </c>
      <c r="E492" s="10" t="n">
        <v>2</v>
      </c>
      <c r="F492" s="65" t="inlineStr">
        <is>
          <t>Market</t>
        </is>
      </c>
      <c r="G492" s="65" t="inlineStr">
        <is>
          <t>Occupied</t>
        </is>
      </c>
      <c r="H492" s="11" t="n">
        <v>1432</v>
      </c>
      <c r="I492" s="11" t="n">
        <v>1520</v>
      </c>
      <c r="J492" s="11" t="n">
        <v>1520</v>
      </c>
      <c r="K492" s="66" t="inlineStr">
        <is>
          <t>06/27/2025</t>
        </is>
      </c>
      <c r="L492" s="66" t="inlineStr">
        <is>
          <t>07/03/2026</t>
        </is>
      </c>
      <c r="M492" s="66" t="inlineStr">
        <is>
          <t>03/27/2024</t>
        </is>
      </c>
      <c r="O492" s="11" t="n">
        <v>1520</v>
      </c>
      <c r="P492" s="11" t="n"/>
      <c r="Q492" s="11" t="n"/>
      <c r="R492" s="11" t="n"/>
      <c r="S492" s="11" t="n"/>
      <c r="T492" s="11" t="n"/>
      <c r="U492" s="11" t="n">
        <v>1</v>
      </c>
      <c r="V492" s="11" t="n"/>
      <c r="W492" s="11" t="n"/>
      <c r="X492" s="11" t="n"/>
      <c r="Y492" s="11" t="n"/>
      <c r="Z492" s="11" t="n"/>
    </row>
    <row r="493">
      <c r="A493" s="61" t="inlineStr">
        <is>
          <t>3937</t>
        </is>
      </c>
      <c r="B493" s="61" t="inlineStr">
        <is>
          <t>B1</t>
        </is>
      </c>
      <c r="C493" s="20" t="n">
        <v>947</v>
      </c>
      <c r="D493" s="19" t="n">
        <v>2</v>
      </c>
      <c r="E493" s="19" t="n">
        <v>2</v>
      </c>
      <c r="F493" s="62" t="inlineStr">
        <is>
          <t>Market</t>
        </is>
      </c>
      <c r="G493" s="62" t="inlineStr">
        <is>
          <t>Occupied</t>
        </is>
      </c>
      <c r="H493" s="20" t="n">
        <v>1432</v>
      </c>
      <c r="I493" s="20" t="n">
        <v>1155</v>
      </c>
      <c r="J493" s="20" t="n">
        <v>1155</v>
      </c>
      <c r="K493" s="63" t="inlineStr">
        <is>
          <t>01/03/2026</t>
        </is>
      </c>
      <c r="L493" s="63" t="inlineStr">
        <is>
          <t>04/09/2027</t>
        </is>
      </c>
      <c r="M493" s="63" t="inlineStr">
        <is>
          <t>01/03/2026</t>
        </is>
      </c>
      <c r="O493" s="20" t="n">
        <v>1155</v>
      </c>
      <c r="P493" s="20" t="n">
        <v>35</v>
      </c>
      <c r="Q493" s="20" t="n"/>
      <c r="R493" s="20" t="n"/>
      <c r="S493" s="20" t="n"/>
      <c r="T493" s="20" t="n"/>
      <c r="U493" s="20" t="n">
        <v>3</v>
      </c>
      <c r="V493" s="20" t="n"/>
      <c r="W493" s="20" t="n"/>
      <c r="X493" s="20" t="n"/>
      <c r="Y493" s="20" t="n"/>
      <c r="Z493" s="20" t="n"/>
    </row>
    <row r="494">
      <c r="A494" s="64" t="inlineStr">
        <is>
          <t>4011</t>
        </is>
      </c>
      <c r="B494" s="64" t="inlineStr">
        <is>
          <t>A2</t>
        </is>
      </c>
      <c r="C494" s="11" t="n">
        <v>777</v>
      </c>
      <c r="D494" s="10" t="n">
        <v>1</v>
      </c>
      <c r="E494" s="10" t="n">
        <v>1</v>
      </c>
      <c r="F494" s="65" t="inlineStr">
        <is>
          <t>Market</t>
        </is>
      </c>
      <c r="G494" s="65" t="inlineStr">
        <is>
          <t>Occupied</t>
        </is>
      </c>
      <c r="H494" s="11" t="n">
        <v>1267</v>
      </c>
      <c r="I494" s="11" t="n">
        <v>1458</v>
      </c>
      <c r="J494" s="11" t="n">
        <v>1458</v>
      </c>
      <c r="K494" s="66" t="inlineStr">
        <is>
          <t>08/25/2025</t>
        </is>
      </c>
      <c r="L494" s="66" t="inlineStr">
        <is>
          <t>08/31/2026</t>
        </is>
      </c>
      <c r="M494" s="66" t="inlineStr">
        <is>
          <t>03/25/2019</t>
        </is>
      </c>
      <c r="O494" s="11" t="n">
        <v>1458</v>
      </c>
      <c r="P494" s="11" t="n"/>
      <c r="Q494" s="11" t="n"/>
      <c r="R494" s="11" t="n"/>
      <c r="S494" s="11" t="n"/>
      <c r="T494" s="11" t="n"/>
      <c r="U494" s="11" t="n">
        <v>1</v>
      </c>
      <c r="V494" s="11" t="n"/>
      <c r="W494" s="11" t="n"/>
      <c r="X494" s="11" t="n"/>
      <c r="Y494" s="11" t="n"/>
      <c r="Z494" s="11" t="n"/>
    </row>
    <row r="495">
      <c r="A495" s="61" t="inlineStr">
        <is>
          <t>4012</t>
        </is>
      </c>
      <c r="B495" s="61" t="inlineStr">
        <is>
          <t>A2</t>
        </is>
      </c>
      <c r="C495" s="20" t="n">
        <v>777</v>
      </c>
      <c r="D495" s="19" t="n">
        <v>1</v>
      </c>
      <c r="E495" s="19" t="n">
        <v>1</v>
      </c>
      <c r="F495" s="62" t="inlineStr">
        <is>
          <t>Market</t>
        </is>
      </c>
      <c r="G495" s="62" t="inlineStr">
        <is>
          <t>Occupied</t>
        </is>
      </c>
      <c r="H495" s="20" t="n">
        <v>1267</v>
      </c>
      <c r="I495" s="20" t="n">
        <v>1360</v>
      </c>
      <c r="J495" s="20" t="n">
        <v>1360</v>
      </c>
      <c r="K495" s="63" t="inlineStr">
        <is>
          <t>08/20/2025</t>
        </is>
      </c>
      <c r="L495" s="63" t="inlineStr">
        <is>
          <t>10/19/2026</t>
        </is>
      </c>
      <c r="M495" s="63" t="inlineStr">
        <is>
          <t>08/20/2025</t>
        </is>
      </c>
      <c r="O495" s="20" t="n">
        <v>1360</v>
      </c>
      <c r="P495" s="20" t="n"/>
      <c r="Q495" s="20" t="n"/>
      <c r="R495" s="20" t="n"/>
      <c r="S495" s="20" t="n"/>
      <c r="T495" s="20" t="n"/>
      <c r="U495" s="20" t="n">
        <v>1</v>
      </c>
      <c r="V495" s="20" t="n"/>
      <c r="W495" s="20" t="n"/>
      <c r="X495" s="20" t="n"/>
      <c r="Y495" s="20" t="n"/>
      <c r="Z495" s="20" t="n"/>
    </row>
    <row r="496">
      <c r="A496" s="64" t="inlineStr">
        <is>
          <t>4013</t>
        </is>
      </c>
      <c r="B496" s="64" t="inlineStr">
        <is>
          <t>A2</t>
        </is>
      </c>
      <c r="C496" s="11" t="n">
        <v>777</v>
      </c>
      <c r="D496" s="10" t="n">
        <v>1</v>
      </c>
      <c r="E496" s="10" t="n">
        <v>1</v>
      </c>
      <c r="F496" s="65" t="inlineStr">
        <is>
          <t>Market</t>
        </is>
      </c>
      <c r="G496" s="65" t="inlineStr">
        <is>
          <t>Occupied</t>
        </is>
      </c>
      <c r="H496" s="11" t="n">
        <v>1267</v>
      </c>
      <c r="I496" s="11" t="n">
        <v>1133</v>
      </c>
      <c r="J496" s="11" t="n">
        <v>1133</v>
      </c>
      <c r="K496" s="66" t="inlineStr">
        <is>
          <t>12/23/2025</t>
        </is>
      </c>
      <c r="L496" s="66" t="inlineStr">
        <is>
          <t>03/22/2027</t>
        </is>
      </c>
      <c r="M496" s="66" t="inlineStr">
        <is>
          <t>12/23/2025</t>
        </is>
      </c>
      <c r="O496" s="11" t="n">
        <v>1133</v>
      </c>
      <c r="P496" s="11" t="n">
        <v>35</v>
      </c>
      <c r="Q496" s="11" t="n"/>
      <c r="R496" s="11" t="n"/>
      <c r="S496" s="11" t="n"/>
      <c r="T496" s="11" t="n"/>
      <c r="U496" s="11" t="n">
        <v>3</v>
      </c>
      <c r="V496" s="11" t="n"/>
      <c r="W496" s="11" t="n"/>
      <c r="X496" s="11" t="n"/>
      <c r="Y496" s="11" t="n"/>
      <c r="Z496" s="11" t="n"/>
    </row>
    <row r="497">
      <c r="A497" s="61" t="inlineStr">
        <is>
          <t>4014</t>
        </is>
      </c>
      <c r="B497" s="61" t="inlineStr">
        <is>
          <t>A2</t>
        </is>
      </c>
      <c r="C497" s="20" t="n">
        <v>777</v>
      </c>
      <c r="D497" s="19" t="n">
        <v>1</v>
      </c>
      <c r="E497" s="19" t="n">
        <v>1</v>
      </c>
      <c r="F497" s="62" t="inlineStr">
        <is>
          <t>Market</t>
        </is>
      </c>
      <c r="G497" s="62" t="inlineStr">
        <is>
          <t>Occupied</t>
        </is>
      </c>
      <c r="H497" s="20" t="n">
        <v>1267</v>
      </c>
      <c r="I497" s="20" t="n">
        <v>1399</v>
      </c>
      <c r="J497" s="20" t="n">
        <v>1399</v>
      </c>
      <c r="K497" s="63" t="inlineStr">
        <is>
          <t>05/16/2025</t>
        </is>
      </c>
      <c r="L497" s="63" t="inlineStr">
        <is>
          <t>08/15/2026</t>
        </is>
      </c>
      <c r="M497" s="63" t="inlineStr">
        <is>
          <t>05/16/2025</t>
        </is>
      </c>
      <c r="O497" s="20" t="n">
        <v>1399</v>
      </c>
      <c r="P497" s="20" t="n"/>
      <c r="Q497" s="20" t="n"/>
      <c r="R497" s="20" t="n"/>
      <c r="S497" s="20" t="n"/>
      <c r="T497" s="20" t="n"/>
      <c r="U497" s="20" t="n">
        <v>1</v>
      </c>
      <c r="V497" s="20" t="n"/>
      <c r="W497" s="20" t="n"/>
      <c r="X497" s="20" t="n"/>
      <c r="Y497" s="20" t="n"/>
      <c r="Z497" s="20" t="n"/>
    </row>
    <row r="498">
      <c r="A498" s="64" t="inlineStr">
        <is>
          <t>4015</t>
        </is>
      </c>
      <c r="B498" s="64" t="inlineStr">
        <is>
          <t>A2</t>
        </is>
      </c>
      <c r="C498" s="11" t="n">
        <v>777</v>
      </c>
      <c r="D498" s="10" t="n">
        <v>1</v>
      </c>
      <c r="E498" s="10" t="n">
        <v>1</v>
      </c>
      <c r="F498" s="65" t="inlineStr">
        <is>
          <t>Market</t>
        </is>
      </c>
      <c r="G498" s="65" t="inlineStr">
        <is>
          <t>Vacant</t>
        </is>
      </c>
      <c r="H498" s="11" t="n">
        <v>1267</v>
      </c>
      <c r="I498" s="11" t="n">
        <v>0</v>
      </c>
      <c r="J498" s="11" t="n">
        <v>0</v>
      </c>
      <c r="K498" s="66" t="n"/>
      <c r="L498" s="66" t="n"/>
      <c r="M498" s="66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61" t="inlineStr">
        <is>
          <t>4016</t>
        </is>
      </c>
      <c r="B499" s="61" t="inlineStr">
        <is>
          <t>A2</t>
        </is>
      </c>
      <c r="C499" s="20" t="n">
        <v>777</v>
      </c>
      <c r="D499" s="19" t="n">
        <v>1</v>
      </c>
      <c r="E499" s="19" t="n">
        <v>1</v>
      </c>
      <c r="F499" s="62" t="inlineStr">
        <is>
          <t>Market</t>
        </is>
      </c>
      <c r="G499" s="62" t="inlineStr">
        <is>
          <t>Occupied</t>
        </is>
      </c>
      <c r="H499" s="20" t="n">
        <v>1352</v>
      </c>
      <c r="I499" s="20" t="n">
        <v>1361</v>
      </c>
      <c r="J499" s="20" t="n">
        <v>1361</v>
      </c>
      <c r="K499" s="63" t="inlineStr">
        <is>
          <t>11/12/2025</t>
        </is>
      </c>
      <c r="L499" s="63" t="inlineStr">
        <is>
          <t>02/11/2027</t>
        </is>
      </c>
      <c r="M499" s="63" t="inlineStr">
        <is>
          <t>11/12/2025</t>
        </is>
      </c>
      <c r="O499" s="20" t="n">
        <v>1361</v>
      </c>
      <c r="P499" s="20" t="n"/>
      <c r="Q499" s="20" t="n"/>
      <c r="R499" s="20" t="n"/>
      <c r="S499" s="20" t="n"/>
      <c r="T499" s="20" t="n"/>
      <c r="U499" s="20" t="n">
        <v>1</v>
      </c>
      <c r="V499" s="20" t="n"/>
      <c r="W499" s="20" t="n"/>
      <c r="X499" s="20" t="n"/>
      <c r="Y499" s="20" t="n"/>
      <c r="Z499" s="20" t="n"/>
    </row>
    <row r="500">
      <c r="A500" s="64" t="inlineStr">
        <is>
          <t>4017</t>
        </is>
      </c>
      <c r="B500" s="64" t="inlineStr">
        <is>
          <t>A2</t>
        </is>
      </c>
      <c r="C500" s="11" t="n">
        <v>777</v>
      </c>
      <c r="D500" s="10" t="n">
        <v>1</v>
      </c>
      <c r="E500" s="10" t="n">
        <v>1</v>
      </c>
      <c r="F500" s="65" t="inlineStr">
        <is>
          <t>Market</t>
        </is>
      </c>
      <c r="G500" s="65" t="inlineStr">
        <is>
          <t>Occupied</t>
        </is>
      </c>
      <c r="H500" s="11" t="n">
        <v>1267</v>
      </c>
      <c r="I500" s="11" t="n">
        <v>1395</v>
      </c>
      <c r="J500" s="11" t="n">
        <v>1395</v>
      </c>
      <c r="K500" s="66" t="inlineStr">
        <is>
          <t>04/10/2025</t>
        </is>
      </c>
      <c r="L500" s="66" t="inlineStr">
        <is>
          <t>07/16/2026</t>
        </is>
      </c>
      <c r="M500" s="66" t="inlineStr">
        <is>
          <t>04/10/2025</t>
        </is>
      </c>
      <c r="O500" s="11" t="n">
        <v>1395</v>
      </c>
      <c r="P500" s="11" t="n"/>
      <c r="Q500" s="11" t="n"/>
      <c r="R500" s="11" t="n"/>
      <c r="S500" s="11" t="n"/>
      <c r="T500" s="11" t="n"/>
      <c r="U500" s="11" t="n">
        <v>1</v>
      </c>
      <c r="V500" s="11" t="n"/>
      <c r="W500" s="11" t="n"/>
      <c r="X500" s="11" t="n"/>
      <c r="Y500" s="11" t="n"/>
      <c r="Z500" s="11" t="n"/>
    </row>
    <row r="501">
      <c r="A501" s="61" t="inlineStr">
        <is>
          <t>4018</t>
        </is>
      </c>
      <c r="B501" s="61" t="inlineStr">
        <is>
          <t>A2</t>
        </is>
      </c>
      <c r="C501" s="20" t="n">
        <v>777</v>
      </c>
      <c r="D501" s="19" t="n">
        <v>1</v>
      </c>
      <c r="E501" s="19" t="n">
        <v>1</v>
      </c>
      <c r="F501" s="62" t="inlineStr">
        <is>
          <t>Market</t>
        </is>
      </c>
      <c r="G501" s="62" t="inlineStr">
        <is>
          <t>Occupied</t>
        </is>
      </c>
      <c r="H501" s="20" t="n">
        <v>1267</v>
      </c>
      <c r="I501" s="20" t="n">
        <v>1485</v>
      </c>
      <c r="J501" s="20" t="n">
        <v>1485</v>
      </c>
      <c r="K501" s="63" t="inlineStr">
        <is>
          <t>08/20/2025</t>
        </is>
      </c>
      <c r="L501" s="63" t="inlineStr">
        <is>
          <t>11/19/2026</t>
        </is>
      </c>
      <c r="M501" s="63" t="inlineStr">
        <is>
          <t>05/13/2022</t>
        </is>
      </c>
      <c r="O501" s="20" t="n">
        <v>1485</v>
      </c>
      <c r="P501" s="20" t="n"/>
      <c r="Q501" s="20" t="n"/>
      <c r="R501" s="20" t="n"/>
      <c r="S501" s="20" t="n"/>
      <c r="T501" s="20" t="n"/>
      <c r="U501" s="20" t="n">
        <v>1</v>
      </c>
      <c r="V501" s="20" t="n"/>
      <c r="W501" s="20" t="n"/>
      <c r="X501" s="20" t="n"/>
      <c r="Y501" s="20" t="n"/>
      <c r="Z501" s="20" t="n"/>
    </row>
    <row r="502">
      <c r="A502" s="64" t="inlineStr">
        <is>
          <t>4021</t>
        </is>
      </c>
      <c r="B502" s="64" t="inlineStr">
        <is>
          <t>A2</t>
        </is>
      </c>
      <c r="C502" s="11" t="n">
        <v>777</v>
      </c>
      <c r="D502" s="10" t="n">
        <v>1</v>
      </c>
      <c r="E502" s="10" t="n">
        <v>1</v>
      </c>
      <c r="F502" s="65" t="inlineStr">
        <is>
          <t>Market</t>
        </is>
      </c>
      <c r="G502" s="65" t="inlineStr">
        <is>
          <t>Occupied</t>
        </is>
      </c>
      <c r="H502" s="11" t="n">
        <v>1207</v>
      </c>
      <c r="I502" s="11" t="n">
        <v>1363</v>
      </c>
      <c r="J502" s="11" t="n">
        <v>1363</v>
      </c>
      <c r="K502" s="66" t="inlineStr">
        <is>
          <t>06/18/2025</t>
        </is>
      </c>
      <c r="L502" s="66" t="inlineStr">
        <is>
          <t>06/10/2026</t>
        </is>
      </c>
      <c r="M502" s="66" t="inlineStr">
        <is>
          <t>03/18/2024</t>
        </is>
      </c>
      <c r="O502" s="11" t="n">
        <v>1363</v>
      </c>
      <c r="P502" s="11" t="n"/>
      <c r="Q502" s="11" t="n"/>
      <c r="R502" s="11" t="n"/>
      <c r="S502" s="11" t="n"/>
      <c r="T502" s="11" t="n"/>
      <c r="U502" s="11" t="n">
        <v>1</v>
      </c>
      <c r="V502" s="11" t="n"/>
      <c r="W502" s="11" t="n"/>
      <c r="X502" s="11" t="n"/>
      <c r="Y502" s="11" t="n"/>
      <c r="Z502" s="11" t="n"/>
    </row>
    <row r="503">
      <c r="A503" s="61" t="inlineStr">
        <is>
          <t>4022</t>
        </is>
      </c>
      <c r="B503" s="61" t="inlineStr">
        <is>
          <t>A2</t>
        </is>
      </c>
      <c r="C503" s="20" t="n">
        <v>777</v>
      </c>
      <c r="D503" s="19" t="n">
        <v>1</v>
      </c>
      <c r="E503" s="19" t="n">
        <v>1</v>
      </c>
      <c r="F503" s="62" t="inlineStr">
        <is>
          <t>Market</t>
        </is>
      </c>
      <c r="G503" s="62" t="inlineStr">
        <is>
          <t>Vacant</t>
        </is>
      </c>
      <c r="H503" s="20" t="n">
        <v>1267</v>
      </c>
      <c r="I503" s="20" t="n">
        <v>0</v>
      </c>
      <c r="J503" s="20" t="n">
        <v>0</v>
      </c>
      <c r="K503" s="63" t="n"/>
      <c r="L503" s="63" t="n"/>
      <c r="M503" s="63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</row>
    <row r="504">
      <c r="A504" s="64" t="inlineStr">
        <is>
          <t>4023</t>
        </is>
      </c>
      <c r="B504" s="64" t="inlineStr">
        <is>
          <t>A2</t>
        </is>
      </c>
      <c r="C504" s="11" t="n">
        <v>777</v>
      </c>
      <c r="D504" s="10" t="n">
        <v>1</v>
      </c>
      <c r="E504" s="10" t="n">
        <v>1</v>
      </c>
      <c r="F504" s="65" t="inlineStr">
        <is>
          <t>Market</t>
        </is>
      </c>
      <c r="G504" s="65" t="inlineStr">
        <is>
          <t>Occupied</t>
        </is>
      </c>
      <c r="H504" s="11" t="n">
        <v>1207</v>
      </c>
      <c r="I504" s="11" t="n">
        <v>1268</v>
      </c>
      <c r="J504" s="11" t="n">
        <v>1268</v>
      </c>
      <c r="K504" s="66" t="inlineStr">
        <is>
          <t>08/06/2025</t>
        </is>
      </c>
      <c r="L504" s="66" t="inlineStr">
        <is>
          <t>10/12/2026</t>
        </is>
      </c>
      <c r="M504" s="66" t="inlineStr">
        <is>
          <t>08/06/2025</t>
        </is>
      </c>
      <c r="O504" s="11" t="n">
        <v>1268</v>
      </c>
      <c r="P504" s="11" t="n"/>
      <c r="Q504" s="11" t="n"/>
      <c r="R504" s="11" t="n"/>
      <c r="S504" s="11" t="n"/>
      <c r="T504" s="11" t="n"/>
      <c r="U504" s="11" t="n">
        <v>1</v>
      </c>
      <c r="V504" s="11" t="n"/>
      <c r="W504" s="11" t="n"/>
      <c r="X504" s="11" t="n"/>
      <c r="Y504" s="11" t="n"/>
      <c r="Z504" s="11" t="n"/>
    </row>
    <row r="505">
      <c r="A505" s="61" t="inlineStr">
        <is>
          <t>4024</t>
        </is>
      </c>
      <c r="B505" s="61" t="inlineStr">
        <is>
          <t>A2</t>
        </is>
      </c>
      <c r="C505" s="20" t="n">
        <v>777</v>
      </c>
      <c r="D505" s="19" t="n">
        <v>1</v>
      </c>
      <c r="E505" s="19" t="n">
        <v>1</v>
      </c>
      <c r="F505" s="62" t="inlineStr">
        <is>
          <t>Market</t>
        </is>
      </c>
      <c r="G505" s="62" t="inlineStr">
        <is>
          <t>Occupied</t>
        </is>
      </c>
      <c r="H505" s="20" t="n">
        <v>1207</v>
      </c>
      <c r="I505" s="20" t="n">
        <v>1314</v>
      </c>
      <c r="J505" s="20" t="n">
        <v>1314</v>
      </c>
      <c r="K505" s="63" t="inlineStr">
        <is>
          <t>12/07/2025</t>
        </is>
      </c>
      <c r="L505" s="63" t="inlineStr">
        <is>
          <t>03/06/2027</t>
        </is>
      </c>
      <c r="M505" s="63" t="inlineStr">
        <is>
          <t>12/07/2024</t>
        </is>
      </c>
      <c r="O505" s="20" t="n">
        <v>1314</v>
      </c>
      <c r="P505" s="20" t="n"/>
      <c r="Q505" s="20" t="n"/>
      <c r="R505" s="20" t="n"/>
      <c r="S505" s="20" t="n"/>
      <c r="T505" s="20" t="n"/>
      <c r="U505" s="20" t="n">
        <v>3</v>
      </c>
      <c r="V505" s="20" t="n"/>
      <c r="W505" s="20" t="n"/>
      <c r="X505" s="20" t="n"/>
      <c r="Y505" s="20" t="n"/>
      <c r="Z505" s="20" t="n"/>
    </row>
    <row r="506">
      <c r="A506" s="64" t="inlineStr">
        <is>
          <t>4025</t>
        </is>
      </c>
      <c r="B506" s="64" t="inlineStr">
        <is>
          <t>A2</t>
        </is>
      </c>
      <c r="C506" s="11" t="n">
        <v>777</v>
      </c>
      <c r="D506" s="10" t="n">
        <v>1</v>
      </c>
      <c r="E506" s="10" t="n">
        <v>1</v>
      </c>
      <c r="F506" s="65" t="inlineStr">
        <is>
          <t>Market</t>
        </is>
      </c>
      <c r="G506" s="65" t="inlineStr">
        <is>
          <t>Occupied</t>
        </is>
      </c>
      <c r="H506" s="11" t="n">
        <v>1292</v>
      </c>
      <c r="I506" s="11" t="n">
        <v>1489</v>
      </c>
      <c r="J506" s="11" t="n">
        <v>1489</v>
      </c>
      <c r="K506" s="66" t="inlineStr">
        <is>
          <t>04/16/2025</t>
        </is>
      </c>
      <c r="L506" s="66" t="inlineStr">
        <is>
          <t>07/15/2026</t>
        </is>
      </c>
      <c r="M506" s="66" t="inlineStr">
        <is>
          <t>01/16/2024</t>
        </is>
      </c>
      <c r="O506" s="11" t="n">
        <v>1489</v>
      </c>
      <c r="P506" s="11" t="n"/>
      <c r="Q506" s="11" t="n"/>
      <c r="R506" s="11" t="n"/>
      <c r="S506" s="11" t="n"/>
      <c r="T506" s="11" t="n"/>
      <c r="U506" s="11" t="n">
        <v>1</v>
      </c>
      <c r="V506" s="11" t="n"/>
      <c r="W506" s="11" t="n"/>
      <c r="X506" s="11" t="n"/>
      <c r="Y506" s="11" t="n"/>
      <c r="Z506" s="11" t="n"/>
    </row>
    <row r="507">
      <c r="A507" s="61" t="inlineStr">
        <is>
          <t>4026</t>
        </is>
      </c>
      <c r="B507" s="61" t="inlineStr">
        <is>
          <t>A2</t>
        </is>
      </c>
      <c r="C507" s="20" t="n">
        <v>777</v>
      </c>
      <c r="D507" s="19" t="n">
        <v>1</v>
      </c>
      <c r="E507" s="19" t="n">
        <v>1</v>
      </c>
      <c r="F507" s="62" t="inlineStr">
        <is>
          <t>Market</t>
        </is>
      </c>
      <c r="G507" s="62" t="inlineStr">
        <is>
          <t>Occupied</t>
        </is>
      </c>
      <c r="H507" s="20" t="n">
        <v>1207</v>
      </c>
      <c r="I507" s="20" t="n">
        <v>1143</v>
      </c>
      <c r="J507" s="20" t="n">
        <v>1143</v>
      </c>
      <c r="K507" s="63" t="inlineStr">
        <is>
          <t>05/15/2026</t>
        </is>
      </c>
      <c r="L507" s="63" t="inlineStr">
        <is>
          <t>02/14/2027</t>
        </is>
      </c>
      <c r="M507" s="63" t="inlineStr">
        <is>
          <t>05/15/2026</t>
        </is>
      </c>
      <c r="O507" s="20" t="n">
        <v>1143</v>
      </c>
      <c r="P507" s="20" t="n">
        <v>35</v>
      </c>
      <c r="Q507" s="20" t="n"/>
      <c r="R507" s="20" t="n"/>
      <c r="S507" s="20" t="n"/>
      <c r="T507" s="20" t="n"/>
      <c r="U507" s="20" t="n">
        <v>3</v>
      </c>
      <c r="V507" s="20" t="n"/>
      <c r="W507" s="20" t="n"/>
      <c r="X507" s="20" t="n"/>
      <c r="Y507" s="20" t="n"/>
      <c r="Z507" s="20" t="n"/>
    </row>
    <row r="508">
      <c r="A508" s="64" t="inlineStr">
        <is>
          <t>4027</t>
        </is>
      </c>
      <c r="B508" s="64" t="inlineStr">
        <is>
          <t>A2</t>
        </is>
      </c>
      <c r="C508" s="11" t="n">
        <v>777</v>
      </c>
      <c r="D508" s="10" t="n">
        <v>1</v>
      </c>
      <c r="E508" s="10" t="n">
        <v>1</v>
      </c>
      <c r="F508" s="65" t="inlineStr">
        <is>
          <t>Market</t>
        </is>
      </c>
      <c r="G508" s="65" t="inlineStr">
        <is>
          <t>Vacant</t>
        </is>
      </c>
      <c r="H508" s="11" t="n">
        <v>1332</v>
      </c>
      <c r="I508" s="11" t="n">
        <v>0</v>
      </c>
      <c r="J508" s="11" t="n">
        <v>0</v>
      </c>
      <c r="K508" s="66" t="n"/>
      <c r="L508" s="66" t="n"/>
      <c r="M508" s="66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61" t="inlineStr">
        <is>
          <t>4028</t>
        </is>
      </c>
      <c r="B509" s="61" t="inlineStr">
        <is>
          <t>A2</t>
        </is>
      </c>
      <c r="C509" s="20" t="n">
        <v>777</v>
      </c>
      <c r="D509" s="19" t="n">
        <v>1</v>
      </c>
      <c r="E509" s="19" t="n">
        <v>1</v>
      </c>
      <c r="F509" s="62" t="inlineStr">
        <is>
          <t>Market</t>
        </is>
      </c>
      <c r="G509" s="62" t="inlineStr">
        <is>
          <t>Occupied</t>
        </is>
      </c>
      <c r="H509" s="20" t="n">
        <v>1207</v>
      </c>
      <c r="I509" s="20" t="n">
        <v>1213</v>
      </c>
      <c r="J509" s="20" t="n">
        <v>1213</v>
      </c>
      <c r="K509" s="63" t="inlineStr">
        <is>
          <t>03/10/2026</t>
        </is>
      </c>
      <c r="L509" s="63" t="inlineStr">
        <is>
          <t>06/16/2027</t>
        </is>
      </c>
      <c r="M509" s="63" t="inlineStr">
        <is>
          <t>12/10/2024</t>
        </is>
      </c>
      <c r="O509" s="20" t="n">
        <v>1213</v>
      </c>
      <c r="P509" s="20" t="n">
        <v>35</v>
      </c>
      <c r="Q509" s="20" t="n"/>
      <c r="R509" s="20" t="n"/>
      <c r="S509" s="20" t="n"/>
      <c r="T509" s="20" t="n"/>
      <c r="U509" s="20" t="n">
        <v>3</v>
      </c>
      <c r="V509" s="20" t="n">
        <v>65</v>
      </c>
      <c r="W509" s="20" t="n"/>
      <c r="X509" s="20" t="n"/>
      <c r="Y509" s="20" t="n"/>
      <c r="Z509" s="20" t="n"/>
    </row>
    <row r="510">
      <c r="A510" s="64" t="inlineStr">
        <is>
          <t>4032</t>
        </is>
      </c>
      <c r="B510" s="64" t="inlineStr">
        <is>
          <t>A2</t>
        </is>
      </c>
      <c r="C510" s="11" t="n">
        <v>777</v>
      </c>
      <c r="D510" s="10" t="n">
        <v>1</v>
      </c>
      <c r="E510" s="10" t="n">
        <v>1</v>
      </c>
      <c r="F510" s="65" t="inlineStr">
        <is>
          <t>Market</t>
        </is>
      </c>
      <c r="G510" s="65" t="inlineStr">
        <is>
          <t>Occupied</t>
        </is>
      </c>
      <c r="H510" s="11" t="n">
        <v>1207</v>
      </c>
      <c r="I510" s="11" t="n">
        <v>1485</v>
      </c>
      <c r="J510" s="11" t="n">
        <v>1485</v>
      </c>
      <c r="K510" s="66" t="inlineStr">
        <is>
          <t>02/27/2026</t>
        </is>
      </c>
      <c r="L510" s="66" t="inlineStr">
        <is>
          <t>05/19/2027</t>
        </is>
      </c>
      <c r="M510" s="66" t="inlineStr">
        <is>
          <t>05/20/2022</t>
        </is>
      </c>
      <c r="O510" s="11" t="n">
        <v>1485</v>
      </c>
      <c r="P510" s="11" t="n"/>
      <c r="Q510" s="11" t="n"/>
      <c r="R510" s="11" t="n"/>
      <c r="S510" s="11" t="n"/>
      <c r="T510" s="11" t="n"/>
      <c r="U510" s="11" t="n">
        <v>3</v>
      </c>
      <c r="V510" s="11" t="n"/>
      <c r="W510" s="11" t="n"/>
      <c r="X510" s="11" t="n"/>
      <c r="Y510" s="11" t="n"/>
      <c r="Z510" s="11" t="n"/>
    </row>
    <row r="511">
      <c r="A511" s="61" t="inlineStr">
        <is>
          <t>4033</t>
        </is>
      </c>
      <c r="B511" s="61" t="inlineStr">
        <is>
          <t>A2</t>
        </is>
      </c>
      <c r="C511" s="20" t="n">
        <v>777</v>
      </c>
      <c r="D511" s="19" t="n">
        <v>1</v>
      </c>
      <c r="E511" s="19" t="n">
        <v>1</v>
      </c>
      <c r="F511" s="62" t="inlineStr">
        <is>
          <t>Market</t>
        </is>
      </c>
      <c r="G511" s="62" t="inlineStr">
        <is>
          <t>Occupied</t>
        </is>
      </c>
      <c r="H511" s="20" t="n">
        <v>1207</v>
      </c>
      <c r="I511" s="20" t="n">
        <v>1141</v>
      </c>
      <c r="J511" s="20" t="n">
        <v>1141</v>
      </c>
      <c r="K511" s="63" t="inlineStr">
        <is>
          <t>05/04/2026</t>
        </is>
      </c>
      <c r="L511" s="63" t="inlineStr">
        <is>
          <t>06/03/2027</t>
        </is>
      </c>
      <c r="M511" s="63" t="inlineStr">
        <is>
          <t>05/04/2026</t>
        </is>
      </c>
      <c r="O511" s="20" t="n">
        <v>1141</v>
      </c>
      <c r="P511" s="20" t="n">
        <v>35</v>
      </c>
      <c r="Q511" s="20" t="n"/>
      <c r="R511" s="20" t="n"/>
      <c r="S511" s="20" t="n"/>
      <c r="T511" s="20" t="n"/>
      <c r="U511" s="20" t="n">
        <v>3</v>
      </c>
      <c r="V511" s="20" t="n"/>
      <c r="W511" s="20" t="n"/>
      <c r="X511" s="20" t="n"/>
      <c r="Y511" s="20" t="n"/>
      <c r="Z511" s="20" t="n"/>
    </row>
    <row r="512">
      <c r="A512" s="64" t="inlineStr">
        <is>
          <t>4036</t>
        </is>
      </c>
      <c r="B512" s="64" t="inlineStr">
        <is>
          <t>A2</t>
        </is>
      </c>
      <c r="C512" s="11" t="n">
        <v>777</v>
      </c>
      <c r="D512" s="10" t="n">
        <v>1</v>
      </c>
      <c r="E512" s="10" t="n">
        <v>1</v>
      </c>
      <c r="F512" s="65" t="inlineStr">
        <is>
          <t>Market</t>
        </is>
      </c>
      <c r="G512" s="65" t="inlineStr">
        <is>
          <t>Occupied</t>
        </is>
      </c>
      <c r="H512" s="11" t="n">
        <v>1207</v>
      </c>
      <c r="I512" s="11" t="n">
        <v>1077</v>
      </c>
      <c r="J512" s="11" t="n">
        <v>1077</v>
      </c>
      <c r="K512" s="66" t="inlineStr">
        <is>
          <t>03/02/2026</t>
        </is>
      </c>
      <c r="L512" s="66" t="inlineStr">
        <is>
          <t>05/25/2027</t>
        </is>
      </c>
      <c r="M512" s="66" t="inlineStr">
        <is>
          <t>03/02/2026</t>
        </is>
      </c>
      <c r="O512" s="11" t="n">
        <v>1077</v>
      </c>
      <c r="P512" s="11" t="n">
        <v>35</v>
      </c>
      <c r="Q512" s="11" t="n"/>
      <c r="R512" s="11" t="n"/>
      <c r="S512" s="11" t="n"/>
      <c r="T512" s="11" t="n"/>
      <c r="U512" s="11" t="n">
        <v>3</v>
      </c>
      <c r="V512" s="11" t="n"/>
      <c r="W512" s="11" t="n"/>
      <c r="X512" s="11" t="n"/>
      <c r="Y512" s="11" t="n"/>
      <c r="Z512" s="11" t="n"/>
    </row>
    <row r="513">
      <c r="A513" s="61" t="inlineStr">
        <is>
          <t>4037</t>
        </is>
      </c>
      <c r="B513" s="61" t="inlineStr">
        <is>
          <t>A2</t>
        </is>
      </c>
      <c r="C513" s="20" t="n">
        <v>777</v>
      </c>
      <c r="D513" s="19" t="n">
        <v>1</v>
      </c>
      <c r="E513" s="19" t="n">
        <v>1</v>
      </c>
      <c r="F513" s="62" t="inlineStr">
        <is>
          <t>Market</t>
        </is>
      </c>
      <c r="G513" s="62" t="inlineStr">
        <is>
          <t>Occupied</t>
        </is>
      </c>
      <c r="H513" s="20" t="n">
        <v>1207</v>
      </c>
      <c r="I513" s="20" t="n">
        <v>1254</v>
      </c>
      <c r="J513" s="20" t="n">
        <v>1254</v>
      </c>
      <c r="K513" s="63" t="inlineStr">
        <is>
          <t>06/27/2025</t>
        </is>
      </c>
      <c r="L513" s="63" t="inlineStr">
        <is>
          <t>07/26/2026</t>
        </is>
      </c>
      <c r="M513" s="63" t="inlineStr">
        <is>
          <t>06/27/2025</t>
        </is>
      </c>
      <c r="O513" s="20" t="n">
        <v>1254</v>
      </c>
      <c r="P513" s="20" t="n"/>
      <c r="Q513" s="20" t="n"/>
      <c r="R513" s="20" t="n"/>
      <c r="S513" s="20" t="n"/>
      <c r="T513" s="20" t="n"/>
      <c r="U513" s="20" t="n">
        <v>1</v>
      </c>
      <c r="V513" s="20" t="n"/>
      <c r="W513" s="20" t="n"/>
      <c r="X513" s="20" t="n"/>
      <c r="Y513" s="20" t="n"/>
      <c r="Z513" s="20" t="n"/>
    </row>
    <row r="514">
      <c r="A514" s="64" t="inlineStr">
        <is>
          <t>4111</t>
        </is>
      </c>
      <c r="B514" s="64" t="inlineStr">
        <is>
          <t>C1</t>
        </is>
      </c>
      <c r="C514" s="11" t="n">
        <v>1258</v>
      </c>
      <c r="D514" s="10" t="n">
        <v>3</v>
      </c>
      <c r="E514" s="10" t="n">
        <v>2</v>
      </c>
      <c r="F514" s="65" t="inlineStr">
        <is>
          <t>Market</t>
        </is>
      </c>
      <c r="G514" s="65" t="inlineStr">
        <is>
          <t>Occupied</t>
        </is>
      </c>
      <c r="H514" s="11" t="n">
        <v>1935</v>
      </c>
      <c r="I514" s="11" t="n">
        <v>1759</v>
      </c>
      <c r="J514" s="11" t="n">
        <v>1759</v>
      </c>
      <c r="K514" s="66" t="inlineStr">
        <is>
          <t>04/27/2026</t>
        </is>
      </c>
      <c r="L514" s="66" t="inlineStr">
        <is>
          <t>04/26/2027</t>
        </is>
      </c>
      <c r="M514" s="66" t="inlineStr">
        <is>
          <t>12/16/2016</t>
        </is>
      </c>
      <c r="O514" s="11" t="n">
        <v>1759</v>
      </c>
      <c r="P514" s="11" t="n">
        <v>35</v>
      </c>
      <c r="Q514" s="11" t="n"/>
      <c r="R514" s="11" t="n"/>
      <c r="S514" s="11" t="n"/>
      <c r="T514" s="11" t="n"/>
      <c r="U514" s="11" t="n">
        <v>3</v>
      </c>
      <c r="V514" s="11" t="n">
        <v>65</v>
      </c>
      <c r="W514" s="11" t="n"/>
      <c r="X514" s="11" t="n"/>
      <c r="Y514" s="11" t="n"/>
      <c r="Z514" s="11" t="n"/>
    </row>
    <row r="515">
      <c r="A515" s="61" t="inlineStr">
        <is>
          <t>4112</t>
        </is>
      </c>
      <c r="B515" s="61" t="inlineStr">
        <is>
          <t>A1</t>
        </is>
      </c>
      <c r="C515" s="20" t="n">
        <v>739</v>
      </c>
      <c r="D515" s="19" t="n">
        <v>1</v>
      </c>
      <c r="E515" s="19" t="n">
        <v>1</v>
      </c>
      <c r="F515" s="62" t="inlineStr">
        <is>
          <t>Market</t>
        </is>
      </c>
      <c r="G515" s="62" t="inlineStr">
        <is>
          <t>Occupied</t>
        </is>
      </c>
      <c r="H515" s="20" t="n">
        <v>1187</v>
      </c>
      <c r="I515" s="20" t="n">
        <v>1092</v>
      </c>
      <c r="J515" s="20" t="n">
        <v>1092</v>
      </c>
      <c r="K515" s="63" t="inlineStr">
        <is>
          <t>05/21/2026</t>
        </is>
      </c>
      <c r="L515" s="63" t="inlineStr">
        <is>
          <t>05/20/2027</t>
        </is>
      </c>
      <c r="M515" s="63" t="inlineStr">
        <is>
          <t>05/21/2026</t>
        </is>
      </c>
      <c r="O515" s="20" t="n">
        <v>1092</v>
      </c>
      <c r="P515" s="20" t="n">
        <v>35</v>
      </c>
      <c r="Q515" s="20" t="n"/>
      <c r="R515" s="20" t="n"/>
      <c r="S515" s="20" t="n"/>
      <c r="T515" s="20" t="n"/>
      <c r="U515" s="20" t="n">
        <v>3</v>
      </c>
      <c r="V515" s="20" t="n"/>
      <c r="W515" s="20" t="n"/>
      <c r="X515" s="20" t="n"/>
      <c r="Y515" s="20" t="n"/>
      <c r="Z515" s="20" t="n"/>
    </row>
    <row r="516">
      <c r="A516" s="64" t="inlineStr">
        <is>
          <t>4113</t>
        </is>
      </c>
      <c r="B516" s="64" t="inlineStr">
        <is>
          <t>A1</t>
        </is>
      </c>
      <c r="C516" s="11" t="n">
        <v>739</v>
      </c>
      <c r="D516" s="10" t="n">
        <v>1</v>
      </c>
      <c r="E516" s="10" t="n">
        <v>1</v>
      </c>
      <c r="F516" s="65" t="inlineStr">
        <is>
          <t>Market</t>
        </is>
      </c>
      <c r="G516" s="65" t="inlineStr">
        <is>
          <t>Occupied</t>
        </is>
      </c>
      <c r="H516" s="11" t="n">
        <v>1202</v>
      </c>
      <c r="I516" s="11" t="n">
        <v>1119</v>
      </c>
      <c r="J516" s="11" t="n">
        <v>1119</v>
      </c>
      <c r="K516" s="66" t="inlineStr">
        <is>
          <t>05/02/2026</t>
        </is>
      </c>
      <c r="L516" s="66" t="inlineStr">
        <is>
          <t>05/01/2027</t>
        </is>
      </c>
      <c r="M516" s="66" t="inlineStr">
        <is>
          <t>05/02/2026</t>
        </is>
      </c>
      <c r="O516" s="11" t="n">
        <v>1119</v>
      </c>
      <c r="P516" s="11" t="n">
        <v>35</v>
      </c>
      <c r="Q516" s="11" t="n"/>
      <c r="R516" s="11" t="n"/>
      <c r="S516" s="11" t="n"/>
      <c r="T516" s="11" t="n"/>
      <c r="U516" s="11" t="n">
        <v>3</v>
      </c>
      <c r="V516" s="11" t="n"/>
      <c r="W516" s="11" t="n"/>
      <c r="X516" s="11" t="n"/>
      <c r="Y516" s="11" t="n"/>
      <c r="Z516" s="11" t="n"/>
    </row>
    <row r="517">
      <c r="A517" s="61" t="inlineStr">
        <is>
          <t>4114</t>
        </is>
      </c>
      <c r="B517" s="61" t="inlineStr">
        <is>
          <t>C1</t>
        </is>
      </c>
      <c r="C517" s="20" t="n">
        <v>1258</v>
      </c>
      <c r="D517" s="19" t="n">
        <v>3</v>
      </c>
      <c r="E517" s="19" t="n">
        <v>2</v>
      </c>
      <c r="F517" s="62" t="inlineStr">
        <is>
          <t>Market</t>
        </is>
      </c>
      <c r="G517" s="62" t="inlineStr">
        <is>
          <t>Occupied</t>
        </is>
      </c>
      <c r="H517" s="20" t="n">
        <v>1950</v>
      </c>
      <c r="I517" s="20" t="n">
        <v>1769</v>
      </c>
      <c r="J517" s="20" t="n">
        <v>1769</v>
      </c>
      <c r="K517" s="63" t="inlineStr">
        <is>
          <t>05/08/2025</t>
        </is>
      </c>
      <c r="L517" s="63" t="inlineStr">
        <is>
          <t>06/07/2026</t>
        </is>
      </c>
      <c r="M517" s="63" t="inlineStr">
        <is>
          <t>05/08/2025</t>
        </is>
      </c>
      <c r="O517" s="20" t="n">
        <v>1769</v>
      </c>
      <c r="P517" s="20" t="n"/>
      <c r="Q517" s="20" t="n"/>
      <c r="R517" s="20" t="n"/>
      <c r="S517" s="20" t="n"/>
      <c r="T517" s="20" t="n"/>
      <c r="U517" s="20" t="n">
        <v>1</v>
      </c>
      <c r="V517" s="20" t="n"/>
      <c r="W517" s="20" t="n"/>
      <c r="X517" s="20" t="n"/>
      <c r="Y517" s="20" t="n"/>
      <c r="Z517" s="20" t="n"/>
    </row>
    <row r="518">
      <c r="A518" s="64" t="inlineStr">
        <is>
          <t>4115</t>
        </is>
      </c>
      <c r="B518" s="64" t="inlineStr">
        <is>
          <t>C1</t>
        </is>
      </c>
      <c r="C518" s="11" t="n">
        <v>1258</v>
      </c>
      <c r="D518" s="10" t="n">
        <v>3</v>
      </c>
      <c r="E518" s="10" t="n">
        <v>2</v>
      </c>
      <c r="F518" s="65" t="inlineStr">
        <is>
          <t>Market</t>
        </is>
      </c>
      <c r="G518" s="65" t="inlineStr">
        <is>
          <t>Occupied</t>
        </is>
      </c>
      <c r="H518" s="11" t="n">
        <v>1910</v>
      </c>
      <c r="I518" s="11" t="n">
        <v>1959</v>
      </c>
      <c r="J518" s="11" t="n">
        <v>1959</v>
      </c>
      <c r="K518" s="66" t="inlineStr">
        <is>
          <t>01/01/2026</t>
        </is>
      </c>
      <c r="L518" s="66" t="inlineStr">
        <is>
          <t>12/24/2026</t>
        </is>
      </c>
      <c r="M518" s="66" t="inlineStr">
        <is>
          <t>01/11/2025</t>
        </is>
      </c>
      <c r="O518" s="11" t="n">
        <v>1959</v>
      </c>
      <c r="P518" s="11" t="n"/>
      <c r="Q518" s="11" t="n"/>
      <c r="R518" s="11" t="n">
        <v>-783.6</v>
      </c>
      <c r="S518" s="11" t="n"/>
      <c r="T518" s="11" t="n"/>
      <c r="U518" s="11" t="n">
        <v>1</v>
      </c>
      <c r="V518" s="11" t="n"/>
      <c r="W518" s="11" t="n"/>
      <c r="X518" s="11" t="n"/>
      <c r="Y518" s="11" t="n"/>
      <c r="Z518" s="11" t="n"/>
    </row>
    <row r="519">
      <c r="A519" s="61" t="inlineStr">
        <is>
          <t>4116</t>
        </is>
      </c>
      <c r="B519" s="61" t="inlineStr">
        <is>
          <t>A1</t>
        </is>
      </c>
      <c r="C519" s="20" t="n">
        <v>739</v>
      </c>
      <c r="D519" s="19" t="n">
        <v>1</v>
      </c>
      <c r="E519" s="19" t="n">
        <v>1</v>
      </c>
      <c r="F519" s="62" t="inlineStr">
        <is>
          <t>Market</t>
        </is>
      </c>
      <c r="G519" s="62" t="inlineStr">
        <is>
          <t>Occupied</t>
        </is>
      </c>
      <c r="H519" s="20" t="n">
        <v>1227</v>
      </c>
      <c r="I519" s="20" t="n">
        <v>1165</v>
      </c>
      <c r="J519" s="20" t="n">
        <v>1165</v>
      </c>
      <c r="K519" s="63" t="inlineStr">
        <is>
          <t>07/29/2025</t>
        </is>
      </c>
      <c r="L519" s="63" t="inlineStr">
        <is>
          <t>07/21/2026</t>
        </is>
      </c>
      <c r="M519" s="63" t="inlineStr">
        <is>
          <t>07/29/2025</t>
        </is>
      </c>
      <c r="O519" s="20" t="n">
        <v>1165</v>
      </c>
      <c r="P519" s="20" t="n"/>
      <c r="Q519" s="20" t="n"/>
      <c r="R519" s="20" t="n"/>
      <c r="S519" s="20" t="n"/>
      <c r="T519" s="20" t="n">
        <v>30</v>
      </c>
      <c r="U519" s="20" t="n">
        <v>1</v>
      </c>
      <c r="V519" s="20" t="n"/>
      <c r="W519" s="20" t="n"/>
      <c r="X519" s="20" t="n"/>
      <c r="Y519" s="20" t="n"/>
      <c r="Z519" s="20" t="n"/>
    </row>
    <row r="520">
      <c r="A520" s="64" t="inlineStr">
        <is>
          <t>4117</t>
        </is>
      </c>
      <c r="B520" s="64" t="inlineStr">
        <is>
          <t>A1</t>
        </is>
      </c>
      <c r="C520" s="11" t="n">
        <v>739</v>
      </c>
      <c r="D520" s="10" t="n">
        <v>1</v>
      </c>
      <c r="E520" s="10" t="n">
        <v>1</v>
      </c>
      <c r="F520" s="65" t="inlineStr">
        <is>
          <t>Market</t>
        </is>
      </c>
      <c r="G520" s="65" t="inlineStr">
        <is>
          <t>Occupied</t>
        </is>
      </c>
      <c r="H520" s="11" t="n">
        <v>1202</v>
      </c>
      <c r="I520" s="11" t="n">
        <v>1300</v>
      </c>
      <c r="J520" s="11" t="n">
        <v>1300</v>
      </c>
      <c r="K520" s="66" t="inlineStr">
        <is>
          <t>05/12/2025</t>
        </is>
      </c>
      <c r="L520" s="66" t="inlineStr">
        <is>
          <t>08/11/2026</t>
        </is>
      </c>
      <c r="M520" s="66" t="inlineStr">
        <is>
          <t>05/12/2025</t>
        </is>
      </c>
      <c r="O520" s="11" t="n">
        <v>1300</v>
      </c>
      <c r="P520" s="11" t="n"/>
      <c r="Q520" s="11" t="n">
        <v>75</v>
      </c>
      <c r="R520" s="11" t="n"/>
      <c r="S520" s="11" t="n"/>
      <c r="T520" s="11" t="n">
        <v>30</v>
      </c>
      <c r="U520" s="11" t="n">
        <v>1</v>
      </c>
      <c r="V520" s="11" t="n"/>
      <c r="W520" s="11" t="n"/>
      <c r="X520" s="11" t="n"/>
      <c r="Y520" s="11" t="n"/>
      <c r="Z520" s="11" t="n"/>
    </row>
    <row r="521">
      <c r="A521" s="61" t="inlineStr">
        <is>
          <t>4118</t>
        </is>
      </c>
      <c r="B521" s="61" t="inlineStr">
        <is>
          <t>C1</t>
        </is>
      </c>
      <c r="C521" s="20" t="n">
        <v>1258</v>
      </c>
      <c r="D521" s="19" t="n">
        <v>3</v>
      </c>
      <c r="E521" s="19" t="n">
        <v>2</v>
      </c>
      <c r="F521" s="62" t="inlineStr">
        <is>
          <t>Market</t>
        </is>
      </c>
      <c r="G521" s="62" t="inlineStr">
        <is>
          <t>Occupied</t>
        </is>
      </c>
      <c r="H521" s="20" t="n">
        <v>2045</v>
      </c>
      <c r="I521" s="20" t="n">
        <v>1944</v>
      </c>
      <c r="J521" s="20" t="n">
        <v>1944</v>
      </c>
      <c r="K521" s="63" t="inlineStr">
        <is>
          <t>04/24/2026</t>
        </is>
      </c>
      <c r="L521" s="63" t="inlineStr">
        <is>
          <t>04/30/2027</t>
        </is>
      </c>
      <c r="M521" s="63" t="inlineStr">
        <is>
          <t>04/24/2026</t>
        </is>
      </c>
      <c r="O521" s="20" t="n">
        <v>1944</v>
      </c>
      <c r="P521" s="20" t="n">
        <v>35</v>
      </c>
      <c r="Q521" s="20" t="n"/>
      <c r="R521" s="20" t="n"/>
      <c r="S521" s="20" t="n"/>
      <c r="T521" s="20" t="n"/>
      <c r="U521" s="20" t="n">
        <v>3</v>
      </c>
      <c r="V521" s="20" t="n"/>
      <c r="W521" s="20" t="n"/>
      <c r="X521" s="20" t="n"/>
      <c r="Y521" s="20" t="n"/>
      <c r="Z521" s="20" t="n"/>
    </row>
    <row r="522">
      <c r="A522" s="64" t="inlineStr">
        <is>
          <t>4121</t>
        </is>
      </c>
      <c r="B522" s="64" t="inlineStr">
        <is>
          <t>C1</t>
        </is>
      </c>
      <c r="C522" s="11" t="n">
        <v>1258</v>
      </c>
      <c r="D522" s="10" t="n">
        <v>3</v>
      </c>
      <c r="E522" s="10" t="n">
        <v>2</v>
      </c>
      <c r="F522" s="65" t="inlineStr">
        <is>
          <t>Market</t>
        </is>
      </c>
      <c r="G522" s="65" t="inlineStr">
        <is>
          <t>Occupied</t>
        </is>
      </c>
      <c r="H522" s="11" t="n">
        <v>1875</v>
      </c>
      <c r="I522" s="11" t="n">
        <v>1811</v>
      </c>
      <c r="J522" s="11" t="n">
        <v>1811</v>
      </c>
      <c r="K522" s="66" t="inlineStr">
        <is>
          <t>10/12/2025</t>
        </is>
      </c>
      <c r="L522" s="66" t="inlineStr">
        <is>
          <t>10/04/2026</t>
        </is>
      </c>
      <c r="M522" s="66" t="inlineStr">
        <is>
          <t>04/12/2020</t>
        </is>
      </c>
      <c r="O522" s="11" t="n">
        <v>1811</v>
      </c>
      <c r="P522" s="11" t="n"/>
      <c r="Q522" s="11" t="n"/>
      <c r="R522" s="11" t="n"/>
      <c r="S522" s="11" t="n"/>
      <c r="T522" s="11" t="n">
        <v>35</v>
      </c>
      <c r="U522" s="11" t="n">
        <v>1</v>
      </c>
      <c r="V522" s="11" t="n">
        <v>100</v>
      </c>
      <c r="W522" s="11" t="n"/>
      <c r="X522" s="11" t="n"/>
      <c r="Y522" s="11" t="n"/>
      <c r="Z522" s="11" t="n"/>
    </row>
    <row r="523">
      <c r="A523" s="61" t="inlineStr">
        <is>
          <t>4122</t>
        </is>
      </c>
      <c r="B523" s="61" t="inlineStr">
        <is>
          <t>A1</t>
        </is>
      </c>
      <c r="C523" s="20" t="n">
        <v>739</v>
      </c>
      <c r="D523" s="19" t="n">
        <v>1</v>
      </c>
      <c r="E523" s="19" t="n">
        <v>1</v>
      </c>
      <c r="F523" s="62" t="inlineStr">
        <is>
          <t>Market</t>
        </is>
      </c>
      <c r="G523" s="62" t="inlineStr">
        <is>
          <t>Occupied</t>
        </is>
      </c>
      <c r="H523" s="20" t="n">
        <v>1167</v>
      </c>
      <c r="I523" s="20" t="n">
        <v>1136</v>
      </c>
      <c r="J523" s="20" t="n">
        <v>1136</v>
      </c>
      <c r="K523" s="63" t="inlineStr">
        <is>
          <t>02/21/2026</t>
        </is>
      </c>
      <c r="L523" s="63" t="inlineStr">
        <is>
          <t>05/20/2027</t>
        </is>
      </c>
      <c r="M523" s="63" t="inlineStr">
        <is>
          <t>02/21/2026</t>
        </is>
      </c>
      <c r="O523" s="20" t="n">
        <v>1136</v>
      </c>
      <c r="P523" s="20" t="n">
        <v>35</v>
      </c>
      <c r="Q523" s="20" t="n"/>
      <c r="R523" s="20" t="n"/>
      <c r="S523" s="20" t="n"/>
      <c r="T523" s="20" t="n"/>
      <c r="U523" s="20" t="n">
        <v>3</v>
      </c>
      <c r="V523" s="20" t="n"/>
      <c r="W523" s="20" t="n"/>
      <c r="X523" s="20" t="n"/>
      <c r="Y523" s="20" t="n"/>
      <c r="Z523" s="20" t="n"/>
    </row>
    <row r="524">
      <c r="A524" s="64" t="inlineStr">
        <is>
          <t>4123</t>
        </is>
      </c>
      <c r="B524" s="64" t="inlineStr">
        <is>
          <t>A1</t>
        </is>
      </c>
      <c r="C524" s="11" t="n">
        <v>739</v>
      </c>
      <c r="D524" s="10" t="n">
        <v>1</v>
      </c>
      <c r="E524" s="10" t="n">
        <v>1</v>
      </c>
      <c r="F524" s="65" t="inlineStr">
        <is>
          <t>Market</t>
        </is>
      </c>
      <c r="G524" s="65" t="inlineStr">
        <is>
          <t>Vacant</t>
        </is>
      </c>
      <c r="H524" s="11" t="n">
        <v>1182</v>
      </c>
      <c r="I524" s="11" t="n">
        <v>0</v>
      </c>
      <c r="J524" s="11" t="n">
        <v>0</v>
      </c>
      <c r="K524" s="66" t="n"/>
      <c r="L524" s="66" t="n"/>
      <c r="M524" s="66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61" t="inlineStr">
        <is>
          <t>4124</t>
        </is>
      </c>
      <c r="B525" s="61" t="inlineStr">
        <is>
          <t>C1</t>
        </is>
      </c>
      <c r="C525" s="20" t="n">
        <v>1258</v>
      </c>
      <c r="D525" s="19" t="n">
        <v>3</v>
      </c>
      <c r="E525" s="19" t="n">
        <v>2</v>
      </c>
      <c r="F525" s="62" t="inlineStr">
        <is>
          <t>Market</t>
        </is>
      </c>
      <c r="G525" s="62" t="inlineStr">
        <is>
          <t>Occupied</t>
        </is>
      </c>
      <c r="H525" s="20" t="n">
        <v>1950</v>
      </c>
      <c r="I525" s="20" t="n">
        <v>1707</v>
      </c>
      <c r="J525" s="20" t="n">
        <v>1707</v>
      </c>
      <c r="K525" s="63" t="inlineStr">
        <is>
          <t>11/30/2025</t>
        </is>
      </c>
      <c r="L525" s="63" t="inlineStr">
        <is>
          <t>02/27/2027</t>
        </is>
      </c>
      <c r="M525" s="63" t="inlineStr">
        <is>
          <t>11/30/2025</t>
        </is>
      </c>
      <c r="O525" s="20" t="n">
        <v>1707</v>
      </c>
      <c r="P525" s="20" t="n"/>
      <c r="Q525" s="20" t="n"/>
      <c r="R525" s="20" t="n"/>
      <c r="S525" s="20" t="n"/>
      <c r="T525" s="20" t="n"/>
      <c r="U525" s="20" t="n">
        <v>3</v>
      </c>
      <c r="V525" s="20" t="n"/>
      <c r="W525" s="20" t="n"/>
      <c r="X525" s="20" t="n"/>
      <c r="Y525" s="20" t="n"/>
      <c r="Z525" s="20" t="n"/>
    </row>
    <row r="526">
      <c r="A526" s="64" t="inlineStr">
        <is>
          <t>4125</t>
        </is>
      </c>
      <c r="B526" s="64" t="inlineStr">
        <is>
          <t>C1</t>
        </is>
      </c>
      <c r="C526" s="11" t="n">
        <v>1258</v>
      </c>
      <c r="D526" s="10" t="n">
        <v>3</v>
      </c>
      <c r="E526" s="10" t="n">
        <v>2</v>
      </c>
      <c r="F526" s="65" t="inlineStr">
        <is>
          <t>Market</t>
        </is>
      </c>
      <c r="G526" s="65" t="inlineStr">
        <is>
          <t>Vacant</t>
        </is>
      </c>
      <c r="H526" s="11" t="n">
        <v>1915</v>
      </c>
      <c r="I526" s="11" t="n">
        <v>0</v>
      </c>
      <c r="J526" s="11" t="n">
        <v>0</v>
      </c>
      <c r="K526" s="66" t="n"/>
      <c r="L526" s="66" t="n"/>
      <c r="M526" s="66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61" t="inlineStr">
        <is>
          <t>4126</t>
        </is>
      </c>
      <c r="B527" s="61" t="inlineStr">
        <is>
          <t>A1</t>
        </is>
      </c>
      <c r="C527" s="20" t="n">
        <v>739</v>
      </c>
      <c r="D527" s="19" t="n">
        <v>1</v>
      </c>
      <c r="E527" s="19" t="n">
        <v>1</v>
      </c>
      <c r="F527" s="62" t="inlineStr">
        <is>
          <t>Market</t>
        </is>
      </c>
      <c r="G527" s="62" t="inlineStr">
        <is>
          <t>Vacant</t>
        </is>
      </c>
      <c r="H527" s="20" t="n">
        <v>1167</v>
      </c>
      <c r="I527" s="20" t="n">
        <v>0</v>
      </c>
      <c r="J527" s="20" t="n">
        <v>0</v>
      </c>
      <c r="K527" s="63" t="n"/>
      <c r="L527" s="63" t="n"/>
      <c r="M527" s="63" t="n"/>
      <c r="O527" s="20" t="n"/>
      <c r="P527" s="20" t="n"/>
      <c r="Q527" s="20" t="n"/>
      <c r="R527" s="20" t="n"/>
      <c r="S527" s="20" t="n"/>
      <c r="T527" s="20" t="n"/>
      <c r="U527" s="20" t="n"/>
      <c r="V527" s="20" t="n"/>
      <c r="W527" s="20" t="n"/>
      <c r="X527" s="20" t="n"/>
      <c r="Y527" s="20" t="n"/>
      <c r="Z527" s="20" t="n"/>
    </row>
    <row r="528">
      <c r="A528" s="64" t="inlineStr">
        <is>
          <t>4127</t>
        </is>
      </c>
      <c r="B528" s="64" t="inlineStr">
        <is>
          <t>A1</t>
        </is>
      </c>
      <c r="C528" s="11" t="n">
        <v>739</v>
      </c>
      <c r="D528" s="10" t="n">
        <v>1</v>
      </c>
      <c r="E528" s="10" t="n">
        <v>1</v>
      </c>
      <c r="F528" s="65" t="inlineStr">
        <is>
          <t>Market</t>
        </is>
      </c>
      <c r="G528" s="65" t="inlineStr">
        <is>
          <t>Occupied</t>
        </is>
      </c>
      <c r="H528" s="11" t="n">
        <v>1182</v>
      </c>
      <c r="I528" s="11" t="n">
        <v>1102</v>
      </c>
      <c r="J528" s="11" t="n">
        <v>1102</v>
      </c>
      <c r="K528" s="66" t="inlineStr">
        <is>
          <t>03/18/2026</t>
        </is>
      </c>
      <c r="L528" s="66" t="inlineStr">
        <is>
          <t>06/09/2027</t>
        </is>
      </c>
      <c r="M528" s="66" t="inlineStr">
        <is>
          <t>03/18/2026</t>
        </is>
      </c>
      <c r="O528" s="11" t="n">
        <v>1102</v>
      </c>
      <c r="P528" s="11" t="n">
        <v>35</v>
      </c>
      <c r="Q528" s="11" t="n">
        <v>75</v>
      </c>
      <c r="R528" s="11" t="n"/>
      <c r="S528" s="11" t="n"/>
      <c r="T528" s="11" t="n"/>
      <c r="U528" s="11" t="n">
        <v>3</v>
      </c>
      <c r="V528" s="11" t="n"/>
      <c r="W528" s="11" t="n"/>
      <c r="X528" s="11" t="n"/>
      <c r="Y528" s="11" t="n"/>
      <c r="Z528" s="11" t="n"/>
    </row>
    <row r="529">
      <c r="A529" s="61" t="inlineStr">
        <is>
          <t>4128</t>
        </is>
      </c>
      <c r="B529" s="61" t="inlineStr">
        <is>
          <t>C1</t>
        </is>
      </c>
      <c r="C529" s="20" t="n">
        <v>1258</v>
      </c>
      <c r="D529" s="19" t="n">
        <v>3</v>
      </c>
      <c r="E529" s="19" t="n">
        <v>2</v>
      </c>
      <c r="F529" s="62" t="inlineStr">
        <is>
          <t>Market</t>
        </is>
      </c>
      <c r="G529" s="62" t="inlineStr">
        <is>
          <t>Vacant</t>
        </is>
      </c>
      <c r="H529" s="20" t="n">
        <v>2025</v>
      </c>
      <c r="I529" s="20" t="n">
        <v>0</v>
      </c>
      <c r="J529" s="20" t="n">
        <v>0</v>
      </c>
      <c r="K529" s="63" t="n"/>
      <c r="L529" s="63" t="n"/>
      <c r="M529" s="63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0" t="n"/>
    </row>
    <row r="530">
      <c r="A530" s="64" t="inlineStr">
        <is>
          <t>4132</t>
        </is>
      </c>
      <c r="B530" s="64" t="inlineStr">
        <is>
          <t>A1</t>
        </is>
      </c>
      <c r="C530" s="11" t="n">
        <v>739</v>
      </c>
      <c r="D530" s="10" t="n">
        <v>1</v>
      </c>
      <c r="E530" s="10" t="n">
        <v>1</v>
      </c>
      <c r="F530" s="65" t="inlineStr">
        <is>
          <t>Market</t>
        </is>
      </c>
      <c r="G530" s="65" t="inlineStr">
        <is>
          <t>Occupied</t>
        </is>
      </c>
      <c r="H530" s="11" t="n">
        <v>1167</v>
      </c>
      <c r="I530" s="11" t="n">
        <v>1269</v>
      </c>
      <c r="J530" s="11" t="n">
        <v>1269</v>
      </c>
      <c r="K530" s="66" t="inlineStr">
        <is>
          <t>06/15/2025</t>
        </is>
      </c>
      <c r="L530" s="66" t="inlineStr">
        <is>
          <t>08/21/2026</t>
        </is>
      </c>
      <c r="M530" s="66" t="inlineStr">
        <is>
          <t>06/15/2025</t>
        </is>
      </c>
      <c r="O530" s="11" t="n">
        <v>1269</v>
      </c>
      <c r="P530" s="11" t="n"/>
      <c r="Q530" s="11" t="n"/>
      <c r="R530" s="11" t="n"/>
      <c r="S530" s="11" t="n"/>
      <c r="T530" s="11" t="n">
        <v>30</v>
      </c>
      <c r="U530" s="11" t="n">
        <v>1</v>
      </c>
      <c r="V530" s="11" t="n"/>
      <c r="W530" s="11" t="n"/>
      <c r="X530" s="11" t="n"/>
      <c r="Y530" s="11" t="n"/>
      <c r="Z530" s="11" t="n"/>
    </row>
    <row r="531">
      <c r="A531" s="61" t="inlineStr">
        <is>
          <t>4133</t>
        </is>
      </c>
      <c r="B531" s="61" t="inlineStr">
        <is>
          <t>A1</t>
        </is>
      </c>
      <c r="C531" s="20" t="n">
        <v>739</v>
      </c>
      <c r="D531" s="19" t="n">
        <v>1</v>
      </c>
      <c r="E531" s="19" t="n">
        <v>1</v>
      </c>
      <c r="F531" s="62" t="inlineStr">
        <is>
          <t>Market</t>
        </is>
      </c>
      <c r="G531" s="62" t="inlineStr">
        <is>
          <t>Occupied</t>
        </is>
      </c>
      <c r="H531" s="20" t="n">
        <v>1182</v>
      </c>
      <c r="I531" s="20" t="n">
        <v>1398</v>
      </c>
      <c r="J531" s="20" t="n">
        <v>1398</v>
      </c>
      <c r="K531" s="63" t="inlineStr">
        <is>
          <t>05/21/2025</t>
        </is>
      </c>
      <c r="L531" s="63" t="inlineStr">
        <is>
          <t>08/20/2026</t>
        </is>
      </c>
      <c r="M531" s="63" t="inlineStr">
        <is>
          <t>11/21/2020</t>
        </is>
      </c>
      <c r="O531" s="20" t="n">
        <v>1398</v>
      </c>
      <c r="P531" s="20" t="n"/>
      <c r="Q531" s="20" t="n"/>
      <c r="R531" s="20" t="n"/>
      <c r="S531" s="20" t="n"/>
      <c r="T531" s="20" t="n"/>
      <c r="U531" s="20" t="n">
        <v>1</v>
      </c>
      <c r="V531" s="20" t="n"/>
      <c r="W531" s="20" t="n"/>
      <c r="X531" s="20" t="n"/>
      <c r="Y531" s="20" t="n"/>
      <c r="Z531" s="20" t="n"/>
    </row>
    <row r="532">
      <c r="A532" s="64" t="inlineStr">
        <is>
          <t>4136</t>
        </is>
      </c>
      <c r="B532" s="64" t="inlineStr">
        <is>
          <t>A1</t>
        </is>
      </c>
      <c r="C532" s="11" t="n">
        <v>739</v>
      </c>
      <c r="D532" s="10" t="n">
        <v>1</v>
      </c>
      <c r="E532" s="10" t="n">
        <v>1</v>
      </c>
      <c r="F532" s="65" t="inlineStr">
        <is>
          <t>Market</t>
        </is>
      </c>
      <c r="G532" s="65" t="inlineStr">
        <is>
          <t>Occupied</t>
        </is>
      </c>
      <c r="H532" s="11" t="n">
        <v>1167</v>
      </c>
      <c r="I532" s="11" t="n">
        <v>1190</v>
      </c>
      <c r="J532" s="11" t="n">
        <v>1190</v>
      </c>
      <c r="K532" s="66" t="inlineStr">
        <is>
          <t>05/23/2026</t>
        </is>
      </c>
      <c r="L532" s="66" t="inlineStr">
        <is>
          <t>06/22/2027</t>
        </is>
      </c>
      <c r="M532" s="66" t="inlineStr">
        <is>
          <t>02/23/2025</t>
        </is>
      </c>
      <c r="O532" s="11" t="n">
        <v>1190</v>
      </c>
      <c r="P532" s="11" t="n">
        <v>35</v>
      </c>
      <c r="Q532" s="11" t="n"/>
      <c r="R532" s="11" t="n"/>
      <c r="S532" s="11" t="n"/>
      <c r="T532" s="11" t="n"/>
      <c r="U532" s="11" t="n">
        <v>3</v>
      </c>
      <c r="V532" s="11" t="n"/>
      <c r="W532" s="11" t="n"/>
      <c r="X532" s="11" t="n"/>
      <c r="Y532" s="11" t="n"/>
      <c r="Z532" s="11" t="n"/>
    </row>
    <row r="533">
      <c r="A533" s="61" t="inlineStr">
        <is>
          <t>4137</t>
        </is>
      </c>
      <c r="B533" s="61" t="inlineStr">
        <is>
          <t>A1</t>
        </is>
      </c>
      <c r="C533" s="20" t="n">
        <v>739</v>
      </c>
      <c r="D533" s="19" t="n">
        <v>1</v>
      </c>
      <c r="E533" s="19" t="n">
        <v>1</v>
      </c>
      <c r="F533" s="62" t="inlineStr">
        <is>
          <t>Market</t>
        </is>
      </c>
      <c r="G533" s="62" t="inlineStr">
        <is>
          <t>Occupied</t>
        </is>
      </c>
      <c r="H533" s="20" t="n">
        <v>1182</v>
      </c>
      <c r="I533" s="20" t="n">
        <v>1328</v>
      </c>
      <c r="J533" s="20" t="n">
        <v>1328</v>
      </c>
      <c r="K533" s="63" t="inlineStr">
        <is>
          <t>09/14/2025</t>
        </is>
      </c>
      <c r="L533" s="63" t="inlineStr">
        <is>
          <t>09/13/2026</t>
        </is>
      </c>
      <c r="M533" s="63" t="inlineStr">
        <is>
          <t>09/14/2024</t>
        </is>
      </c>
      <c r="O533" s="20" t="n">
        <v>1328</v>
      </c>
      <c r="P533" s="20" t="n"/>
      <c r="Q533" s="20" t="n"/>
      <c r="R533" s="20" t="n"/>
      <c r="S533" s="20" t="n"/>
      <c r="T533" s="20" t="n"/>
      <c r="U533" s="20" t="n">
        <v>1</v>
      </c>
      <c r="V533" s="20" t="n"/>
      <c r="W533" s="20" t="n"/>
      <c r="X533" s="20" t="n"/>
      <c r="Y533" s="20" t="n"/>
      <c r="Z533" s="20" t="n"/>
    </row>
    <row r="534">
      <c r="A534" s="64" t="inlineStr">
        <is>
          <t>4211</t>
        </is>
      </c>
      <c r="B534" s="64" t="inlineStr">
        <is>
          <t>A2</t>
        </is>
      </c>
      <c r="C534" s="11" t="n">
        <v>777</v>
      </c>
      <c r="D534" s="10" t="n">
        <v>1</v>
      </c>
      <c r="E534" s="10" t="n">
        <v>1</v>
      </c>
      <c r="F534" s="65" t="inlineStr">
        <is>
          <t>Market</t>
        </is>
      </c>
      <c r="G534" s="65" t="inlineStr">
        <is>
          <t>Occupied</t>
        </is>
      </c>
      <c r="H534" s="11" t="n">
        <v>1227</v>
      </c>
      <c r="I534" s="11" t="n">
        <v>1257</v>
      </c>
      <c r="J534" s="11" t="n">
        <v>1257</v>
      </c>
      <c r="K534" s="66" t="inlineStr">
        <is>
          <t>09/02/2025</t>
        </is>
      </c>
      <c r="L534" s="66" t="inlineStr">
        <is>
          <t>10/01/2026</t>
        </is>
      </c>
      <c r="M534" s="66" t="inlineStr">
        <is>
          <t>09/02/2025</t>
        </is>
      </c>
      <c r="O534" s="11" t="n">
        <v>1257</v>
      </c>
      <c r="P534" s="11" t="n"/>
      <c r="Q534" s="11" t="n"/>
      <c r="R534" s="11" t="n"/>
      <c r="S534" s="11" t="n"/>
      <c r="T534" s="11" t="n"/>
      <c r="U534" s="11" t="n">
        <v>1</v>
      </c>
      <c r="V534" s="11" t="n"/>
      <c r="W534" s="11" t="n"/>
      <c r="X534" s="11" t="n"/>
      <c r="Y534" s="11" t="n"/>
      <c r="Z534" s="11" t="n"/>
    </row>
    <row r="535">
      <c r="A535" s="61" t="inlineStr">
        <is>
          <t>4212</t>
        </is>
      </c>
      <c r="B535" s="61" t="inlineStr">
        <is>
          <t>A2</t>
        </is>
      </c>
      <c r="C535" s="20" t="n">
        <v>777</v>
      </c>
      <c r="D535" s="19" t="n">
        <v>1</v>
      </c>
      <c r="E535" s="19" t="n">
        <v>1</v>
      </c>
      <c r="F535" s="62" t="inlineStr">
        <is>
          <t>Market</t>
        </is>
      </c>
      <c r="G535" s="62" t="inlineStr">
        <is>
          <t>Occupied</t>
        </is>
      </c>
      <c r="H535" s="20" t="n">
        <v>1227</v>
      </c>
      <c r="I535" s="20" t="n">
        <v>1187</v>
      </c>
      <c r="J535" s="20" t="n">
        <v>1187</v>
      </c>
      <c r="K535" s="63" t="inlineStr">
        <is>
          <t>04/15/2026</t>
        </is>
      </c>
      <c r="L535" s="63" t="inlineStr">
        <is>
          <t>05/14/2027</t>
        </is>
      </c>
      <c r="M535" s="63" t="inlineStr">
        <is>
          <t>04/15/2026</t>
        </is>
      </c>
      <c r="O535" s="20" t="n">
        <v>1187</v>
      </c>
      <c r="P535" s="20" t="n">
        <v>35</v>
      </c>
      <c r="Q535" s="20" t="n"/>
      <c r="R535" s="20" t="n"/>
      <c r="S535" s="20" t="n"/>
      <c r="T535" s="20" t="n"/>
      <c r="U535" s="20" t="n">
        <v>3</v>
      </c>
      <c r="V535" s="20" t="n"/>
      <c r="W535" s="20" t="n"/>
      <c r="X535" s="20" t="n"/>
      <c r="Y535" s="20" t="n"/>
      <c r="Z535" s="20" t="n"/>
    </row>
    <row r="536">
      <c r="A536" s="64" t="inlineStr">
        <is>
          <t>4213</t>
        </is>
      </c>
      <c r="B536" s="64" t="inlineStr">
        <is>
          <t>A2</t>
        </is>
      </c>
      <c r="C536" s="11" t="n">
        <v>777</v>
      </c>
      <c r="D536" s="10" t="n">
        <v>1</v>
      </c>
      <c r="E536" s="10" t="n">
        <v>1</v>
      </c>
      <c r="F536" s="65" t="inlineStr">
        <is>
          <t>Market</t>
        </is>
      </c>
      <c r="G536" s="65" t="inlineStr">
        <is>
          <t>Occupied</t>
        </is>
      </c>
      <c r="H536" s="11" t="n">
        <v>1242</v>
      </c>
      <c r="I536" s="11" t="n">
        <v>1414</v>
      </c>
      <c r="J536" s="11" t="n">
        <v>1414</v>
      </c>
      <c r="K536" s="66" t="inlineStr">
        <is>
          <t>06/24/2025</t>
        </is>
      </c>
      <c r="L536" s="66" t="inlineStr">
        <is>
          <t>06/30/2026</t>
        </is>
      </c>
      <c r="M536" s="66" t="inlineStr">
        <is>
          <t>05/17/2024</t>
        </is>
      </c>
      <c r="O536" s="11" t="n">
        <v>1414</v>
      </c>
      <c r="P536" s="11" t="n"/>
      <c r="Q536" s="11" t="n"/>
      <c r="R536" s="11" t="n"/>
      <c r="S536" s="11" t="n"/>
      <c r="T536" s="11" t="n"/>
      <c r="U536" s="11" t="n">
        <v>1</v>
      </c>
      <c r="V536" s="11" t="n"/>
      <c r="W536" s="11" t="n"/>
      <c r="X536" s="11" t="n"/>
      <c r="Y536" s="11" t="n"/>
      <c r="Z536" s="11" t="n"/>
    </row>
    <row r="537">
      <c r="A537" s="61" t="inlineStr">
        <is>
          <t>4214</t>
        </is>
      </c>
      <c r="B537" s="61" t="inlineStr">
        <is>
          <t>A2</t>
        </is>
      </c>
      <c r="C537" s="20" t="n">
        <v>777</v>
      </c>
      <c r="D537" s="19" t="n">
        <v>1</v>
      </c>
      <c r="E537" s="19" t="n">
        <v>1</v>
      </c>
      <c r="F537" s="62" t="inlineStr">
        <is>
          <t>Market</t>
        </is>
      </c>
      <c r="G537" s="62" t="inlineStr">
        <is>
          <t>Occupied</t>
        </is>
      </c>
      <c r="H537" s="20" t="n">
        <v>1282</v>
      </c>
      <c r="I537" s="20" t="n">
        <v>1278</v>
      </c>
      <c r="J537" s="20" t="n">
        <v>1278</v>
      </c>
      <c r="K537" s="63" t="inlineStr">
        <is>
          <t>07/21/2025</t>
        </is>
      </c>
      <c r="L537" s="63" t="inlineStr">
        <is>
          <t>08/20/2026</t>
        </is>
      </c>
      <c r="M537" s="63" t="inlineStr">
        <is>
          <t>06/21/2024</t>
        </is>
      </c>
      <c r="O537" s="20" t="n">
        <v>1278</v>
      </c>
      <c r="P537" s="20" t="n"/>
      <c r="Q537" s="20" t="n"/>
      <c r="R537" s="20" t="n"/>
      <c r="S537" s="20" t="n"/>
      <c r="T537" s="20" t="n"/>
      <c r="U537" s="20" t="n">
        <v>1</v>
      </c>
      <c r="V537" s="20" t="n"/>
      <c r="W537" s="20" t="n"/>
      <c r="X537" s="20" t="n"/>
      <c r="Y537" s="20" t="n"/>
      <c r="Z537" s="20" t="n"/>
    </row>
    <row r="538">
      <c r="A538" s="64" t="inlineStr">
        <is>
          <t>4215</t>
        </is>
      </c>
      <c r="B538" s="64" t="inlineStr">
        <is>
          <t>A2</t>
        </is>
      </c>
      <c r="C538" s="11" t="n">
        <v>777</v>
      </c>
      <c r="D538" s="10" t="n">
        <v>1</v>
      </c>
      <c r="E538" s="10" t="n">
        <v>1</v>
      </c>
      <c r="F538" s="65" t="inlineStr">
        <is>
          <t>Market</t>
        </is>
      </c>
      <c r="G538" s="65" t="inlineStr">
        <is>
          <t>Occupied</t>
        </is>
      </c>
      <c r="H538" s="11" t="n">
        <v>1267</v>
      </c>
      <c r="I538" s="11" t="n">
        <v>1344</v>
      </c>
      <c r="J538" s="11" t="n">
        <v>1344</v>
      </c>
      <c r="K538" s="66" t="inlineStr">
        <is>
          <t>06/09/2025</t>
        </is>
      </c>
      <c r="L538" s="66" t="inlineStr">
        <is>
          <t>07/07/2026</t>
        </is>
      </c>
      <c r="M538" s="66" t="inlineStr">
        <is>
          <t>06/09/2025</t>
        </is>
      </c>
      <c r="O538" s="11" t="n">
        <v>1344</v>
      </c>
      <c r="P538" s="11" t="n"/>
      <c r="Q538" s="11" t="n"/>
      <c r="R538" s="11" t="n"/>
      <c r="S538" s="11" t="n"/>
      <c r="T538" s="11" t="n"/>
      <c r="U538" s="11" t="n">
        <v>1</v>
      </c>
      <c r="V538" s="11" t="n"/>
      <c r="W538" s="11" t="n"/>
      <c r="X538" s="11" t="n"/>
      <c r="Y538" s="11" t="n"/>
      <c r="Z538" s="11" t="n"/>
    </row>
    <row r="539">
      <c r="A539" s="61" t="inlineStr">
        <is>
          <t>4216</t>
        </is>
      </c>
      <c r="B539" s="61" t="inlineStr">
        <is>
          <t>A2</t>
        </is>
      </c>
      <c r="C539" s="20" t="n">
        <v>777</v>
      </c>
      <c r="D539" s="19" t="n">
        <v>1</v>
      </c>
      <c r="E539" s="19" t="n">
        <v>1</v>
      </c>
      <c r="F539" s="62" t="inlineStr">
        <is>
          <t>Market</t>
        </is>
      </c>
      <c r="G539" s="62" t="inlineStr">
        <is>
          <t>Occupied</t>
        </is>
      </c>
      <c r="H539" s="20" t="n">
        <v>1267</v>
      </c>
      <c r="I539" s="20" t="n">
        <v>1147</v>
      </c>
      <c r="J539" s="20" t="n">
        <v>1147</v>
      </c>
      <c r="K539" s="63" t="inlineStr">
        <is>
          <t>01/05/2026</t>
        </is>
      </c>
      <c r="L539" s="63" t="inlineStr">
        <is>
          <t>04/09/2027</t>
        </is>
      </c>
      <c r="M539" s="63" t="inlineStr">
        <is>
          <t>01/03/2026</t>
        </is>
      </c>
      <c r="O539" s="20" t="n">
        <v>1147</v>
      </c>
      <c r="P539" s="20" t="n">
        <v>35</v>
      </c>
      <c r="Q539" s="20" t="n"/>
      <c r="R539" s="20" t="n"/>
      <c r="S539" s="20" t="n"/>
      <c r="T539" s="20" t="n"/>
      <c r="U539" s="20" t="n">
        <v>3</v>
      </c>
      <c r="V539" s="20" t="n"/>
      <c r="W539" s="20" t="n"/>
      <c r="X539" s="20" t="n"/>
      <c r="Y539" s="20" t="n"/>
      <c r="Z539" s="20" t="n"/>
    </row>
    <row r="540">
      <c r="A540" s="64" t="inlineStr">
        <is>
          <t>4217</t>
        </is>
      </c>
      <c r="B540" s="64" t="inlineStr">
        <is>
          <t>A2</t>
        </is>
      </c>
      <c r="C540" s="11" t="n">
        <v>777</v>
      </c>
      <c r="D540" s="10" t="n">
        <v>1</v>
      </c>
      <c r="E540" s="10" t="n">
        <v>1</v>
      </c>
      <c r="F540" s="65" t="inlineStr">
        <is>
          <t>Market</t>
        </is>
      </c>
      <c r="G540" s="65" t="inlineStr">
        <is>
          <t>Vacant</t>
        </is>
      </c>
      <c r="H540" s="11" t="n">
        <v>1282</v>
      </c>
      <c r="I540" s="11" t="n">
        <v>0</v>
      </c>
      <c r="J540" s="11" t="n">
        <v>0</v>
      </c>
      <c r="K540" s="66" t="n"/>
      <c r="L540" s="66" t="n"/>
      <c r="M540" s="66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61" t="inlineStr">
        <is>
          <t>4218</t>
        </is>
      </c>
      <c r="B541" s="61" t="inlineStr">
        <is>
          <t>A2</t>
        </is>
      </c>
      <c r="C541" s="20" t="n">
        <v>777</v>
      </c>
      <c r="D541" s="19" t="n">
        <v>1</v>
      </c>
      <c r="E541" s="19" t="n">
        <v>1</v>
      </c>
      <c r="F541" s="62" t="inlineStr">
        <is>
          <t>Market</t>
        </is>
      </c>
      <c r="G541" s="62" t="inlineStr">
        <is>
          <t>Occupied</t>
        </is>
      </c>
      <c r="H541" s="20" t="n">
        <v>1242</v>
      </c>
      <c r="I541" s="20" t="n">
        <v>1224</v>
      </c>
      <c r="J541" s="20" t="n">
        <v>1224</v>
      </c>
      <c r="K541" s="63" t="inlineStr">
        <is>
          <t>01/14/2026</t>
        </is>
      </c>
      <c r="L541" s="63" t="inlineStr">
        <is>
          <t>04/13/2027</t>
        </is>
      </c>
      <c r="M541" s="63" t="inlineStr">
        <is>
          <t>05/11/2019</t>
        </is>
      </c>
      <c r="O541" s="20" t="n">
        <v>1224</v>
      </c>
      <c r="P541" s="20" t="n"/>
      <c r="Q541" s="20" t="n"/>
      <c r="R541" s="20" t="n"/>
      <c r="S541" s="20" t="n"/>
      <c r="T541" s="20" t="n"/>
      <c r="U541" s="20" t="n">
        <v>3</v>
      </c>
      <c r="V541" s="20" t="n"/>
      <c r="W541" s="20" t="n"/>
      <c r="X541" s="20" t="n"/>
      <c r="Y541" s="20" t="n"/>
      <c r="Z541" s="20" t="n"/>
    </row>
    <row r="542">
      <c r="A542" s="64" t="inlineStr">
        <is>
          <t>4221</t>
        </is>
      </c>
      <c r="B542" s="64" t="inlineStr">
        <is>
          <t>A2</t>
        </is>
      </c>
      <c r="C542" s="11" t="n">
        <v>777</v>
      </c>
      <c r="D542" s="10" t="n">
        <v>1</v>
      </c>
      <c r="E542" s="10" t="n">
        <v>1</v>
      </c>
      <c r="F542" s="65" t="inlineStr">
        <is>
          <t>Market</t>
        </is>
      </c>
      <c r="G542" s="65" t="inlineStr">
        <is>
          <t>Occupied</t>
        </is>
      </c>
      <c r="H542" s="11" t="n">
        <v>1207</v>
      </c>
      <c r="I542" s="11" t="n">
        <v>1267</v>
      </c>
      <c r="J542" s="11" t="n">
        <v>1267</v>
      </c>
      <c r="K542" s="66" t="inlineStr">
        <is>
          <t>05/06/2026</t>
        </is>
      </c>
      <c r="L542" s="66" t="inlineStr">
        <is>
          <t>05/05/2027</t>
        </is>
      </c>
      <c r="M542" s="66" t="inlineStr">
        <is>
          <t>03/18/2025</t>
        </is>
      </c>
      <c r="O542" s="11" t="n">
        <v>1267</v>
      </c>
      <c r="P542" s="11" t="n">
        <v>35</v>
      </c>
      <c r="Q542" s="11" t="n"/>
      <c r="R542" s="11" t="n"/>
      <c r="S542" s="11" t="n"/>
      <c r="T542" s="11" t="n"/>
      <c r="U542" s="11" t="n">
        <v>3</v>
      </c>
      <c r="V542" s="11" t="n"/>
      <c r="W542" s="11" t="n"/>
      <c r="X542" s="11" t="n"/>
      <c r="Y542" s="11" t="n"/>
      <c r="Z542" s="11" t="n"/>
    </row>
    <row r="543">
      <c r="A543" s="61" t="inlineStr">
        <is>
          <t>4222</t>
        </is>
      </c>
      <c r="B543" s="61" t="inlineStr">
        <is>
          <t>A2</t>
        </is>
      </c>
      <c r="C543" s="20" t="n">
        <v>777</v>
      </c>
      <c r="D543" s="19" t="n">
        <v>1</v>
      </c>
      <c r="E543" s="19" t="n">
        <v>1</v>
      </c>
      <c r="F543" s="62" t="inlineStr">
        <is>
          <t>Market</t>
        </is>
      </c>
      <c r="G543" s="62" t="inlineStr">
        <is>
          <t>Occupied</t>
        </is>
      </c>
      <c r="H543" s="20" t="n">
        <v>1207</v>
      </c>
      <c r="I543" s="20" t="n">
        <v>1259</v>
      </c>
      <c r="J543" s="20" t="n">
        <v>1259</v>
      </c>
      <c r="K543" s="63" t="inlineStr">
        <is>
          <t>05/27/2026</t>
        </is>
      </c>
      <c r="L543" s="63" t="inlineStr">
        <is>
          <t>07/03/2027</t>
        </is>
      </c>
      <c r="M543" s="63" t="inlineStr">
        <is>
          <t>12/26/2023</t>
        </is>
      </c>
      <c r="O543" s="20" t="n">
        <v>1259</v>
      </c>
      <c r="P543" s="20" t="n">
        <v>35</v>
      </c>
      <c r="Q543" s="20" t="n"/>
      <c r="R543" s="20" t="n"/>
      <c r="S543" s="20" t="n"/>
      <c r="T543" s="20" t="n"/>
      <c r="U543" s="20" t="n">
        <v>3</v>
      </c>
      <c r="V543" s="20" t="n"/>
      <c r="W543" s="20" t="n"/>
      <c r="X543" s="20" t="n"/>
      <c r="Y543" s="20" t="n"/>
      <c r="Z543" s="20" t="n"/>
    </row>
    <row r="544">
      <c r="A544" s="64" t="inlineStr">
        <is>
          <t>4223</t>
        </is>
      </c>
      <c r="B544" s="64" t="inlineStr">
        <is>
          <t>A2</t>
        </is>
      </c>
      <c r="C544" s="11" t="n">
        <v>777</v>
      </c>
      <c r="D544" s="10" t="n">
        <v>1</v>
      </c>
      <c r="E544" s="10" t="n">
        <v>1</v>
      </c>
      <c r="F544" s="65" t="inlineStr">
        <is>
          <t>Market</t>
        </is>
      </c>
      <c r="G544" s="65" t="inlineStr">
        <is>
          <t>Occupied</t>
        </is>
      </c>
      <c r="H544" s="11" t="n">
        <v>1222</v>
      </c>
      <c r="I544" s="11" t="n">
        <v>1060</v>
      </c>
      <c r="J544" s="11" t="n">
        <v>1060</v>
      </c>
      <c r="K544" s="66" t="inlineStr">
        <is>
          <t>12/31/2025</t>
        </is>
      </c>
      <c r="L544" s="66" t="inlineStr">
        <is>
          <t>01/30/2027</t>
        </is>
      </c>
      <c r="M544" s="66" t="inlineStr">
        <is>
          <t>12/31/2025</t>
        </is>
      </c>
      <c r="O544" s="11" t="n">
        <v>1060</v>
      </c>
      <c r="P544" s="11" t="n">
        <v>35</v>
      </c>
      <c r="Q544" s="11" t="n"/>
      <c r="R544" s="11" t="n"/>
      <c r="S544" s="11" t="n"/>
      <c r="T544" s="11" t="n"/>
      <c r="U544" s="11" t="n">
        <v>3</v>
      </c>
      <c r="V544" s="11" t="n"/>
      <c r="W544" s="11" t="n"/>
      <c r="X544" s="11" t="n"/>
      <c r="Y544" s="11" t="n"/>
      <c r="Z544" s="11" t="n"/>
    </row>
    <row r="545">
      <c r="A545" s="61" t="inlineStr">
        <is>
          <t>4224</t>
        </is>
      </c>
      <c r="B545" s="61" t="inlineStr">
        <is>
          <t>A2</t>
        </is>
      </c>
      <c r="C545" s="20" t="n">
        <v>777</v>
      </c>
      <c r="D545" s="19" t="n">
        <v>1</v>
      </c>
      <c r="E545" s="19" t="n">
        <v>1</v>
      </c>
      <c r="F545" s="62" t="inlineStr">
        <is>
          <t>Market</t>
        </is>
      </c>
      <c r="G545" s="62" t="inlineStr">
        <is>
          <t>Occupied</t>
        </is>
      </c>
      <c r="H545" s="20" t="n">
        <v>1222</v>
      </c>
      <c r="I545" s="20" t="n">
        <v>1139</v>
      </c>
      <c r="J545" s="20" t="n">
        <v>1139</v>
      </c>
      <c r="K545" s="63" t="inlineStr">
        <is>
          <t>03/08/2026</t>
        </is>
      </c>
      <c r="L545" s="63" t="inlineStr">
        <is>
          <t>04/14/2027</t>
        </is>
      </c>
      <c r="M545" s="63" t="inlineStr">
        <is>
          <t>03/08/2026</t>
        </is>
      </c>
      <c r="O545" s="20" t="n">
        <v>1139</v>
      </c>
      <c r="P545" s="20" t="n">
        <v>35</v>
      </c>
      <c r="Q545" s="20" t="n"/>
      <c r="R545" s="20" t="n"/>
      <c r="S545" s="20" t="n"/>
      <c r="T545" s="20" t="n"/>
      <c r="U545" s="20" t="n">
        <v>3</v>
      </c>
      <c r="V545" s="20" t="n"/>
      <c r="W545" s="20" t="n"/>
      <c r="X545" s="20" t="n"/>
      <c r="Y545" s="20" t="n"/>
      <c r="Z545" s="20" t="n"/>
    </row>
    <row r="546">
      <c r="A546" s="64" t="inlineStr">
        <is>
          <t>4225</t>
        </is>
      </c>
      <c r="B546" s="64" t="inlineStr">
        <is>
          <t>A2</t>
        </is>
      </c>
      <c r="C546" s="11" t="n">
        <v>777</v>
      </c>
      <c r="D546" s="10" t="n">
        <v>1</v>
      </c>
      <c r="E546" s="10" t="n">
        <v>1</v>
      </c>
      <c r="F546" s="65" t="inlineStr">
        <is>
          <t>Market</t>
        </is>
      </c>
      <c r="G546" s="65" t="inlineStr">
        <is>
          <t>Occupied</t>
        </is>
      </c>
      <c r="H546" s="11" t="n">
        <v>1207</v>
      </c>
      <c r="I546" s="11" t="n">
        <v>1363</v>
      </c>
      <c r="J546" s="11" t="n">
        <v>1363</v>
      </c>
      <c r="K546" s="66" t="inlineStr">
        <is>
          <t>10/10/2025</t>
        </is>
      </c>
      <c r="L546" s="66" t="inlineStr">
        <is>
          <t>10/02/2026</t>
        </is>
      </c>
      <c r="M546" s="66" t="inlineStr">
        <is>
          <t>09/03/2023</t>
        </is>
      </c>
      <c r="O546" s="11" t="n">
        <v>1363</v>
      </c>
      <c r="P546" s="11" t="n"/>
      <c r="Q546" s="11" t="n"/>
      <c r="R546" s="11" t="n"/>
      <c r="S546" s="11" t="n"/>
      <c r="T546" s="11" t="n"/>
      <c r="U546" s="11" t="n">
        <v>1</v>
      </c>
      <c r="V546" s="11" t="n"/>
      <c r="W546" s="11" t="n"/>
      <c r="X546" s="11" t="n"/>
      <c r="Y546" s="11" t="n"/>
      <c r="Z546" s="11" t="n"/>
    </row>
    <row r="547">
      <c r="A547" s="61" t="inlineStr">
        <is>
          <t>4226</t>
        </is>
      </c>
      <c r="B547" s="61" t="inlineStr">
        <is>
          <t>A2</t>
        </is>
      </c>
      <c r="C547" s="20" t="n">
        <v>777</v>
      </c>
      <c r="D547" s="19" t="n">
        <v>1</v>
      </c>
      <c r="E547" s="19" t="n">
        <v>1</v>
      </c>
      <c r="F547" s="62" t="inlineStr">
        <is>
          <t>Market</t>
        </is>
      </c>
      <c r="G547" s="62" t="inlineStr">
        <is>
          <t>Vacant</t>
        </is>
      </c>
      <c r="H547" s="20" t="n">
        <v>1207</v>
      </c>
      <c r="I547" s="20" t="n">
        <v>0</v>
      </c>
      <c r="J547" s="20" t="n">
        <v>0</v>
      </c>
      <c r="K547" s="63" t="n"/>
      <c r="L547" s="63" t="n"/>
      <c r="M547" s="63" t="n"/>
      <c r="O547" s="20" t="n"/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  <c r="Z547" s="20" t="n"/>
    </row>
    <row r="548">
      <c r="A548" s="64" t="inlineStr">
        <is>
          <t>4227</t>
        </is>
      </c>
      <c r="B548" s="64" t="inlineStr">
        <is>
          <t>A2</t>
        </is>
      </c>
      <c r="C548" s="11" t="n">
        <v>777</v>
      </c>
      <c r="D548" s="10" t="n">
        <v>1</v>
      </c>
      <c r="E548" s="10" t="n">
        <v>1</v>
      </c>
      <c r="F548" s="65" t="inlineStr">
        <is>
          <t>Market</t>
        </is>
      </c>
      <c r="G548" s="65" t="inlineStr">
        <is>
          <t>Vacant</t>
        </is>
      </c>
      <c r="H548" s="11" t="n">
        <v>1262</v>
      </c>
      <c r="I548" s="11" t="n">
        <v>0</v>
      </c>
      <c r="J548" s="11" t="n">
        <v>0</v>
      </c>
      <c r="K548" s="66" t="n"/>
      <c r="L548" s="66" t="n"/>
      <c r="M548" s="66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61" t="inlineStr">
        <is>
          <t>4228</t>
        </is>
      </c>
      <c r="B549" s="61" t="inlineStr">
        <is>
          <t>A2</t>
        </is>
      </c>
      <c r="C549" s="20" t="n">
        <v>777</v>
      </c>
      <c r="D549" s="19" t="n">
        <v>1</v>
      </c>
      <c r="E549" s="19" t="n">
        <v>1</v>
      </c>
      <c r="F549" s="62" t="inlineStr">
        <is>
          <t>Market</t>
        </is>
      </c>
      <c r="G549" s="62" t="inlineStr">
        <is>
          <t>Vacant</t>
        </is>
      </c>
      <c r="H549" s="20" t="n">
        <v>1222</v>
      </c>
      <c r="I549" s="20" t="n">
        <v>0</v>
      </c>
      <c r="J549" s="20" t="n">
        <v>0</v>
      </c>
      <c r="K549" s="63" t="n"/>
      <c r="L549" s="63" t="n"/>
      <c r="M549" s="63" t="n"/>
      <c r="O549" s="20" t="n"/>
      <c r="P549" s="20" t="n"/>
      <c r="Q549" s="20" t="n"/>
      <c r="R549" s="20" t="n"/>
      <c r="S549" s="20" t="n"/>
      <c r="T549" s="20" t="n"/>
      <c r="U549" s="20" t="n"/>
      <c r="V549" s="20" t="n"/>
      <c r="W549" s="20" t="n"/>
      <c r="X549" s="20" t="n"/>
      <c r="Y549" s="20" t="n"/>
      <c r="Z549" s="20" t="n"/>
    </row>
    <row r="550">
      <c r="A550" s="64" t="inlineStr">
        <is>
          <t>4232</t>
        </is>
      </c>
      <c r="B550" s="64" t="inlineStr">
        <is>
          <t>A2</t>
        </is>
      </c>
      <c r="C550" s="11" t="n">
        <v>777</v>
      </c>
      <c r="D550" s="10" t="n">
        <v>1</v>
      </c>
      <c r="E550" s="10" t="n">
        <v>1</v>
      </c>
      <c r="F550" s="65" t="inlineStr">
        <is>
          <t>Market</t>
        </is>
      </c>
      <c r="G550" s="65" t="inlineStr">
        <is>
          <t>Occupied</t>
        </is>
      </c>
      <c r="H550" s="11" t="n">
        <v>1207</v>
      </c>
      <c r="I550" s="11" t="n">
        <v>1146</v>
      </c>
      <c r="J550" s="11" t="n">
        <v>1146</v>
      </c>
      <c r="K550" s="66" t="inlineStr">
        <is>
          <t>03/22/2026</t>
        </is>
      </c>
      <c r="L550" s="66" t="inlineStr">
        <is>
          <t>03/21/2027</t>
        </is>
      </c>
      <c r="M550" s="66" t="inlineStr">
        <is>
          <t>03/22/2026</t>
        </is>
      </c>
      <c r="O550" s="11" t="n">
        <v>1146</v>
      </c>
      <c r="P550" s="11" t="n">
        <v>35</v>
      </c>
      <c r="Q550" s="11" t="n"/>
      <c r="R550" s="11" t="n"/>
      <c r="S550" s="11" t="n"/>
      <c r="T550" s="11" t="n"/>
      <c r="U550" s="11" t="n">
        <v>3</v>
      </c>
      <c r="V550" s="11" t="n"/>
      <c r="W550" s="11" t="n"/>
      <c r="X550" s="11" t="n"/>
      <c r="Y550" s="11" t="n"/>
      <c r="Z550" s="11" t="n"/>
    </row>
    <row r="551">
      <c r="A551" s="61" t="inlineStr">
        <is>
          <t>4233</t>
        </is>
      </c>
      <c r="B551" s="61" t="inlineStr">
        <is>
          <t>A2</t>
        </is>
      </c>
      <c r="C551" s="20" t="n">
        <v>777</v>
      </c>
      <c r="D551" s="19" t="n">
        <v>1</v>
      </c>
      <c r="E551" s="19" t="n">
        <v>1</v>
      </c>
      <c r="F551" s="62" t="inlineStr">
        <is>
          <t>Market</t>
        </is>
      </c>
      <c r="G551" s="62" t="inlineStr">
        <is>
          <t>Occupied</t>
        </is>
      </c>
      <c r="H551" s="20" t="n">
        <v>1222</v>
      </c>
      <c r="I551" s="20" t="n">
        <v>1523</v>
      </c>
      <c r="J551" s="20" t="n">
        <v>1523</v>
      </c>
      <c r="K551" s="63" t="inlineStr">
        <is>
          <t>07/15/2025</t>
        </is>
      </c>
      <c r="L551" s="63" t="inlineStr">
        <is>
          <t>06/07/2026</t>
        </is>
      </c>
      <c r="M551" s="63" t="inlineStr">
        <is>
          <t>10/15/2016</t>
        </is>
      </c>
      <c r="O551" s="20" t="n">
        <v>1523</v>
      </c>
      <c r="P551" s="20" t="n"/>
      <c r="Q551" s="20" t="n"/>
      <c r="R551" s="20" t="n"/>
      <c r="S551" s="20" t="n"/>
      <c r="T551" s="20" t="n"/>
      <c r="U551" s="20" t="n">
        <v>1</v>
      </c>
      <c r="V551" s="20" t="n"/>
      <c r="W551" s="20" t="n"/>
      <c r="X551" s="20" t="n"/>
      <c r="Y551" s="20" t="n"/>
      <c r="Z551" s="20" t="n"/>
    </row>
    <row r="552">
      <c r="A552" s="64" t="inlineStr">
        <is>
          <t>4236</t>
        </is>
      </c>
      <c r="B552" s="64" t="inlineStr">
        <is>
          <t>A2</t>
        </is>
      </c>
      <c r="C552" s="11" t="n">
        <v>777</v>
      </c>
      <c r="D552" s="10" t="n">
        <v>1</v>
      </c>
      <c r="E552" s="10" t="n">
        <v>1</v>
      </c>
      <c r="F552" s="65" t="inlineStr">
        <is>
          <t>Market</t>
        </is>
      </c>
      <c r="G552" s="65" t="inlineStr">
        <is>
          <t>Occupied</t>
        </is>
      </c>
      <c r="H552" s="11" t="n">
        <v>1207</v>
      </c>
      <c r="I552" s="11" t="n">
        <v>1047</v>
      </c>
      <c r="J552" s="11" t="n">
        <v>1047</v>
      </c>
      <c r="K552" s="66" t="inlineStr">
        <is>
          <t>12/07/2025</t>
        </is>
      </c>
      <c r="L552" s="66" t="inlineStr">
        <is>
          <t>03/06/2027</t>
        </is>
      </c>
      <c r="M552" s="66" t="inlineStr">
        <is>
          <t>12/07/2025</t>
        </is>
      </c>
      <c r="O552" s="11" t="n">
        <v>1047</v>
      </c>
      <c r="P552" s="11" t="n"/>
      <c r="Q552" s="11" t="n"/>
      <c r="R552" s="11" t="n"/>
      <c r="S552" s="11" t="n"/>
      <c r="T552" s="11" t="n"/>
      <c r="U552" s="11" t="n">
        <v>3</v>
      </c>
      <c r="V552" s="11" t="n"/>
      <c r="W552" s="11" t="n"/>
      <c r="X552" s="11" t="n"/>
      <c r="Y552" s="11" t="n"/>
      <c r="Z552" s="11" t="n"/>
    </row>
    <row r="553">
      <c r="A553" s="61" t="inlineStr">
        <is>
          <t>4237</t>
        </is>
      </c>
      <c r="B553" s="61" t="inlineStr">
        <is>
          <t>A2</t>
        </is>
      </c>
      <c r="C553" s="20" t="n">
        <v>777</v>
      </c>
      <c r="D553" s="19" t="n">
        <v>1</v>
      </c>
      <c r="E553" s="19" t="n">
        <v>1</v>
      </c>
      <c r="F553" s="62" t="inlineStr">
        <is>
          <t>Market</t>
        </is>
      </c>
      <c r="G553" s="62" t="inlineStr">
        <is>
          <t>Vacant</t>
        </is>
      </c>
      <c r="H553" s="20" t="n">
        <v>1222</v>
      </c>
      <c r="I553" s="20" t="n">
        <v>0</v>
      </c>
      <c r="J553" s="20" t="n">
        <v>0</v>
      </c>
      <c r="K553" s="63" t="n"/>
      <c r="L553" s="63" t="n"/>
      <c r="M553" s="63" t="n"/>
      <c r="O553" s="20" t="n"/>
      <c r="P553" s="20" t="n"/>
      <c r="Q553" s="20" t="n"/>
      <c r="R553" s="20" t="n"/>
      <c r="S553" s="20" t="n"/>
      <c r="T553" s="20" t="n"/>
      <c r="U553" s="20" t="n"/>
      <c r="V553" s="20" t="n"/>
      <c r="W553" s="20" t="n"/>
      <c r="X553" s="20" t="n"/>
      <c r="Y553" s="20" t="n"/>
      <c r="Z553" s="20" t="n"/>
    </row>
    <row r="554">
      <c r="A554" s="64" t="inlineStr">
        <is>
          <t>4311</t>
        </is>
      </c>
      <c r="B554" s="64" t="inlineStr">
        <is>
          <t>B4.2</t>
        </is>
      </c>
      <c r="C554" s="11" t="n">
        <v>1184</v>
      </c>
      <c r="D554" s="10" t="n">
        <v>2</v>
      </c>
      <c r="E554" s="10" t="n">
        <v>2</v>
      </c>
      <c r="F554" s="65" t="inlineStr">
        <is>
          <t>Market</t>
        </is>
      </c>
      <c r="G554" s="65" t="inlineStr">
        <is>
          <t>Occupied</t>
        </is>
      </c>
      <c r="H554" s="11" t="n">
        <v>1826</v>
      </c>
      <c r="I554" s="11" t="n">
        <v>1796</v>
      </c>
      <c r="J554" s="11" t="n">
        <v>1796</v>
      </c>
      <c r="K554" s="66" t="inlineStr">
        <is>
          <t>07/27/2025</t>
        </is>
      </c>
      <c r="L554" s="66" t="inlineStr">
        <is>
          <t>10/26/2026</t>
        </is>
      </c>
      <c r="M554" s="66" t="inlineStr">
        <is>
          <t>02/27/2023</t>
        </is>
      </c>
      <c r="O554" s="11" t="n">
        <v>1796</v>
      </c>
      <c r="P554" s="11" t="n"/>
      <c r="Q554" s="11" t="n"/>
      <c r="R554" s="11" t="n"/>
      <c r="S554" s="11" t="n"/>
      <c r="T554" s="11" t="n"/>
      <c r="U554" s="11" t="n">
        <v>1</v>
      </c>
      <c r="V554" s="11" t="n"/>
      <c r="W554" s="11" t="n"/>
      <c r="X554" s="11" t="n"/>
      <c r="Y554" s="11" t="n"/>
      <c r="Z554" s="11" t="n"/>
    </row>
    <row r="555">
      <c r="A555" s="61" t="inlineStr">
        <is>
          <t>4312</t>
        </is>
      </c>
      <c r="B555" s="61" t="inlineStr">
        <is>
          <t>B4.2</t>
        </is>
      </c>
      <c r="C555" s="20" t="n">
        <v>1184</v>
      </c>
      <c r="D555" s="19" t="n">
        <v>2</v>
      </c>
      <c r="E555" s="19" t="n">
        <v>2</v>
      </c>
      <c r="F555" s="62" t="inlineStr">
        <is>
          <t>Market</t>
        </is>
      </c>
      <c r="G555" s="62" t="inlineStr">
        <is>
          <t>Occupied</t>
        </is>
      </c>
      <c r="H555" s="20" t="n">
        <v>1826</v>
      </c>
      <c r="I555" s="20" t="n">
        <v>1588</v>
      </c>
      <c r="J555" s="20" t="n">
        <v>1588</v>
      </c>
      <c r="K555" s="63" t="inlineStr">
        <is>
          <t>09/15/2025</t>
        </is>
      </c>
      <c r="L555" s="63" t="inlineStr">
        <is>
          <t>12/14/2026</t>
        </is>
      </c>
      <c r="M555" s="63" t="inlineStr">
        <is>
          <t>09/15/2025</t>
        </is>
      </c>
      <c r="O555" s="20" t="n">
        <v>1588</v>
      </c>
      <c r="P555" s="20" t="n"/>
      <c r="Q555" s="20" t="n"/>
      <c r="R555" s="20" t="n"/>
      <c r="S555" s="20" t="n"/>
      <c r="T555" s="20" t="n"/>
      <c r="U555" s="20" t="n">
        <v>1</v>
      </c>
      <c r="V555" s="20" t="n"/>
      <c r="W555" s="20" t="n"/>
      <c r="X555" s="20" t="n"/>
      <c r="Y555" s="20" t="n"/>
      <c r="Z555" s="20" t="n"/>
    </row>
    <row r="556">
      <c r="A556" s="64" t="inlineStr">
        <is>
          <t>4313</t>
        </is>
      </c>
      <c r="B556" s="64" t="inlineStr">
        <is>
          <t>B4.2</t>
        </is>
      </c>
      <c r="C556" s="11" t="n">
        <v>1184</v>
      </c>
      <c r="D556" s="10" t="n">
        <v>2</v>
      </c>
      <c r="E556" s="10" t="n">
        <v>2</v>
      </c>
      <c r="F556" s="65" t="inlineStr">
        <is>
          <t>Market</t>
        </is>
      </c>
      <c r="G556" s="65" t="inlineStr">
        <is>
          <t>Occupied</t>
        </is>
      </c>
      <c r="H556" s="11" t="n">
        <v>1826</v>
      </c>
      <c r="I556" s="11" t="n">
        <v>1850</v>
      </c>
      <c r="J556" s="11" t="n">
        <v>1850</v>
      </c>
      <c r="K556" s="66" t="inlineStr">
        <is>
          <t>04/22/2025</t>
        </is>
      </c>
      <c r="L556" s="66" t="inlineStr">
        <is>
          <t>05/28/2026</t>
        </is>
      </c>
      <c r="M556" s="66" t="inlineStr">
        <is>
          <t>04/22/2025</t>
        </is>
      </c>
      <c r="O556" s="11" t="n">
        <v>1850</v>
      </c>
      <c r="P556" s="11" t="n"/>
      <c r="Q556" s="11" t="n"/>
      <c r="R556" s="11" t="n"/>
      <c r="S556" s="11" t="n"/>
      <c r="T556" s="11" t="n"/>
      <c r="U556" s="11" t="n">
        <v>1</v>
      </c>
      <c r="V556" s="11" t="n"/>
      <c r="W556" s="11" t="n"/>
      <c r="X556" s="11" t="n"/>
      <c r="Y556" s="11" t="n"/>
      <c r="Z556" s="11" t="n"/>
    </row>
    <row r="557">
      <c r="A557" s="61" t="inlineStr">
        <is>
          <t>4314</t>
        </is>
      </c>
      <c r="B557" s="61" t="inlineStr">
        <is>
          <t>B4.2</t>
        </is>
      </c>
      <c r="C557" s="20" t="n">
        <v>1184</v>
      </c>
      <c r="D557" s="19" t="n">
        <v>2</v>
      </c>
      <c r="E557" s="19" t="n">
        <v>2</v>
      </c>
      <c r="F557" s="62" t="inlineStr">
        <is>
          <t>Market</t>
        </is>
      </c>
      <c r="G557" s="62" t="inlineStr">
        <is>
          <t>Occupied</t>
        </is>
      </c>
      <c r="H557" s="20" t="n">
        <v>1826</v>
      </c>
      <c r="I557" s="20" t="n">
        <v>1687</v>
      </c>
      <c r="J557" s="20" t="n">
        <v>1687</v>
      </c>
      <c r="K557" s="63" t="inlineStr">
        <is>
          <t>07/06/2025</t>
        </is>
      </c>
      <c r="L557" s="63" t="inlineStr">
        <is>
          <t>07/12/2026</t>
        </is>
      </c>
      <c r="M557" s="63" t="inlineStr">
        <is>
          <t>10/06/2017</t>
        </is>
      </c>
      <c r="O557" s="20" t="n">
        <v>1687</v>
      </c>
      <c r="P557" s="20" t="n"/>
      <c r="Q557" s="20" t="n"/>
      <c r="R557" s="20" t="n"/>
      <c r="S557" s="20" t="n"/>
      <c r="T557" s="20" t="n">
        <v>30</v>
      </c>
      <c r="U557" s="20" t="n">
        <v>1</v>
      </c>
      <c r="V557" s="20" t="n"/>
      <c r="W557" s="20" t="n"/>
      <c r="X557" s="20" t="n"/>
      <c r="Y557" s="20" t="n"/>
      <c r="Z557" s="20" t="n"/>
    </row>
    <row r="558">
      <c r="A558" s="64" t="inlineStr">
        <is>
          <t>4315</t>
        </is>
      </c>
      <c r="B558" s="64" t="inlineStr">
        <is>
          <t>B4.2</t>
        </is>
      </c>
      <c r="C558" s="11" t="n">
        <v>1184</v>
      </c>
      <c r="D558" s="10" t="n">
        <v>2</v>
      </c>
      <c r="E558" s="10" t="n">
        <v>2</v>
      </c>
      <c r="F558" s="65" t="inlineStr">
        <is>
          <t>Market</t>
        </is>
      </c>
      <c r="G558" s="65" t="inlineStr">
        <is>
          <t>Occupied</t>
        </is>
      </c>
      <c r="H558" s="11" t="n">
        <v>1826</v>
      </c>
      <c r="I558" s="11" t="n">
        <v>1628</v>
      </c>
      <c r="J558" s="11" t="n">
        <v>1628</v>
      </c>
      <c r="K558" s="66" t="inlineStr">
        <is>
          <t>01/24/2026</t>
        </is>
      </c>
      <c r="L558" s="66" t="inlineStr">
        <is>
          <t>04/23/2027</t>
        </is>
      </c>
      <c r="M558" s="66" t="inlineStr">
        <is>
          <t>01/24/2025</t>
        </is>
      </c>
      <c r="O558" s="11" t="n">
        <v>1628</v>
      </c>
      <c r="P558" s="11" t="n"/>
      <c r="Q558" s="11" t="n"/>
      <c r="R558" s="11" t="n"/>
      <c r="S558" s="11" t="n"/>
      <c r="T558" s="11" t="n"/>
      <c r="U558" s="11" t="n">
        <v>3</v>
      </c>
      <c r="V558" s="11" t="n"/>
      <c r="W558" s="11" t="n"/>
      <c r="X558" s="11" t="n"/>
      <c r="Y558" s="11" t="n"/>
      <c r="Z558" s="11" t="n"/>
    </row>
    <row r="559">
      <c r="A559" s="61" t="inlineStr">
        <is>
          <t>4511</t>
        </is>
      </c>
      <c r="B559" s="61" t="inlineStr">
        <is>
          <t>B4</t>
        </is>
      </c>
      <c r="C559" s="20" t="n">
        <v>1187</v>
      </c>
      <c r="D559" s="19" t="n">
        <v>2</v>
      </c>
      <c r="E559" s="19" t="n">
        <v>2</v>
      </c>
      <c r="F559" s="62" t="inlineStr">
        <is>
          <t>Market</t>
        </is>
      </c>
      <c r="G559" s="62" t="inlineStr">
        <is>
          <t>Occupied</t>
        </is>
      </c>
      <c r="H559" s="20" t="n">
        <v>1756</v>
      </c>
      <c r="I559" s="20" t="n">
        <v>1665</v>
      </c>
      <c r="J559" s="20" t="n">
        <v>1665</v>
      </c>
      <c r="K559" s="63" t="inlineStr">
        <is>
          <t>05/25/2025</t>
        </is>
      </c>
      <c r="L559" s="63" t="inlineStr">
        <is>
          <t>07/24/2026</t>
        </is>
      </c>
      <c r="M559" s="63" t="inlineStr">
        <is>
          <t>05/25/2025</t>
        </is>
      </c>
      <c r="O559" s="20" t="n">
        <v>1665</v>
      </c>
      <c r="P559" s="20" t="n"/>
      <c r="Q559" s="20" t="n"/>
      <c r="R559" s="20" t="n"/>
      <c r="S559" s="20" t="n"/>
      <c r="T559" s="20" t="n"/>
      <c r="U559" s="20" t="n">
        <v>1</v>
      </c>
      <c r="V559" s="20" t="n"/>
      <c r="W559" s="20" t="n"/>
      <c r="X559" s="20" t="n"/>
      <c r="Y559" s="20" t="n"/>
      <c r="Z559" s="20" t="n"/>
    </row>
    <row r="560">
      <c r="A560" s="64" t="inlineStr">
        <is>
          <t>4512</t>
        </is>
      </c>
      <c r="B560" s="64" t="inlineStr">
        <is>
          <t>B1</t>
        </is>
      </c>
      <c r="C560" s="11" t="n">
        <v>947</v>
      </c>
      <c r="D560" s="10" t="n">
        <v>2</v>
      </c>
      <c r="E560" s="10" t="n">
        <v>2</v>
      </c>
      <c r="F560" s="65" t="inlineStr">
        <is>
          <t>Market</t>
        </is>
      </c>
      <c r="G560" s="65" t="inlineStr">
        <is>
          <t>Occupied</t>
        </is>
      </c>
      <c r="H560" s="11" t="n">
        <v>1452</v>
      </c>
      <c r="I560" s="11" t="n">
        <v>1475</v>
      </c>
      <c r="J560" s="11" t="n">
        <v>1475</v>
      </c>
      <c r="K560" s="66" t="inlineStr">
        <is>
          <t>02/28/2026</t>
        </is>
      </c>
      <c r="L560" s="66" t="inlineStr">
        <is>
          <t>03/27/2027</t>
        </is>
      </c>
      <c r="M560" s="66" t="inlineStr">
        <is>
          <t>01/29/2024</t>
        </is>
      </c>
      <c r="O560" s="11" t="n">
        <v>1475</v>
      </c>
      <c r="P560" s="11" t="n">
        <v>35</v>
      </c>
      <c r="Q560" s="11" t="n"/>
      <c r="R560" s="11" t="n"/>
      <c r="S560" s="11" t="n"/>
      <c r="T560" s="11" t="n"/>
      <c r="U560" s="11" t="n">
        <v>3</v>
      </c>
      <c r="V560" s="11" t="n"/>
      <c r="W560" s="11" t="n"/>
      <c r="X560" s="11" t="n"/>
      <c r="Y560" s="11" t="n"/>
      <c r="Z560" s="11" t="n"/>
    </row>
    <row r="561">
      <c r="A561" s="61" t="inlineStr">
        <is>
          <t>4513</t>
        </is>
      </c>
      <c r="B561" s="61" t="inlineStr">
        <is>
          <t>B1</t>
        </is>
      </c>
      <c r="C561" s="20" t="n">
        <v>947</v>
      </c>
      <c r="D561" s="19" t="n">
        <v>2</v>
      </c>
      <c r="E561" s="19" t="n">
        <v>2</v>
      </c>
      <c r="F561" s="62" t="inlineStr">
        <is>
          <t>Market</t>
        </is>
      </c>
      <c r="G561" s="62" t="inlineStr">
        <is>
          <t>Occupied</t>
        </is>
      </c>
      <c r="H561" s="20" t="n">
        <v>1507</v>
      </c>
      <c r="I561" s="20" t="n">
        <v>1718</v>
      </c>
      <c r="J561" s="20" t="n">
        <v>1718</v>
      </c>
      <c r="K561" s="63" t="inlineStr">
        <is>
          <t>06/04/2025</t>
        </is>
      </c>
      <c r="L561" s="63" t="inlineStr">
        <is>
          <t>09/10/2026</t>
        </is>
      </c>
      <c r="M561" s="63" t="inlineStr">
        <is>
          <t>11/28/2020</t>
        </is>
      </c>
      <c r="O561" s="20" t="n">
        <v>1718</v>
      </c>
      <c r="P561" s="20" t="n"/>
      <c r="Q561" s="20" t="n"/>
      <c r="R561" s="20" t="n"/>
      <c r="S561" s="20" t="n"/>
      <c r="T561" s="20" t="n">
        <v>30</v>
      </c>
      <c r="U561" s="20" t="n">
        <v>1</v>
      </c>
      <c r="V561" s="20" t="n"/>
      <c r="W561" s="20" t="n"/>
      <c r="X561" s="20" t="n"/>
      <c r="Y561" s="20" t="n"/>
      <c r="Z561" s="20" t="n"/>
    </row>
    <row r="562">
      <c r="A562" s="64" t="inlineStr">
        <is>
          <t>4514</t>
        </is>
      </c>
      <c r="B562" s="64" t="inlineStr">
        <is>
          <t>B4</t>
        </is>
      </c>
      <c r="C562" s="11" t="n">
        <v>1187</v>
      </c>
      <c r="D562" s="10" t="n">
        <v>2</v>
      </c>
      <c r="E562" s="10" t="n">
        <v>2</v>
      </c>
      <c r="F562" s="65" t="inlineStr">
        <is>
          <t>Market</t>
        </is>
      </c>
      <c r="G562" s="65" t="inlineStr">
        <is>
          <t>Occupied</t>
        </is>
      </c>
      <c r="H562" s="11" t="n">
        <v>1731</v>
      </c>
      <c r="I562" s="11" t="n">
        <v>1675</v>
      </c>
      <c r="J562" s="11" t="n">
        <v>1675</v>
      </c>
      <c r="K562" s="66" t="inlineStr">
        <is>
          <t>05/01/2026</t>
        </is>
      </c>
      <c r="L562" s="66" t="inlineStr">
        <is>
          <t>04/07/2027</t>
        </is>
      </c>
      <c r="M562" s="66" t="inlineStr">
        <is>
          <t>09/03/2012</t>
        </is>
      </c>
      <c r="O562" s="11" t="n">
        <v>1675</v>
      </c>
      <c r="P562" s="11" t="n">
        <v>35</v>
      </c>
      <c r="Q562" s="11" t="n"/>
      <c r="R562" s="11" t="n"/>
      <c r="S562" s="11" t="n"/>
      <c r="T562" s="11" t="n"/>
      <c r="U562" s="11" t="n">
        <v>3</v>
      </c>
      <c r="V562" s="11" t="n"/>
      <c r="W562" s="11" t="n"/>
      <c r="X562" s="11" t="n"/>
      <c r="Y562" s="11" t="n"/>
      <c r="Z562" s="11" t="n"/>
    </row>
    <row r="563">
      <c r="A563" s="61" t="inlineStr">
        <is>
          <t>4515</t>
        </is>
      </c>
      <c r="B563" s="61" t="inlineStr">
        <is>
          <t>B4</t>
        </is>
      </c>
      <c r="C563" s="20" t="n">
        <v>1187</v>
      </c>
      <c r="D563" s="19" t="n">
        <v>2</v>
      </c>
      <c r="E563" s="19" t="n">
        <v>2</v>
      </c>
      <c r="F563" s="62" t="inlineStr">
        <is>
          <t>Market</t>
        </is>
      </c>
      <c r="G563" s="62" t="inlineStr">
        <is>
          <t>Vacant</t>
        </is>
      </c>
      <c r="H563" s="20" t="n">
        <v>1756</v>
      </c>
      <c r="I563" s="20" t="n">
        <v>0</v>
      </c>
      <c r="J563" s="20" t="n">
        <v>0</v>
      </c>
      <c r="K563" s="63" t="n"/>
      <c r="L563" s="63" t="n"/>
      <c r="M563" s="63" t="n"/>
      <c r="O563" s="20" t="n"/>
      <c r="P563" s="20" t="n"/>
      <c r="Q563" s="20" t="n"/>
      <c r="R563" s="20" t="n"/>
      <c r="S563" s="20" t="n"/>
      <c r="T563" s="20" t="n"/>
      <c r="U563" s="20" t="n"/>
      <c r="V563" s="20" t="n"/>
      <c r="W563" s="20" t="n"/>
      <c r="X563" s="20" t="n"/>
      <c r="Y563" s="20" t="n"/>
      <c r="Z563" s="20" t="n"/>
    </row>
    <row r="564">
      <c r="A564" s="64" t="inlineStr">
        <is>
          <t>4516</t>
        </is>
      </c>
      <c r="B564" s="64" t="inlineStr">
        <is>
          <t>B1</t>
        </is>
      </c>
      <c r="C564" s="11" t="n">
        <v>947</v>
      </c>
      <c r="D564" s="10" t="n">
        <v>2</v>
      </c>
      <c r="E564" s="10" t="n">
        <v>2</v>
      </c>
      <c r="F564" s="65" t="inlineStr">
        <is>
          <t>Market</t>
        </is>
      </c>
      <c r="G564" s="65" t="inlineStr">
        <is>
          <t>Occupied</t>
        </is>
      </c>
      <c r="H564" s="11" t="n">
        <v>1467</v>
      </c>
      <c r="I564" s="11" t="n">
        <v>1473</v>
      </c>
      <c r="J564" s="11" t="n">
        <v>1473</v>
      </c>
      <c r="K564" s="66" t="inlineStr">
        <is>
          <t>02/19/2026</t>
        </is>
      </c>
      <c r="L564" s="66" t="inlineStr">
        <is>
          <t>02/16/2027</t>
        </is>
      </c>
      <c r="M564" s="66" t="inlineStr">
        <is>
          <t>02/19/2026</t>
        </is>
      </c>
      <c r="O564" s="11" t="n">
        <v>1473</v>
      </c>
      <c r="P564" s="11" t="n">
        <v>35</v>
      </c>
      <c r="Q564" s="11" t="n"/>
      <c r="R564" s="11" t="n"/>
      <c r="S564" s="11" t="n"/>
      <c r="T564" s="11" t="n"/>
      <c r="U564" s="11" t="n">
        <v>3</v>
      </c>
      <c r="V564" s="11" t="n"/>
      <c r="W564" s="11" t="n"/>
      <c r="X564" s="11" t="n"/>
      <c r="Y564" s="11" t="n"/>
      <c r="Z564" s="11" t="n"/>
    </row>
    <row r="565">
      <c r="A565" s="61" t="inlineStr">
        <is>
          <t>4517</t>
        </is>
      </c>
      <c r="B565" s="61" t="inlineStr">
        <is>
          <t>B1</t>
        </is>
      </c>
      <c r="C565" s="20" t="n">
        <v>947</v>
      </c>
      <c r="D565" s="19" t="n">
        <v>2</v>
      </c>
      <c r="E565" s="19" t="n">
        <v>2</v>
      </c>
      <c r="F565" s="62" t="inlineStr">
        <is>
          <t>Market</t>
        </is>
      </c>
      <c r="G565" s="62" t="inlineStr">
        <is>
          <t>Occupied</t>
        </is>
      </c>
      <c r="H565" s="20" t="n">
        <v>1467</v>
      </c>
      <c r="I565" s="20" t="n">
        <v>1415</v>
      </c>
      <c r="J565" s="20" t="n">
        <v>1415</v>
      </c>
      <c r="K565" s="63" t="inlineStr">
        <is>
          <t>01/30/2026</t>
        </is>
      </c>
      <c r="L565" s="63" t="inlineStr">
        <is>
          <t>04/29/2027</t>
        </is>
      </c>
      <c r="M565" s="63" t="inlineStr">
        <is>
          <t>01/30/2026</t>
        </is>
      </c>
      <c r="O565" s="20" t="n">
        <v>1415</v>
      </c>
      <c r="P565" s="20" t="n">
        <v>35</v>
      </c>
      <c r="Q565" s="20" t="n"/>
      <c r="R565" s="20" t="n"/>
      <c r="S565" s="20" t="n"/>
      <c r="T565" s="20" t="n"/>
      <c r="U565" s="20" t="n">
        <v>3</v>
      </c>
      <c r="V565" s="20" t="n"/>
      <c r="W565" s="20" t="n"/>
      <c r="X565" s="20" t="n"/>
      <c r="Y565" s="20" t="n"/>
      <c r="Z565" s="20" t="n"/>
    </row>
    <row r="566">
      <c r="A566" s="64" t="inlineStr">
        <is>
          <t>4518</t>
        </is>
      </c>
      <c r="B566" s="64" t="inlineStr">
        <is>
          <t>B4</t>
        </is>
      </c>
      <c r="C566" s="11" t="n">
        <v>1187</v>
      </c>
      <c r="D566" s="10" t="n">
        <v>2</v>
      </c>
      <c r="E566" s="10" t="n">
        <v>2</v>
      </c>
      <c r="F566" s="65" t="inlineStr">
        <is>
          <t>Market</t>
        </is>
      </c>
      <c r="G566" s="65" t="inlineStr">
        <is>
          <t>Occupied</t>
        </is>
      </c>
      <c r="H566" s="11" t="n">
        <v>1781</v>
      </c>
      <c r="I566" s="11" t="n">
        <v>1464</v>
      </c>
      <c r="J566" s="11" t="n">
        <v>1464</v>
      </c>
      <c r="K566" s="66" t="inlineStr">
        <is>
          <t>11/30/2025</t>
        </is>
      </c>
      <c r="L566" s="66" t="inlineStr">
        <is>
          <t>01/29/2027</t>
        </is>
      </c>
      <c r="M566" s="66" t="inlineStr">
        <is>
          <t>11/30/2025</t>
        </is>
      </c>
      <c r="O566" s="11" t="n">
        <v>1464</v>
      </c>
      <c r="P566" s="11" t="n"/>
      <c r="Q566" s="11" t="n"/>
      <c r="R566" s="11" t="n"/>
      <c r="S566" s="11" t="n"/>
      <c r="T566" s="11" t="n"/>
      <c r="U566" s="11" t="n">
        <v>3</v>
      </c>
      <c r="V566" s="11" t="n"/>
      <c r="W566" s="11" t="n"/>
      <c r="X566" s="11" t="n"/>
      <c r="Y566" s="11" t="n"/>
      <c r="Z566" s="11" t="n"/>
    </row>
    <row r="567">
      <c r="A567" s="61" t="inlineStr">
        <is>
          <t>4521</t>
        </is>
      </c>
      <c r="B567" s="61" t="inlineStr">
        <is>
          <t>B4</t>
        </is>
      </c>
      <c r="C567" s="20" t="n">
        <v>1187</v>
      </c>
      <c r="D567" s="19" t="n">
        <v>2</v>
      </c>
      <c r="E567" s="19" t="n">
        <v>2</v>
      </c>
      <c r="F567" s="62" t="inlineStr">
        <is>
          <t>Market</t>
        </is>
      </c>
      <c r="G567" s="62" t="inlineStr">
        <is>
          <t>Occupied</t>
        </is>
      </c>
      <c r="H567" s="20" t="n">
        <v>1696</v>
      </c>
      <c r="I567" s="20" t="n">
        <v>1497</v>
      </c>
      <c r="J567" s="20" t="n">
        <v>1497</v>
      </c>
      <c r="K567" s="63" t="inlineStr">
        <is>
          <t>01/21/2026</t>
        </is>
      </c>
      <c r="L567" s="63" t="inlineStr">
        <is>
          <t>01/20/2027</t>
        </is>
      </c>
      <c r="M567" s="63" t="inlineStr">
        <is>
          <t>01/21/2026</t>
        </is>
      </c>
      <c r="O567" s="20" t="n">
        <v>1497</v>
      </c>
      <c r="P567" s="20" t="n">
        <v>35</v>
      </c>
      <c r="Q567" s="20" t="n"/>
      <c r="R567" s="20" t="n"/>
      <c r="S567" s="20" t="n"/>
      <c r="T567" s="20" t="n"/>
      <c r="U567" s="20" t="n">
        <v>3</v>
      </c>
      <c r="V567" s="20" t="n"/>
      <c r="W567" s="20" t="n"/>
      <c r="X567" s="20" t="n"/>
      <c r="Y567" s="20" t="n"/>
      <c r="Z567" s="20" t="n"/>
    </row>
    <row r="568">
      <c r="A568" s="64" t="inlineStr">
        <is>
          <t>4522</t>
        </is>
      </c>
      <c r="B568" s="64" t="inlineStr">
        <is>
          <t>B1</t>
        </is>
      </c>
      <c r="C568" s="11" t="n">
        <v>947</v>
      </c>
      <c r="D568" s="10" t="n">
        <v>2</v>
      </c>
      <c r="E568" s="10" t="n">
        <v>2</v>
      </c>
      <c r="F568" s="65" t="inlineStr">
        <is>
          <t>Market</t>
        </is>
      </c>
      <c r="G568" s="65" t="inlineStr">
        <is>
          <t>Occupied</t>
        </is>
      </c>
      <c r="H568" s="11" t="n">
        <v>1472</v>
      </c>
      <c r="I568" s="11" t="n">
        <v>1438</v>
      </c>
      <c r="J568" s="11" t="n">
        <v>1438</v>
      </c>
      <c r="K568" s="66" t="inlineStr">
        <is>
          <t>04/17/2026</t>
        </is>
      </c>
      <c r="L568" s="66" t="inlineStr">
        <is>
          <t>07/09/2027</t>
        </is>
      </c>
      <c r="M568" s="66" t="inlineStr">
        <is>
          <t>04/17/2026</t>
        </is>
      </c>
      <c r="O568" s="11" t="n">
        <v>1438</v>
      </c>
      <c r="P568" s="11" t="n">
        <v>35</v>
      </c>
      <c r="Q568" s="11" t="n"/>
      <c r="R568" s="11" t="n"/>
      <c r="S568" s="11" t="n"/>
      <c r="T568" s="11" t="n"/>
      <c r="U568" s="11" t="n">
        <v>3</v>
      </c>
      <c r="V568" s="11" t="n"/>
      <c r="W568" s="11" t="n"/>
      <c r="X568" s="11" t="n"/>
      <c r="Y568" s="11" t="n"/>
      <c r="Z568" s="11" t="n"/>
    </row>
    <row r="569">
      <c r="A569" s="61" t="inlineStr">
        <is>
          <t>4523</t>
        </is>
      </c>
      <c r="B569" s="61" t="inlineStr">
        <is>
          <t>B1</t>
        </is>
      </c>
      <c r="C569" s="20" t="n">
        <v>947</v>
      </c>
      <c r="D569" s="19" t="n">
        <v>2</v>
      </c>
      <c r="E569" s="19" t="n">
        <v>2</v>
      </c>
      <c r="F569" s="62" t="inlineStr">
        <is>
          <t>Market</t>
        </is>
      </c>
      <c r="G569" s="62" t="inlineStr">
        <is>
          <t>Occupied</t>
        </is>
      </c>
      <c r="H569" s="20" t="n">
        <v>1532</v>
      </c>
      <c r="I569" s="20" t="n">
        <v>1486</v>
      </c>
      <c r="J569" s="20" t="n">
        <v>1486</v>
      </c>
      <c r="K569" s="63" t="inlineStr">
        <is>
          <t>04/09/2026</t>
        </is>
      </c>
      <c r="L569" s="63" t="inlineStr">
        <is>
          <t>07/08/2027</t>
        </is>
      </c>
      <c r="M569" s="63" t="inlineStr">
        <is>
          <t>01/05/2025</t>
        </is>
      </c>
      <c r="O569" s="20" t="n">
        <v>1486</v>
      </c>
      <c r="P569" s="20" t="n">
        <v>35</v>
      </c>
      <c r="Q569" s="20" t="n"/>
      <c r="R569" s="20" t="n"/>
      <c r="S569" s="20" t="n"/>
      <c r="T569" s="20" t="n"/>
      <c r="U569" s="20" t="n">
        <v>3</v>
      </c>
      <c r="V569" s="20" t="n"/>
      <c r="W569" s="20" t="n"/>
      <c r="X569" s="20" t="n"/>
      <c r="Y569" s="20" t="n"/>
      <c r="Z569" s="20" t="n"/>
    </row>
    <row r="570">
      <c r="A570" s="64" t="inlineStr">
        <is>
          <t>4524</t>
        </is>
      </c>
      <c r="B570" s="64" t="inlineStr">
        <is>
          <t>B4</t>
        </is>
      </c>
      <c r="C570" s="11" t="n">
        <v>1187</v>
      </c>
      <c r="D570" s="10" t="n">
        <v>2</v>
      </c>
      <c r="E570" s="10" t="n">
        <v>2</v>
      </c>
      <c r="F570" s="65" t="inlineStr">
        <is>
          <t>Market</t>
        </is>
      </c>
      <c r="G570" s="65" t="inlineStr">
        <is>
          <t>Occupied</t>
        </is>
      </c>
      <c r="H570" s="11" t="n">
        <v>1711</v>
      </c>
      <c r="I570" s="11" t="n">
        <v>1550</v>
      </c>
      <c r="J570" s="11" t="n">
        <v>1550</v>
      </c>
      <c r="K570" s="66" t="inlineStr">
        <is>
          <t>04/12/2026</t>
        </is>
      </c>
      <c r="L570" s="66" t="inlineStr">
        <is>
          <t>07/11/2027</t>
        </is>
      </c>
      <c r="M570" s="66" t="inlineStr">
        <is>
          <t>04/12/2025</t>
        </is>
      </c>
      <c r="O570" s="11" t="n">
        <v>1550</v>
      </c>
      <c r="P570" s="11" t="n">
        <v>35</v>
      </c>
      <c r="Q570" s="11" t="n"/>
      <c r="R570" s="11" t="n"/>
      <c r="S570" s="11" t="n"/>
      <c r="T570" s="11" t="n"/>
      <c r="U570" s="11" t="n">
        <v>3</v>
      </c>
      <c r="V570" s="11" t="n"/>
      <c r="W570" s="11" t="n"/>
      <c r="X570" s="11" t="n"/>
      <c r="Y570" s="11" t="n"/>
      <c r="Z570" s="11" t="n"/>
    </row>
    <row r="571">
      <c r="A571" s="61" t="inlineStr">
        <is>
          <t>4525</t>
        </is>
      </c>
      <c r="B571" s="61" t="inlineStr">
        <is>
          <t>B4</t>
        </is>
      </c>
      <c r="C571" s="20" t="n">
        <v>1187</v>
      </c>
      <c r="D571" s="19" t="n">
        <v>2</v>
      </c>
      <c r="E571" s="19" t="n">
        <v>2</v>
      </c>
      <c r="F571" s="62" t="inlineStr">
        <is>
          <t>Market</t>
        </is>
      </c>
      <c r="G571" s="62" t="inlineStr">
        <is>
          <t>Occupied</t>
        </is>
      </c>
      <c r="H571" s="20" t="n">
        <v>1696</v>
      </c>
      <c r="I571" s="20" t="n">
        <v>1776</v>
      </c>
      <c r="J571" s="20" t="n">
        <v>1776</v>
      </c>
      <c r="K571" s="63" t="inlineStr">
        <is>
          <t>04/24/2026</t>
        </is>
      </c>
      <c r="L571" s="63" t="inlineStr">
        <is>
          <t>05/30/2027</t>
        </is>
      </c>
      <c r="M571" s="63" t="inlineStr">
        <is>
          <t>10/24/2023</t>
        </is>
      </c>
      <c r="O571" s="20" t="n">
        <v>1776</v>
      </c>
      <c r="P571" s="20" t="n">
        <v>35</v>
      </c>
      <c r="Q571" s="20" t="n"/>
      <c r="R571" s="20" t="n"/>
      <c r="S571" s="20" t="n"/>
      <c r="T571" s="20" t="n"/>
      <c r="U571" s="20" t="n">
        <v>3</v>
      </c>
      <c r="V571" s="20" t="n"/>
      <c r="W571" s="20" t="n"/>
      <c r="X571" s="20" t="n"/>
      <c r="Y571" s="20" t="n"/>
      <c r="Z571" s="20" t="n"/>
    </row>
    <row r="572">
      <c r="A572" s="64" t="inlineStr">
        <is>
          <t>4526</t>
        </is>
      </c>
      <c r="B572" s="64" t="inlineStr">
        <is>
          <t>B1</t>
        </is>
      </c>
      <c r="C572" s="11" t="n">
        <v>947</v>
      </c>
      <c r="D572" s="10" t="n">
        <v>2</v>
      </c>
      <c r="E572" s="10" t="n">
        <v>2</v>
      </c>
      <c r="F572" s="65" t="inlineStr">
        <is>
          <t>Market</t>
        </is>
      </c>
      <c r="G572" s="65" t="inlineStr">
        <is>
          <t>Occupied</t>
        </is>
      </c>
      <c r="H572" s="11" t="n">
        <v>1432</v>
      </c>
      <c r="I572" s="11" t="n">
        <v>1261</v>
      </c>
      <c r="J572" s="11" t="n">
        <v>1261</v>
      </c>
      <c r="K572" s="66" t="inlineStr">
        <is>
          <t>12/26/2025</t>
        </is>
      </c>
      <c r="L572" s="66" t="inlineStr">
        <is>
          <t>01/26/2027</t>
        </is>
      </c>
      <c r="M572" s="66" t="inlineStr">
        <is>
          <t>12/26/2025</t>
        </is>
      </c>
      <c r="O572" s="11" t="n">
        <v>1261</v>
      </c>
      <c r="P572" s="11" t="n">
        <v>35</v>
      </c>
      <c r="Q572" s="11" t="n"/>
      <c r="R572" s="11" t="n"/>
      <c r="S572" s="11" t="n"/>
      <c r="T572" s="11" t="n">
        <v>45</v>
      </c>
      <c r="U572" s="11" t="n">
        <v>3</v>
      </c>
      <c r="V572" s="11" t="n"/>
      <c r="W572" s="11" t="n"/>
      <c r="X572" s="11" t="n"/>
      <c r="Y572" s="11" t="n"/>
      <c r="Z572" s="11" t="n"/>
    </row>
    <row r="573">
      <c r="A573" s="61" t="inlineStr">
        <is>
          <t>4527</t>
        </is>
      </c>
      <c r="B573" s="61" t="inlineStr">
        <is>
          <t>B1</t>
        </is>
      </c>
      <c r="C573" s="20" t="n">
        <v>947</v>
      </c>
      <c r="D573" s="19" t="n">
        <v>2</v>
      </c>
      <c r="E573" s="19" t="n">
        <v>2</v>
      </c>
      <c r="F573" s="62" t="inlineStr">
        <is>
          <t>Market</t>
        </is>
      </c>
      <c r="G573" s="62" t="inlineStr">
        <is>
          <t>Occupied</t>
        </is>
      </c>
      <c r="H573" s="20" t="n">
        <v>1447</v>
      </c>
      <c r="I573" s="20" t="n">
        <v>1629</v>
      </c>
      <c r="J573" s="20" t="n">
        <v>1629</v>
      </c>
      <c r="K573" s="63" t="inlineStr">
        <is>
          <t>12/01/2025</t>
        </is>
      </c>
      <c r="L573" s="63" t="inlineStr">
        <is>
          <t>01/31/2027</t>
        </is>
      </c>
      <c r="M573" s="63" t="inlineStr">
        <is>
          <t>06/01/2023</t>
        </is>
      </c>
      <c r="O573" s="20" t="n">
        <v>1629</v>
      </c>
      <c r="P573" s="20" t="n"/>
      <c r="Q573" s="20" t="n"/>
      <c r="R573" s="20" t="n"/>
      <c r="S573" s="20" t="n"/>
      <c r="T573" s="20" t="n"/>
      <c r="U573" s="20" t="n">
        <v>1</v>
      </c>
      <c r="V573" s="20" t="n"/>
      <c r="W573" s="20" t="n"/>
      <c r="X573" s="20" t="n"/>
      <c r="Y573" s="20" t="n"/>
      <c r="Z573" s="20" t="n"/>
    </row>
    <row r="574">
      <c r="A574" s="64" t="inlineStr">
        <is>
          <t>4528</t>
        </is>
      </c>
      <c r="B574" s="64" t="inlineStr">
        <is>
          <t>B4</t>
        </is>
      </c>
      <c r="C574" s="11" t="n">
        <v>1187</v>
      </c>
      <c r="D574" s="10" t="n">
        <v>2</v>
      </c>
      <c r="E574" s="10" t="n">
        <v>2</v>
      </c>
      <c r="F574" s="65" t="inlineStr">
        <is>
          <t>Market</t>
        </is>
      </c>
      <c r="G574" s="65" t="inlineStr">
        <is>
          <t>Occupied</t>
        </is>
      </c>
      <c r="H574" s="11" t="n">
        <v>1711</v>
      </c>
      <c r="I574" s="11" t="n">
        <v>1602</v>
      </c>
      <c r="J574" s="11" t="n">
        <v>1602</v>
      </c>
      <c r="K574" s="66" t="inlineStr">
        <is>
          <t>05/15/2026</t>
        </is>
      </c>
      <c r="L574" s="66" t="inlineStr">
        <is>
          <t>08/14/2027</t>
        </is>
      </c>
      <c r="M574" s="66" t="inlineStr">
        <is>
          <t>02/15/2025</t>
        </is>
      </c>
      <c r="O574" s="11" t="n">
        <v>1602</v>
      </c>
      <c r="P574" s="11" t="n">
        <v>35</v>
      </c>
      <c r="Q574" s="11" t="n"/>
      <c r="R574" s="11" t="n"/>
      <c r="S574" s="11" t="n"/>
      <c r="T574" s="11" t="n"/>
      <c r="U574" s="11" t="n">
        <v>3</v>
      </c>
      <c r="V574" s="11" t="n"/>
      <c r="W574" s="11" t="n"/>
      <c r="X574" s="11" t="n"/>
      <c r="Y574" s="11" t="n"/>
      <c r="Z574" s="11" t="n"/>
    </row>
    <row r="575">
      <c r="A575" s="61" t="inlineStr">
        <is>
          <t>4532</t>
        </is>
      </c>
      <c r="B575" s="61" t="inlineStr">
        <is>
          <t>B1</t>
        </is>
      </c>
      <c r="C575" s="20" t="n">
        <v>947</v>
      </c>
      <c r="D575" s="19" t="n">
        <v>2</v>
      </c>
      <c r="E575" s="19" t="n">
        <v>2</v>
      </c>
      <c r="F575" s="62" t="inlineStr">
        <is>
          <t>Market</t>
        </is>
      </c>
      <c r="G575" s="62" t="inlineStr">
        <is>
          <t>Occupied</t>
        </is>
      </c>
      <c r="H575" s="20" t="n">
        <v>1432</v>
      </c>
      <c r="I575" s="20" t="n">
        <v>1574</v>
      </c>
      <c r="J575" s="20" t="n">
        <v>1574</v>
      </c>
      <c r="K575" s="63" t="inlineStr">
        <is>
          <t>04/04/2026</t>
        </is>
      </c>
      <c r="L575" s="63" t="inlineStr">
        <is>
          <t>05/10/2027</t>
        </is>
      </c>
      <c r="M575" s="63" t="inlineStr">
        <is>
          <t>01/04/2025</t>
        </is>
      </c>
      <c r="O575" s="20" t="n">
        <v>1574</v>
      </c>
      <c r="P575" s="20" t="n">
        <v>35</v>
      </c>
      <c r="Q575" s="20" t="n">
        <v>125</v>
      </c>
      <c r="R575" s="20" t="n"/>
      <c r="S575" s="20" t="n"/>
      <c r="T575" s="20" t="n"/>
      <c r="U575" s="20" t="n">
        <v>3</v>
      </c>
      <c r="V575" s="20" t="n"/>
      <c r="W575" s="20" t="n"/>
      <c r="X575" s="20" t="n"/>
      <c r="Y575" s="20" t="n"/>
      <c r="Z575" s="20" t="n"/>
    </row>
    <row r="576">
      <c r="A576" s="64" t="inlineStr">
        <is>
          <t>4533</t>
        </is>
      </c>
      <c r="B576" s="64" t="inlineStr">
        <is>
          <t>B1</t>
        </is>
      </c>
      <c r="C576" s="11" t="n">
        <v>947</v>
      </c>
      <c r="D576" s="10" t="n">
        <v>2</v>
      </c>
      <c r="E576" s="10" t="n">
        <v>2</v>
      </c>
      <c r="F576" s="65" t="inlineStr">
        <is>
          <t>Market</t>
        </is>
      </c>
      <c r="G576" s="65" t="inlineStr">
        <is>
          <t>Vacant</t>
        </is>
      </c>
      <c r="H576" s="11" t="n">
        <v>1447</v>
      </c>
      <c r="I576" s="11" t="n">
        <v>0</v>
      </c>
      <c r="J576" s="11" t="n">
        <v>0</v>
      </c>
      <c r="K576" s="66" t="n"/>
      <c r="L576" s="66" t="n"/>
      <c r="M576" s="66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61" t="inlineStr">
        <is>
          <t>4536</t>
        </is>
      </c>
      <c r="B577" s="61" t="inlineStr">
        <is>
          <t>B1</t>
        </is>
      </c>
      <c r="C577" s="20" t="n">
        <v>947</v>
      </c>
      <c r="D577" s="19" t="n">
        <v>2</v>
      </c>
      <c r="E577" s="19" t="n">
        <v>2</v>
      </c>
      <c r="F577" s="62" t="inlineStr">
        <is>
          <t>Market</t>
        </is>
      </c>
      <c r="G577" s="62" t="inlineStr">
        <is>
          <t>Occupied</t>
        </is>
      </c>
      <c r="H577" s="20" t="n">
        <v>1432</v>
      </c>
      <c r="I577" s="20" t="n">
        <v>1528</v>
      </c>
      <c r="J577" s="20" t="n">
        <v>1528</v>
      </c>
      <c r="K577" s="63" t="inlineStr">
        <is>
          <t>05/23/2026</t>
        </is>
      </c>
      <c r="L577" s="63" t="inlineStr">
        <is>
          <t>08/22/2027</t>
        </is>
      </c>
      <c r="M577" s="63" t="inlineStr">
        <is>
          <t>09/16/2022</t>
        </is>
      </c>
      <c r="O577" s="20" t="n">
        <v>1528</v>
      </c>
      <c r="P577" s="20" t="n">
        <v>35</v>
      </c>
      <c r="Q577" s="20" t="n"/>
      <c r="R577" s="20" t="n"/>
      <c r="S577" s="20" t="n"/>
      <c r="T577" s="20" t="n"/>
      <c r="U577" s="20" t="n">
        <v>3</v>
      </c>
      <c r="V577" s="20" t="n"/>
      <c r="W577" s="20" t="n"/>
      <c r="X577" s="20" t="n"/>
      <c r="Y577" s="20" t="n"/>
      <c r="Z577" s="20" t="n"/>
    </row>
    <row r="578">
      <c r="A578" s="64" t="inlineStr">
        <is>
          <t>4537</t>
        </is>
      </c>
      <c r="B578" s="64" t="inlineStr">
        <is>
          <t>B1</t>
        </is>
      </c>
      <c r="C578" s="11" t="n">
        <v>947</v>
      </c>
      <c r="D578" s="10" t="n">
        <v>2</v>
      </c>
      <c r="E578" s="10" t="n">
        <v>2</v>
      </c>
      <c r="F578" s="65" t="inlineStr">
        <is>
          <t>Market</t>
        </is>
      </c>
      <c r="G578" s="65" t="inlineStr">
        <is>
          <t>Occupied</t>
        </is>
      </c>
      <c r="H578" s="11" t="n">
        <v>1447</v>
      </c>
      <c r="I578" s="11" t="n">
        <v>1532</v>
      </c>
      <c r="J578" s="11" t="n">
        <v>1532</v>
      </c>
      <c r="K578" s="66" t="inlineStr">
        <is>
          <t>09/26/2025</t>
        </is>
      </c>
      <c r="L578" s="66" t="inlineStr">
        <is>
          <t>10/02/2026</t>
        </is>
      </c>
      <c r="M578" s="66" t="inlineStr">
        <is>
          <t>12/26/2023</t>
        </is>
      </c>
      <c r="O578" s="11" t="n">
        <v>1532</v>
      </c>
      <c r="P578" s="11" t="n"/>
      <c r="Q578" s="11" t="n">
        <v>100</v>
      </c>
      <c r="R578" s="11" t="n"/>
      <c r="S578" s="11" t="n"/>
      <c r="T578" s="11" t="n"/>
      <c r="U578" s="11" t="n">
        <v>1</v>
      </c>
      <c r="V578" s="11" t="n"/>
      <c r="W578" s="11" t="n"/>
      <c r="X578" s="11" t="n"/>
      <c r="Y578" s="11" t="n"/>
      <c r="Z578" s="11" t="n"/>
    </row>
    <row r="579">
      <c r="A579" s="61" t="inlineStr">
        <is>
          <t>4711</t>
        </is>
      </c>
      <c r="B579" s="61" t="inlineStr">
        <is>
          <t>B3</t>
        </is>
      </c>
      <c r="C579" s="20" t="n">
        <v>1173</v>
      </c>
      <c r="D579" s="19" t="n">
        <v>2</v>
      </c>
      <c r="E579" s="19" t="n">
        <v>2</v>
      </c>
      <c r="F579" s="62" t="inlineStr">
        <is>
          <t>Market</t>
        </is>
      </c>
      <c r="G579" s="62" t="inlineStr">
        <is>
          <t>Occupied</t>
        </is>
      </c>
      <c r="H579" s="20" t="n">
        <v>1816</v>
      </c>
      <c r="I579" s="20" t="n">
        <v>1659</v>
      </c>
      <c r="J579" s="20" t="n">
        <v>1659</v>
      </c>
      <c r="K579" s="63" t="inlineStr">
        <is>
          <t>02/01/2026</t>
        </is>
      </c>
      <c r="L579" s="63" t="inlineStr">
        <is>
          <t>04/30/2027</t>
        </is>
      </c>
      <c r="M579" s="63" t="inlineStr">
        <is>
          <t>02/01/2026</t>
        </is>
      </c>
      <c r="O579" s="20" t="n">
        <v>1659</v>
      </c>
      <c r="P579" s="20" t="n">
        <v>35</v>
      </c>
      <c r="Q579" s="20" t="n"/>
      <c r="R579" s="20" t="n"/>
      <c r="S579" s="20" t="n"/>
      <c r="T579" s="20" t="n"/>
      <c r="U579" s="20" t="n">
        <v>3</v>
      </c>
      <c r="V579" s="20" t="n"/>
      <c r="W579" s="20" t="n"/>
      <c r="X579" s="20" t="n"/>
      <c r="Y579" s="20" t="n"/>
      <c r="Z579" s="20" t="n"/>
    </row>
    <row r="580">
      <c r="A580" s="64" t="inlineStr">
        <is>
          <t>4712</t>
        </is>
      </c>
      <c r="B580" s="64" t="inlineStr">
        <is>
          <t>B3</t>
        </is>
      </c>
      <c r="C580" s="11" t="n">
        <v>1173</v>
      </c>
      <c r="D580" s="10" t="n">
        <v>2</v>
      </c>
      <c r="E580" s="10" t="n">
        <v>2</v>
      </c>
      <c r="F580" s="65" t="inlineStr">
        <is>
          <t>Market</t>
        </is>
      </c>
      <c r="G580" s="65" t="inlineStr">
        <is>
          <t>Occupied</t>
        </is>
      </c>
      <c r="H580" s="11" t="n">
        <v>1816</v>
      </c>
      <c r="I580" s="11" t="n">
        <v>1878</v>
      </c>
      <c r="J580" s="11" t="n">
        <v>1878</v>
      </c>
      <c r="K580" s="66" t="inlineStr">
        <is>
          <t>05/16/2026</t>
        </is>
      </c>
      <c r="L580" s="66" t="inlineStr">
        <is>
          <t>06/15/2027</t>
        </is>
      </c>
      <c r="M580" s="66" t="inlineStr">
        <is>
          <t>11/16/2023</t>
        </is>
      </c>
      <c r="O580" s="11" t="n">
        <v>1878</v>
      </c>
      <c r="P580" s="11" t="n">
        <v>35</v>
      </c>
      <c r="Q580" s="11" t="n"/>
      <c r="R580" s="11" t="n"/>
      <c r="S580" s="11" t="n">
        <v>-300</v>
      </c>
      <c r="T580" s="11" t="n"/>
      <c r="U580" s="11" t="n">
        <v>3</v>
      </c>
      <c r="V580" s="11" t="n"/>
      <c r="W580" s="11" t="n"/>
      <c r="X580" s="11" t="n"/>
      <c r="Y580" s="11" t="n"/>
      <c r="Z580" s="11" t="n"/>
    </row>
    <row r="581">
      <c r="A581" s="61" t="inlineStr">
        <is>
          <t>4713</t>
        </is>
      </c>
      <c r="B581" s="61" t="inlineStr">
        <is>
          <t>B3</t>
        </is>
      </c>
      <c r="C581" s="20" t="n">
        <v>1173</v>
      </c>
      <c r="D581" s="19" t="n">
        <v>2</v>
      </c>
      <c r="E581" s="19" t="n">
        <v>2</v>
      </c>
      <c r="F581" s="62" t="inlineStr">
        <is>
          <t>Market</t>
        </is>
      </c>
      <c r="G581" s="62" t="inlineStr">
        <is>
          <t>Occupied</t>
        </is>
      </c>
      <c r="H581" s="20" t="n">
        <v>1816</v>
      </c>
      <c r="I581" s="20" t="n">
        <v>1687</v>
      </c>
      <c r="J581" s="20" t="n">
        <v>1687</v>
      </c>
      <c r="K581" s="63" t="inlineStr">
        <is>
          <t>03/21/2026</t>
        </is>
      </c>
      <c r="L581" s="63" t="inlineStr">
        <is>
          <t>06/20/2027</t>
        </is>
      </c>
      <c r="M581" s="63" t="inlineStr">
        <is>
          <t>03/21/2025</t>
        </is>
      </c>
      <c r="O581" s="20" t="n">
        <v>1687</v>
      </c>
      <c r="P581" s="20" t="n">
        <v>35</v>
      </c>
      <c r="Q581" s="20" t="n"/>
      <c r="R581" s="20" t="n"/>
      <c r="S581" s="20" t="n"/>
      <c r="T581" s="20" t="n">
        <v>45</v>
      </c>
      <c r="U581" s="20" t="n">
        <v>3</v>
      </c>
      <c r="V581" s="20" t="n"/>
      <c r="W581" s="20" t="n"/>
      <c r="X581" s="20" t="n"/>
      <c r="Y581" s="20" t="n"/>
      <c r="Z581" s="20" t="n"/>
    </row>
    <row r="582">
      <c r="A582" s="64" t="inlineStr">
        <is>
          <t>4714</t>
        </is>
      </c>
      <c r="B582" s="64" t="inlineStr">
        <is>
          <t>B3</t>
        </is>
      </c>
      <c r="C582" s="11" t="n">
        <v>1173</v>
      </c>
      <c r="D582" s="10" t="n">
        <v>2</v>
      </c>
      <c r="E582" s="10" t="n">
        <v>2</v>
      </c>
      <c r="F582" s="65" t="inlineStr">
        <is>
          <t>Market</t>
        </is>
      </c>
      <c r="G582" s="65" t="inlineStr">
        <is>
          <t>Occupied</t>
        </is>
      </c>
      <c r="H582" s="11" t="n">
        <v>1816</v>
      </c>
      <c r="I582" s="11" t="n">
        <v>1791</v>
      </c>
      <c r="J582" s="11" t="n">
        <v>1791</v>
      </c>
      <c r="K582" s="66" t="inlineStr">
        <is>
          <t>05/23/2025</t>
        </is>
      </c>
      <c r="L582" s="66" t="inlineStr">
        <is>
          <t>08/22/2026</t>
        </is>
      </c>
      <c r="M582" s="66" t="inlineStr">
        <is>
          <t>05/23/2025</t>
        </is>
      </c>
      <c r="O582" s="11" t="n">
        <v>1791</v>
      </c>
      <c r="P582" s="11" t="n"/>
      <c r="Q582" s="11" t="n"/>
      <c r="R582" s="11" t="n"/>
      <c r="S582" s="11" t="n"/>
      <c r="T582" s="11" t="n"/>
      <c r="U582" s="11" t="n">
        <v>1</v>
      </c>
      <c r="V582" s="11" t="n"/>
      <c r="W582" s="11" t="n"/>
      <c r="X582" s="11" t="n"/>
      <c r="Y582" s="11" t="n"/>
      <c r="Z582" s="11" t="n"/>
    </row>
    <row r="583">
      <c r="A583" s="61" t="inlineStr">
        <is>
          <t>4715</t>
        </is>
      </c>
      <c r="B583" s="61" t="inlineStr">
        <is>
          <t>B3</t>
        </is>
      </c>
      <c r="C583" s="20" t="n">
        <v>1173</v>
      </c>
      <c r="D583" s="19" t="n">
        <v>2</v>
      </c>
      <c r="E583" s="19" t="n">
        <v>2</v>
      </c>
      <c r="F583" s="62" t="inlineStr">
        <is>
          <t>Market</t>
        </is>
      </c>
      <c r="G583" s="62" t="inlineStr">
        <is>
          <t>Vacant</t>
        </is>
      </c>
      <c r="H583" s="20" t="n">
        <v>1876</v>
      </c>
      <c r="I583" s="20" t="n">
        <v>0</v>
      </c>
      <c r="J583" s="20" t="n">
        <v>0</v>
      </c>
      <c r="K583" s="63" t="n"/>
      <c r="L583" s="63" t="n"/>
      <c r="M583" s="63" t="n"/>
      <c r="O583" s="20" t="n"/>
      <c r="P583" s="20" t="n"/>
      <c r="Q583" s="20" t="n"/>
      <c r="R583" s="20" t="n"/>
      <c r="S583" s="20" t="n"/>
      <c r="T583" s="20" t="n"/>
      <c r="U583" s="20" t="n"/>
      <c r="V583" s="20" t="n"/>
      <c r="W583" s="20" t="n"/>
      <c r="X583" s="20" t="n"/>
      <c r="Y583" s="20" t="n"/>
      <c r="Z583" s="20" t="n"/>
    </row>
    <row r="584">
      <c r="A584" s="64" t="inlineStr">
        <is>
          <t>4811</t>
        </is>
      </c>
      <c r="B584" s="64" t="inlineStr">
        <is>
          <t>B3</t>
        </is>
      </c>
      <c r="C584" s="11" t="n">
        <v>1173</v>
      </c>
      <c r="D584" s="10" t="n">
        <v>2</v>
      </c>
      <c r="E584" s="10" t="n">
        <v>2</v>
      </c>
      <c r="F584" s="65" t="inlineStr">
        <is>
          <t>Market</t>
        </is>
      </c>
      <c r="G584" s="65" t="inlineStr">
        <is>
          <t>Occupied</t>
        </is>
      </c>
      <c r="H584" s="11" t="n">
        <v>1876</v>
      </c>
      <c r="I584" s="11" t="n">
        <v>1543</v>
      </c>
      <c r="J584" s="11" t="n">
        <v>1543</v>
      </c>
      <c r="K584" s="66" t="inlineStr">
        <is>
          <t>02/09/2026</t>
        </is>
      </c>
      <c r="L584" s="66" t="inlineStr">
        <is>
          <t>05/08/2027</t>
        </is>
      </c>
      <c r="M584" s="66" t="inlineStr">
        <is>
          <t>02/09/2026</t>
        </is>
      </c>
      <c r="O584" s="11" t="n">
        <v>1543</v>
      </c>
      <c r="P584" s="11" t="n">
        <v>35</v>
      </c>
      <c r="Q584" s="11" t="n"/>
      <c r="R584" s="11" t="n"/>
      <c r="S584" s="11" t="n"/>
      <c r="T584" s="11" t="n">
        <v>45</v>
      </c>
      <c r="U584" s="11" t="n">
        <v>3</v>
      </c>
      <c r="V584" s="11" t="n"/>
      <c r="W584" s="11" t="n"/>
      <c r="X584" s="11" t="n"/>
      <c r="Y584" s="11" t="n"/>
      <c r="Z584" s="11" t="n"/>
    </row>
    <row r="585">
      <c r="A585" s="61" t="inlineStr">
        <is>
          <t>4812</t>
        </is>
      </c>
      <c r="B585" s="61" t="inlineStr">
        <is>
          <t>B3</t>
        </is>
      </c>
      <c r="C585" s="20" t="n">
        <v>1173</v>
      </c>
      <c r="D585" s="19" t="n">
        <v>2</v>
      </c>
      <c r="E585" s="19" t="n">
        <v>2</v>
      </c>
      <c r="F585" s="62" t="inlineStr">
        <is>
          <t>Market</t>
        </is>
      </c>
      <c r="G585" s="62" t="inlineStr">
        <is>
          <t>Occupied</t>
        </is>
      </c>
      <c r="H585" s="20" t="n">
        <v>1816</v>
      </c>
      <c r="I585" s="20" t="n">
        <v>1654</v>
      </c>
      <c r="J585" s="20" t="n">
        <v>1654</v>
      </c>
      <c r="K585" s="63" t="inlineStr">
        <is>
          <t>10/06/2025</t>
        </is>
      </c>
      <c r="L585" s="63" t="inlineStr">
        <is>
          <t>01/05/2027</t>
        </is>
      </c>
      <c r="M585" s="63" t="inlineStr">
        <is>
          <t>10/06/2025</t>
        </is>
      </c>
      <c r="O585" s="20" t="n">
        <v>1654</v>
      </c>
      <c r="P585" s="20" t="n"/>
      <c r="Q585" s="20" t="n"/>
      <c r="R585" s="20" t="n"/>
      <c r="S585" s="20" t="n"/>
      <c r="T585" s="20" t="n">
        <v>30</v>
      </c>
      <c r="U585" s="20" t="n">
        <v>1</v>
      </c>
      <c r="V585" s="20" t="n"/>
      <c r="W585" s="20" t="n"/>
      <c r="X585" s="20" t="n"/>
      <c r="Y585" s="20" t="n"/>
      <c r="Z585" s="20" t="n"/>
    </row>
    <row r="586">
      <c r="A586" s="64" t="inlineStr">
        <is>
          <t>4813</t>
        </is>
      </c>
      <c r="B586" s="64" t="inlineStr">
        <is>
          <t>B3</t>
        </is>
      </c>
      <c r="C586" s="11" t="n">
        <v>1173</v>
      </c>
      <c r="D586" s="10" t="n">
        <v>2</v>
      </c>
      <c r="E586" s="10" t="n">
        <v>2</v>
      </c>
      <c r="F586" s="65" t="inlineStr">
        <is>
          <t>Market</t>
        </is>
      </c>
      <c r="G586" s="65" t="inlineStr">
        <is>
          <t>Occupied</t>
        </is>
      </c>
      <c r="H586" s="11" t="n">
        <v>1816</v>
      </c>
      <c r="I586" s="11" t="n">
        <v>1617</v>
      </c>
      <c r="J586" s="11" t="n">
        <v>1617</v>
      </c>
      <c r="K586" s="66" t="inlineStr">
        <is>
          <t>03/31/2026</t>
        </is>
      </c>
      <c r="L586" s="66" t="inlineStr">
        <is>
          <t>06/29/2027</t>
        </is>
      </c>
      <c r="M586" s="66" t="inlineStr">
        <is>
          <t>03/31/2026</t>
        </is>
      </c>
      <c r="O586" s="11" t="n">
        <v>1617</v>
      </c>
      <c r="P586" s="11" t="n">
        <v>35</v>
      </c>
      <c r="Q586" s="11" t="n"/>
      <c r="R586" s="11" t="n"/>
      <c r="S586" s="11" t="n"/>
      <c r="T586" s="11" t="n">
        <v>45</v>
      </c>
      <c r="U586" s="11" t="n">
        <v>3</v>
      </c>
      <c r="V586" s="11" t="n"/>
      <c r="W586" s="11" t="n"/>
      <c r="X586" s="11" t="n"/>
      <c r="Y586" s="11" t="n"/>
      <c r="Z586" s="11" t="n"/>
    </row>
    <row r="587">
      <c r="A587" s="61" t="inlineStr">
        <is>
          <t>4814</t>
        </is>
      </c>
      <c r="B587" s="61" t="inlineStr">
        <is>
          <t>B3</t>
        </is>
      </c>
      <c r="C587" s="20" t="n">
        <v>1173</v>
      </c>
      <c r="D587" s="19" t="n">
        <v>2</v>
      </c>
      <c r="E587" s="19" t="n">
        <v>2</v>
      </c>
      <c r="F587" s="62" t="inlineStr">
        <is>
          <t>Market</t>
        </is>
      </c>
      <c r="G587" s="62" t="inlineStr">
        <is>
          <t>Occupied</t>
        </is>
      </c>
      <c r="H587" s="20" t="n">
        <v>1816</v>
      </c>
      <c r="I587" s="20" t="n">
        <v>1848</v>
      </c>
      <c r="J587" s="20" t="n">
        <v>1848</v>
      </c>
      <c r="K587" s="63" t="inlineStr">
        <is>
          <t>10/23/2025</t>
        </is>
      </c>
      <c r="L587" s="63" t="inlineStr">
        <is>
          <t>10/29/2026</t>
        </is>
      </c>
      <c r="M587" s="63" t="inlineStr">
        <is>
          <t>04/30/2023</t>
        </is>
      </c>
      <c r="O587" s="20" t="n">
        <v>1848</v>
      </c>
      <c r="P587" s="20" t="n"/>
      <c r="Q587" s="20" t="n"/>
      <c r="R587" s="20" t="n"/>
      <c r="S587" s="20" t="n"/>
      <c r="T587" s="20" t="n"/>
      <c r="U587" s="20" t="n">
        <v>1</v>
      </c>
      <c r="V587" s="20" t="n"/>
      <c r="W587" s="20" t="n"/>
      <c r="X587" s="20" t="n"/>
      <c r="Y587" s="20" t="n"/>
      <c r="Z587" s="20" t="n"/>
    </row>
    <row r="588">
      <c r="A588" s="64" t="inlineStr">
        <is>
          <t>4815</t>
        </is>
      </c>
      <c r="B588" s="64" t="inlineStr">
        <is>
          <t>B3</t>
        </is>
      </c>
      <c r="C588" s="11" t="n">
        <v>1173</v>
      </c>
      <c r="D588" s="10" t="n">
        <v>2</v>
      </c>
      <c r="E588" s="10" t="n">
        <v>2</v>
      </c>
      <c r="F588" s="65" t="inlineStr">
        <is>
          <t>Market</t>
        </is>
      </c>
      <c r="G588" s="65" t="inlineStr">
        <is>
          <t>Occupied</t>
        </is>
      </c>
      <c r="H588" s="11" t="n">
        <v>1816</v>
      </c>
      <c r="I588" s="11" t="n">
        <v>1682</v>
      </c>
      <c r="J588" s="11" t="n">
        <v>1682</v>
      </c>
      <c r="K588" s="66" t="inlineStr">
        <is>
          <t>03/22/2026</t>
        </is>
      </c>
      <c r="L588" s="66" t="inlineStr">
        <is>
          <t>04/21/2027</t>
        </is>
      </c>
      <c r="M588" s="66" t="inlineStr">
        <is>
          <t>03/01/2021</t>
        </is>
      </c>
      <c r="O588" s="11" t="n">
        <v>1682</v>
      </c>
      <c r="P588" s="11" t="n">
        <v>35</v>
      </c>
      <c r="Q588" s="11" t="n"/>
      <c r="R588" s="11" t="n"/>
      <c r="S588" s="11" t="n"/>
      <c r="T588" s="11" t="n">
        <v>30</v>
      </c>
      <c r="U588" s="11" t="n">
        <v>3</v>
      </c>
      <c r="V588" s="11" t="n"/>
      <c r="W588" s="11" t="n"/>
      <c r="X588" s="11" t="n"/>
      <c r="Y588" s="11" t="n"/>
      <c r="Z588" s="11" t="n"/>
    </row>
    <row r="589">
      <c r="A589" s="61" t="inlineStr">
        <is>
          <t>4911</t>
        </is>
      </c>
      <c r="B589" s="61" t="inlineStr">
        <is>
          <t>C1</t>
        </is>
      </c>
      <c r="C589" s="20" t="n">
        <v>1258</v>
      </c>
      <c r="D589" s="19" t="n">
        <v>3</v>
      </c>
      <c r="E589" s="19" t="n">
        <v>2</v>
      </c>
      <c r="F589" s="62" t="inlineStr">
        <is>
          <t>Market</t>
        </is>
      </c>
      <c r="G589" s="62" t="inlineStr">
        <is>
          <t>Occupied</t>
        </is>
      </c>
      <c r="H589" s="20" t="n">
        <v>1895</v>
      </c>
      <c r="I589" s="20" t="n">
        <v>1651</v>
      </c>
      <c r="J589" s="20" t="n">
        <v>1651</v>
      </c>
      <c r="K589" s="63" t="inlineStr">
        <is>
          <t>12/24/2025</t>
        </is>
      </c>
      <c r="L589" s="63" t="inlineStr">
        <is>
          <t>03/23/2027</t>
        </is>
      </c>
      <c r="M589" s="63" t="inlineStr">
        <is>
          <t>12/24/2025</t>
        </is>
      </c>
      <c r="O589" s="20" t="n">
        <v>1651</v>
      </c>
      <c r="P589" s="20" t="n">
        <v>35</v>
      </c>
      <c r="Q589" s="20" t="n"/>
      <c r="R589" s="20" t="n"/>
      <c r="S589" s="20" t="n"/>
      <c r="T589" s="20" t="n"/>
      <c r="U589" s="20" t="n">
        <v>3</v>
      </c>
      <c r="V589" s="20" t="n"/>
      <c r="W589" s="20" t="n"/>
      <c r="X589" s="20" t="n"/>
      <c r="Y589" s="20" t="n"/>
      <c r="Z589" s="20" t="n"/>
    </row>
    <row r="590">
      <c r="A590" s="64" t="inlineStr">
        <is>
          <t>4912</t>
        </is>
      </c>
      <c r="B590" s="64" t="inlineStr">
        <is>
          <t>A1</t>
        </is>
      </c>
      <c r="C590" s="11" t="n">
        <v>739</v>
      </c>
      <c r="D590" s="10" t="n">
        <v>1</v>
      </c>
      <c r="E590" s="10" t="n">
        <v>1</v>
      </c>
      <c r="F590" s="65" t="inlineStr">
        <is>
          <t>Market</t>
        </is>
      </c>
      <c r="G590" s="65" t="inlineStr">
        <is>
          <t>Occupied</t>
        </is>
      </c>
      <c r="H590" s="11" t="n">
        <v>1202</v>
      </c>
      <c r="I590" s="11" t="n">
        <v>1106</v>
      </c>
      <c r="J590" s="11" t="n">
        <v>1106</v>
      </c>
      <c r="K590" s="66" t="inlineStr">
        <is>
          <t>12/31/2025</t>
        </is>
      </c>
      <c r="L590" s="66" t="inlineStr">
        <is>
          <t>12/23/2026</t>
        </is>
      </c>
      <c r="M590" s="66" t="inlineStr">
        <is>
          <t>12/31/2025</t>
        </is>
      </c>
      <c r="O590" s="11" t="n">
        <v>1106</v>
      </c>
      <c r="P590" s="11" t="n">
        <v>35</v>
      </c>
      <c r="Q590" s="11" t="n"/>
      <c r="R590" s="11" t="n"/>
      <c r="S590" s="11" t="n"/>
      <c r="T590" s="11" t="n"/>
      <c r="U590" s="11" t="n">
        <v>3</v>
      </c>
      <c r="V590" s="11" t="n"/>
      <c r="W590" s="11" t="n"/>
      <c r="X590" s="11" t="n"/>
      <c r="Y590" s="11" t="n"/>
      <c r="Z590" s="11" t="n"/>
    </row>
    <row r="591">
      <c r="A591" s="61" t="inlineStr">
        <is>
          <t>4913</t>
        </is>
      </c>
      <c r="B591" s="61" t="inlineStr">
        <is>
          <t>A1</t>
        </is>
      </c>
      <c r="C591" s="20" t="n">
        <v>739</v>
      </c>
      <c r="D591" s="19" t="n">
        <v>1</v>
      </c>
      <c r="E591" s="19" t="n">
        <v>1</v>
      </c>
      <c r="F591" s="62" t="inlineStr">
        <is>
          <t>Market</t>
        </is>
      </c>
      <c r="G591" s="62" t="inlineStr">
        <is>
          <t>Occupied</t>
        </is>
      </c>
      <c r="H591" s="20" t="n">
        <v>1202</v>
      </c>
      <c r="I591" s="20" t="n">
        <v>1211</v>
      </c>
      <c r="J591" s="20" t="n">
        <v>1211</v>
      </c>
      <c r="K591" s="63" t="inlineStr">
        <is>
          <t>09/25/2025</t>
        </is>
      </c>
      <c r="L591" s="63" t="inlineStr">
        <is>
          <t>09/24/2026</t>
        </is>
      </c>
      <c r="M591" s="63" t="inlineStr">
        <is>
          <t>09/25/2025</t>
        </is>
      </c>
      <c r="O591" s="20" t="n">
        <v>1211</v>
      </c>
      <c r="P591" s="20" t="n"/>
      <c r="Q591" s="20" t="n"/>
      <c r="R591" s="20" t="n"/>
      <c r="S591" s="20" t="n"/>
      <c r="T591" s="20" t="n"/>
      <c r="U591" s="20" t="n">
        <v>1</v>
      </c>
      <c r="V591" s="20" t="n"/>
      <c r="W591" s="20" t="n"/>
      <c r="X591" s="20" t="n"/>
      <c r="Y591" s="20" t="n"/>
      <c r="Z591" s="20" t="n"/>
    </row>
    <row r="592">
      <c r="A592" s="64" t="inlineStr">
        <is>
          <t>4914</t>
        </is>
      </c>
      <c r="B592" s="64" t="inlineStr">
        <is>
          <t>C1</t>
        </is>
      </c>
      <c r="C592" s="11" t="n">
        <v>1258</v>
      </c>
      <c r="D592" s="10" t="n">
        <v>3</v>
      </c>
      <c r="E592" s="10" t="n">
        <v>2</v>
      </c>
      <c r="F592" s="65" t="inlineStr">
        <is>
          <t>Market</t>
        </is>
      </c>
      <c r="G592" s="65" t="inlineStr">
        <is>
          <t>Occupied</t>
        </is>
      </c>
      <c r="H592" s="11" t="n">
        <v>1995</v>
      </c>
      <c r="I592" s="11" t="n">
        <v>1787</v>
      </c>
      <c r="J592" s="11" t="n">
        <v>1787</v>
      </c>
      <c r="K592" s="66" t="inlineStr">
        <is>
          <t>11/25/2025</t>
        </is>
      </c>
      <c r="L592" s="66" t="inlineStr">
        <is>
          <t>02/17/2027</t>
        </is>
      </c>
      <c r="M592" s="66" t="inlineStr">
        <is>
          <t>11/25/2025</t>
        </is>
      </c>
      <c r="O592" s="11" t="n">
        <v>1787</v>
      </c>
      <c r="P592" s="11" t="n"/>
      <c r="Q592" s="11" t="n"/>
      <c r="R592" s="11" t="n"/>
      <c r="S592" s="11" t="n"/>
      <c r="T592" s="11" t="n"/>
      <c r="U592" s="11" t="n">
        <v>3</v>
      </c>
      <c r="V592" s="11" t="n"/>
      <c r="W592" s="11" t="n"/>
      <c r="X592" s="11" t="n"/>
      <c r="Y592" s="11" t="n"/>
      <c r="Z592" s="11" t="n"/>
    </row>
    <row r="593">
      <c r="A593" s="61" t="inlineStr">
        <is>
          <t>4915</t>
        </is>
      </c>
      <c r="B593" s="61" t="inlineStr">
        <is>
          <t>C1</t>
        </is>
      </c>
      <c r="C593" s="20" t="n">
        <v>1258</v>
      </c>
      <c r="D593" s="19" t="n">
        <v>3</v>
      </c>
      <c r="E593" s="19" t="n">
        <v>2</v>
      </c>
      <c r="F593" s="62" t="inlineStr">
        <is>
          <t>Market</t>
        </is>
      </c>
      <c r="G593" s="62" t="inlineStr">
        <is>
          <t>Occupied</t>
        </is>
      </c>
      <c r="H593" s="20" t="n">
        <v>1945</v>
      </c>
      <c r="I593" s="20" t="n">
        <v>1870</v>
      </c>
      <c r="J593" s="20" t="n">
        <v>1870</v>
      </c>
      <c r="K593" s="63" t="inlineStr">
        <is>
          <t>04/06/2025</t>
        </is>
      </c>
      <c r="L593" s="63" t="inlineStr">
        <is>
          <t>07/05/2026</t>
        </is>
      </c>
      <c r="M593" s="63" t="inlineStr">
        <is>
          <t>04/06/2025</t>
        </is>
      </c>
      <c r="O593" s="20" t="n">
        <v>1870</v>
      </c>
      <c r="P593" s="20" t="n"/>
      <c r="Q593" s="20" t="n"/>
      <c r="R593" s="20" t="n"/>
      <c r="S593" s="20" t="n"/>
      <c r="T593" s="20" t="n"/>
      <c r="U593" s="20" t="n">
        <v>1</v>
      </c>
      <c r="V593" s="20" t="n"/>
      <c r="W593" s="20" t="n"/>
      <c r="X593" s="20" t="n"/>
      <c r="Y593" s="20" t="n"/>
      <c r="Z593" s="20" t="n"/>
    </row>
    <row r="594">
      <c r="A594" s="64" t="inlineStr">
        <is>
          <t>4916</t>
        </is>
      </c>
      <c r="B594" s="64" t="inlineStr">
        <is>
          <t>A1</t>
        </is>
      </c>
      <c r="C594" s="11" t="n">
        <v>739</v>
      </c>
      <c r="D594" s="10" t="n">
        <v>1</v>
      </c>
      <c r="E594" s="10" t="n">
        <v>1</v>
      </c>
      <c r="F594" s="65" t="inlineStr">
        <is>
          <t>Market</t>
        </is>
      </c>
      <c r="G594" s="65" t="inlineStr">
        <is>
          <t>Occupied</t>
        </is>
      </c>
      <c r="H594" s="11" t="n">
        <v>1237</v>
      </c>
      <c r="I594" s="11" t="n">
        <v>1167</v>
      </c>
      <c r="J594" s="11" t="n">
        <v>1167</v>
      </c>
      <c r="K594" s="66" t="inlineStr">
        <is>
          <t>05/18/2026</t>
        </is>
      </c>
      <c r="L594" s="66" t="inlineStr">
        <is>
          <t>05/17/2027</t>
        </is>
      </c>
      <c r="M594" s="66" t="inlineStr">
        <is>
          <t>05/18/2026</t>
        </is>
      </c>
      <c r="O594" s="11" t="n">
        <v>1167</v>
      </c>
      <c r="P594" s="11" t="n">
        <v>35</v>
      </c>
      <c r="Q594" s="11" t="n"/>
      <c r="R594" s="11" t="n"/>
      <c r="S594" s="11" t="n"/>
      <c r="T594" s="11" t="n"/>
      <c r="U594" s="11" t="n">
        <v>3</v>
      </c>
      <c r="V594" s="11" t="n"/>
      <c r="W594" s="11" t="n"/>
      <c r="X594" s="11" t="n"/>
      <c r="Y594" s="11" t="n">
        <v>30</v>
      </c>
      <c r="Z594" s="11" t="n"/>
    </row>
    <row r="595">
      <c r="A595" s="61" t="inlineStr">
        <is>
          <t>4917</t>
        </is>
      </c>
      <c r="B595" s="61" t="inlineStr">
        <is>
          <t>A1</t>
        </is>
      </c>
      <c r="C595" s="20" t="n">
        <v>739</v>
      </c>
      <c r="D595" s="19" t="n">
        <v>1</v>
      </c>
      <c r="E595" s="19" t="n">
        <v>1</v>
      </c>
      <c r="F595" s="62" t="inlineStr">
        <is>
          <t>Market</t>
        </is>
      </c>
      <c r="G595" s="62" t="inlineStr">
        <is>
          <t>Vacant</t>
        </is>
      </c>
      <c r="H595" s="20" t="n">
        <v>1242</v>
      </c>
      <c r="I595" s="20" t="n">
        <v>0</v>
      </c>
      <c r="J595" s="20" t="n">
        <v>0</v>
      </c>
      <c r="K595" s="63" t="n"/>
      <c r="L595" s="63" t="n"/>
      <c r="M595" s="63" t="n"/>
      <c r="O595" s="20" t="n"/>
      <c r="P595" s="20" t="n"/>
      <c r="Q595" s="20" t="n"/>
      <c r="R595" s="20" t="n"/>
      <c r="S595" s="20" t="n"/>
      <c r="T595" s="20" t="n"/>
      <c r="U595" s="20" t="n"/>
      <c r="V595" s="20" t="n"/>
      <c r="W595" s="20" t="n"/>
      <c r="X595" s="20" t="n"/>
      <c r="Y595" s="20" t="n"/>
      <c r="Z595" s="20" t="n"/>
    </row>
    <row r="596">
      <c r="A596" s="64" t="inlineStr">
        <is>
          <t>4918</t>
        </is>
      </c>
      <c r="B596" s="64" t="inlineStr">
        <is>
          <t>C1</t>
        </is>
      </c>
      <c r="C596" s="11" t="n">
        <v>1258</v>
      </c>
      <c r="D596" s="10" t="n">
        <v>3</v>
      </c>
      <c r="E596" s="10" t="n">
        <v>2</v>
      </c>
      <c r="F596" s="65" t="inlineStr">
        <is>
          <t>Market</t>
        </is>
      </c>
      <c r="G596" s="65" t="inlineStr">
        <is>
          <t>Occupied</t>
        </is>
      </c>
      <c r="H596" s="11" t="n">
        <v>1910</v>
      </c>
      <c r="I596" s="11" t="n">
        <v>1803</v>
      </c>
      <c r="J596" s="11" t="n">
        <v>1803</v>
      </c>
      <c r="K596" s="66" t="inlineStr">
        <is>
          <t>03/21/2026</t>
        </is>
      </c>
      <c r="L596" s="66" t="inlineStr">
        <is>
          <t>04/20/2027</t>
        </is>
      </c>
      <c r="M596" s="66" t="inlineStr">
        <is>
          <t>01/21/2025</t>
        </is>
      </c>
      <c r="O596" s="11" t="n">
        <v>1803</v>
      </c>
      <c r="P596" s="11" t="n">
        <v>35</v>
      </c>
      <c r="Q596" s="11" t="n">
        <v>75</v>
      </c>
      <c r="R596" s="11" t="n"/>
      <c r="S596" s="11" t="n"/>
      <c r="T596" s="11" t="n"/>
      <c r="U596" s="11" t="n">
        <v>3</v>
      </c>
      <c r="V596" s="11" t="n"/>
      <c r="W596" s="11" t="n"/>
      <c r="X596" s="11" t="n"/>
      <c r="Y596" s="11" t="n"/>
      <c r="Z596" s="11" t="n"/>
    </row>
    <row r="597">
      <c r="A597" s="61" t="inlineStr">
        <is>
          <t>4921</t>
        </is>
      </c>
      <c r="B597" s="61" t="inlineStr">
        <is>
          <t>C1</t>
        </is>
      </c>
      <c r="C597" s="20" t="n">
        <v>1258</v>
      </c>
      <c r="D597" s="19" t="n">
        <v>3</v>
      </c>
      <c r="E597" s="19" t="n">
        <v>2</v>
      </c>
      <c r="F597" s="62" t="inlineStr">
        <is>
          <t>Market</t>
        </is>
      </c>
      <c r="G597" s="62" t="inlineStr">
        <is>
          <t>Occupied</t>
        </is>
      </c>
      <c r="H597" s="20" t="n">
        <v>1875</v>
      </c>
      <c r="I597" s="20" t="n">
        <v>1753</v>
      </c>
      <c r="J597" s="20" t="n">
        <v>1753</v>
      </c>
      <c r="K597" s="63" t="inlineStr">
        <is>
          <t>06/22/2025</t>
        </is>
      </c>
      <c r="L597" s="63" t="inlineStr">
        <is>
          <t>09/21/2026</t>
        </is>
      </c>
      <c r="M597" s="63" t="inlineStr">
        <is>
          <t>03/15/2024</t>
        </is>
      </c>
      <c r="O597" s="20" t="n">
        <v>1753</v>
      </c>
      <c r="P597" s="20" t="n"/>
      <c r="Q597" s="20" t="n"/>
      <c r="R597" s="20" t="n"/>
      <c r="S597" s="20" t="n"/>
      <c r="T597" s="20" t="n"/>
      <c r="U597" s="20" t="n">
        <v>1</v>
      </c>
      <c r="V597" s="20" t="n"/>
      <c r="W597" s="20" t="n"/>
      <c r="X597" s="20" t="n"/>
      <c r="Y597" s="20" t="n"/>
      <c r="Z597" s="20" t="n"/>
    </row>
    <row r="598">
      <c r="A598" s="64" t="inlineStr">
        <is>
          <t>4922</t>
        </is>
      </c>
      <c r="B598" s="64" t="inlineStr">
        <is>
          <t>A1</t>
        </is>
      </c>
      <c r="C598" s="11" t="n">
        <v>739</v>
      </c>
      <c r="D598" s="10" t="n">
        <v>1</v>
      </c>
      <c r="E598" s="10" t="n">
        <v>1</v>
      </c>
      <c r="F598" s="65" t="inlineStr">
        <is>
          <t>Market</t>
        </is>
      </c>
      <c r="G598" s="65" t="inlineStr">
        <is>
          <t>Occupied</t>
        </is>
      </c>
      <c r="H598" s="11" t="n">
        <v>1242</v>
      </c>
      <c r="I598" s="11" t="n">
        <v>1079</v>
      </c>
      <c r="J598" s="11" t="n">
        <v>1079</v>
      </c>
      <c r="K598" s="66" t="inlineStr">
        <is>
          <t>12/20/2025</t>
        </is>
      </c>
      <c r="L598" s="66" t="inlineStr">
        <is>
          <t>03/19/2027</t>
        </is>
      </c>
      <c r="M598" s="66" t="inlineStr">
        <is>
          <t>12/20/2025</t>
        </is>
      </c>
      <c r="O598" s="11" t="n">
        <v>1079</v>
      </c>
      <c r="P598" s="11" t="n">
        <v>35</v>
      </c>
      <c r="Q598" s="11" t="n"/>
      <c r="R598" s="11" t="n"/>
      <c r="S598" s="11" t="n"/>
      <c r="T598" s="11" t="n"/>
      <c r="U598" s="11" t="n">
        <v>3</v>
      </c>
      <c r="V598" s="11" t="n"/>
      <c r="W598" s="11" t="n"/>
      <c r="X598" s="11" t="n"/>
      <c r="Y598" s="11" t="n"/>
      <c r="Z598" s="11" t="n"/>
    </row>
    <row r="599">
      <c r="A599" s="61" t="inlineStr">
        <is>
          <t>4923</t>
        </is>
      </c>
      <c r="B599" s="61" t="inlineStr">
        <is>
          <t>A1</t>
        </is>
      </c>
      <c r="C599" s="20" t="n">
        <v>739</v>
      </c>
      <c r="D599" s="19" t="n">
        <v>1</v>
      </c>
      <c r="E599" s="19" t="n">
        <v>1</v>
      </c>
      <c r="F599" s="62" t="inlineStr">
        <is>
          <t>Market</t>
        </is>
      </c>
      <c r="G599" s="62" t="inlineStr">
        <is>
          <t>Occupied</t>
        </is>
      </c>
      <c r="H599" s="20" t="n">
        <v>1267</v>
      </c>
      <c r="I599" s="20" t="n">
        <v>1086</v>
      </c>
      <c r="J599" s="20" t="n">
        <v>1086</v>
      </c>
      <c r="K599" s="63" t="inlineStr">
        <is>
          <t>12/18/2025</t>
        </is>
      </c>
      <c r="L599" s="63" t="inlineStr">
        <is>
          <t>12/31/2026</t>
        </is>
      </c>
      <c r="M599" s="63" t="inlineStr">
        <is>
          <t>08/01/2025</t>
        </is>
      </c>
      <c r="O599" s="20" t="n">
        <v>1086</v>
      </c>
      <c r="P599" s="20" t="n">
        <v>35</v>
      </c>
      <c r="Q599" s="20" t="n"/>
      <c r="R599" s="20" t="n">
        <v>-217.2</v>
      </c>
      <c r="S599" s="20" t="n"/>
      <c r="T599" s="20" t="n"/>
      <c r="U599" s="20" t="n">
        <v>1</v>
      </c>
      <c r="V599" s="20" t="n"/>
      <c r="W599" s="20" t="n"/>
      <c r="X599" s="20" t="n"/>
      <c r="Y599" s="20" t="n"/>
      <c r="Z599" s="20" t="n"/>
    </row>
    <row r="600">
      <c r="A600" s="64" t="inlineStr">
        <is>
          <t>4924</t>
        </is>
      </c>
      <c r="B600" s="64" t="inlineStr">
        <is>
          <t>C1</t>
        </is>
      </c>
      <c r="C600" s="11" t="n">
        <v>1258</v>
      </c>
      <c r="D600" s="10" t="n">
        <v>3</v>
      </c>
      <c r="E600" s="10" t="n">
        <v>2</v>
      </c>
      <c r="F600" s="65" t="inlineStr">
        <is>
          <t>Market</t>
        </is>
      </c>
      <c r="G600" s="65" t="inlineStr">
        <is>
          <t>Occupied</t>
        </is>
      </c>
      <c r="H600" s="11" t="n">
        <v>1890</v>
      </c>
      <c r="I600" s="11" t="n">
        <v>1707</v>
      </c>
      <c r="J600" s="11" t="n">
        <v>1707</v>
      </c>
      <c r="K600" s="66" t="inlineStr">
        <is>
          <t>03/24/2026</t>
        </is>
      </c>
      <c r="L600" s="66" t="inlineStr">
        <is>
          <t>03/23/2027</t>
        </is>
      </c>
      <c r="M600" s="66" t="inlineStr">
        <is>
          <t>03/24/2026</t>
        </is>
      </c>
      <c r="O600" s="11" t="n">
        <v>1707</v>
      </c>
      <c r="P600" s="11" t="n">
        <v>35</v>
      </c>
      <c r="Q600" s="11" t="n">
        <v>75</v>
      </c>
      <c r="R600" s="11" t="n"/>
      <c r="S600" s="11" t="n"/>
      <c r="T600" s="11" t="n"/>
      <c r="U600" s="11" t="n">
        <v>3</v>
      </c>
      <c r="V600" s="11" t="n"/>
      <c r="W600" s="11" t="n"/>
      <c r="X600" s="11" t="n"/>
      <c r="Y600" s="11" t="n"/>
      <c r="Z600" s="11" t="n"/>
    </row>
    <row r="601">
      <c r="A601" s="61" t="inlineStr">
        <is>
          <t>4925</t>
        </is>
      </c>
      <c r="B601" s="61" t="inlineStr">
        <is>
          <t>C1</t>
        </is>
      </c>
      <c r="C601" s="20" t="n">
        <v>1258</v>
      </c>
      <c r="D601" s="19" t="n">
        <v>3</v>
      </c>
      <c r="E601" s="19" t="n">
        <v>2</v>
      </c>
      <c r="F601" s="62" t="inlineStr">
        <is>
          <t>Market</t>
        </is>
      </c>
      <c r="G601" s="62" t="inlineStr">
        <is>
          <t>Occupied</t>
        </is>
      </c>
      <c r="H601" s="20" t="n">
        <v>1875</v>
      </c>
      <c r="I601" s="20" t="n">
        <v>1704</v>
      </c>
      <c r="J601" s="20" t="n">
        <v>1704</v>
      </c>
      <c r="K601" s="63" t="inlineStr">
        <is>
          <t>03/08/2025</t>
        </is>
      </c>
      <c r="L601" s="63" t="inlineStr">
        <is>
          <t>06/07/2026</t>
        </is>
      </c>
      <c r="M601" s="63" t="inlineStr">
        <is>
          <t>03/08/2025</t>
        </is>
      </c>
      <c r="O601" s="20" t="n">
        <v>1704</v>
      </c>
      <c r="P601" s="20" t="n"/>
      <c r="Q601" s="20" t="n"/>
      <c r="R601" s="20" t="n"/>
      <c r="S601" s="20" t="n"/>
      <c r="T601" s="20" t="n"/>
      <c r="U601" s="20" t="n">
        <v>1</v>
      </c>
      <c r="V601" s="20" t="n"/>
      <c r="W601" s="20" t="n"/>
      <c r="X601" s="20" t="n"/>
      <c r="Y601" s="20" t="n"/>
      <c r="Z601" s="20" t="n"/>
    </row>
    <row r="602">
      <c r="A602" s="64" t="inlineStr">
        <is>
          <t>4926</t>
        </is>
      </c>
      <c r="B602" s="64" t="inlineStr">
        <is>
          <t>A1</t>
        </is>
      </c>
      <c r="C602" s="11" t="n">
        <v>739</v>
      </c>
      <c r="D602" s="10" t="n">
        <v>1</v>
      </c>
      <c r="E602" s="10" t="n">
        <v>1</v>
      </c>
      <c r="F602" s="65" t="inlineStr">
        <is>
          <t>Market</t>
        </is>
      </c>
      <c r="G602" s="65" t="inlineStr">
        <is>
          <t>Occupied</t>
        </is>
      </c>
      <c r="H602" s="11" t="n">
        <v>1167</v>
      </c>
      <c r="I602" s="11" t="n">
        <v>1188</v>
      </c>
      <c r="J602" s="11" t="n">
        <v>1188</v>
      </c>
      <c r="K602" s="66" t="inlineStr">
        <is>
          <t>09/27/2025</t>
        </is>
      </c>
      <c r="L602" s="66" t="inlineStr">
        <is>
          <t>10/26/2026</t>
        </is>
      </c>
      <c r="M602" s="66" t="inlineStr">
        <is>
          <t>09/27/2025</t>
        </is>
      </c>
      <c r="O602" s="11" t="n">
        <v>1188</v>
      </c>
      <c r="P602" s="11" t="n"/>
      <c r="Q602" s="11" t="n"/>
      <c r="R602" s="11" t="n"/>
      <c r="S602" s="11" t="n"/>
      <c r="T602" s="11" t="n"/>
      <c r="U602" s="11" t="n">
        <v>1</v>
      </c>
      <c r="V602" s="11" t="n"/>
      <c r="W602" s="11" t="n"/>
      <c r="X602" s="11" t="n"/>
      <c r="Y602" s="11" t="n"/>
      <c r="Z602" s="11" t="n"/>
    </row>
    <row r="603">
      <c r="A603" s="61" t="inlineStr">
        <is>
          <t>4927</t>
        </is>
      </c>
      <c r="B603" s="61" t="inlineStr">
        <is>
          <t>A1</t>
        </is>
      </c>
      <c r="C603" s="20" t="n">
        <v>739</v>
      </c>
      <c r="D603" s="19" t="n">
        <v>1</v>
      </c>
      <c r="E603" s="19" t="n">
        <v>1</v>
      </c>
      <c r="F603" s="62" t="inlineStr">
        <is>
          <t>Market</t>
        </is>
      </c>
      <c r="G603" s="62" t="inlineStr">
        <is>
          <t>Occupied</t>
        </is>
      </c>
      <c r="H603" s="20" t="n">
        <v>1267</v>
      </c>
      <c r="I603" s="20" t="n">
        <v>1376</v>
      </c>
      <c r="J603" s="20" t="n">
        <v>1376</v>
      </c>
      <c r="K603" s="63" t="inlineStr">
        <is>
          <t>08/28/2025</t>
        </is>
      </c>
      <c r="L603" s="63" t="inlineStr">
        <is>
          <t>08/27/2026</t>
        </is>
      </c>
      <c r="M603" s="63" t="inlineStr">
        <is>
          <t>08/29/2023</t>
        </is>
      </c>
      <c r="O603" s="20" t="n">
        <v>1376</v>
      </c>
      <c r="P603" s="20" t="n"/>
      <c r="Q603" s="20" t="n"/>
      <c r="R603" s="20" t="n"/>
      <c r="S603" s="20" t="n"/>
      <c r="T603" s="20" t="n"/>
      <c r="U603" s="20" t="n">
        <v>1</v>
      </c>
      <c r="V603" s="20" t="n"/>
      <c r="W603" s="20" t="n"/>
      <c r="X603" s="20" t="n"/>
      <c r="Y603" s="20" t="n"/>
      <c r="Z603" s="20" t="n"/>
    </row>
    <row r="604">
      <c r="A604" s="64" t="inlineStr">
        <is>
          <t>4928</t>
        </is>
      </c>
      <c r="B604" s="64" t="inlineStr">
        <is>
          <t>C1</t>
        </is>
      </c>
      <c r="C604" s="11" t="n">
        <v>1258</v>
      </c>
      <c r="D604" s="10" t="n">
        <v>3</v>
      </c>
      <c r="E604" s="10" t="n">
        <v>2</v>
      </c>
      <c r="F604" s="65" t="inlineStr">
        <is>
          <t>Market</t>
        </is>
      </c>
      <c r="G604" s="65" t="inlineStr">
        <is>
          <t>Occupied</t>
        </is>
      </c>
      <c r="H604" s="11" t="n">
        <v>1975</v>
      </c>
      <c r="I604" s="11" t="n">
        <v>1867</v>
      </c>
      <c r="J604" s="11" t="n">
        <v>1867</v>
      </c>
      <c r="K604" s="66" t="inlineStr">
        <is>
          <t>05/22/2026</t>
        </is>
      </c>
      <c r="L604" s="66" t="inlineStr">
        <is>
          <t>06/21/2027</t>
        </is>
      </c>
      <c r="M604" s="66" t="inlineStr">
        <is>
          <t>03/29/2025</t>
        </is>
      </c>
      <c r="O604" s="11" t="n">
        <v>1867</v>
      </c>
      <c r="P604" s="11" t="n">
        <v>35</v>
      </c>
      <c r="Q604" s="11" t="n"/>
      <c r="R604" s="11" t="n"/>
      <c r="S604" s="11" t="n"/>
      <c r="T604" s="11" t="n"/>
      <c r="U604" s="11" t="n">
        <v>3</v>
      </c>
      <c r="V604" s="11" t="n"/>
      <c r="W604" s="11" t="n"/>
      <c r="X604" s="11" t="n"/>
      <c r="Y604" s="11" t="n"/>
      <c r="Z604" s="11" t="n"/>
    </row>
    <row r="605">
      <c r="A605" s="61" t="inlineStr">
        <is>
          <t>4932</t>
        </is>
      </c>
      <c r="B605" s="61" t="inlineStr">
        <is>
          <t>A1</t>
        </is>
      </c>
      <c r="C605" s="20" t="n">
        <v>739</v>
      </c>
      <c r="D605" s="19" t="n">
        <v>1</v>
      </c>
      <c r="E605" s="19" t="n">
        <v>1</v>
      </c>
      <c r="F605" s="62" t="inlineStr">
        <is>
          <t>Market</t>
        </is>
      </c>
      <c r="G605" s="62" t="inlineStr">
        <is>
          <t>Occupied</t>
        </is>
      </c>
      <c r="H605" s="20" t="n">
        <v>1167</v>
      </c>
      <c r="I605" s="20" t="n">
        <v>1200</v>
      </c>
      <c r="J605" s="20" t="n">
        <v>1200</v>
      </c>
      <c r="K605" s="63" t="inlineStr">
        <is>
          <t>08/29/2025</t>
        </is>
      </c>
      <c r="L605" s="63" t="inlineStr">
        <is>
          <t>10/21/2026</t>
        </is>
      </c>
      <c r="M605" s="63" t="inlineStr">
        <is>
          <t>08/29/2025</t>
        </is>
      </c>
      <c r="O605" s="20" t="n">
        <v>1200</v>
      </c>
      <c r="P605" s="20" t="n"/>
      <c r="Q605" s="20" t="n"/>
      <c r="R605" s="20" t="n"/>
      <c r="S605" s="20" t="n"/>
      <c r="T605" s="20" t="n"/>
      <c r="U605" s="20" t="n">
        <v>1</v>
      </c>
      <c r="V605" s="20" t="n"/>
      <c r="W605" s="20" t="n"/>
      <c r="X605" s="20" t="n"/>
      <c r="Y605" s="20" t="n"/>
      <c r="Z605" s="20" t="n"/>
    </row>
    <row r="606">
      <c r="A606" s="64" t="inlineStr">
        <is>
          <t>4933</t>
        </is>
      </c>
      <c r="B606" s="64" t="inlineStr">
        <is>
          <t>A1</t>
        </is>
      </c>
      <c r="C606" s="11" t="n">
        <v>739</v>
      </c>
      <c r="D606" s="10" t="n">
        <v>1</v>
      </c>
      <c r="E606" s="10" t="n">
        <v>1</v>
      </c>
      <c r="F606" s="65" t="inlineStr">
        <is>
          <t>Market</t>
        </is>
      </c>
      <c r="G606" s="65" t="inlineStr">
        <is>
          <t>Occupied</t>
        </is>
      </c>
      <c r="H606" s="11" t="n">
        <v>1182</v>
      </c>
      <c r="I606" s="11" t="n">
        <v>1191</v>
      </c>
      <c r="J606" s="11" t="n">
        <v>1191</v>
      </c>
      <c r="K606" s="66" t="inlineStr">
        <is>
          <t>09/29/2025</t>
        </is>
      </c>
      <c r="L606" s="66" t="inlineStr">
        <is>
          <t>10/28/2026</t>
        </is>
      </c>
      <c r="M606" s="66" t="inlineStr">
        <is>
          <t>09/29/2025</t>
        </is>
      </c>
      <c r="O606" s="11" t="n">
        <v>1191</v>
      </c>
      <c r="P606" s="11" t="n"/>
      <c r="Q606" s="11" t="n"/>
      <c r="R606" s="11" t="n"/>
      <c r="S606" s="11" t="n"/>
      <c r="T606" s="11" t="n"/>
      <c r="U606" s="11" t="n">
        <v>1</v>
      </c>
      <c r="V606" s="11" t="n"/>
      <c r="W606" s="11" t="n"/>
      <c r="X606" s="11" t="n"/>
      <c r="Y606" s="11" t="n"/>
      <c r="Z606" s="11" t="n"/>
    </row>
    <row r="607">
      <c r="A607" s="61" t="inlineStr">
        <is>
          <t>4936</t>
        </is>
      </c>
      <c r="B607" s="61" t="inlineStr">
        <is>
          <t>A1</t>
        </is>
      </c>
      <c r="C607" s="20" t="n">
        <v>739</v>
      </c>
      <c r="D607" s="19" t="n">
        <v>1</v>
      </c>
      <c r="E607" s="19" t="n">
        <v>1</v>
      </c>
      <c r="F607" s="62" t="inlineStr">
        <is>
          <t>Market</t>
        </is>
      </c>
      <c r="G607" s="62" t="inlineStr">
        <is>
          <t>Occupied</t>
        </is>
      </c>
      <c r="H607" s="20" t="n">
        <v>1167</v>
      </c>
      <c r="I607" s="20" t="n">
        <v>1332</v>
      </c>
      <c r="J607" s="20" t="n">
        <v>1332</v>
      </c>
      <c r="K607" s="63" t="inlineStr">
        <is>
          <t>09/03/2025</t>
        </is>
      </c>
      <c r="L607" s="63" t="inlineStr">
        <is>
          <t>12/09/2026</t>
        </is>
      </c>
      <c r="M607" s="63" t="inlineStr">
        <is>
          <t>05/02/2023</t>
        </is>
      </c>
      <c r="O607" s="20" t="n">
        <v>1332</v>
      </c>
      <c r="P607" s="20" t="n"/>
      <c r="Q607" s="20" t="n"/>
      <c r="R607" s="20" t="n"/>
      <c r="S607" s="20" t="n"/>
      <c r="T607" s="20" t="n"/>
      <c r="U607" s="20" t="n">
        <v>1</v>
      </c>
      <c r="V607" s="20" t="n"/>
      <c r="W607" s="20" t="n"/>
      <c r="X607" s="20" t="n"/>
      <c r="Y607" s="20" t="n"/>
      <c r="Z607" s="20" t="n"/>
    </row>
    <row r="608">
      <c r="A608" s="64" t="inlineStr">
        <is>
          <t>4937</t>
        </is>
      </c>
      <c r="B608" s="64" t="inlineStr">
        <is>
          <t>A1</t>
        </is>
      </c>
      <c r="C608" s="11" t="n">
        <v>739</v>
      </c>
      <c r="D608" s="10" t="n">
        <v>1</v>
      </c>
      <c r="E608" s="10" t="n">
        <v>1</v>
      </c>
      <c r="F608" s="65" t="inlineStr">
        <is>
          <t>Market</t>
        </is>
      </c>
      <c r="G608" s="65" t="inlineStr">
        <is>
          <t>Vacant</t>
        </is>
      </c>
      <c r="H608" s="11" t="n">
        <v>1182</v>
      </c>
      <c r="I608" s="11" t="n">
        <v>0</v>
      </c>
      <c r="J608" s="11" t="n">
        <v>0</v>
      </c>
      <c r="K608" s="66" t="n"/>
      <c r="L608" s="66" t="n"/>
      <c r="M608" s="66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61" t="inlineStr">
        <is>
          <t>5021</t>
        </is>
      </c>
      <c r="B609" s="61" t="inlineStr">
        <is>
          <t>B2</t>
        </is>
      </c>
      <c r="C609" s="20" t="n">
        <v>1040</v>
      </c>
      <c r="D609" s="19" t="n">
        <v>2</v>
      </c>
      <c r="E609" s="19" t="n">
        <v>2</v>
      </c>
      <c r="F609" s="62" t="inlineStr">
        <is>
          <t>Market</t>
        </is>
      </c>
      <c r="G609" s="62" t="inlineStr">
        <is>
          <t>Occupied</t>
        </is>
      </c>
      <c r="H609" s="20" t="n">
        <v>1636</v>
      </c>
      <c r="I609" s="20" t="n">
        <v>1586</v>
      </c>
      <c r="J609" s="20" t="n">
        <v>1586</v>
      </c>
      <c r="K609" s="63" t="inlineStr">
        <is>
          <t>05/06/2026</t>
        </is>
      </c>
      <c r="L609" s="63" t="inlineStr">
        <is>
          <t>07/05/2027</t>
        </is>
      </c>
      <c r="M609" s="63" t="inlineStr">
        <is>
          <t>05/06/2026</t>
        </is>
      </c>
      <c r="O609" s="20" t="n">
        <v>1586</v>
      </c>
      <c r="P609" s="20" t="n">
        <v>35</v>
      </c>
      <c r="Q609" s="20" t="n"/>
      <c r="R609" s="20" t="n"/>
      <c r="S609" s="20" t="n"/>
      <c r="T609" s="20" t="n"/>
      <c r="U609" s="20" t="n">
        <v>3</v>
      </c>
      <c r="V609" s="20" t="n"/>
      <c r="W609" s="20" t="n"/>
      <c r="X609" s="20" t="n"/>
      <c r="Y609" s="20" t="n"/>
      <c r="Z609" s="20" t="n"/>
    </row>
    <row r="610">
      <c r="A610" s="64" t="inlineStr">
        <is>
          <t>5022</t>
        </is>
      </c>
      <c r="B610" s="64" t="inlineStr">
        <is>
          <t>B2</t>
        </is>
      </c>
      <c r="C610" s="11" t="n">
        <v>1040</v>
      </c>
      <c r="D610" s="10" t="n">
        <v>2</v>
      </c>
      <c r="E610" s="10" t="n">
        <v>2</v>
      </c>
      <c r="F610" s="65" t="inlineStr">
        <is>
          <t>Market</t>
        </is>
      </c>
      <c r="G610" s="65" t="inlineStr">
        <is>
          <t>Occupied</t>
        </is>
      </c>
      <c r="H610" s="11" t="n">
        <v>1636</v>
      </c>
      <c r="I610" s="11" t="n">
        <v>1605</v>
      </c>
      <c r="J610" s="11" t="n">
        <v>1605</v>
      </c>
      <c r="K610" s="66" t="inlineStr">
        <is>
          <t>08/05/2025</t>
        </is>
      </c>
      <c r="L610" s="66" t="inlineStr">
        <is>
          <t>11/11/2026</t>
        </is>
      </c>
      <c r="M610" s="66" t="inlineStr">
        <is>
          <t>08/05/2025</t>
        </is>
      </c>
      <c r="O610" s="11" t="n">
        <v>1605</v>
      </c>
      <c r="P610" s="11" t="n"/>
      <c r="Q610" s="11" t="n"/>
      <c r="R610" s="11" t="n"/>
      <c r="S610" s="11" t="n"/>
      <c r="T610" s="11" t="n">
        <v>30</v>
      </c>
      <c r="U610" s="11" t="n">
        <v>1</v>
      </c>
      <c r="V610" s="11" t="n"/>
      <c r="W610" s="11" t="n"/>
      <c r="X610" s="11" t="n"/>
      <c r="Y610" s="11" t="n"/>
      <c r="Z610" s="11" t="n"/>
    </row>
    <row r="611">
      <c r="A611" s="61" t="inlineStr">
        <is>
          <t>5121</t>
        </is>
      </c>
      <c r="B611" s="61" t="inlineStr">
        <is>
          <t>B2</t>
        </is>
      </c>
      <c r="C611" s="20" t="n">
        <v>1040</v>
      </c>
      <c r="D611" s="19" t="n">
        <v>2</v>
      </c>
      <c r="E611" s="19" t="n">
        <v>2</v>
      </c>
      <c r="F611" s="62" t="inlineStr">
        <is>
          <t>Market</t>
        </is>
      </c>
      <c r="G611" s="62" t="inlineStr">
        <is>
          <t>Vacant</t>
        </is>
      </c>
      <c r="H611" s="20" t="n">
        <v>1636</v>
      </c>
      <c r="I611" s="20" t="n">
        <v>0</v>
      </c>
      <c r="J611" s="20" t="n">
        <v>0</v>
      </c>
      <c r="K611" s="63" t="n"/>
      <c r="L611" s="63" t="n"/>
      <c r="M611" s="63" t="n"/>
      <c r="O611" s="20" t="n"/>
      <c r="P611" s="20" t="n"/>
      <c r="Q611" s="20" t="n"/>
      <c r="R611" s="20" t="n"/>
      <c r="S611" s="20" t="n"/>
      <c r="T611" s="20" t="n"/>
      <c r="U611" s="20" t="n"/>
      <c r="V611" s="20" t="n"/>
      <c r="W611" s="20" t="n"/>
      <c r="X611" s="20" t="n"/>
      <c r="Y611" s="20" t="n"/>
      <c r="Z611" s="20" t="n"/>
    </row>
    <row r="612">
      <c r="A612" s="64" t="inlineStr">
        <is>
          <t>5122</t>
        </is>
      </c>
      <c r="B612" s="64" t="inlineStr">
        <is>
          <t>B2</t>
        </is>
      </c>
      <c r="C612" s="11" t="n">
        <v>1040</v>
      </c>
      <c r="D612" s="10" t="n">
        <v>2</v>
      </c>
      <c r="E612" s="10" t="n">
        <v>2</v>
      </c>
      <c r="F612" s="65" t="inlineStr">
        <is>
          <t>Market</t>
        </is>
      </c>
      <c r="G612" s="65" t="inlineStr">
        <is>
          <t>Occupied</t>
        </is>
      </c>
      <c r="H612" s="11" t="n">
        <v>1656</v>
      </c>
      <c r="I612" s="11" t="n">
        <v>1623</v>
      </c>
      <c r="J612" s="11" t="n">
        <v>1623</v>
      </c>
      <c r="K612" s="66" t="inlineStr">
        <is>
          <t>11/07/2025</t>
        </is>
      </c>
      <c r="L612" s="66" t="inlineStr">
        <is>
          <t>01/06/2027</t>
        </is>
      </c>
      <c r="M612" s="66" t="inlineStr">
        <is>
          <t>11/07/2025</t>
        </is>
      </c>
      <c r="O612" s="11" t="n">
        <v>1623</v>
      </c>
      <c r="P612" s="11" t="n"/>
      <c r="Q612" s="11" t="n"/>
      <c r="R612" s="11" t="n"/>
      <c r="S612" s="11" t="n"/>
      <c r="T612" s="11" t="n"/>
      <c r="U612" s="11" t="n">
        <v>1</v>
      </c>
      <c r="V612" s="11" t="n"/>
      <c r="W612" s="11" t="n"/>
      <c r="X612" s="11" t="n"/>
      <c r="Y612" s="11" t="n"/>
      <c r="Z612" s="11" t="n"/>
    </row>
    <row r="613">
      <c r="A613" s="61" t="inlineStr">
        <is>
          <t>5211</t>
        </is>
      </c>
      <c r="B613" s="61" t="inlineStr">
        <is>
          <t>C2</t>
        </is>
      </c>
      <c r="C613" s="20" t="n">
        <v>1364</v>
      </c>
      <c r="D613" s="19" t="n">
        <v>3</v>
      </c>
      <c r="E613" s="19" t="n">
        <v>2</v>
      </c>
      <c r="F613" s="62" t="inlineStr">
        <is>
          <t>Market</t>
        </is>
      </c>
      <c r="G613" s="62" t="inlineStr">
        <is>
          <t>Occupied</t>
        </is>
      </c>
      <c r="H613" s="20" t="n">
        <v>2135</v>
      </c>
      <c r="I613" s="20" t="n">
        <v>2053.82</v>
      </c>
      <c r="J613" s="20" t="n">
        <v>2053.82</v>
      </c>
      <c r="K613" s="63" t="inlineStr">
        <is>
          <t>12/25/2025</t>
        </is>
      </c>
      <c r="L613" s="63" t="inlineStr">
        <is>
          <t>03/24/2027</t>
        </is>
      </c>
      <c r="M613" s="63" t="inlineStr">
        <is>
          <t>03/27/2009</t>
        </is>
      </c>
      <c r="O613" s="20" t="n">
        <v>2053.82</v>
      </c>
      <c r="P613" s="20" t="n"/>
      <c r="Q613" s="20" t="n"/>
      <c r="R613" s="20" t="n"/>
      <c r="S613" s="20" t="n"/>
      <c r="T613" s="20" t="n"/>
      <c r="U613" s="20" t="n">
        <v>1</v>
      </c>
      <c r="V613" s="20" t="n"/>
      <c r="W613" s="20" t="n"/>
      <c r="X613" s="20" t="n"/>
      <c r="Y613" s="20" t="n"/>
      <c r="Z613" s="20" t="n"/>
    </row>
    <row r="614">
      <c r="A614" s="64" t="inlineStr">
        <is>
          <t>5212</t>
        </is>
      </c>
      <c r="B614" s="64" t="inlineStr">
        <is>
          <t>C2</t>
        </is>
      </c>
      <c r="C614" s="11" t="n">
        <v>1364</v>
      </c>
      <c r="D614" s="10" t="n">
        <v>3</v>
      </c>
      <c r="E614" s="10" t="n">
        <v>2</v>
      </c>
      <c r="F614" s="65" t="inlineStr">
        <is>
          <t>Market</t>
        </is>
      </c>
      <c r="G614" s="65" t="inlineStr">
        <is>
          <t>Vacant</t>
        </is>
      </c>
      <c r="H614" s="11" t="n">
        <v>2135</v>
      </c>
      <c r="I614" s="11" t="n">
        <v>0</v>
      </c>
      <c r="J614" s="11" t="n">
        <v>0</v>
      </c>
      <c r="K614" s="66" t="n"/>
      <c r="L614" s="66" t="n"/>
      <c r="M614" s="66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61" t="inlineStr">
        <is>
          <t>5213</t>
        </is>
      </c>
      <c r="B615" s="61" t="inlineStr">
        <is>
          <t>C2</t>
        </is>
      </c>
      <c r="C615" s="20" t="n">
        <v>1364</v>
      </c>
      <c r="D615" s="19" t="n">
        <v>3</v>
      </c>
      <c r="E615" s="19" t="n">
        <v>2</v>
      </c>
      <c r="F615" s="62" t="inlineStr">
        <is>
          <t>Market</t>
        </is>
      </c>
      <c r="G615" s="62" t="inlineStr">
        <is>
          <t>Occupied</t>
        </is>
      </c>
      <c r="H615" s="20" t="n">
        <v>2135</v>
      </c>
      <c r="I615" s="20" t="n">
        <v>1884</v>
      </c>
      <c r="J615" s="20" t="n">
        <v>1884</v>
      </c>
      <c r="K615" s="63" t="inlineStr">
        <is>
          <t>06/13/2025</t>
        </is>
      </c>
      <c r="L615" s="63" t="inlineStr">
        <is>
          <t>09/12/2026</t>
        </is>
      </c>
      <c r="M615" s="63" t="inlineStr">
        <is>
          <t>06/13/2025</t>
        </is>
      </c>
      <c r="O615" s="20" t="n">
        <v>1884</v>
      </c>
      <c r="P615" s="20" t="n"/>
      <c r="Q615" s="20" t="n"/>
      <c r="R615" s="20" t="n"/>
      <c r="S615" s="20" t="n"/>
      <c r="T615" s="20" t="n"/>
      <c r="U615" s="20" t="n">
        <v>1</v>
      </c>
      <c r="V615" s="20" t="n"/>
      <c r="W615" s="20" t="n"/>
      <c r="X615" s="20" t="n"/>
      <c r="Y615" s="20" t="n"/>
      <c r="Z615" s="20" t="n"/>
    </row>
    <row r="616">
      <c r="A616" s="64" t="inlineStr">
        <is>
          <t>5214</t>
        </is>
      </c>
      <c r="B616" s="64" t="inlineStr">
        <is>
          <t>C2</t>
        </is>
      </c>
      <c r="C616" s="11" t="n">
        <v>1364</v>
      </c>
      <c r="D616" s="10" t="n">
        <v>3</v>
      </c>
      <c r="E616" s="10" t="n">
        <v>2</v>
      </c>
      <c r="F616" s="65" t="inlineStr">
        <is>
          <t>Market</t>
        </is>
      </c>
      <c r="G616" s="65" t="inlineStr">
        <is>
          <t>Occupied</t>
        </is>
      </c>
      <c r="H616" s="11" t="n">
        <v>2135</v>
      </c>
      <c r="I616" s="11" t="n">
        <v>1999</v>
      </c>
      <c r="J616" s="11" t="n">
        <v>1999</v>
      </c>
      <c r="K616" s="66" t="inlineStr">
        <is>
          <t>12/31/2025</t>
        </is>
      </c>
      <c r="L616" s="66" t="inlineStr">
        <is>
          <t>04/07/2027</t>
        </is>
      </c>
      <c r="M616" s="66" t="inlineStr">
        <is>
          <t>12/31/2025</t>
        </is>
      </c>
      <c r="O616" s="11" t="n">
        <v>1999</v>
      </c>
      <c r="P616" s="11" t="n">
        <v>35</v>
      </c>
      <c r="Q616" s="11" t="n"/>
      <c r="R616" s="11" t="n"/>
      <c r="S616" s="11" t="n"/>
      <c r="T616" s="11" t="n">
        <v>45</v>
      </c>
      <c r="U616" s="11" t="n">
        <v>3</v>
      </c>
      <c r="V616" s="11" t="n"/>
      <c r="W616" s="11" t="n"/>
      <c r="X616" s="11" t="n"/>
      <c r="Y616" s="11" t="n"/>
      <c r="Z616" s="11" t="n"/>
    </row>
    <row r="617">
      <c r="A617" s="61" t="inlineStr">
        <is>
          <t>5215</t>
        </is>
      </c>
      <c r="B617" s="61" t="inlineStr">
        <is>
          <t>C2</t>
        </is>
      </c>
      <c r="C617" s="20" t="n">
        <v>1364</v>
      </c>
      <c r="D617" s="19" t="n">
        <v>3</v>
      </c>
      <c r="E617" s="19" t="n">
        <v>2</v>
      </c>
      <c r="F617" s="62" t="inlineStr">
        <is>
          <t>Market</t>
        </is>
      </c>
      <c r="G617" s="62" t="inlineStr">
        <is>
          <t>Occupied</t>
        </is>
      </c>
      <c r="H617" s="20" t="n">
        <v>2135</v>
      </c>
      <c r="I617" s="20" t="n">
        <v>1966</v>
      </c>
      <c r="J617" s="20" t="n">
        <v>1966</v>
      </c>
      <c r="K617" s="63" t="inlineStr">
        <is>
          <t>02/21/2026</t>
        </is>
      </c>
      <c r="L617" s="63" t="inlineStr">
        <is>
          <t>05/20/2027</t>
        </is>
      </c>
      <c r="M617" s="63" t="inlineStr">
        <is>
          <t>11/29/2024</t>
        </is>
      </c>
      <c r="O617" s="20" t="n">
        <v>1966</v>
      </c>
      <c r="P617" s="20" t="n"/>
      <c r="Q617" s="20" t="n"/>
      <c r="R617" s="20" t="n"/>
      <c r="S617" s="20" t="n"/>
      <c r="T617" s="20" t="n"/>
      <c r="U617" s="20" t="n">
        <v>3</v>
      </c>
      <c r="V617" s="20" t="n"/>
      <c r="W617" s="20" t="n"/>
      <c r="X617" s="20" t="n"/>
      <c r="Y617" s="20" t="n"/>
      <c r="Z617" s="20" t="n"/>
    </row>
    <row r="618">
      <c r="A618" s="64" t="inlineStr">
        <is>
          <t>5311</t>
        </is>
      </c>
      <c r="B618" s="64" t="inlineStr">
        <is>
          <t>A2</t>
        </is>
      </c>
      <c r="C618" s="11" t="n">
        <v>777</v>
      </c>
      <c r="D618" s="10" t="n">
        <v>1</v>
      </c>
      <c r="E618" s="10" t="n">
        <v>1</v>
      </c>
      <c r="F618" s="65" t="inlineStr">
        <is>
          <t>Market</t>
        </is>
      </c>
      <c r="G618" s="65" t="inlineStr">
        <is>
          <t>Occupied</t>
        </is>
      </c>
      <c r="H618" s="11" t="n">
        <v>1267</v>
      </c>
      <c r="I618" s="11" t="n">
        <v>1277</v>
      </c>
      <c r="J618" s="11" t="n">
        <v>1277</v>
      </c>
      <c r="K618" s="66" t="inlineStr">
        <is>
          <t>11/26/2025</t>
        </is>
      </c>
      <c r="L618" s="66" t="inlineStr">
        <is>
          <t>02/25/2027</t>
        </is>
      </c>
      <c r="M618" s="66" t="inlineStr">
        <is>
          <t>11/26/2025</t>
        </is>
      </c>
      <c r="O618" s="11" t="n">
        <v>1277</v>
      </c>
      <c r="P618" s="11" t="n"/>
      <c r="Q618" s="11" t="n"/>
      <c r="R618" s="11" t="n"/>
      <c r="S618" s="11" t="n"/>
      <c r="T618" s="11" t="n"/>
      <c r="U618" s="11" t="n">
        <v>3</v>
      </c>
      <c r="V618" s="11" t="n"/>
      <c r="W618" s="11" t="n"/>
      <c r="X618" s="11" t="n"/>
      <c r="Y618" s="11" t="n"/>
      <c r="Z618" s="11" t="n"/>
    </row>
    <row r="619">
      <c r="A619" s="61" t="inlineStr">
        <is>
          <t>5312</t>
        </is>
      </c>
      <c r="B619" s="61" t="inlineStr">
        <is>
          <t>A2</t>
        </is>
      </c>
      <c r="C619" s="20" t="n">
        <v>777</v>
      </c>
      <c r="D619" s="19" t="n">
        <v>1</v>
      </c>
      <c r="E619" s="19" t="n">
        <v>1</v>
      </c>
      <c r="F619" s="62" t="inlineStr">
        <is>
          <t>Market</t>
        </is>
      </c>
      <c r="G619" s="62" t="inlineStr">
        <is>
          <t>Occupied</t>
        </is>
      </c>
      <c r="H619" s="20" t="n">
        <v>1227</v>
      </c>
      <c r="I619" s="20" t="n">
        <v>1252</v>
      </c>
      <c r="J619" s="20" t="n">
        <v>1252</v>
      </c>
      <c r="K619" s="63" t="inlineStr">
        <is>
          <t>02/02/2026</t>
        </is>
      </c>
      <c r="L619" s="63" t="inlineStr">
        <is>
          <t>02/08/2027</t>
        </is>
      </c>
      <c r="M619" s="63" t="inlineStr">
        <is>
          <t>02/02/2026</t>
        </is>
      </c>
      <c r="O619" s="20" t="n">
        <v>1252</v>
      </c>
      <c r="P619" s="20" t="n">
        <v>35</v>
      </c>
      <c r="Q619" s="20" t="n"/>
      <c r="R619" s="20" t="n"/>
      <c r="S619" s="20" t="n"/>
      <c r="T619" s="20" t="n"/>
      <c r="U619" s="20" t="n">
        <v>3</v>
      </c>
      <c r="V619" s="20" t="n"/>
      <c r="W619" s="20" t="n"/>
      <c r="X619" s="20" t="n"/>
      <c r="Y619" s="20" t="n"/>
      <c r="Z619" s="20" t="n"/>
    </row>
    <row r="620">
      <c r="A620" s="64" t="inlineStr">
        <is>
          <t>5313</t>
        </is>
      </c>
      <c r="B620" s="64" t="inlineStr">
        <is>
          <t>A2</t>
        </is>
      </c>
      <c r="C620" s="11" t="n">
        <v>777</v>
      </c>
      <c r="D620" s="10" t="n">
        <v>1</v>
      </c>
      <c r="E620" s="10" t="n">
        <v>1</v>
      </c>
      <c r="F620" s="65" t="inlineStr">
        <is>
          <t>Market</t>
        </is>
      </c>
      <c r="G620" s="65" t="inlineStr">
        <is>
          <t>Occupied</t>
        </is>
      </c>
      <c r="H620" s="11" t="n">
        <v>1332</v>
      </c>
      <c r="I620" s="11" t="n">
        <v>1214</v>
      </c>
      <c r="J620" s="11" t="n">
        <v>1214</v>
      </c>
      <c r="K620" s="66" t="inlineStr">
        <is>
          <t>01/21/2026</t>
        </is>
      </c>
      <c r="L620" s="66" t="inlineStr">
        <is>
          <t>02/20/2027</t>
        </is>
      </c>
      <c r="M620" s="66" t="inlineStr">
        <is>
          <t>07/12/2016</t>
        </is>
      </c>
      <c r="O620" s="11" t="n">
        <v>1214</v>
      </c>
      <c r="P620" s="11" t="n"/>
      <c r="Q620" s="11" t="n"/>
      <c r="R620" s="11" t="n"/>
      <c r="S620" s="11" t="n"/>
      <c r="T620" s="11" t="n"/>
      <c r="U620" s="11" t="n">
        <v>3</v>
      </c>
      <c r="V620" s="11" t="n"/>
      <c r="W620" s="11" t="n"/>
      <c r="X620" s="11" t="n"/>
      <c r="Y620" s="11" t="n"/>
      <c r="Z620" s="11" t="n"/>
    </row>
    <row r="621">
      <c r="A621" s="61" t="inlineStr">
        <is>
          <t>5314</t>
        </is>
      </c>
      <c r="B621" s="61" t="inlineStr">
        <is>
          <t>A2</t>
        </is>
      </c>
      <c r="C621" s="20" t="n">
        <v>777</v>
      </c>
      <c r="D621" s="19" t="n">
        <v>1</v>
      </c>
      <c r="E621" s="19" t="n">
        <v>1</v>
      </c>
      <c r="F621" s="62" t="inlineStr">
        <is>
          <t>Market</t>
        </is>
      </c>
      <c r="G621" s="62" t="inlineStr">
        <is>
          <t>Occupied</t>
        </is>
      </c>
      <c r="H621" s="20" t="n">
        <v>1247</v>
      </c>
      <c r="I621" s="20" t="n">
        <v>1236</v>
      </c>
      <c r="J621" s="20" t="n">
        <v>1236</v>
      </c>
      <c r="K621" s="63" t="inlineStr">
        <is>
          <t>07/11/2025</t>
        </is>
      </c>
      <c r="L621" s="63" t="inlineStr">
        <is>
          <t>07/10/2026</t>
        </is>
      </c>
      <c r="M621" s="63" t="inlineStr">
        <is>
          <t>06/10/2015</t>
        </is>
      </c>
      <c r="O621" s="20" t="n">
        <v>1236</v>
      </c>
      <c r="P621" s="20" t="n"/>
      <c r="Q621" s="20" t="n"/>
      <c r="R621" s="20" t="n"/>
      <c r="S621" s="20" t="n"/>
      <c r="T621" s="20" t="n">
        <v>30</v>
      </c>
      <c r="U621" s="20" t="n">
        <v>1</v>
      </c>
      <c r="V621" s="20" t="n"/>
      <c r="W621" s="20" t="n"/>
      <c r="X621" s="20" t="n"/>
      <c r="Y621" s="20" t="n"/>
      <c r="Z621" s="20" t="n"/>
    </row>
    <row r="622">
      <c r="A622" s="64" t="inlineStr">
        <is>
          <t>5315</t>
        </is>
      </c>
      <c r="B622" s="64" t="inlineStr">
        <is>
          <t>A2</t>
        </is>
      </c>
      <c r="C622" s="11" t="n">
        <v>777</v>
      </c>
      <c r="D622" s="10" t="n">
        <v>1</v>
      </c>
      <c r="E622" s="10" t="n">
        <v>1</v>
      </c>
      <c r="F622" s="65" t="inlineStr">
        <is>
          <t>Market</t>
        </is>
      </c>
      <c r="G622" s="65" t="inlineStr">
        <is>
          <t>Vacant</t>
        </is>
      </c>
      <c r="H622" s="11" t="n">
        <v>1287</v>
      </c>
      <c r="I622" s="11" t="n">
        <v>0</v>
      </c>
      <c r="J622" s="11" t="n">
        <v>0</v>
      </c>
      <c r="K622" s="66" t="n"/>
      <c r="L622" s="66" t="n"/>
      <c r="M622" s="66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61" t="inlineStr">
        <is>
          <t>5316</t>
        </is>
      </c>
      <c r="B623" s="61" t="inlineStr">
        <is>
          <t>A2</t>
        </is>
      </c>
      <c r="C623" s="20" t="n">
        <v>777</v>
      </c>
      <c r="D623" s="19" t="n">
        <v>1</v>
      </c>
      <c r="E623" s="19" t="n">
        <v>1</v>
      </c>
      <c r="F623" s="62" t="inlineStr">
        <is>
          <t>Market</t>
        </is>
      </c>
      <c r="G623" s="62" t="inlineStr">
        <is>
          <t>Occupied</t>
        </is>
      </c>
      <c r="H623" s="20" t="n">
        <v>1227</v>
      </c>
      <c r="I623" s="20" t="n">
        <v>1402</v>
      </c>
      <c r="J623" s="20" t="n">
        <v>1402</v>
      </c>
      <c r="K623" s="63" t="inlineStr">
        <is>
          <t>08/10/2025</t>
        </is>
      </c>
      <c r="L623" s="63" t="inlineStr">
        <is>
          <t>08/09/2026</t>
        </is>
      </c>
      <c r="M623" s="63" t="inlineStr">
        <is>
          <t>07/17/2020</t>
        </is>
      </c>
      <c r="O623" s="20" t="n">
        <v>1402</v>
      </c>
      <c r="P623" s="20" t="n"/>
      <c r="Q623" s="20" t="n"/>
      <c r="R623" s="20" t="n"/>
      <c r="S623" s="20" t="n"/>
      <c r="T623" s="20" t="n"/>
      <c r="U623" s="20" t="n">
        <v>1</v>
      </c>
      <c r="V623" s="20" t="n"/>
      <c r="W623" s="20" t="n"/>
      <c r="X623" s="20" t="n"/>
      <c r="Y623" s="20" t="n"/>
      <c r="Z623" s="20" t="n"/>
    </row>
    <row r="624">
      <c r="A624" s="64" t="inlineStr">
        <is>
          <t>5317</t>
        </is>
      </c>
      <c r="B624" s="64" t="inlineStr">
        <is>
          <t>A2</t>
        </is>
      </c>
      <c r="C624" s="11" t="n">
        <v>777</v>
      </c>
      <c r="D624" s="10" t="n">
        <v>1</v>
      </c>
      <c r="E624" s="10" t="n">
        <v>1</v>
      </c>
      <c r="F624" s="65" t="inlineStr">
        <is>
          <t>Market</t>
        </is>
      </c>
      <c r="G624" s="65" t="inlineStr">
        <is>
          <t>Occupied</t>
        </is>
      </c>
      <c r="H624" s="11" t="n">
        <v>1247</v>
      </c>
      <c r="I624" s="11" t="n">
        <v>1427</v>
      </c>
      <c r="J624" s="11" t="n">
        <v>1427</v>
      </c>
      <c r="K624" s="66" t="inlineStr">
        <is>
          <t>07/22/2025</t>
        </is>
      </c>
      <c r="L624" s="66" t="inlineStr">
        <is>
          <t>07/22/2026</t>
        </is>
      </c>
      <c r="M624" s="66" t="inlineStr">
        <is>
          <t>12/14/2024</t>
        </is>
      </c>
      <c r="O624" s="11" t="n">
        <v>1427</v>
      </c>
      <c r="P624" s="11" t="n"/>
      <c r="Q624" s="11" t="n"/>
      <c r="R624" s="11" t="n"/>
      <c r="S624" s="11" t="n"/>
      <c r="T624" s="11" t="n"/>
      <c r="U624" s="11" t="n">
        <v>1</v>
      </c>
      <c r="V624" s="11" t="n"/>
      <c r="W624" s="11" t="n"/>
      <c r="X624" s="11" t="n"/>
      <c r="Y624" s="11" t="n"/>
      <c r="Z624" s="11" t="n"/>
    </row>
    <row r="625">
      <c r="A625" s="61" t="inlineStr">
        <is>
          <t>5318</t>
        </is>
      </c>
      <c r="B625" s="61" t="inlineStr">
        <is>
          <t>A2</t>
        </is>
      </c>
      <c r="C625" s="20" t="n">
        <v>777</v>
      </c>
      <c r="D625" s="19" t="n">
        <v>1</v>
      </c>
      <c r="E625" s="19" t="n">
        <v>1</v>
      </c>
      <c r="F625" s="62" t="inlineStr">
        <is>
          <t>Market</t>
        </is>
      </c>
      <c r="G625" s="62" t="inlineStr">
        <is>
          <t>Occupied</t>
        </is>
      </c>
      <c r="H625" s="20" t="n">
        <v>1262</v>
      </c>
      <c r="I625" s="20" t="n">
        <v>1392</v>
      </c>
      <c r="J625" s="20" t="n">
        <v>1392</v>
      </c>
      <c r="K625" s="63" t="inlineStr">
        <is>
          <t>11/23/2025</t>
        </is>
      </c>
      <c r="L625" s="63" t="inlineStr">
        <is>
          <t>01/22/2027</t>
        </is>
      </c>
      <c r="M625" s="63" t="inlineStr">
        <is>
          <t>11/21/2024</t>
        </is>
      </c>
      <c r="O625" s="20" t="n">
        <v>1392</v>
      </c>
      <c r="P625" s="20" t="n"/>
      <c r="Q625" s="20" t="n"/>
      <c r="R625" s="20" t="n"/>
      <c r="S625" s="20" t="n"/>
      <c r="T625" s="20" t="n"/>
      <c r="U625" s="20" t="n">
        <v>1</v>
      </c>
      <c r="V625" s="20" t="n"/>
      <c r="W625" s="20" t="n"/>
      <c r="X625" s="20" t="n"/>
      <c r="Y625" s="20" t="n"/>
      <c r="Z625" s="20" t="n"/>
    </row>
    <row r="626">
      <c r="A626" s="64" t="inlineStr">
        <is>
          <t>5321</t>
        </is>
      </c>
      <c r="B626" s="64" t="inlineStr">
        <is>
          <t>A2</t>
        </is>
      </c>
      <c r="C626" s="11" t="n">
        <v>777</v>
      </c>
      <c r="D626" s="10" t="n">
        <v>1</v>
      </c>
      <c r="E626" s="10" t="n">
        <v>1</v>
      </c>
      <c r="F626" s="65" t="inlineStr">
        <is>
          <t>Market</t>
        </is>
      </c>
      <c r="G626" s="65" t="inlineStr">
        <is>
          <t>Occupied</t>
        </is>
      </c>
      <c r="H626" s="11" t="n">
        <v>1247</v>
      </c>
      <c r="I626" s="11" t="n">
        <v>1384</v>
      </c>
      <c r="J626" s="11" t="n">
        <v>1384</v>
      </c>
      <c r="K626" s="66" t="inlineStr">
        <is>
          <t>06/23/2025</t>
        </is>
      </c>
      <c r="L626" s="66" t="inlineStr">
        <is>
          <t>06/22/2026</t>
        </is>
      </c>
      <c r="M626" s="66" t="inlineStr">
        <is>
          <t>06/23/2025</t>
        </is>
      </c>
      <c r="O626" s="11" t="n">
        <v>1384</v>
      </c>
      <c r="P626" s="11" t="n"/>
      <c r="Q626" s="11" t="n"/>
      <c r="R626" s="11" t="n"/>
      <c r="S626" s="11" t="n"/>
      <c r="T626" s="11" t="n"/>
      <c r="U626" s="11" t="n">
        <v>1</v>
      </c>
      <c r="V626" s="11" t="n">
        <v>65</v>
      </c>
      <c r="W626" s="11" t="n"/>
      <c r="X626" s="11" t="n"/>
      <c r="Y626" s="11" t="n"/>
      <c r="Z626" s="11" t="n"/>
    </row>
    <row r="627">
      <c r="A627" s="61" t="inlineStr">
        <is>
          <t>5322</t>
        </is>
      </c>
      <c r="B627" s="61" t="inlineStr">
        <is>
          <t>A2</t>
        </is>
      </c>
      <c r="C627" s="20" t="n">
        <v>777</v>
      </c>
      <c r="D627" s="19" t="n">
        <v>1</v>
      </c>
      <c r="E627" s="19" t="n">
        <v>1</v>
      </c>
      <c r="F627" s="62" t="inlineStr">
        <is>
          <t>Market</t>
        </is>
      </c>
      <c r="G627" s="62" t="inlineStr">
        <is>
          <t>Vacant</t>
        </is>
      </c>
      <c r="H627" s="20" t="n">
        <v>1292</v>
      </c>
      <c r="I627" s="20" t="n">
        <v>0</v>
      </c>
      <c r="J627" s="20" t="n">
        <v>0</v>
      </c>
      <c r="K627" s="63" t="n"/>
      <c r="L627" s="63" t="n"/>
      <c r="M627" s="63" t="n"/>
      <c r="O627" s="20" t="n"/>
      <c r="P627" s="20" t="n"/>
      <c r="Q627" s="20" t="n"/>
      <c r="R627" s="20" t="n"/>
      <c r="S627" s="20" t="n"/>
      <c r="T627" s="20" t="n"/>
      <c r="U627" s="20" t="n"/>
      <c r="V627" s="20" t="n"/>
      <c r="W627" s="20" t="n"/>
      <c r="X627" s="20" t="n"/>
      <c r="Y627" s="20" t="n"/>
      <c r="Z627" s="20" t="n"/>
    </row>
    <row r="628">
      <c r="A628" s="64" t="inlineStr">
        <is>
          <t>5323</t>
        </is>
      </c>
      <c r="B628" s="64" t="inlineStr">
        <is>
          <t>A2</t>
        </is>
      </c>
      <c r="C628" s="11" t="n">
        <v>777</v>
      </c>
      <c r="D628" s="10" t="n">
        <v>1</v>
      </c>
      <c r="E628" s="10" t="n">
        <v>1</v>
      </c>
      <c r="F628" s="65" t="inlineStr">
        <is>
          <t>Market</t>
        </is>
      </c>
      <c r="G628" s="65" t="inlineStr">
        <is>
          <t>Occupied</t>
        </is>
      </c>
      <c r="H628" s="11" t="n">
        <v>1312</v>
      </c>
      <c r="I628" s="11" t="n">
        <v>1236</v>
      </c>
      <c r="J628" s="11" t="n">
        <v>1236</v>
      </c>
      <c r="K628" s="66" t="inlineStr">
        <is>
          <t>02/17/2026</t>
        </is>
      </c>
      <c r="L628" s="66" t="inlineStr">
        <is>
          <t>03/16/2027</t>
        </is>
      </c>
      <c r="M628" s="66" t="inlineStr">
        <is>
          <t>01/17/2025</t>
        </is>
      </c>
      <c r="O628" s="11" t="n">
        <v>1236</v>
      </c>
      <c r="P628" s="11" t="n"/>
      <c r="Q628" s="11" t="n"/>
      <c r="R628" s="11" t="n"/>
      <c r="S628" s="11" t="n"/>
      <c r="T628" s="11" t="n"/>
      <c r="U628" s="11" t="n">
        <v>3</v>
      </c>
      <c r="V628" s="11" t="n"/>
      <c r="W628" s="11" t="n"/>
      <c r="X628" s="11" t="n"/>
      <c r="Y628" s="11" t="n"/>
      <c r="Z628" s="11" t="n"/>
    </row>
    <row r="629">
      <c r="A629" s="61" t="inlineStr">
        <is>
          <t>5324</t>
        </is>
      </c>
      <c r="B629" s="61" t="inlineStr">
        <is>
          <t>A2</t>
        </is>
      </c>
      <c r="C629" s="20" t="n">
        <v>777</v>
      </c>
      <c r="D629" s="19" t="n">
        <v>1</v>
      </c>
      <c r="E629" s="19" t="n">
        <v>1</v>
      </c>
      <c r="F629" s="62" t="inlineStr">
        <is>
          <t>Market</t>
        </is>
      </c>
      <c r="G629" s="62" t="inlineStr">
        <is>
          <t>Vacant</t>
        </is>
      </c>
      <c r="H629" s="20" t="n">
        <v>1312</v>
      </c>
      <c r="I629" s="20" t="n">
        <v>0</v>
      </c>
      <c r="J629" s="20" t="n">
        <v>0</v>
      </c>
      <c r="K629" s="63" t="n"/>
      <c r="L629" s="63" t="n"/>
      <c r="M629" s="63" t="n"/>
      <c r="O629" s="20" t="n"/>
      <c r="P629" s="20" t="n"/>
      <c r="Q629" s="20" t="n"/>
      <c r="R629" s="20" t="n"/>
      <c r="S629" s="20" t="n"/>
      <c r="T629" s="20" t="n"/>
      <c r="U629" s="20" t="n"/>
      <c r="V629" s="20" t="n"/>
      <c r="W629" s="20" t="n"/>
      <c r="X629" s="20" t="n"/>
      <c r="Y629" s="20" t="n"/>
      <c r="Z629" s="20" t="n"/>
    </row>
    <row r="630">
      <c r="A630" s="64" t="inlineStr">
        <is>
          <t>5325</t>
        </is>
      </c>
      <c r="B630" s="64" t="inlineStr">
        <is>
          <t>A2</t>
        </is>
      </c>
      <c r="C630" s="11" t="n">
        <v>777</v>
      </c>
      <c r="D630" s="10" t="n">
        <v>1</v>
      </c>
      <c r="E630" s="10" t="n">
        <v>1</v>
      </c>
      <c r="F630" s="65" t="inlineStr">
        <is>
          <t>Market</t>
        </is>
      </c>
      <c r="G630" s="65" t="inlineStr">
        <is>
          <t>Occupied</t>
        </is>
      </c>
      <c r="H630" s="11" t="n">
        <v>1207</v>
      </c>
      <c r="I630" s="11" t="n">
        <v>1187</v>
      </c>
      <c r="J630" s="11" t="n">
        <v>1187</v>
      </c>
      <c r="K630" s="66" t="inlineStr">
        <is>
          <t>04/24/2026</t>
        </is>
      </c>
      <c r="L630" s="66" t="inlineStr">
        <is>
          <t>07/23/2027</t>
        </is>
      </c>
      <c r="M630" s="66" t="inlineStr">
        <is>
          <t>04/24/2026</t>
        </is>
      </c>
      <c r="O630" s="11" t="n">
        <v>1187</v>
      </c>
      <c r="P630" s="11" t="n">
        <v>35</v>
      </c>
      <c r="Q630" s="11" t="n"/>
      <c r="R630" s="11" t="n"/>
      <c r="S630" s="11" t="n"/>
      <c r="T630" s="11" t="n"/>
      <c r="U630" s="11" t="n">
        <v>3</v>
      </c>
      <c r="V630" s="11" t="n"/>
      <c r="W630" s="11" t="n"/>
      <c r="X630" s="11" t="n"/>
      <c r="Y630" s="11" t="n"/>
      <c r="Z630" s="11" t="n"/>
    </row>
    <row r="631">
      <c r="A631" s="61" t="inlineStr">
        <is>
          <t>5326</t>
        </is>
      </c>
      <c r="B631" s="61" t="inlineStr">
        <is>
          <t>A2</t>
        </is>
      </c>
      <c r="C631" s="20" t="n">
        <v>777</v>
      </c>
      <c r="D631" s="19" t="n">
        <v>1</v>
      </c>
      <c r="E631" s="19" t="n">
        <v>1</v>
      </c>
      <c r="F631" s="62" t="inlineStr">
        <is>
          <t>Market</t>
        </is>
      </c>
      <c r="G631" s="62" t="inlineStr">
        <is>
          <t>Occupied</t>
        </is>
      </c>
      <c r="H631" s="20" t="n">
        <v>1292</v>
      </c>
      <c r="I631" s="20" t="n">
        <v>1389</v>
      </c>
      <c r="J631" s="20" t="n">
        <v>1389</v>
      </c>
      <c r="K631" s="63" t="inlineStr">
        <is>
          <t>12/28/2025</t>
        </is>
      </c>
      <c r="L631" s="63" t="inlineStr">
        <is>
          <t>01/03/2027</t>
        </is>
      </c>
      <c r="M631" s="63" t="inlineStr">
        <is>
          <t>10/01/2024</t>
        </is>
      </c>
      <c r="O631" s="20" t="n">
        <v>1389</v>
      </c>
      <c r="P631" s="20" t="n"/>
      <c r="Q631" s="20" t="n"/>
      <c r="R631" s="20" t="n"/>
      <c r="S631" s="20" t="n"/>
      <c r="T631" s="20" t="n"/>
      <c r="U631" s="20" t="n">
        <v>1</v>
      </c>
      <c r="V631" s="20" t="n"/>
      <c r="W631" s="20" t="n"/>
      <c r="X631" s="20" t="n"/>
      <c r="Y631" s="20" t="n"/>
      <c r="Z631" s="20" t="n"/>
    </row>
    <row r="632">
      <c r="A632" s="64" t="inlineStr">
        <is>
          <t>5327</t>
        </is>
      </c>
      <c r="B632" s="64" t="inlineStr">
        <is>
          <t>A2</t>
        </is>
      </c>
      <c r="C632" s="11" t="n">
        <v>777</v>
      </c>
      <c r="D632" s="10" t="n">
        <v>1</v>
      </c>
      <c r="E632" s="10" t="n">
        <v>1</v>
      </c>
      <c r="F632" s="65" t="inlineStr">
        <is>
          <t>Market</t>
        </is>
      </c>
      <c r="G632" s="65" t="inlineStr">
        <is>
          <t>Occupied</t>
        </is>
      </c>
      <c r="H632" s="11" t="n">
        <v>1227</v>
      </c>
      <c r="I632" s="11" t="n">
        <v>1231</v>
      </c>
      <c r="J632" s="11" t="n">
        <v>1231</v>
      </c>
      <c r="K632" s="66" t="inlineStr">
        <is>
          <t>01/27/2026</t>
        </is>
      </c>
      <c r="L632" s="66" t="inlineStr">
        <is>
          <t>04/26/2027</t>
        </is>
      </c>
      <c r="M632" s="66" t="inlineStr">
        <is>
          <t>11/09/2012</t>
        </is>
      </c>
      <c r="O632" s="11" t="n">
        <v>1231</v>
      </c>
      <c r="P632" s="11" t="n"/>
      <c r="Q632" s="11" t="n"/>
      <c r="R632" s="11" t="n"/>
      <c r="S632" s="11" t="n"/>
      <c r="T632" s="11" t="n"/>
      <c r="U632" s="11" t="n">
        <v>3</v>
      </c>
      <c r="V632" s="11" t="n"/>
      <c r="W632" s="11" t="n"/>
      <c r="X632" s="11" t="n"/>
      <c r="Y632" s="11" t="n"/>
      <c r="Z632" s="11" t="n"/>
    </row>
    <row r="633">
      <c r="A633" s="61" t="inlineStr">
        <is>
          <t>5328</t>
        </is>
      </c>
      <c r="B633" s="61" t="inlineStr">
        <is>
          <t>A2</t>
        </is>
      </c>
      <c r="C633" s="20" t="n">
        <v>777</v>
      </c>
      <c r="D633" s="19" t="n">
        <v>1</v>
      </c>
      <c r="E633" s="19" t="n">
        <v>1</v>
      </c>
      <c r="F633" s="62" t="inlineStr">
        <is>
          <t>Market</t>
        </is>
      </c>
      <c r="G633" s="62" t="inlineStr">
        <is>
          <t>Occupied</t>
        </is>
      </c>
      <c r="H633" s="20" t="n">
        <v>1227</v>
      </c>
      <c r="I633" s="20" t="n">
        <v>1065</v>
      </c>
      <c r="J633" s="20" t="n">
        <v>1065</v>
      </c>
      <c r="K633" s="63" t="inlineStr">
        <is>
          <t>11/28/2025</t>
        </is>
      </c>
      <c r="L633" s="63" t="inlineStr">
        <is>
          <t>11/27/2026</t>
        </is>
      </c>
      <c r="M633" s="63" t="inlineStr">
        <is>
          <t>11/28/2025</t>
        </is>
      </c>
      <c r="O633" s="20" t="n">
        <v>1065</v>
      </c>
      <c r="P633" s="20" t="n"/>
      <c r="Q633" s="20" t="n"/>
      <c r="R633" s="20" t="n"/>
      <c r="S633" s="20" t="n"/>
      <c r="T633" s="20" t="n"/>
      <c r="U633" s="20" t="n">
        <v>3</v>
      </c>
      <c r="V633" s="20" t="n"/>
      <c r="W633" s="20" t="n"/>
      <c r="X633" s="20" t="n"/>
      <c r="Y633" s="20" t="n"/>
      <c r="Z633" s="20" t="n"/>
    </row>
    <row r="634">
      <c r="A634" s="64" t="inlineStr">
        <is>
          <t>5332</t>
        </is>
      </c>
      <c r="B634" s="64" t="inlineStr">
        <is>
          <t>A2</t>
        </is>
      </c>
      <c r="C634" s="11" t="n">
        <v>777</v>
      </c>
      <c r="D634" s="10" t="n">
        <v>1</v>
      </c>
      <c r="E634" s="10" t="n">
        <v>1</v>
      </c>
      <c r="F634" s="65" t="inlineStr">
        <is>
          <t>Market</t>
        </is>
      </c>
      <c r="G634" s="65" t="inlineStr">
        <is>
          <t>Occupied</t>
        </is>
      </c>
      <c r="H634" s="11" t="n">
        <v>1292</v>
      </c>
      <c r="I634" s="11" t="n">
        <v>1237</v>
      </c>
      <c r="J634" s="11" t="n">
        <v>1237</v>
      </c>
      <c r="K634" s="66" t="inlineStr">
        <is>
          <t>06/09/2025</t>
        </is>
      </c>
      <c r="L634" s="66" t="inlineStr">
        <is>
          <t>06/15/2026</t>
        </is>
      </c>
      <c r="M634" s="66" t="inlineStr">
        <is>
          <t>06/09/2025</t>
        </is>
      </c>
      <c r="O634" s="11" t="n">
        <v>1237</v>
      </c>
      <c r="P634" s="11" t="n"/>
      <c r="Q634" s="11" t="n"/>
      <c r="R634" s="11" t="n"/>
      <c r="S634" s="11" t="n"/>
      <c r="T634" s="11" t="n"/>
      <c r="U634" s="11" t="n">
        <v>1</v>
      </c>
      <c r="V634" s="11" t="n"/>
      <c r="W634" s="11" t="n"/>
      <c r="X634" s="11" t="n"/>
      <c r="Y634" s="11" t="n"/>
      <c r="Z634" s="11" t="n"/>
    </row>
    <row r="635">
      <c r="A635" s="61" t="inlineStr">
        <is>
          <t>5333</t>
        </is>
      </c>
      <c r="B635" s="61" t="inlineStr">
        <is>
          <t>A2</t>
        </is>
      </c>
      <c r="C635" s="20" t="n">
        <v>777</v>
      </c>
      <c r="D635" s="19" t="n">
        <v>1</v>
      </c>
      <c r="E635" s="19" t="n">
        <v>1</v>
      </c>
      <c r="F635" s="62" t="inlineStr">
        <is>
          <t>Market</t>
        </is>
      </c>
      <c r="G635" s="62" t="inlineStr">
        <is>
          <t>Occupied</t>
        </is>
      </c>
      <c r="H635" s="20" t="n">
        <v>1227</v>
      </c>
      <c r="I635" s="20" t="n">
        <v>1171</v>
      </c>
      <c r="J635" s="20" t="n">
        <v>1171</v>
      </c>
      <c r="K635" s="63" t="inlineStr">
        <is>
          <t>03/12/2025</t>
        </is>
      </c>
      <c r="L635" s="63" t="inlineStr">
        <is>
          <t>06/11/2026</t>
        </is>
      </c>
      <c r="M635" s="63" t="inlineStr">
        <is>
          <t>03/12/2025</t>
        </is>
      </c>
      <c r="O635" s="20" t="n">
        <v>1171</v>
      </c>
      <c r="P635" s="20" t="n"/>
      <c r="Q635" s="20" t="n"/>
      <c r="R635" s="20" t="n"/>
      <c r="S635" s="20" t="n"/>
      <c r="T635" s="20" t="n"/>
      <c r="U635" s="20" t="n">
        <v>1</v>
      </c>
      <c r="V635" s="20" t="n"/>
      <c r="W635" s="20" t="n"/>
      <c r="X635" s="20" t="n"/>
      <c r="Y635" s="20" t="n"/>
      <c r="Z635" s="20" t="n"/>
    </row>
    <row r="636">
      <c r="A636" s="64" t="inlineStr">
        <is>
          <t>5336</t>
        </is>
      </c>
      <c r="B636" s="64" t="inlineStr">
        <is>
          <t>A2</t>
        </is>
      </c>
      <c r="C636" s="11" t="n">
        <v>777</v>
      </c>
      <c r="D636" s="10" t="n">
        <v>1</v>
      </c>
      <c r="E636" s="10" t="n">
        <v>1</v>
      </c>
      <c r="F636" s="65" t="inlineStr">
        <is>
          <t>Market</t>
        </is>
      </c>
      <c r="G636" s="65" t="inlineStr">
        <is>
          <t>Occupied</t>
        </is>
      </c>
      <c r="H636" s="11" t="n">
        <v>1207</v>
      </c>
      <c r="I636" s="11" t="n">
        <v>1278</v>
      </c>
      <c r="J636" s="11" t="n">
        <v>1278</v>
      </c>
      <c r="K636" s="66" t="inlineStr">
        <is>
          <t>03/28/2025</t>
        </is>
      </c>
      <c r="L636" s="66" t="inlineStr">
        <is>
          <t>07/04/2026</t>
        </is>
      </c>
      <c r="M636" s="66" t="inlineStr">
        <is>
          <t>03/28/2025</t>
        </is>
      </c>
      <c r="O636" s="11" t="n">
        <v>1278</v>
      </c>
      <c r="P636" s="11" t="n"/>
      <c r="Q636" s="11" t="n">
        <v>100</v>
      </c>
      <c r="R636" s="11" t="n"/>
      <c r="S636" s="11" t="n"/>
      <c r="T636" s="11" t="n">
        <v>30</v>
      </c>
      <c r="U636" s="11" t="n">
        <v>1</v>
      </c>
      <c r="V636" s="11" t="n"/>
      <c r="W636" s="11" t="n"/>
      <c r="X636" s="11" t="n"/>
      <c r="Y636" s="11" t="n"/>
      <c r="Z636" s="11" t="n"/>
    </row>
    <row r="637">
      <c r="A637" s="61" t="inlineStr">
        <is>
          <t>5337</t>
        </is>
      </c>
      <c r="B637" s="61" t="inlineStr">
        <is>
          <t>A2</t>
        </is>
      </c>
      <c r="C637" s="20" t="n">
        <v>777</v>
      </c>
      <c r="D637" s="19" t="n">
        <v>1</v>
      </c>
      <c r="E637" s="19" t="n">
        <v>1</v>
      </c>
      <c r="F637" s="62" t="inlineStr">
        <is>
          <t>Market</t>
        </is>
      </c>
      <c r="G637" s="62" t="inlineStr">
        <is>
          <t>Occupied</t>
        </is>
      </c>
      <c r="H637" s="20" t="n">
        <v>1227</v>
      </c>
      <c r="I637" s="20" t="n">
        <v>1391</v>
      </c>
      <c r="J637" s="20" t="n">
        <v>1391</v>
      </c>
      <c r="K637" s="63" t="inlineStr">
        <is>
          <t>05/28/2025</t>
        </is>
      </c>
      <c r="L637" s="63" t="inlineStr">
        <is>
          <t>08/27/2026</t>
        </is>
      </c>
      <c r="M637" s="63" t="inlineStr">
        <is>
          <t>02/28/2024</t>
        </is>
      </c>
      <c r="O637" s="20" t="n">
        <v>1391</v>
      </c>
      <c r="P637" s="20" t="n"/>
      <c r="Q637" s="20" t="n"/>
      <c r="R637" s="20" t="n"/>
      <c r="S637" s="20" t="n"/>
      <c r="T637" s="20" t="n"/>
      <c r="U637" s="20" t="n">
        <v>1</v>
      </c>
      <c r="V637" s="20" t="n"/>
      <c r="W637" s="20" t="n"/>
      <c r="X637" s="20" t="n"/>
      <c r="Y637" s="20" t="n"/>
      <c r="Z637" s="20" t="n"/>
    </row>
    <row r="638">
      <c r="A638" s="64" t="inlineStr">
        <is>
          <t>5411</t>
        </is>
      </c>
      <c r="B638" s="64" t="inlineStr">
        <is>
          <t>B4</t>
        </is>
      </c>
      <c r="C638" s="11" t="n">
        <v>1187</v>
      </c>
      <c r="D638" s="10" t="n">
        <v>2</v>
      </c>
      <c r="E638" s="10" t="n">
        <v>2</v>
      </c>
      <c r="F638" s="65" t="inlineStr">
        <is>
          <t>Market</t>
        </is>
      </c>
      <c r="G638" s="65" t="inlineStr">
        <is>
          <t>Occupied</t>
        </is>
      </c>
      <c r="H638" s="11" t="n">
        <v>1756</v>
      </c>
      <c r="I638" s="11" t="n">
        <v>1680.96</v>
      </c>
      <c r="J638" s="11" t="n">
        <v>1680.96</v>
      </c>
      <c r="K638" s="66" t="inlineStr">
        <is>
          <t>01/01/2026</t>
        </is>
      </c>
      <c r="L638" s="66" t="inlineStr">
        <is>
          <t>12/31/2026</t>
        </is>
      </c>
      <c r="M638" s="66" t="inlineStr">
        <is>
          <t>06/07/2025</t>
        </is>
      </c>
      <c r="O638" s="11" t="n">
        <v>1680.96</v>
      </c>
      <c r="P638" s="11" t="n"/>
      <c r="Q638" s="11" t="n">
        <v>125</v>
      </c>
      <c r="R638" s="11" t="n"/>
      <c r="S638" s="11" t="n"/>
      <c r="T638" s="11" t="n"/>
      <c r="U638" s="11" t="n">
        <v>1</v>
      </c>
      <c r="V638" s="11" t="n"/>
      <c r="W638" s="11" t="n"/>
      <c r="X638" s="11" t="n"/>
      <c r="Y638" s="11" t="n"/>
      <c r="Z638" s="11" t="n"/>
    </row>
    <row r="639">
      <c r="A639" s="61" t="inlineStr">
        <is>
          <t>5412</t>
        </is>
      </c>
      <c r="B639" s="61" t="inlineStr">
        <is>
          <t>B1</t>
        </is>
      </c>
      <c r="C639" s="20" t="n">
        <v>947</v>
      </c>
      <c r="D639" s="19" t="n">
        <v>2</v>
      </c>
      <c r="E639" s="19" t="n">
        <v>2</v>
      </c>
      <c r="F639" s="62" t="inlineStr">
        <is>
          <t>Market</t>
        </is>
      </c>
      <c r="G639" s="62" t="inlineStr">
        <is>
          <t>Occupied</t>
        </is>
      </c>
      <c r="H639" s="20" t="n">
        <v>1492</v>
      </c>
      <c r="I639" s="20" t="n">
        <v>1415</v>
      </c>
      <c r="J639" s="20" t="n">
        <v>1415</v>
      </c>
      <c r="K639" s="63" t="inlineStr">
        <is>
          <t>05/04/2025</t>
        </is>
      </c>
      <c r="L639" s="63" t="inlineStr">
        <is>
          <t>07/03/2026</t>
        </is>
      </c>
      <c r="M639" s="63" t="inlineStr">
        <is>
          <t>05/04/2025</t>
        </is>
      </c>
      <c r="O639" s="20" t="n">
        <v>1415</v>
      </c>
      <c r="P639" s="20" t="n"/>
      <c r="Q639" s="20" t="n"/>
      <c r="R639" s="20" t="n"/>
      <c r="S639" s="20" t="n"/>
      <c r="T639" s="20" t="n"/>
      <c r="U639" s="20" t="n">
        <v>1</v>
      </c>
      <c r="V639" s="20" t="n"/>
      <c r="W639" s="20" t="n"/>
      <c r="X639" s="20" t="n"/>
      <c r="Y639" s="20" t="n"/>
      <c r="Z639" s="20" t="n"/>
    </row>
    <row r="640">
      <c r="A640" s="64" t="inlineStr">
        <is>
          <t>5413</t>
        </is>
      </c>
      <c r="B640" s="64" t="inlineStr">
        <is>
          <t>B1</t>
        </is>
      </c>
      <c r="C640" s="11" t="n">
        <v>947</v>
      </c>
      <c r="D640" s="10" t="n">
        <v>2</v>
      </c>
      <c r="E640" s="10" t="n">
        <v>2</v>
      </c>
      <c r="F640" s="65" t="inlineStr">
        <is>
          <t>Market</t>
        </is>
      </c>
      <c r="G640" s="65" t="inlineStr">
        <is>
          <t>Occupied</t>
        </is>
      </c>
      <c r="H640" s="11" t="n">
        <v>1532</v>
      </c>
      <c r="I640" s="11" t="n">
        <v>1329</v>
      </c>
      <c r="J640" s="11" t="n">
        <v>1329</v>
      </c>
      <c r="K640" s="66" t="inlineStr">
        <is>
          <t>03/08/2025</t>
        </is>
      </c>
      <c r="L640" s="66" t="inlineStr">
        <is>
          <t>06/07/2026</t>
        </is>
      </c>
      <c r="M640" s="66" t="inlineStr">
        <is>
          <t>06/12/2015</t>
        </is>
      </c>
      <c r="O640" s="11" t="n">
        <v>1329</v>
      </c>
      <c r="P640" s="11" t="n"/>
      <c r="Q640" s="11" t="n"/>
      <c r="R640" s="11" t="n"/>
      <c r="S640" s="11" t="n"/>
      <c r="T640" s="11" t="n"/>
      <c r="U640" s="11" t="n">
        <v>1</v>
      </c>
      <c r="V640" s="11" t="n"/>
      <c r="W640" s="11" t="n"/>
      <c r="X640" s="11" t="n"/>
      <c r="Y640" s="11" t="n"/>
      <c r="Z640" s="11" t="n"/>
    </row>
    <row r="641">
      <c r="A641" s="61" t="inlineStr">
        <is>
          <t>5414</t>
        </is>
      </c>
      <c r="B641" s="61" t="inlineStr">
        <is>
          <t>B4</t>
        </is>
      </c>
      <c r="C641" s="20" t="n">
        <v>1187</v>
      </c>
      <c r="D641" s="19" t="n">
        <v>2</v>
      </c>
      <c r="E641" s="19" t="n">
        <v>2</v>
      </c>
      <c r="F641" s="62" t="inlineStr">
        <is>
          <t>Market</t>
        </is>
      </c>
      <c r="G641" s="62" t="inlineStr">
        <is>
          <t>Occupied</t>
        </is>
      </c>
      <c r="H641" s="20" t="n">
        <v>1841</v>
      </c>
      <c r="I641" s="20" t="n">
        <v>1868</v>
      </c>
      <c r="J641" s="20" t="n">
        <v>1868</v>
      </c>
      <c r="K641" s="63" t="inlineStr">
        <is>
          <t>04/25/2026</t>
        </is>
      </c>
      <c r="L641" s="63" t="inlineStr">
        <is>
          <t>07/24/2027</t>
        </is>
      </c>
      <c r="M641" s="63" t="inlineStr">
        <is>
          <t>04/25/2026</t>
        </is>
      </c>
      <c r="O641" s="20" t="n">
        <v>1868</v>
      </c>
      <c r="P641" s="20" t="n">
        <v>35</v>
      </c>
      <c r="Q641" s="20" t="n"/>
      <c r="R641" s="20" t="n"/>
      <c r="S641" s="20" t="n"/>
      <c r="T641" s="20" t="n"/>
      <c r="U641" s="20" t="n">
        <v>3</v>
      </c>
      <c r="V641" s="20" t="n"/>
      <c r="W641" s="20" t="n"/>
      <c r="X641" s="20" t="n"/>
      <c r="Y641" s="20" t="n"/>
      <c r="Z641" s="20" t="n"/>
    </row>
    <row r="642">
      <c r="A642" s="64" t="inlineStr">
        <is>
          <t>5415</t>
        </is>
      </c>
      <c r="B642" s="64" t="inlineStr">
        <is>
          <t>B4</t>
        </is>
      </c>
      <c r="C642" s="11" t="n">
        <v>1187</v>
      </c>
      <c r="D642" s="10" t="n">
        <v>2</v>
      </c>
      <c r="E642" s="10" t="n">
        <v>2</v>
      </c>
      <c r="F642" s="65" t="inlineStr">
        <is>
          <t>Market</t>
        </is>
      </c>
      <c r="G642" s="65" t="inlineStr">
        <is>
          <t>Vacant</t>
        </is>
      </c>
      <c r="H642" s="11" t="n">
        <v>1896</v>
      </c>
      <c r="I642" s="11" t="n">
        <v>0</v>
      </c>
      <c r="J642" s="11" t="n">
        <v>0</v>
      </c>
      <c r="K642" s="66" t="n"/>
      <c r="L642" s="66" t="n"/>
      <c r="M642" s="66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61" t="inlineStr">
        <is>
          <t>5416</t>
        </is>
      </c>
      <c r="B643" s="61" t="inlineStr">
        <is>
          <t>B1</t>
        </is>
      </c>
      <c r="C643" s="20" t="n">
        <v>947</v>
      </c>
      <c r="D643" s="19" t="n">
        <v>2</v>
      </c>
      <c r="E643" s="19" t="n">
        <v>2</v>
      </c>
      <c r="F643" s="62" t="inlineStr">
        <is>
          <t>Market</t>
        </is>
      </c>
      <c r="G643" s="62" t="inlineStr">
        <is>
          <t>Occupied</t>
        </is>
      </c>
      <c r="H643" s="20" t="n">
        <v>1492</v>
      </c>
      <c r="I643" s="20" t="n">
        <v>1546</v>
      </c>
      <c r="J643" s="20" t="n">
        <v>1546</v>
      </c>
      <c r="K643" s="63" t="inlineStr">
        <is>
          <t>06/01/2025</t>
        </is>
      </c>
      <c r="L643" s="63" t="inlineStr">
        <is>
          <t>07/31/2026</t>
        </is>
      </c>
      <c r="M643" s="63" t="inlineStr">
        <is>
          <t>06/01/2025</t>
        </is>
      </c>
      <c r="O643" s="20" t="n">
        <v>1546</v>
      </c>
      <c r="P643" s="20" t="n"/>
      <c r="Q643" s="20" t="n"/>
      <c r="R643" s="20" t="n"/>
      <c r="S643" s="20" t="n"/>
      <c r="T643" s="20" t="n"/>
      <c r="U643" s="20" t="n">
        <v>1</v>
      </c>
      <c r="V643" s="20" t="n"/>
      <c r="W643" s="20" t="n"/>
      <c r="X643" s="20" t="n"/>
      <c r="Y643" s="20" t="n"/>
      <c r="Z643" s="20" t="n"/>
    </row>
    <row r="644">
      <c r="A644" s="64" t="inlineStr">
        <is>
          <t>5417</t>
        </is>
      </c>
      <c r="B644" s="64" t="inlineStr">
        <is>
          <t>B1</t>
        </is>
      </c>
      <c r="C644" s="11" t="n">
        <v>947</v>
      </c>
      <c r="D644" s="10" t="n">
        <v>2</v>
      </c>
      <c r="E644" s="10" t="n">
        <v>2</v>
      </c>
      <c r="F644" s="65" t="inlineStr">
        <is>
          <t>Market</t>
        </is>
      </c>
      <c r="G644" s="65" t="inlineStr">
        <is>
          <t>Occupied</t>
        </is>
      </c>
      <c r="H644" s="11" t="n">
        <v>1512</v>
      </c>
      <c r="I644" s="11" t="n">
        <v>1718</v>
      </c>
      <c r="J644" s="11" t="n">
        <v>1718</v>
      </c>
      <c r="K644" s="66" t="inlineStr">
        <is>
          <t>10/20/2025</t>
        </is>
      </c>
      <c r="L644" s="66" t="inlineStr">
        <is>
          <t>12/12/2026</t>
        </is>
      </c>
      <c r="M644" s="66" t="inlineStr">
        <is>
          <t>02/20/2021</t>
        </is>
      </c>
      <c r="O644" s="11" t="n">
        <v>1718</v>
      </c>
      <c r="P644" s="11" t="n"/>
      <c r="Q644" s="11" t="n"/>
      <c r="R644" s="11" t="n"/>
      <c r="S644" s="11" t="n"/>
      <c r="T644" s="11" t="n"/>
      <c r="U644" s="11" t="n">
        <v>1</v>
      </c>
      <c r="V644" s="11" t="n"/>
      <c r="W644" s="11" t="n"/>
      <c r="X644" s="11" t="n"/>
      <c r="Y644" s="11" t="n"/>
      <c r="Z644" s="11" t="n"/>
    </row>
    <row r="645">
      <c r="A645" s="61" t="inlineStr">
        <is>
          <t>5418</t>
        </is>
      </c>
      <c r="B645" s="61" t="inlineStr">
        <is>
          <t>B4</t>
        </is>
      </c>
      <c r="C645" s="20" t="n">
        <v>1187</v>
      </c>
      <c r="D645" s="19" t="n">
        <v>2</v>
      </c>
      <c r="E645" s="19" t="n">
        <v>2</v>
      </c>
      <c r="F645" s="62" t="inlineStr">
        <is>
          <t>Market</t>
        </is>
      </c>
      <c r="G645" s="62" t="inlineStr">
        <is>
          <t>Occupied</t>
        </is>
      </c>
      <c r="H645" s="20" t="n">
        <v>1776</v>
      </c>
      <c r="I645" s="20" t="n">
        <v>1706</v>
      </c>
      <c r="J645" s="20" t="n">
        <v>1706</v>
      </c>
      <c r="K645" s="63" t="inlineStr">
        <is>
          <t>03/01/2026</t>
        </is>
      </c>
      <c r="L645" s="63" t="inlineStr">
        <is>
          <t>02/28/2027</t>
        </is>
      </c>
      <c r="M645" s="63" t="inlineStr">
        <is>
          <t>03/01/2026</t>
        </is>
      </c>
      <c r="O645" s="20" t="n">
        <v>1706</v>
      </c>
      <c r="P645" s="20" t="n">
        <v>35</v>
      </c>
      <c r="Q645" s="20" t="n"/>
      <c r="R645" s="20" t="n"/>
      <c r="S645" s="20" t="n"/>
      <c r="T645" s="20" t="n"/>
      <c r="U645" s="20" t="n">
        <v>3</v>
      </c>
      <c r="V645" s="20" t="n"/>
      <c r="W645" s="20" t="n"/>
      <c r="X645" s="20" t="n"/>
      <c r="Y645" s="20" t="n"/>
      <c r="Z645" s="20" t="n"/>
    </row>
    <row r="646">
      <c r="A646" s="64" t="inlineStr">
        <is>
          <t>5421</t>
        </is>
      </c>
      <c r="B646" s="64" t="inlineStr">
        <is>
          <t>B4</t>
        </is>
      </c>
      <c r="C646" s="11" t="n">
        <v>1187</v>
      </c>
      <c r="D646" s="10" t="n">
        <v>2</v>
      </c>
      <c r="E646" s="10" t="n">
        <v>2</v>
      </c>
      <c r="F646" s="65" t="inlineStr">
        <is>
          <t>Market</t>
        </is>
      </c>
      <c r="G646" s="65" t="inlineStr">
        <is>
          <t>Occupied</t>
        </is>
      </c>
      <c r="H646" s="11" t="n">
        <v>1696</v>
      </c>
      <c r="I646" s="11" t="n">
        <v>1475</v>
      </c>
      <c r="J646" s="11" t="n">
        <v>1475</v>
      </c>
      <c r="K646" s="66" t="inlineStr">
        <is>
          <t>03/16/2026</t>
        </is>
      </c>
      <c r="L646" s="66" t="inlineStr">
        <is>
          <t>05/15/2027</t>
        </is>
      </c>
      <c r="M646" s="66" t="inlineStr">
        <is>
          <t>12/16/2024</t>
        </is>
      </c>
      <c r="O646" s="11" t="n">
        <v>1475</v>
      </c>
      <c r="P646" s="11" t="n">
        <v>35</v>
      </c>
      <c r="Q646" s="11" t="n"/>
      <c r="R646" s="11" t="n"/>
      <c r="S646" s="11" t="n"/>
      <c r="T646" s="11" t="n"/>
      <c r="U646" s="11" t="n">
        <v>3</v>
      </c>
      <c r="V646" s="11" t="n"/>
      <c r="W646" s="11" t="n"/>
      <c r="X646" s="11" t="n"/>
      <c r="Y646" s="11" t="n"/>
      <c r="Z646" s="11" t="n"/>
    </row>
    <row r="647">
      <c r="A647" s="61" t="inlineStr">
        <is>
          <t>5422</t>
        </is>
      </c>
      <c r="B647" s="61" t="inlineStr">
        <is>
          <t>B1</t>
        </is>
      </c>
      <c r="C647" s="20" t="n">
        <v>947</v>
      </c>
      <c r="D647" s="19" t="n">
        <v>2</v>
      </c>
      <c r="E647" s="19" t="n">
        <v>2</v>
      </c>
      <c r="F647" s="62" t="inlineStr">
        <is>
          <t>Market</t>
        </is>
      </c>
      <c r="G647" s="62" t="inlineStr">
        <is>
          <t>Occupied</t>
        </is>
      </c>
      <c r="H647" s="20" t="n">
        <v>1432</v>
      </c>
      <c r="I647" s="20" t="n">
        <v>1574</v>
      </c>
      <c r="J647" s="20" t="n">
        <v>1574</v>
      </c>
      <c r="K647" s="63" t="inlineStr">
        <is>
          <t>07/13/2025</t>
        </is>
      </c>
      <c r="L647" s="63" t="inlineStr">
        <is>
          <t>07/05/2026</t>
        </is>
      </c>
      <c r="M647" s="63" t="inlineStr">
        <is>
          <t>04/13/2024</t>
        </is>
      </c>
      <c r="O647" s="20" t="n">
        <v>1574</v>
      </c>
      <c r="P647" s="20" t="n"/>
      <c r="Q647" s="20" t="n"/>
      <c r="R647" s="20" t="n"/>
      <c r="S647" s="20" t="n"/>
      <c r="T647" s="20" t="n"/>
      <c r="U647" s="20" t="n">
        <v>1</v>
      </c>
      <c r="V647" s="20" t="n"/>
      <c r="W647" s="20" t="n"/>
      <c r="X647" s="20" t="n"/>
      <c r="Y647" s="20" t="n"/>
      <c r="Z647" s="20" t="n"/>
    </row>
    <row r="648">
      <c r="A648" s="64" t="inlineStr">
        <is>
          <t>5423</t>
        </is>
      </c>
      <c r="B648" s="64" t="inlineStr">
        <is>
          <t>B1</t>
        </is>
      </c>
      <c r="C648" s="11" t="n">
        <v>947</v>
      </c>
      <c r="D648" s="10" t="n">
        <v>2</v>
      </c>
      <c r="E648" s="10" t="n">
        <v>2</v>
      </c>
      <c r="F648" s="65" t="inlineStr">
        <is>
          <t>Market</t>
        </is>
      </c>
      <c r="G648" s="65" t="inlineStr">
        <is>
          <t>Occupied</t>
        </is>
      </c>
      <c r="H648" s="11" t="n">
        <v>1452</v>
      </c>
      <c r="I648" s="11" t="n">
        <v>1195</v>
      </c>
      <c r="J648" s="11" t="n">
        <v>1195</v>
      </c>
      <c r="K648" s="66" t="inlineStr">
        <is>
          <t>12/05/2025</t>
        </is>
      </c>
      <c r="L648" s="66" t="inlineStr">
        <is>
          <t>02/04/2027</t>
        </is>
      </c>
      <c r="M648" s="66" t="inlineStr">
        <is>
          <t>12/05/2025</t>
        </is>
      </c>
      <c r="O648" s="11" t="n">
        <v>1195</v>
      </c>
      <c r="P648" s="11" t="n"/>
      <c r="Q648" s="11" t="n"/>
      <c r="R648" s="11" t="n"/>
      <c r="S648" s="11" t="n"/>
      <c r="T648" s="11" t="n"/>
      <c r="U648" s="11" t="n">
        <v>3</v>
      </c>
      <c r="V648" s="11" t="n"/>
      <c r="W648" s="11" t="n"/>
      <c r="X648" s="11" t="n"/>
      <c r="Y648" s="11" t="n"/>
      <c r="Z648" s="11" t="n"/>
    </row>
    <row r="649">
      <c r="A649" s="61" t="inlineStr">
        <is>
          <t>5424</t>
        </is>
      </c>
      <c r="B649" s="61" t="inlineStr">
        <is>
          <t>B4</t>
        </is>
      </c>
      <c r="C649" s="20" t="n">
        <v>1187</v>
      </c>
      <c r="D649" s="19" t="n">
        <v>2</v>
      </c>
      <c r="E649" s="19" t="n">
        <v>2</v>
      </c>
      <c r="F649" s="62" t="inlineStr">
        <is>
          <t>Market</t>
        </is>
      </c>
      <c r="G649" s="62" t="inlineStr">
        <is>
          <t>Occupied</t>
        </is>
      </c>
      <c r="H649" s="20" t="n">
        <v>1716</v>
      </c>
      <c r="I649" s="20" t="n">
        <v>1489</v>
      </c>
      <c r="J649" s="20" t="n">
        <v>1489</v>
      </c>
      <c r="K649" s="63" t="inlineStr">
        <is>
          <t>02/01/2026</t>
        </is>
      </c>
      <c r="L649" s="63" t="inlineStr">
        <is>
          <t>03/21/2027</t>
        </is>
      </c>
      <c r="M649" s="63" t="inlineStr">
        <is>
          <t>12/31/2024</t>
        </is>
      </c>
      <c r="O649" s="20" t="n">
        <v>1489</v>
      </c>
      <c r="P649" s="20" t="n"/>
      <c r="Q649" s="20" t="n"/>
      <c r="R649" s="20" t="n"/>
      <c r="S649" s="20" t="n"/>
      <c r="T649" s="20" t="n"/>
      <c r="U649" s="20" t="n">
        <v>1</v>
      </c>
      <c r="V649" s="20" t="n"/>
      <c r="W649" s="20" t="n"/>
      <c r="X649" s="20" t="n"/>
      <c r="Y649" s="20" t="n"/>
      <c r="Z649" s="20" t="n"/>
    </row>
    <row r="650">
      <c r="A650" s="64" t="inlineStr">
        <is>
          <t>5425</t>
        </is>
      </c>
      <c r="B650" s="64" t="inlineStr">
        <is>
          <t>B4</t>
        </is>
      </c>
      <c r="C650" s="11" t="n">
        <v>1187</v>
      </c>
      <c r="D650" s="10" t="n">
        <v>2</v>
      </c>
      <c r="E650" s="10" t="n">
        <v>2</v>
      </c>
      <c r="F650" s="65" t="inlineStr">
        <is>
          <t>Market</t>
        </is>
      </c>
      <c r="G650" s="65" t="inlineStr">
        <is>
          <t>Occupied</t>
        </is>
      </c>
      <c r="H650" s="11" t="n">
        <v>1696</v>
      </c>
      <c r="I650" s="11" t="n">
        <v>1509</v>
      </c>
      <c r="J650" s="11" t="n">
        <v>1509</v>
      </c>
      <c r="K650" s="66" t="inlineStr">
        <is>
          <t>02/03/2026</t>
        </is>
      </c>
      <c r="L650" s="66" t="inlineStr">
        <is>
          <t>03/02/2027</t>
        </is>
      </c>
      <c r="M650" s="66" t="inlineStr">
        <is>
          <t>01/03/2025</t>
        </is>
      </c>
      <c r="O650" s="11" t="n">
        <v>1509</v>
      </c>
      <c r="P650" s="11" t="n"/>
      <c r="Q650" s="11" t="n"/>
      <c r="R650" s="11" t="n"/>
      <c r="S650" s="11" t="n"/>
      <c r="T650" s="11" t="n"/>
      <c r="U650" s="11" t="n">
        <v>3</v>
      </c>
      <c r="V650" s="11" t="n"/>
      <c r="W650" s="11" t="n"/>
      <c r="X650" s="11" t="n"/>
      <c r="Y650" s="11" t="n"/>
      <c r="Z650" s="11" t="n"/>
    </row>
    <row r="651">
      <c r="A651" s="61" t="inlineStr">
        <is>
          <t>5426</t>
        </is>
      </c>
      <c r="B651" s="61" t="inlineStr">
        <is>
          <t>B1</t>
        </is>
      </c>
      <c r="C651" s="20" t="n">
        <v>947</v>
      </c>
      <c r="D651" s="19" t="n">
        <v>2</v>
      </c>
      <c r="E651" s="19" t="n">
        <v>2</v>
      </c>
      <c r="F651" s="62" t="inlineStr">
        <is>
          <t>Market</t>
        </is>
      </c>
      <c r="G651" s="62" t="inlineStr">
        <is>
          <t>Occupied</t>
        </is>
      </c>
      <c r="H651" s="20" t="n">
        <v>1517</v>
      </c>
      <c r="I651" s="20" t="n">
        <v>1646</v>
      </c>
      <c r="J651" s="20" t="n">
        <v>1646</v>
      </c>
      <c r="K651" s="63" t="inlineStr">
        <is>
          <t>09/08/2025</t>
        </is>
      </c>
      <c r="L651" s="63" t="inlineStr">
        <is>
          <t>12/07/2026</t>
        </is>
      </c>
      <c r="M651" s="63" t="inlineStr">
        <is>
          <t>03/08/2023</t>
        </is>
      </c>
      <c r="O651" s="20" t="n">
        <v>1646</v>
      </c>
      <c r="P651" s="20" t="n"/>
      <c r="Q651" s="20" t="n"/>
      <c r="R651" s="20" t="n"/>
      <c r="S651" s="20" t="n"/>
      <c r="T651" s="20" t="n"/>
      <c r="U651" s="20" t="n">
        <v>1</v>
      </c>
      <c r="V651" s="20" t="n"/>
      <c r="W651" s="20" t="n"/>
      <c r="X651" s="20" t="n"/>
      <c r="Y651" s="20" t="n"/>
      <c r="Z651" s="20" t="n"/>
    </row>
    <row r="652">
      <c r="A652" s="64" t="inlineStr">
        <is>
          <t>5427</t>
        </is>
      </c>
      <c r="B652" s="64" t="inlineStr">
        <is>
          <t>B1</t>
        </is>
      </c>
      <c r="C652" s="11" t="n">
        <v>947</v>
      </c>
      <c r="D652" s="10" t="n">
        <v>2</v>
      </c>
      <c r="E652" s="10" t="n">
        <v>2</v>
      </c>
      <c r="F652" s="65" t="inlineStr">
        <is>
          <t>Market</t>
        </is>
      </c>
      <c r="G652" s="65" t="inlineStr">
        <is>
          <t>Occupied</t>
        </is>
      </c>
      <c r="H652" s="11" t="n">
        <v>1452</v>
      </c>
      <c r="I652" s="11" t="n">
        <v>1487</v>
      </c>
      <c r="J652" s="11" t="n">
        <v>1487</v>
      </c>
      <c r="K652" s="66" t="inlineStr">
        <is>
          <t>08/23/2025</t>
        </is>
      </c>
      <c r="L652" s="66" t="inlineStr">
        <is>
          <t>08/15/2026</t>
        </is>
      </c>
      <c r="M652" s="66" t="inlineStr">
        <is>
          <t>08/15/2023</t>
        </is>
      </c>
      <c r="O652" s="11" t="n">
        <v>1487</v>
      </c>
      <c r="P652" s="11" t="n"/>
      <c r="Q652" s="11" t="n">
        <v>100</v>
      </c>
      <c r="R652" s="11" t="n"/>
      <c r="S652" s="11" t="n"/>
      <c r="T652" s="11" t="n"/>
      <c r="U652" s="11" t="n">
        <v>1</v>
      </c>
      <c r="V652" s="11" t="n"/>
      <c r="W652" s="11" t="n"/>
      <c r="X652" s="11" t="n"/>
      <c r="Y652" s="11" t="n"/>
      <c r="Z652" s="11" t="n"/>
    </row>
    <row r="653">
      <c r="A653" s="61" t="inlineStr">
        <is>
          <t>5428</t>
        </is>
      </c>
      <c r="B653" s="61" t="inlineStr">
        <is>
          <t>B4</t>
        </is>
      </c>
      <c r="C653" s="20" t="n">
        <v>1187</v>
      </c>
      <c r="D653" s="19" t="n">
        <v>2</v>
      </c>
      <c r="E653" s="19" t="n">
        <v>2</v>
      </c>
      <c r="F653" s="62" t="inlineStr">
        <is>
          <t>Market</t>
        </is>
      </c>
      <c r="G653" s="62" t="inlineStr">
        <is>
          <t>Occupied</t>
        </is>
      </c>
      <c r="H653" s="20" t="n">
        <v>1716</v>
      </c>
      <c r="I653" s="20" t="n">
        <v>1597.5</v>
      </c>
      <c r="J653" s="20" t="n">
        <v>1597.5</v>
      </c>
      <c r="K653" s="63" t="inlineStr">
        <is>
          <t>05/03/2026</t>
        </is>
      </c>
      <c r="L653" s="63" t="inlineStr">
        <is>
          <t>08/02/2027</t>
        </is>
      </c>
      <c r="M653" s="63" t="inlineStr">
        <is>
          <t>02/03/2025</t>
        </is>
      </c>
      <c r="O653" s="20" t="n">
        <v>1597.5</v>
      </c>
      <c r="P653" s="20" t="n">
        <v>35</v>
      </c>
      <c r="Q653" s="20" t="n"/>
      <c r="R653" s="20" t="n"/>
      <c r="S653" s="20" t="n"/>
      <c r="T653" s="20" t="n"/>
      <c r="U653" s="20" t="n">
        <v>3</v>
      </c>
      <c r="V653" s="20" t="n"/>
      <c r="W653" s="20" t="n"/>
      <c r="X653" s="20" t="n"/>
      <c r="Y653" s="20" t="n"/>
      <c r="Z653" s="20" t="n"/>
    </row>
    <row r="654">
      <c r="A654" s="64" t="inlineStr">
        <is>
          <t>5432</t>
        </is>
      </c>
      <c r="B654" s="64" t="inlineStr">
        <is>
          <t>B1</t>
        </is>
      </c>
      <c r="C654" s="11" t="n">
        <v>947</v>
      </c>
      <c r="D654" s="10" t="n">
        <v>2</v>
      </c>
      <c r="E654" s="10" t="n">
        <v>2</v>
      </c>
      <c r="F654" s="65" t="inlineStr">
        <is>
          <t>Market</t>
        </is>
      </c>
      <c r="G654" s="65" t="inlineStr">
        <is>
          <t>Occupied</t>
        </is>
      </c>
      <c r="H654" s="11" t="n">
        <v>1432</v>
      </c>
      <c r="I654" s="11" t="n">
        <v>1848</v>
      </c>
      <c r="J654" s="11" t="n">
        <v>1848</v>
      </c>
      <c r="K654" s="66" t="inlineStr">
        <is>
          <t>10/18/2025</t>
        </is>
      </c>
      <c r="L654" s="66" t="inlineStr">
        <is>
          <t>08/24/2026</t>
        </is>
      </c>
      <c r="M654" s="66" t="inlineStr">
        <is>
          <t>07/25/2021</t>
        </is>
      </c>
      <c r="O654" s="11" t="n">
        <v>1848</v>
      </c>
      <c r="P654" s="11" t="n"/>
      <c r="Q654" s="11" t="n"/>
      <c r="R654" s="11" t="n"/>
      <c r="S654" s="11" t="n"/>
      <c r="T654" s="11" t="n">
        <v>45</v>
      </c>
      <c r="U654" s="11" t="n">
        <v>1</v>
      </c>
      <c r="V654" s="11" t="n"/>
      <c r="W654" s="11" t="n"/>
      <c r="X654" s="11" t="n"/>
      <c r="Y654" s="11" t="n"/>
      <c r="Z654" s="11" t="n"/>
    </row>
    <row r="655">
      <c r="A655" s="61" t="inlineStr">
        <is>
          <t>5433</t>
        </is>
      </c>
      <c r="B655" s="61" t="inlineStr">
        <is>
          <t>B1</t>
        </is>
      </c>
      <c r="C655" s="20" t="n">
        <v>947</v>
      </c>
      <c r="D655" s="19" t="n">
        <v>2</v>
      </c>
      <c r="E655" s="19" t="n">
        <v>2</v>
      </c>
      <c r="F655" s="62" t="inlineStr">
        <is>
          <t>Market</t>
        </is>
      </c>
      <c r="G655" s="62" t="inlineStr">
        <is>
          <t>Occupied</t>
        </is>
      </c>
      <c r="H655" s="20" t="n">
        <v>1432</v>
      </c>
      <c r="I655" s="20" t="n">
        <v>1274</v>
      </c>
      <c r="J655" s="20" t="n">
        <v>1274</v>
      </c>
      <c r="K655" s="63" t="inlineStr">
        <is>
          <t>01/20/2026</t>
        </is>
      </c>
      <c r="L655" s="63" t="inlineStr">
        <is>
          <t>03/19/2027</t>
        </is>
      </c>
      <c r="M655" s="63" t="inlineStr">
        <is>
          <t>01/20/2026</t>
        </is>
      </c>
      <c r="O655" s="20" t="n">
        <v>1274</v>
      </c>
      <c r="P655" s="20" t="n">
        <v>35</v>
      </c>
      <c r="Q655" s="20" t="n"/>
      <c r="R655" s="20" t="n"/>
      <c r="S655" s="20" t="n"/>
      <c r="T655" s="20" t="n"/>
      <c r="U655" s="20" t="n">
        <v>3</v>
      </c>
      <c r="V655" s="20" t="n"/>
      <c r="W655" s="20" t="n"/>
      <c r="X655" s="20" t="n"/>
      <c r="Y655" s="20" t="n"/>
      <c r="Z655" s="20" t="n"/>
    </row>
    <row r="656">
      <c r="A656" s="64" t="inlineStr">
        <is>
          <t>5436</t>
        </is>
      </c>
      <c r="B656" s="64" t="inlineStr">
        <is>
          <t>B1</t>
        </is>
      </c>
      <c r="C656" s="11" t="n">
        <v>947</v>
      </c>
      <c r="D656" s="10" t="n">
        <v>2</v>
      </c>
      <c r="E656" s="10" t="n">
        <v>2</v>
      </c>
      <c r="F656" s="65" t="inlineStr">
        <is>
          <t>Market</t>
        </is>
      </c>
      <c r="G656" s="65" t="inlineStr">
        <is>
          <t>Occupied</t>
        </is>
      </c>
      <c r="H656" s="11" t="n">
        <v>1432</v>
      </c>
      <c r="I656" s="11" t="n">
        <v>1408</v>
      </c>
      <c r="J656" s="11" t="n">
        <v>1408</v>
      </c>
      <c r="K656" s="66" t="inlineStr">
        <is>
          <t>05/18/2026</t>
        </is>
      </c>
      <c r="L656" s="66" t="inlineStr">
        <is>
          <t>08/17/2027</t>
        </is>
      </c>
      <c r="M656" s="66" t="inlineStr">
        <is>
          <t>11/18/2023</t>
        </is>
      </c>
      <c r="O656" s="11" t="n">
        <v>1408</v>
      </c>
      <c r="P656" s="11" t="n">
        <v>35</v>
      </c>
      <c r="Q656" s="11" t="n"/>
      <c r="R656" s="11" t="n"/>
      <c r="S656" s="11" t="n"/>
      <c r="T656" s="11" t="n"/>
      <c r="U656" s="11" t="n">
        <v>3</v>
      </c>
      <c r="V656" s="11" t="n"/>
      <c r="W656" s="11" t="n"/>
      <c r="X656" s="11" t="n"/>
      <c r="Y656" s="11" t="n"/>
      <c r="Z656" s="11" t="n"/>
    </row>
    <row r="657">
      <c r="A657" s="61" t="inlineStr">
        <is>
          <t>5437</t>
        </is>
      </c>
      <c r="B657" s="61" t="inlineStr">
        <is>
          <t>B1</t>
        </is>
      </c>
      <c r="C657" s="20" t="n">
        <v>947</v>
      </c>
      <c r="D657" s="19" t="n">
        <v>2</v>
      </c>
      <c r="E657" s="19" t="n">
        <v>2</v>
      </c>
      <c r="F657" s="62" t="inlineStr">
        <is>
          <t>Market</t>
        </is>
      </c>
      <c r="G657" s="62" t="inlineStr">
        <is>
          <t>Occupied</t>
        </is>
      </c>
      <c r="H657" s="20" t="n">
        <v>1452</v>
      </c>
      <c r="I657" s="20" t="n">
        <v>1323</v>
      </c>
      <c r="J657" s="20" t="n">
        <v>1323</v>
      </c>
      <c r="K657" s="63" t="inlineStr">
        <is>
          <t>02/28/2026</t>
        </is>
      </c>
      <c r="L657" s="63" t="inlineStr">
        <is>
          <t>02/27/2027</t>
        </is>
      </c>
      <c r="M657" s="63" t="inlineStr">
        <is>
          <t>02/28/2026</t>
        </is>
      </c>
      <c r="O657" s="20" t="n">
        <v>1323</v>
      </c>
      <c r="P657" s="20" t="n">
        <v>35</v>
      </c>
      <c r="Q657" s="20" t="n"/>
      <c r="R657" s="20" t="n"/>
      <c r="S657" s="20" t="n"/>
      <c r="T657" s="20" t="n"/>
      <c r="U657" s="20" t="n">
        <v>3</v>
      </c>
      <c r="V657" s="20" t="n"/>
      <c r="W657" s="20" t="n"/>
      <c r="X657" s="20" t="n"/>
      <c r="Y657" s="20" t="n"/>
      <c r="Z657" s="20" t="n"/>
    </row>
    <row r="658">
      <c r="A658" s="64" t="inlineStr">
        <is>
          <t>5511</t>
        </is>
      </c>
      <c r="B658" s="64" t="inlineStr">
        <is>
          <t>C2</t>
        </is>
      </c>
      <c r="C658" s="11" t="n">
        <v>1364</v>
      </c>
      <c r="D658" s="10" t="n">
        <v>3</v>
      </c>
      <c r="E658" s="10" t="n">
        <v>2</v>
      </c>
      <c r="F658" s="65" t="inlineStr">
        <is>
          <t>Market</t>
        </is>
      </c>
      <c r="G658" s="65" t="inlineStr">
        <is>
          <t>Occupied</t>
        </is>
      </c>
      <c r="H658" s="11" t="n">
        <v>2135</v>
      </c>
      <c r="I658" s="11" t="n">
        <v>1929</v>
      </c>
      <c r="J658" s="11" t="n">
        <v>1929</v>
      </c>
      <c r="K658" s="66" t="inlineStr">
        <is>
          <t>04/12/2025</t>
        </is>
      </c>
      <c r="L658" s="66" t="inlineStr">
        <is>
          <t>06/11/2026</t>
        </is>
      </c>
      <c r="M658" s="66" t="inlineStr">
        <is>
          <t>04/12/2025</t>
        </is>
      </c>
      <c r="O658" s="11" t="n">
        <v>1929</v>
      </c>
      <c r="P658" s="11" t="n"/>
      <c r="Q658" s="11" t="n"/>
      <c r="R658" s="11" t="n"/>
      <c r="S658" s="11" t="n"/>
      <c r="T658" s="11" t="n">
        <v>30</v>
      </c>
      <c r="U658" s="11" t="n">
        <v>1</v>
      </c>
      <c r="V658" s="11" t="n"/>
      <c r="W658" s="11" t="n"/>
      <c r="X658" s="11" t="n"/>
      <c r="Y658" s="11" t="n"/>
      <c r="Z658" s="11" t="n"/>
    </row>
    <row r="659">
      <c r="A659" s="61" t="inlineStr">
        <is>
          <t>5512</t>
        </is>
      </c>
      <c r="B659" s="61" t="inlineStr">
        <is>
          <t>C2</t>
        </is>
      </c>
      <c r="C659" s="20" t="n">
        <v>1364</v>
      </c>
      <c r="D659" s="19" t="n">
        <v>3</v>
      </c>
      <c r="E659" s="19" t="n">
        <v>2</v>
      </c>
      <c r="F659" s="62" t="inlineStr">
        <is>
          <t>Market</t>
        </is>
      </c>
      <c r="G659" s="62" t="inlineStr">
        <is>
          <t>Occupied</t>
        </is>
      </c>
      <c r="H659" s="20" t="n">
        <v>2135</v>
      </c>
      <c r="I659" s="20" t="n">
        <v>2049</v>
      </c>
      <c r="J659" s="20" t="n">
        <v>2049</v>
      </c>
      <c r="K659" s="63" t="inlineStr">
        <is>
          <t>10/18/2025</t>
        </is>
      </c>
      <c r="L659" s="63" t="inlineStr">
        <is>
          <t>12/17/2026</t>
        </is>
      </c>
      <c r="M659" s="63" t="inlineStr">
        <is>
          <t>10/18/2025</t>
        </is>
      </c>
      <c r="O659" s="20" t="n">
        <v>2049</v>
      </c>
      <c r="P659" s="20" t="n"/>
      <c r="Q659" s="20" t="n"/>
      <c r="R659" s="20" t="n"/>
      <c r="S659" s="20" t="n"/>
      <c r="T659" s="20" t="n">
        <v>30</v>
      </c>
      <c r="U659" s="20" t="n">
        <v>1</v>
      </c>
      <c r="V659" s="20" t="n"/>
      <c r="W659" s="20" t="n"/>
      <c r="X659" s="20" t="n"/>
      <c r="Y659" s="20" t="n"/>
      <c r="Z659" s="20" t="n"/>
    </row>
    <row r="660">
      <c r="A660" s="64" t="inlineStr">
        <is>
          <t>5513</t>
        </is>
      </c>
      <c r="B660" s="64" t="inlineStr">
        <is>
          <t>C2</t>
        </is>
      </c>
      <c r="C660" s="11" t="n">
        <v>1364</v>
      </c>
      <c r="D660" s="10" t="n">
        <v>3</v>
      </c>
      <c r="E660" s="10" t="n">
        <v>2</v>
      </c>
      <c r="F660" s="65" t="inlineStr">
        <is>
          <t>Market</t>
        </is>
      </c>
      <c r="G660" s="65" t="inlineStr">
        <is>
          <t>Occupied</t>
        </is>
      </c>
      <c r="H660" s="11" t="n">
        <v>2135</v>
      </c>
      <c r="I660" s="11" t="n">
        <v>1777</v>
      </c>
      <c r="J660" s="11" t="n">
        <v>1777</v>
      </c>
      <c r="K660" s="66" t="inlineStr">
        <is>
          <t>12/11/2025</t>
        </is>
      </c>
      <c r="L660" s="66" t="inlineStr">
        <is>
          <t>03/10/2027</t>
        </is>
      </c>
      <c r="M660" s="66" t="inlineStr">
        <is>
          <t>12/11/2025</t>
        </is>
      </c>
      <c r="O660" s="11" t="n">
        <v>1777</v>
      </c>
      <c r="P660" s="11" t="n"/>
      <c r="Q660" s="11" t="n"/>
      <c r="R660" s="11" t="n"/>
      <c r="S660" s="11" t="n"/>
      <c r="T660" s="11" t="n"/>
      <c r="U660" s="11" t="n">
        <v>3</v>
      </c>
      <c r="V660" s="11" t="n"/>
      <c r="W660" s="11" t="n"/>
      <c r="X660" s="11" t="n"/>
      <c r="Y660" s="11" t="n"/>
      <c r="Z660" s="11" t="n"/>
    </row>
    <row r="661">
      <c r="A661" s="61" t="inlineStr">
        <is>
          <t>5514</t>
        </is>
      </c>
      <c r="B661" s="61" t="inlineStr">
        <is>
          <t>C2</t>
        </is>
      </c>
      <c r="C661" s="20" t="n">
        <v>1364</v>
      </c>
      <c r="D661" s="19" t="n">
        <v>3</v>
      </c>
      <c r="E661" s="19" t="n">
        <v>2</v>
      </c>
      <c r="F661" s="62" t="inlineStr">
        <is>
          <t>Market</t>
        </is>
      </c>
      <c r="G661" s="62" t="inlineStr">
        <is>
          <t>Occupied</t>
        </is>
      </c>
      <c r="H661" s="20" t="n">
        <v>2135</v>
      </c>
      <c r="I661" s="20" t="n">
        <v>2006</v>
      </c>
      <c r="J661" s="20" t="n">
        <v>2006</v>
      </c>
      <c r="K661" s="63" t="inlineStr">
        <is>
          <t>08/09/2025</t>
        </is>
      </c>
      <c r="L661" s="63" t="inlineStr">
        <is>
          <t>08/08/2026</t>
        </is>
      </c>
      <c r="M661" s="63" t="inlineStr">
        <is>
          <t>05/09/2024</t>
        </is>
      </c>
      <c r="O661" s="20" t="n">
        <v>2006</v>
      </c>
      <c r="P661" s="20" t="n"/>
      <c r="Q661" s="20" t="n"/>
      <c r="R661" s="20" t="n"/>
      <c r="S661" s="20" t="n"/>
      <c r="T661" s="20" t="n"/>
      <c r="U661" s="20" t="n">
        <v>1</v>
      </c>
      <c r="V661" s="20" t="n"/>
      <c r="W661" s="20" t="n"/>
      <c r="X661" s="20" t="n">
        <v>228.54</v>
      </c>
      <c r="Y661" s="20" t="n"/>
      <c r="Z661" s="20" t="n"/>
    </row>
    <row r="662">
      <c r="A662" s="64" t="inlineStr">
        <is>
          <t>5515</t>
        </is>
      </c>
      <c r="B662" s="64" t="inlineStr">
        <is>
          <t>C2</t>
        </is>
      </c>
      <c r="C662" s="11" t="n">
        <v>1364</v>
      </c>
      <c r="D662" s="10" t="n">
        <v>3</v>
      </c>
      <c r="E662" s="10" t="n">
        <v>2</v>
      </c>
      <c r="F662" s="65" t="inlineStr">
        <is>
          <t>Market</t>
        </is>
      </c>
      <c r="G662" s="65" t="inlineStr">
        <is>
          <t>Occupied</t>
        </is>
      </c>
      <c r="H662" s="11" t="n">
        <v>2135</v>
      </c>
      <c r="I662" s="11" t="n">
        <v>2389</v>
      </c>
      <c r="J662" s="11" t="n">
        <v>2389</v>
      </c>
      <c r="K662" s="66" t="inlineStr">
        <is>
          <t>09/11/2025</t>
        </is>
      </c>
      <c r="L662" s="66" t="inlineStr">
        <is>
          <t>08/17/2026</t>
        </is>
      </c>
      <c r="M662" s="66" t="inlineStr">
        <is>
          <t>06/04/2023</t>
        </is>
      </c>
      <c r="O662" s="11" t="n">
        <v>2389</v>
      </c>
      <c r="P662" s="11" t="n"/>
      <c r="Q662" s="11" t="n"/>
      <c r="R662" s="11" t="n"/>
      <c r="S662" s="11" t="n"/>
      <c r="T662" s="11" t="n"/>
      <c r="U662" s="11" t="n">
        <v>1</v>
      </c>
      <c r="V662" s="11" t="n"/>
      <c r="W662" s="11" t="n"/>
      <c r="X662" s="11" t="n"/>
      <c r="Y662" s="11" t="n"/>
      <c r="Z662" s="11" t="n"/>
    </row>
    <row r="663">
      <c r="A663" s="61" t="inlineStr">
        <is>
          <t>5811</t>
        </is>
      </c>
      <c r="B663" s="61" t="inlineStr">
        <is>
          <t>A2</t>
        </is>
      </c>
      <c r="C663" s="20" t="n">
        <v>777</v>
      </c>
      <c r="D663" s="19" t="n">
        <v>1</v>
      </c>
      <c r="E663" s="19" t="n">
        <v>1</v>
      </c>
      <c r="F663" s="62" t="inlineStr">
        <is>
          <t>Market</t>
        </is>
      </c>
      <c r="G663" s="62" t="inlineStr">
        <is>
          <t>Occupied</t>
        </is>
      </c>
      <c r="H663" s="20" t="n">
        <v>1227</v>
      </c>
      <c r="I663" s="20" t="n">
        <v>1227</v>
      </c>
      <c r="J663" s="20" t="n">
        <v>1227</v>
      </c>
      <c r="K663" s="63" t="inlineStr">
        <is>
          <t>04/13/2026</t>
        </is>
      </c>
      <c r="L663" s="63" t="inlineStr">
        <is>
          <t>07/12/2027</t>
        </is>
      </c>
      <c r="M663" s="63" t="inlineStr">
        <is>
          <t>03/06/2020</t>
        </is>
      </c>
      <c r="O663" s="20" t="n">
        <v>1227</v>
      </c>
      <c r="P663" s="20" t="n">
        <v>35</v>
      </c>
      <c r="Q663" s="20" t="n"/>
      <c r="R663" s="20" t="n"/>
      <c r="S663" s="20" t="n"/>
      <c r="T663" s="20" t="n"/>
      <c r="U663" s="20" t="n">
        <v>3</v>
      </c>
      <c r="V663" s="20" t="n"/>
      <c r="W663" s="20" t="n"/>
      <c r="X663" s="20" t="n"/>
      <c r="Y663" s="20" t="n"/>
      <c r="Z663" s="20" t="n"/>
    </row>
    <row r="664">
      <c r="A664" s="64" t="inlineStr">
        <is>
          <t>5812</t>
        </is>
      </c>
      <c r="B664" s="64" t="inlineStr">
        <is>
          <t>A2</t>
        </is>
      </c>
      <c r="C664" s="11" t="n">
        <v>777</v>
      </c>
      <c r="D664" s="10" t="n">
        <v>1</v>
      </c>
      <c r="E664" s="10" t="n">
        <v>1</v>
      </c>
      <c r="F664" s="65" t="inlineStr">
        <is>
          <t>Market</t>
        </is>
      </c>
      <c r="G664" s="65" t="inlineStr">
        <is>
          <t>Vacant</t>
        </is>
      </c>
      <c r="H664" s="11" t="n">
        <v>1362</v>
      </c>
      <c r="I664" s="11" t="n">
        <v>0</v>
      </c>
      <c r="J664" s="11" t="n">
        <v>0</v>
      </c>
      <c r="K664" s="66" t="n"/>
      <c r="L664" s="66" t="n"/>
      <c r="M664" s="66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61" t="inlineStr">
        <is>
          <t>5813</t>
        </is>
      </c>
      <c r="B665" s="61" t="inlineStr">
        <is>
          <t>A2</t>
        </is>
      </c>
      <c r="C665" s="20" t="n">
        <v>777</v>
      </c>
      <c r="D665" s="19" t="n">
        <v>1</v>
      </c>
      <c r="E665" s="19" t="n">
        <v>1</v>
      </c>
      <c r="F665" s="62" t="inlineStr">
        <is>
          <t>Market</t>
        </is>
      </c>
      <c r="G665" s="62" t="inlineStr">
        <is>
          <t>Occupied</t>
        </is>
      </c>
      <c r="H665" s="20" t="n">
        <v>1227</v>
      </c>
      <c r="I665" s="20" t="n">
        <v>1314</v>
      </c>
      <c r="J665" s="20" t="n">
        <v>1314</v>
      </c>
      <c r="K665" s="63" t="inlineStr">
        <is>
          <t>04/08/2026</t>
        </is>
      </c>
      <c r="L665" s="63" t="inlineStr">
        <is>
          <t>07/07/2027</t>
        </is>
      </c>
      <c r="M665" s="63" t="inlineStr">
        <is>
          <t>01/08/2024</t>
        </is>
      </c>
      <c r="O665" s="20" t="n">
        <v>1314</v>
      </c>
      <c r="P665" s="20" t="n">
        <v>35</v>
      </c>
      <c r="Q665" s="20" t="n"/>
      <c r="R665" s="20" t="n"/>
      <c r="S665" s="20" t="n"/>
      <c r="T665" s="20" t="n"/>
      <c r="U665" s="20" t="n">
        <v>3</v>
      </c>
      <c r="V665" s="20" t="n"/>
      <c r="W665" s="20" t="n"/>
      <c r="X665" s="20" t="n"/>
      <c r="Y665" s="20" t="n"/>
      <c r="Z665" s="20" t="n"/>
    </row>
    <row r="666">
      <c r="A666" s="64" t="inlineStr">
        <is>
          <t>5814</t>
        </is>
      </c>
      <c r="B666" s="64" t="inlineStr">
        <is>
          <t>A2</t>
        </is>
      </c>
      <c r="C666" s="11" t="n">
        <v>777</v>
      </c>
      <c r="D666" s="10" t="n">
        <v>1</v>
      </c>
      <c r="E666" s="10" t="n">
        <v>1</v>
      </c>
      <c r="F666" s="65" t="inlineStr">
        <is>
          <t>Market</t>
        </is>
      </c>
      <c r="G666" s="65" t="inlineStr">
        <is>
          <t>Occupied</t>
        </is>
      </c>
      <c r="H666" s="11" t="n">
        <v>1227</v>
      </c>
      <c r="I666" s="11" t="n">
        <v>1275</v>
      </c>
      <c r="J666" s="11" t="n">
        <v>1275</v>
      </c>
      <c r="K666" s="66" t="inlineStr">
        <is>
          <t>09/02/2025</t>
        </is>
      </c>
      <c r="L666" s="66" t="inlineStr">
        <is>
          <t>12/01/2026</t>
        </is>
      </c>
      <c r="M666" s="66" t="inlineStr">
        <is>
          <t>09/02/2025</t>
        </is>
      </c>
      <c r="O666" s="11" t="n">
        <v>1275</v>
      </c>
      <c r="P666" s="11" t="n"/>
      <c r="Q666" s="11" t="n"/>
      <c r="R666" s="11" t="n"/>
      <c r="S666" s="11" t="n"/>
      <c r="T666" s="11" t="n">
        <v>30</v>
      </c>
      <c r="U666" s="11" t="n">
        <v>1</v>
      </c>
      <c r="V666" s="11" t="n"/>
      <c r="W666" s="11" t="n"/>
      <c r="X666" s="11" t="n"/>
      <c r="Y666" s="11" t="n"/>
      <c r="Z666" s="11" t="n"/>
    </row>
    <row r="667">
      <c r="A667" s="61" t="inlineStr">
        <is>
          <t>5815</t>
        </is>
      </c>
      <c r="B667" s="61" t="inlineStr">
        <is>
          <t>A2</t>
        </is>
      </c>
      <c r="C667" s="20" t="n">
        <v>777</v>
      </c>
      <c r="D667" s="19" t="n">
        <v>1</v>
      </c>
      <c r="E667" s="19" t="n">
        <v>1</v>
      </c>
      <c r="F667" s="62" t="inlineStr">
        <is>
          <t>Market</t>
        </is>
      </c>
      <c r="G667" s="62" t="inlineStr">
        <is>
          <t>Occupied</t>
        </is>
      </c>
      <c r="H667" s="20" t="n">
        <v>1267</v>
      </c>
      <c r="I667" s="20" t="n">
        <v>1372</v>
      </c>
      <c r="J667" s="20" t="n">
        <v>1372</v>
      </c>
      <c r="K667" s="63" t="inlineStr">
        <is>
          <t>01/19/2026</t>
        </is>
      </c>
      <c r="L667" s="63" t="inlineStr">
        <is>
          <t>04/18/2027</t>
        </is>
      </c>
      <c r="M667" s="63" t="inlineStr">
        <is>
          <t>08/19/2023</t>
        </is>
      </c>
      <c r="O667" s="20" t="n">
        <v>1372</v>
      </c>
      <c r="P667" s="20" t="n"/>
      <c r="Q667" s="20" t="n">
        <v>125</v>
      </c>
      <c r="R667" s="20" t="n"/>
      <c r="S667" s="20" t="n"/>
      <c r="T667" s="20" t="n"/>
      <c r="U667" s="20" t="n">
        <v>3</v>
      </c>
      <c r="V667" s="20" t="n"/>
      <c r="W667" s="20" t="n"/>
      <c r="X667" s="20" t="n"/>
      <c r="Y667" s="20" t="n"/>
      <c r="Z667" s="20" t="n"/>
    </row>
    <row r="668">
      <c r="A668" s="64" t="inlineStr">
        <is>
          <t>5816</t>
        </is>
      </c>
      <c r="B668" s="64" t="inlineStr">
        <is>
          <t>A2</t>
        </is>
      </c>
      <c r="C668" s="11" t="n">
        <v>777</v>
      </c>
      <c r="D668" s="10" t="n">
        <v>1</v>
      </c>
      <c r="E668" s="10" t="n">
        <v>1</v>
      </c>
      <c r="F668" s="65" t="inlineStr">
        <is>
          <t>Market</t>
        </is>
      </c>
      <c r="G668" s="65" t="inlineStr">
        <is>
          <t>Occupied</t>
        </is>
      </c>
      <c r="H668" s="11" t="n">
        <v>1227</v>
      </c>
      <c r="I668" s="11" t="n">
        <v>1285</v>
      </c>
      <c r="J668" s="11" t="n">
        <v>1285</v>
      </c>
      <c r="K668" s="66" t="inlineStr">
        <is>
          <t>09/10/2025</t>
        </is>
      </c>
      <c r="L668" s="66" t="inlineStr">
        <is>
          <t>09/09/2026</t>
        </is>
      </c>
      <c r="M668" s="66" t="inlineStr">
        <is>
          <t>07/10/2024</t>
        </is>
      </c>
      <c r="O668" s="11" t="n">
        <v>1285</v>
      </c>
      <c r="P668" s="11" t="n"/>
      <c r="Q668" s="11" t="n"/>
      <c r="R668" s="11" t="n"/>
      <c r="S668" s="11" t="n"/>
      <c r="T668" s="11" t="n"/>
      <c r="U668" s="11" t="n">
        <v>1</v>
      </c>
      <c r="V668" s="11" t="n"/>
      <c r="W668" s="11" t="n"/>
      <c r="X668" s="11" t="n"/>
      <c r="Y668" s="11" t="n"/>
      <c r="Z668" s="11" t="n"/>
    </row>
    <row r="669">
      <c r="A669" s="61" t="inlineStr">
        <is>
          <t>5817</t>
        </is>
      </c>
      <c r="B669" s="61" t="inlineStr">
        <is>
          <t>A2</t>
        </is>
      </c>
      <c r="C669" s="20" t="n">
        <v>777</v>
      </c>
      <c r="D669" s="19" t="n">
        <v>1</v>
      </c>
      <c r="E669" s="19" t="n">
        <v>1</v>
      </c>
      <c r="F669" s="62" t="inlineStr">
        <is>
          <t>Market</t>
        </is>
      </c>
      <c r="G669" s="62" t="inlineStr">
        <is>
          <t>Occupied</t>
        </is>
      </c>
      <c r="H669" s="20" t="n">
        <v>1227</v>
      </c>
      <c r="I669" s="20" t="n">
        <v>1377</v>
      </c>
      <c r="J669" s="20" t="n">
        <v>1377</v>
      </c>
      <c r="K669" s="63" t="inlineStr">
        <is>
          <t>07/06/2025</t>
        </is>
      </c>
      <c r="L669" s="63" t="inlineStr">
        <is>
          <t>07/05/2026</t>
        </is>
      </c>
      <c r="M669" s="63" t="inlineStr">
        <is>
          <t>11/18/2017</t>
        </is>
      </c>
      <c r="O669" s="20" t="n">
        <v>1377</v>
      </c>
      <c r="P669" s="20" t="n"/>
      <c r="Q669" s="20" t="n"/>
      <c r="R669" s="20" t="n"/>
      <c r="S669" s="20" t="n"/>
      <c r="T669" s="20" t="n"/>
      <c r="U669" s="20" t="n">
        <v>1</v>
      </c>
      <c r="V669" s="20" t="n"/>
      <c r="W669" s="20" t="n"/>
      <c r="X669" s="20" t="n"/>
      <c r="Y669" s="20" t="n"/>
      <c r="Z669" s="20" t="n"/>
    </row>
    <row r="670">
      <c r="A670" s="64" t="inlineStr">
        <is>
          <t>5818</t>
        </is>
      </c>
      <c r="B670" s="64" t="inlineStr">
        <is>
          <t>A2</t>
        </is>
      </c>
      <c r="C670" s="11" t="n">
        <v>777</v>
      </c>
      <c r="D670" s="10" t="n">
        <v>1</v>
      </c>
      <c r="E670" s="10" t="n">
        <v>1</v>
      </c>
      <c r="F670" s="65" t="inlineStr">
        <is>
          <t>Market</t>
        </is>
      </c>
      <c r="G670" s="65" t="inlineStr">
        <is>
          <t>Occupied</t>
        </is>
      </c>
      <c r="H670" s="11" t="n">
        <v>1202</v>
      </c>
      <c r="I670" s="11" t="n">
        <v>1353</v>
      </c>
      <c r="J670" s="11" t="n">
        <v>1353</v>
      </c>
      <c r="K670" s="66" t="inlineStr">
        <is>
          <t>10/27/2025</t>
        </is>
      </c>
      <c r="L670" s="66" t="inlineStr">
        <is>
          <t>10/26/2026</t>
        </is>
      </c>
      <c r="M670" s="66" t="inlineStr">
        <is>
          <t>08/27/2023</t>
        </is>
      </c>
      <c r="O670" s="11" t="n">
        <v>1353</v>
      </c>
      <c r="P670" s="11" t="n"/>
      <c r="Q670" s="11" t="n"/>
      <c r="R670" s="11" t="n"/>
      <c r="S670" s="11" t="n"/>
      <c r="T670" s="11" t="n"/>
      <c r="U670" s="11" t="n">
        <v>1</v>
      </c>
      <c r="V670" s="11" t="n"/>
      <c r="W670" s="11" t="n"/>
      <c r="X670" s="11" t="n"/>
      <c r="Y670" s="11" t="n"/>
      <c r="Z670" s="11" t="n"/>
    </row>
    <row r="671">
      <c r="A671" s="61" t="inlineStr">
        <is>
          <t>5821</t>
        </is>
      </c>
      <c r="B671" s="61" t="inlineStr">
        <is>
          <t>A2</t>
        </is>
      </c>
      <c r="C671" s="20" t="n">
        <v>777</v>
      </c>
      <c r="D671" s="19" t="n">
        <v>1</v>
      </c>
      <c r="E671" s="19" t="n">
        <v>1</v>
      </c>
      <c r="F671" s="62" t="inlineStr">
        <is>
          <t>Market</t>
        </is>
      </c>
      <c r="G671" s="62" t="inlineStr">
        <is>
          <t>Occupied</t>
        </is>
      </c>
      <c r="H671" s="20" t="n">
        <v>1207</v>
      </c>
      <c r="I671" s="20" t="n">
        <v>1328</v>
      </c>
      <c r="J671" s="20" t="n">
        <v>1328</v>
      </c>
      <c r="K671" s="63" t="inlineStr">
        <is>
          <t>12/09/2025</t>
        </is>
      </c>
      <c r="L671" s="63" t="inlineStr">
        <is>
          <t>03/08/2027</t>
        </is>
      </c>
      <c r="M671" s="63" t="inlineStr">
        <is>
          <t>03/02/2021</t>
        </is>
      </c>
      <c r="O671" s="20" t="n">
        <v>1328</v>
      </c>
      <c r="P671" s="20" t="n"/>
      <c r="Q671" s="20" t="n"/>
      <c r="R671" s="20" t="n"/>
      <c r="S671" s="20" t="n"/>
      <c r="T671" s="20" t="n"/>
      <c r="U671" s="20" t="n">
        <v>3</v>
      </c>
      <c r="V671" s="20" t="n"/>
      <c r="W671" s="20" t="n"/>
      <c r="X671" s="20" t="n"/>
      <c r="Y671" s="20" t="n"/>
      <c r="Z671" s="20" t="n"/>
    </row>
    <row r="672">
      <c r="A672" s="64" t="inlineStr">
        <is>
          <t>5822</t>
        </is>
      </c>
      <c r="B672" s="64" t="inlineStr">
        <is>
          <t>A2</t>
        </is>
      </c>
      <c r="C672" s="11" t="n">
        <v>777</v>
      </c>
      <c r="D672" s="10" t="n">
        <v>1</v>
      </c>
      <c r="E672" s="10" t="n">
        <v>1</v>
      </c>
      <c r="F672" s="65" t="inlineStr">
        <is>
          <t>Market</t>
        </is>
      </c>
      <c r="G672" s="65" t="inlineStr">
        <is>
          <t>Occupied</t>
        </is>
      </c>
      <c r="H672" s="11" t="n">
        <v>1207</v>
      </c>
      <c r="I672" s="11" t="n">
        <v>1379</v>
      </c>
      <c r="J672" s="11" t="n">
        <v>1379</v>
      </c>
      <c r="K672" s="66" t="inlineStr">
        <is>
          <t>04/16/2026</t>
        </is>
      </c>
      <c r="L672" s="66" t="inlineStr">
        <is>
          <t>05/15/2027</t>
        </is>
      </c>
      <c r="M672" s="66" t="inlineStr">
        <is>
          <t>12/31/2021</t>
        </is>
      </c>
      <c r="O672" s="11" t="n">
        <v>1379</v>
      </c>
      <c r="P672" s="11" t="n">
        <v>35</v>
      </c>
      <c r="Q672" s="11" t="n">
        <v>125</v>
      </c>
      <c r="R672" s="11" t="n"/>
      <c r="S672" s="11" t="n"/>
      <c r="T672" s="11" t="n"/>
      <c r="U672" s="11" t="n">
        <v>3</v>
      </c>
      <c r="V672" s="11" t="n"/>
      <c r="W672" s="11" t="n"/>
      <c r="X672" s="11" t="n"/>
      <c r="Y672" s="11" t="n"/>
      <c r="Z672" s="11" t="n"/>
    </row>
    <row r="673">
      <c r="A673" s="61" t="inlineStr">
        <is>
          <t>5823</t>
        </is>
      </c>
      <c r="B673" s="61" t="inlineStr">
        <is>
          <t>A2</t>
        </is>
      </c>
      <c r="C673" s="20" t="n">
        <v>777</v>
      </c>
      <c r="D673" s="19" t="n">
        <v>1</v>
      </c>
      <c r="E673" s="19" t="n">
        <v>1</v>
      </c>
      <c r="F673" s="62" t="inlineStr">
        <is>
          <t>Market</t>
        </is>
      </c>
      <c r="G673" s="62" t="inlineStr">
        <is>
          <t>Vacant</t>
        </is>
      </c>
      <c r="H673" s="20" t="n">
        <v>1247</v>
      </c>
      <c r="I673" s="20" t="n">
        <v>0</v>
      </c>
      <c r="J673" s="20" t="n">
        <v>0</v>
      </c>
      <c r="K673" s="63" t="n"/>
      <c r="L673" s="63" t="n"/>
      <c r="M673" s="63" t="n"/>
      <c r="O673" s="20" t="n"/>
      <c r="P673" s="20" t="n"/>
      <c r="Q673" s="20" t="n"/>
      <c r="R673" s="20" t="n"/>
      <c r="S673" s="20" t="n"/>
      <c r="T673" s="20" t="n"/>
      <c r="U673" s="20" t="n"/>
      <c r="V673" s="20" t="n"/>
      <c r="W673" s="20" t="n"/>
      <c r="X673" s="20" t="n"/>
      <c r="Y673" s="20" t="n"/>
      <c r="Z673" s="20" t="n"/>
    </row>
    <row r="674">
      <c r="A674" s="64" t="inlineStr">
        <is>
          <t>5824</t>
        </is>
      </c>
      <c r="B674" s="64" t="inlineStr">
        <is>
          <t>A2</t>
        </is>
      </c>
      <c r="C674" s="11" t="n">
        <v>777</v>
      </c>
      <c r="D674" s="10" t="n">
        <v>1</v>
      </c>
      <c r="E674" s="10" t="n">
        <v>1</v>
      </c>
      <c r="F674" s="65" t="inlineStr">
        <is>
          <t>Market</t>
        </is>
      </c>
      <c r="G674" s="65" t="inlineStr">
        <is>
          <t>Occupied</t>
        </is>
      </c>
      <c r="H674" s="11" t="n">
        <v>1207</v>
      </c>
      <c r="I674" s="11" t="n">
        <v>1383</v>
      </c>
      <c r="J674" s="11" t="n">
        <v>1383</v>
      </c>
      <c r="K674" s="66" t="inlineStr">
        <is>
          <t>05/21/2026</t>
        </is>
      </c>
      <c r="L674" s="66" t="inlineStr">
        <is>
          <t>06/20/2027</t>
        </is>
      </c>
      <c r="M674" s="66" t="inlineStr">
        <is>
          <t>04/14/2023</t>
        </is>
      </c>
      <c r="O674" s="11" t="n">
        <v>1383</v>
      </c>
      <c r="P674" s="11" t="n">
        <v>35</v>
      </c>
      <c r="Q674" s="11" t="n"/>
      <c r="R674" s="11" t="n"/>
      <c r="S674" s="11" t="n"/>
      <c r="T674" s="11" t="n"/>
      <c r="U674" s="11" t="n">
        <v>3</v>
      </c>
      <c r="V674" s="11" t="n"/>
      <c r="W674" s="11" t="n"/>
      <c r="X674" s="11" t="n"/>
      <c r="Y674" s="11" t="n"/>
      <c r="Z674" s="11" t="n"/>
    </row>
    <row r="675">
      <c r="A675" s="61" t="inlineStr">
        <is>
          <t>5825</t>
        </is>
      </c>
      <c r="B675" s="61" t="inlineStr">
        <is>
          <t>A2</t>
        </is>
      </c>
      <c r="C675" s="20" t="n">
        <v>777</v>
      </c>
      <c r="D675" s="19" t="n">
        <v>1</v>
      </c>
      <c r="E675" s="19" t="n">
        <v>1</v>
      </c>
      <c r="F675" s="62" t="inlineStr">
        <is>
          <t>Market</t>
        </is>
      </c>
      <c r="G675" s="62" t="inlineStr">
        <is>
          <t>Occupied</t>
        </is>
      </c>
      <c r="H675" s="20" t="n">
        <v>1292</v>
      </c>
      <c r="I675" s="20" t="n">
        <v>1276</v>
      </c>
      <c r="J675" s="20" t="n">
        <v>1276</v>
      </c>
      <c r="K675" s="63" t="inlineStr">
        <is>
          <t>04/01/2025</t>
        </is>
      </c>
      <c r="L675" s="63" t="inlineStr">
        <is>
          <t>06/30/2026</t>
        </is>
      </c>
      <c r="M675" s="63" t="inlineStr">
        <is>
          <t>04/01/2025</t>
        </is>
      </c>
      <c r="O675" s="20" t="n">
        <v>1276</v>
      </c>
      <c r="P675" s="20" t="n"/>
      <c r="Q675" s="20" t="n"/>
      <c r="R675" s="20" t="n"/>
      <c r="S675" s="20" t="n"/>
      <c r="T675" s="20" t="n"/>
      <c r="U675" s="20" t="n">
        <v>1</v>
      </c>
      <c r="V675" s="20" t="n"/>
      <c r="W675" s="20" t="n"/>
      <c r="X675" s="20" t="n"/>
      <c r="Y675" s="20" t="n"/>
      <c r="Z675" s="20" t="n"/>
    </row>
    <row r="676">
      <c r="A676" s="64" t="inlineStr">
        <is>
          <t>5826</t>
        </is>
      </c>
      <c r="B676" s="64" t="inlineStr">
        <is>
          <t>A2</t>
        </is>
      </c>
      <c r="C676" s="11" t="n">
        <v>777</v>
      </c>
      <c r="D676" s="10" t="n">
        <v>1</v>
      </c>
      <c r="E676" s="10" t="n">
        <v>1</v>
      </c>
      <c r="F676" s="65" t="inlineStr">
        <is>
          <t>Market</t>
        </is>
      </c>
      <c r="G676" s="65" t="inlineStr">
        <is>
          <t>Occupied</t>
        </is>
      </c>
      <c r="H676" s="11" t="n">
        <v>1207</v>
      </c>
      <c r="I676" s="11" t="n">
        <v>1046</v>
      </c>
      <c r="J676" s="11" t="n">
        <v>1046</v>
      </c>
      <c r="K676" s="66" t="inlineStr">
        <is>
          <t>12/17/2025</t>
        </is>
      </c>
      <c r="L676" s="66" t="inlineStr">
        <is>
          <t>12/16/2026</t>
        </is>
      </c>
      <c r="M676" s="66" t="inlineStr">
        <is>
          <t>12/17/2025</t>
        </is>
      </c>
      <c r="O676" s="11" t="n">
        <v>1046</v>
      </c>
      <c r="P676" s="11" t="n">
        <v>35</v>
      </c>
      <c r="Q676" s="11" t="n"/>
      <c r="R676" s="11" t="n"/>
      <c r="S676" s="11" t="n"/>
      <c r="T676" s="11" t="n"/>
      <c r="U676" s="11" t="n">
        <v>3</v>
      </c>
      <c r="V676" s="11" t="n"/>
      <c r="W676" s="11" t="n"/>
      <c r="X676" s="11" t="n"/>
      <c r="Y676" s="11" t="n"/>
      <c r="Z676" s="11" t="n"/>
    </row>
    <row r="677">
      <c r="A677" s="61" t="inlineStr">
        <is>
          <t>5827</t>
        </is>
      </c>
      <c r="B677" s="61" t="inlineStr">
        <is>
          <t>A2</t>
        </is>
      </c>
      <c r="C677" s="20" t="n">
        <v>777</v>
      </c>
      <c r="D677" s="19" t="n">
        <v>1</v>
      </c>
      <c r="E677" s="19" t="n">
        <v>1</v>
      </c>
      <c r="F677" s="62" t="inlineStr">
        <is>
          <t>Market</t>
        </is>
      </c>
      <c r="G677" s="62" t="inlineStr">
        <is>
          <t>Occupied</t>
        </is>
      </c>
      <c r="H677" s="20" t="n">
        <v>1207</v>
      </c>
      <c r="I677" s="20" t="n">
        <v>1088</v>
      </c>
      <c r="J677" s="20" t="n">
        <v>1088</v>
      </c>
      <c r="K677" s="63" t="inlineStr">
        <is>
          <t>03/13/2026</t>
        </is>
      </c>
      <c r="L677" s="63" t="inlineStr">
        <is>
          <t>04/12/2027</t>
        </is>
      </c>
      <c r="M677" s="63" t="inlineStr">
        <is>
          <t>03/13/2026</t>
        </is>
      </c>
      <c r="O677" s="20" t="n">
        <v>1088</v>
      </c>
      <c r="P677" s="20" t="n">
        <v>35</v>
      </c>
      <c r="Q677" s="20" t="n"/>
      <c r="R677" s="20" t="n"/>
      <c r="S677" s="20" t="n"/>
      <c r="T677" s="20" t="n"/>
      <c r="U677" s="20" t="n">
        <v>3</v>
      </c>
      <c r="V677" s="20" t="n"/>
      <c r="W677" s="20" t="n"/>
      <c r="X677" s="20" t="n"/>
      <c r="Y677" s="20" t="n"/>
      <c r="Z677" s="20" t="n"/>
    </row>
    <row r="678">
      <c r="A678" s="64" t="inlineStr">
        <is>
          <t>5828</t>
        </is>
      </c>
      <c r="B678" s="64" t="inlineStr">
        <is>
          <t>A2</t>
        </is>
      </c>
      <c r="C678" s="11" t="n">
        <v>777</v>
      </c>
      <c r="D678" s="10" t="n">
        <v>1</v>
      </c>
      <c r="E678" s="10" t="n">
        <v>1</v>
      </c>
      <c r="F678" s="65" t="inlineStr">
        <is>
          <t>Market</t>
        </is>
      </c>
      <c r="G678" s="65" t="inlineStr">
        <is>
          <t>Occupied</t>
        </is>
      </c>
      <c r="H678" s="11" t="n">
        <v>1207</v>
      </c>
      <c r="I678" s="11" t="n">
        <v>1147</v>
      </c>
      <c r="J678" s="11" t="n">
        <v>1147</v>
      </c>
      <c r="K678" s="66" t="inlineStr">
        <is>
          <t>01/24/2026</t>
        </is>
      </c>
      <c r="L678" s="66" t="inlineStr">
        <is>
          <t>01/23/2027</t>
        </is>
      </c>
      <c r="M678" s="66" t="inlineStr">
        <is>
          <t>01/24/2026</t>
        </is>
      </c>
      <c r="O678" s="11" t="n">
        <v>1147</v>
      </c>
      <c r="P678" s="11" t="n">
        <v>35</v>
      </c>
      <c r="Q678" s="11" t="n"/>
      <c r="R678" s="11" t="n"/>
      <c r="S678" s="11" t="n"/>
      <c r="T678" s="11" t="n"/>
      <c r="U678" s="11" t="n">
        <v>3</v>
      </c>
      <c r="V678" s="11" t="n"/>
      <c r="W678" s="11" t="n"/>
      <c r="X678" s="11" t="n"/>
      <c r="Y678" s="11" t="n"/>
      <c r="Z678" s="11" t="n"/>
    </row>
    <row r="679">
      <c r="A679" s="61" t="inlineStr">
        <is>
          <t>5832</t>
        </is>
      </c>
      <c r="B679" s="61" t="inlineStr">
        <is>
          <t>A2</t>
        </is>
      </c>
      <c r="C679" s="20" t="n">
        <v>777</v>
      </c>
      <c r="D679" s="19" t="n">
        <v>1</v>
      </c>
      <c r="E679" s="19" t="n">
        <v>1</v>
      </c>
      <c r="F679" s="62" t="inlineStr">
        <is>
          <t>Market</t>
        </is>
      </c>
      <c r="G679" s="62" t="inlineStr">
        <is>
          <t>Occupied</t>
        </is>
      </c>
      <c r="H679" s="20" t="n">
        <v>1272</v>
      </c>
      <c r="I679" s="20" t="n">
        <v>1198</v>
      </c>
      <c r="J679" s="20" t="n">
        <v>1198</v>
      </c>
      <c r="K679" s="63" t="inlineStr">
        <is>
          <t>03/26/2026</t>
        </is>
      </c>
      <c r="L679" s="63" t="inlineStr">
        <is>
          <t>06/25/2027</t>
        </is>
      </c>
      <c r="M679" s="63" t="inlineStr">
        <is>
          <t>03/26/2026</t>
        </is>
      </c>
      <c r="O679" s="20" t="n">
        <v>1198</v>
      </c>
      <c r="P679" s="20" t="n">
        <v>35</v>
      </c>
      <c r="Q679" s="20" t="n">
        <v>100</v>
      </c>
      <c r="R679" s="20" t="n"/>
      <c r="S679" s="20" t="n"/>
      <c r="T679" s="20" t="n"/>
      <c r="U679" s="20" t="n">
        <v>3</v>
      </c>
      <c r="V679" s="20" t="n"/>
      <c r="W679" s="20" t="n"/>
      <c r="X679" s="20" t="n"/>
      <c r="Y679" s="20" t="n"/>
      <c r="Z679" s="20" t="n"/>
    </row>
    <row r="680">
      <c r="A680" s="64" t="inlineStr">
        <is>
          <t>5833</t>
        </is>
      </c>
      <c r="B680" s="64" t="inlineStr">
        <is>
          <t>A2</t>
        </is>
      </c>
      <c r="C680" s="11" t="n">
        <v>777</v>
      </c>
      <c r="D680" s="10" t="n">
        <v>1</v>
      </c>
      <c r="E680" s="10" t="n">
        <v>1</v>
      </c>
      <c r="F680" s="65" t="inlineStr">
        <is>
          <t>Market</t>
        </is>
      </c>
      <c r="G680" s="65" t="inlineStr">
        <is>
          <t>Occupied</t>
        </is>
      </c>
      <c r="H680" s="11" t="n">
        <v>1207</v>
      </c>
      <c r="I680" s="11" t="n">
        <v>1298</v>
      </c>
      <c r="J680" s="11" t="n">
        <v>1298</v>
      </c>
      <c r="K680" s="66" t="inlineStr">
        <is>
          <t>05/16/2026</t>
        </is>
      </c>
      <c r="L680" s="66" t="inlineStr">
        <is>
          <t>06/15/2027</t>
        </is>
      </c>
      <c r="M680" s="66" t="inlineStr">
        <is>
          <t>05/13/2017</t>
        </is>
      </c>
      <c r="O680" s="11" t="n">
        <v>1298</v>
      </c>
      <c r="P680" s="11" t="n">
        <v>35</v>
      </c>
      <c r="Q680" s="11" t="n"/>
      <c r="R680" s="11" t="n"/>
      <c r="S680" s="11" t="n"/>
      <c r="T680" s="11" t="n"/>
      <c r="U680" s="11" t="n">
        <v>3</v>
      </c>
      <c r="V680" s="11" t="n"/>
      <c r="W680" s="11" t="n"/>
      <c r="X680" s="11" t="n"/>
      <c r="Y680" s="11" t="n"/>
      <c r="Z680" s="11" t="n"/>
    </row>
    <row r="681">
      <c r="A681" s="61" t="inlineStr">
        <is>
          <t>5836</t>
        </is>
      </c>
      <c r="B681" s="61" t="inlineStr">
        <is>
          <t>A2</t>
        </is>
      </c>
      <c r="C681" s="20" t="n">
        <v>777</v>
      </c>
      <c r="D681" s="19" t="n">
        <v>1</v>
      </c>
      <c r="E681" s="19" t="n">
        <v>1</v>
      </c>
      <c r="F681" s="62" t="inlineStr">
        <is>
          <t>Market</t>
        </is>
      </c>
      <c r="G681" s="62" t="inlineStr">
        <is>
          <t>Vacant</t>
        </is>
      </c>
      <c r="H681" s="20" t="n">
        <v>1352</v>
      </c>
      <c r="I681" s="20" t="n">
        <v>0</v>
      </c>
      <c r="J681" s="20" t="n">
        <v>0</v>
      </c>
      <c r="K681" s="63" t="n"/>
      <c r="L681" s="63" t="n"/>
      <c r="M681" s="63" t="n"/>
      <c r="O681" s="20" t="n"/>
      <c r="P681" s="20" t="n"/>
      <c r="Q681" s="20" t="n"/>
      <c r="R681" s="20" t="n"/>
      <c r="S681" s="20" t="n"/>
      <c r="T681" s="20" t="n"/>
      <c r="U681" s="20" t="n"/>
      <c r="V681" s="20" t="n"/>
      <c r="W681" s="20" t="n"/>
      <c r="X681" s="20" t="n"/>
      <c r="Y681" s="20" t="n"/>
      <c r="Z681" s="20" t="n"/>
    </row>
    <row r="682">
      <c r="A682" s="64" t="inlineStr">
        <is>
          <t>5837</t>
        </is>
      </c>
      <c r="B682" s="64" t="inlineStr">
        <is>
          <t>A2</t>
        </is>
      </c>
      <c r="C682" s="11" t="n">
        <v>777</v>
      </c>
      <c r="D682" s="10" t="n">
        <v>1</v>
      </c>
      <c r="E682" s="10" t="n">
        <v>1</v>
      </c>
      <c r="F682" s="65" t="inlineStr">
        <is>
          <t>Market</t>
        </is>
      </c>
      <c r="G682" s="65" t="inlineStr">
        <is>
          <t>Occupied</t>
        </is>
      </c>
      <c r="H682" s="11" t="n">
        <v>1207</v>
      </c>
      <c r="I682" s="11" t="n">
        <v>1406</v>
      </c>
      <c r="J682" s="11" t="n">
        <v>1406</v>
      </c>
      <c r="K682" s="66" t="inlineStr">
        <is>
          <t>10/24/2025</t>
        </is>
      </c>
      <c r="L682" s="66" t="inlineStr">
        <is>
          <t>06/30/2026</t>
        </is>
      </c>
      <c r="M682" s="66" t="inlineStr">
        <is>
          <t>08/24/2024</t>
        </is>
      </c>
      <c r="O682" s="11" t="n">
        <v>1406</v>
      </c>
      <c r="P682" s="11" t="n"/>
      <c r="Q682" s="11" t="n"/>
      <c r="R682" s="11" t="n"/>
      <c r="S682" s="11" t="n"/>
      <c r="T682" s="11" t="n"/>
      <c r="U682" s="11" t="n">
        <v>1</v>
      </c>
      <c r="V682" s="11" t="n"/>
      <c r="W682" s="11" t="n"/>
      <c r="X682" s="11" t="n"/>
      <c r="Y682" s="11" t="n"/>
      <c r="Z682" s="11" t="n"/>
    </row>
    <row r="683">
      <c r="A683" s="61" t="inlineStr">
        <is>
          <t>6011</t>
        </is>
      </c>
      <c r="B683" s="61" t="inlineStr">
        <is>
          <t>B4.2</t>
        </is>
      </c>
      <c r="C683" s="20" t="n">
        <v>1184</v>
      </c>
      <c r="D683" s="19" t="n">
        <v>2</v>
      </c>
      <c r="E683" s="19" t="n">
        <v>2</v>
      </c>
      <c r="F683" s="62" t="inlineStr">
        <is>
          <t>Market</t>
        </is>
      </c>
      <c r="G683" s="62" t="inlineStr">
        <is>
          <t>Occupied</t>
        </is>
      </c>
      <c r="H683" s="20" t="n">
        <v>1826</v>
      </c>
      <c r="I683" s="20" t="n">
        <v>1671</v>
      </c>
      <c r="J683" s="20" t="n">
        <v>1671</v>
      </c>
      <c r="K683" s="63" t="inlineStr">
        <is>
          <t>03/12/2025</t>
        </is>
      </c>
      <c r="L683" s="63" t="inlineStr">
        <is>
          <t>06/11/2026</t>
        </is>
      </c>
      <c r="M683" s="63" t="inlineStr">
        <is>
          <t>07/12/2019</t>
        </is>
      </c>
      <c r="O683" s="20" t="n">
        <v>1671</v>
      </c>
      <c r="P683" s="20" t="n"/>
      <c r="Q683" s="20" t="n"/>
      <c r="R683" s="20" t="n"/>
      <c r="S683" s="20" t="n"/>
      <c r="T683" s="20" t="n"/>
      <c r="U683" s="20" t="n">
        <v>1</v>
      </c>
      <c r="V683" s="20" t="n"/>
      <c r="W683" s="20" t="n"/>
      <c r="X683" s="20" t="n"/>
      <c r="Y683" s="20" t="n"/>
      <c r="Z683" s="20" t="n"/>
    </row>
    <row r="684">
      <c r="A684" s="64" t="inlineStr">
        <is>
          <t>6012</t>
        </is>
      </c>
      <c r="B684" s="64" t="inlineStr">
        <is>
          <t>B4.2</t>
        </is>
      </c>
      <c r="C684" s="11" t="n">
        <v>1184</v>
      </c>
      <c r="D684" s="10" t="n">
        <v>2</v>
      </c>
      <c r="E684" s="10" t="n">
        <v>2</v>
      </c>
      <c r="F684" s="65" t="inlineStr">
        <is>
          <t>Market</t>
        </is>
      </c>
      <c r="G684" s="65" t="inlineStr">
        <is>
          <t>Vacant</t>
        </is>
      </c>
      <c r="H684" s="11" t="n">
        <v>1826</v>
      </c>
      <c r="I684" s="11" t="n">
        <v>0</v>
      </c>
      <c r="J684" s="11" t="n">
        <v>0</v>
      </c>
      <c r="K684" s="66" t="n"/>
      <c r="L684" s="66" t="n"/>
      <c r="M684" s="66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61" t="inlineStr">
        <is>
          <t>6013</t>
        </is>
      </c>
      <c r="B685" s="61" t="inlineStr">
        <is>
          <t>B4.2</t>
        </is>
      </c>
      <c r="C685" s="20" t="n">
        <v>1184</v>
      </c>
      <c r="D685" s="19" t="n">
        <v>2</v>
      </c>
      <c r="E685" s="19" t="n">
        <v>2</v>
      </c>
      <c r="F685" s="62" t="inlineStr">
        <is>
          <t>Market</t>
        </is>
      </c>
      <c r="G685" s="62" t="inlineStr">
        <is>
          <t>Occupied</t>
        </is>
      </c>
      <c r="H685" s="20" t="n">
        <v>1826</v>
      </c>
      <c r="I685" s="20" t="n">
        <v>1868</v>
      </c>
      <c r="J685" s="20" t="n">
        <v>1868</v>
      </c>
      <c r="K685" s="63" t="inlineStr">
        <is>
          <t>12/01/2025</t>
        </is>
      </c>
      <c r="L685" s="63" t="inlineStr">
        <is>
          <t>01/31/2027</t>
        </is>
      </c>
      <c r="M685" s="63" t="inlineStr">
        <is>
          <t>09/01/2023</t>
        </is>
      </c>
      <c r="O685" s="20" t="n">
        <v>1868</v>
      </c>
      <c r="P685" s="20" t="n"/>
      <c r="Q685" s="20" t="n"/>
      <c r="R685" s="20" t="n"/>
      <c r="S685" s="20" t="n"/>
      <c r="T685" s="20" t="n"/>
      <c r="U685" s="20" t="n">
        <v>1</v>
      </c>
      <c r="V685" s="20" t="n"/>
      <c r="W685" s="20" t="n"/>
      <c r="X685" s="20" t="n"/>
      <c r="Y685" s="20" t="n"/>
      <c r="Z685" s="20" t="n"/>
    </row>
    <row r="686">
      <c r="A686" s="64" t="inlineStr">
        <is>
          <t>6014</t>
        </is>
      </c>
      <c r="B686" s="64" t="inlineStr">
        <is>
          <t>B4.2</t>
        </is>
      </c>
      <c r="C686" s="11" t="n">
        <v>1184</v>
      </c>
      <c r="D686" s="10" t="n">
        <v>2</v>
      </c>
      <c r="E686" s="10" t="n">
        <v>2</v>
      </c>
      <c r="F686" s="65" t="inlineStr">
        <is>
          <t>Market</t>
        </is>
      </c>
      <c r="G686" s="65" t="inlineStr">
        <is>
          <t>Occupied</t>
        </is>
      </c>
      <c r="H686" s="11" t="n">
        <v>1826</v>
      </c>
      <c r="I686" s="11" t="n">
        <v>1676</v>
      </c>
      <c r="J686" s="11" t="n">
        <v>1676</v>
      </c>
      <c r="K686" s="66" t="inlineStr">
        <is>
          <t>07/31/2025</t>
        </is>
      </c>
      <c r="L686" s="66" t="inlineStr">
        <is>
          <t>08/06/2026</t>
        </is>
      </c>
      <c r="M686" s="66" t="inlineStr">
        <is>
          <t>07/19/2016</t>
        </is>
      </c>
      <c r="O686" s="11" t="n">
        <v>1676</v>
      </c>
      <c r="P686" s="11" t="n"/>
      <c r="Q686" s="11" t="n"/>
      <c r="R686" s="11" t="n"/>
      <c r="S686" s="11" t="n"/>
      <c r="T686" s="11" t="n"/>
      <c r="U686" s="11" t="n">
        <v>1</v>
      </c>
      <c r="V686" s="11" t="n"/>
      <c r="W686" s="11" t="n"/>
      <c r="X686" s="11" t="n"/>
      <c r="Y686" s="11" t="n"/>
      <c r="Z686" s="11" t="n"/>
    </row>
    <row r="687">
      <c r="A687" s="61" t="inlineStr">
        <is>
          <t>6015</t>
        </is>
      </c>
      <c r="B687" s="61" t="inlineStr">
        <is>
          <t>B4.2</t>
        </is>
      </c>
      <c r="C687" s="20" t="n">
        <v>1184</v>
      </c>
      <c r="D687" s="19" t="n">
        <v>2</v>
      </c>
      <c r="E687" s="19" t="n">
        <v>2</v>
      </c>
      <c r="F687" s="62" t="inlineStr">
        <is>
          <t>Market</t>
        </is>
      </c>
      <c r="G687" s="62" t="inlineStr">
        <is>
          <t>Occupied</t>
        </is>
      </c>
      <c r="H687" s="20" t="n">
        <v>1826</v>
      </c>
      <c r="I687" s="20" t="n">
        <v>1745</v>
      </c>
      <c r="J687" s="20" t="n">
        <v>1745</v>
      </c>
      <c r="K687" s="63" t="inlineStr">
        <is>
          <t>06/28/2025</t>
        </is>
      </c>
      <c r="L687" s="63" t="inlineStr">
        <is>
          <t>06/27/2026</t>
        </is>
      </c>
      <c r="M687" s="63" t="inlineStr">
        <is>
          <t>06/28/2025</t>
        </is>
      </c>
      <c r="O687" s="20" t="n">
        <v>1745</v>
      </c>
      <c r="P687" s="20" t="n"/>
      <c r="Q687" s="20" t="n"/>
      <c r="R687" s="20" t="n"/>
      <c r="S687" s="20" t="n"/>
      <c r="T687" s="20" t="n"/>
      <c r="U687" s="20" t="n">
        <v>1</v>
      </c>
      <c r="V687" s="20" t="n"/>
      <c r="W687" s="20" t="n"/>
      <c r="X687" s="20" t="n"/>
      <c r="Y687" s="20" t="n"/>
      <c r="Z687" s="20" t="n"/>
    </row>
    <row r="688">
      <c r="A688" s="64" t="inlineStr">
        <is>
          <t>6111</t>
        </is>
      </c>
      <c r="B688" s="64" t="inlineStr">
        <is>
          <t>C2</t>
        </is>
      </c>
      <c r="C688" s="11" t="n">
        <v>1364</v>
      </c>
      <c r="D688" s="10" t="n">
        <v>3</v>
      </c>
      <c r="E688" s="10" t="n">
        <v>2</v>
      </c>
      <c r="F688" s="65" t="inlineStr">
        <is>
          <t>Market</t>
        </is>
      </c>
      <c r="G688" s="65" t="inlineStr">
        <is>
          <t>Occupied</t>
        </is>
      </c>
      <c r="H688" s="11" t="n">
        <v>2115</v>
      </c>
      <c r="I688" s="11" t="n">
        <v>2125</v>
      </c>
      <c r="J688" s="11" t="n">
        <v>2125</v>
      </c>
      <c r="K688" s="66" t="inlineStr">
        <is>
          <t>11/14/2025</t>
        </is>
      </c>
      <c r="L688" s="66" t="inlineStr">
        <is>
          <t>11/13/2026</t>
        </is>
      </c>
      <c r="M688" s="66" t="inlineStr">
        <is>
          <t>11/14/2024</t>
        </is>
      </c>
      <c r="O688" s="11" t="n">
        <v>2125</v>
      </c>
      <c r="P688" s="11" t="n"/>
      <c r="Q688" s="11" t="n"/>
      <c r="R688" s="11" t="n"/>
      <c r="S688" s="11" t="n"/>
      <c r="T688" s="11" t="n"/>
      <c r="U688" s="11" t="n">
        <v>1</v>
      </c>
      <c r="V688" s="11" t="n"/>
      <c r="W688" s="11" t="n"/>
      <c r="X688" s="11" t="n"/>
      <c r="Y688" s="11" t="n"/>
      <c r="Z688" s="11" t="n"/>
    </row>
    <row r="689">
      <c r="A689" s="61" t="inlineStr">
        <is>
          <t>6112</t>
        </is>
      </c>
      <c r="B689" s="61" t="inlineStr">
        <is>
          <t>C2</t>
        </is>
      </c>
      <c r="C689" s="20" t="n">
        <v>1364</v>
      </c>
      <c r="D689" s="19" t="n">
        <v>3</v>
      </c>
      <c r="E689" s="19" t="n">
        <v>2</v>
      </c>
      <c r="F689" s="62" t="inlineStr">
        <is>
          <t>Market</t>
        </is>
      </c>
      <c r="G689" s="62" t="inlineStr">
        <is>
          <t>Occupied</t>
        </is>
      </c>
      <c r="H689" s="20" t="n">
        <v>2115</v>
      </c>
      <c r="I689" s="20" t="n">
        <v>1962</v>
      </c>
      <c r="J689" s="20" t="n">
        <v>1962</v>
      </c>
      <c r="K689" s="63" t="inlineStr">
        <is>
          <t>05/16/2025</t>
        </is>
      </c>
      <c r="L689" s="63" t="inlineStr">
        <is>
          <t>06/15/2026</t>
        </is>
      </c>
      <c r="M689" s="63" t="inlineStr">
        <is>
          <t>02/16/2024</t>
        </is>
      </c>
      <c r="O689" s="20" t="n">
        <v>1962</v>
      </c>
      <c r="P689" s="20" t="n"/>
      <c r="Q689" s="20" t="n"/>
      <c r="R689" s="20" t="n"/>
      <c r="S689" s="20" t="n"/>
      <c r="T689" s="20" t="n"/>
      <c r="U689" s="20" t="n">
        <v>1</v>
      </c>
      <c r="V689" s="20" t="n"/>
      <c r="W689" s="20" t="n"/>
      <c r="X689" s="20" t="n"/>
      <c r="Y689" s="20" t="n"/>
      <c r="Z689" s="20" t="n"/>
    </row>
    <row r="690">
      <c r="A690" s="64" t="inlineStr">
        <is>
          <t>6113</t>
        </is>
      </c>
      <c r="B690" s="64" t="inlineStr">
        <is>
          <t>C2</t>
        </is>
      </c>
      <c r="C690" s="11" t="n">
        <v>1364</v>
      </c>
      <c r="D690" s="10" t="n">
        <v>3</v>
      </c>
      <c r="E690" s="10" t="n">
        <v>2</v>
      </c>
      <c r="F690" s="65" t="inlineStr">
        <is>
          <t>Market</t>
        </is>
      </c>
      <c r="G690" s="65" t="inlineStr">
        <is>
          <t>Occupied</t>
        </is>
      </c>
      <c r="H690" s="11" t="n">
        <v>2115</v>
      </c>
      <c r="I690" s="11" t="n">
        <v>1918</v>
      </c>
      <c r="J690" s="11" t="n">
        <v>1918</v>
      </c>
      <c r="K690" s="66" t="inlineStr">
        <is>
          <t>03/01/2026</t>
        </is>
      </c>
      <c r="L690" s="66" t="inlineStr">
        <is>
          <t>06/01/2027</t>
        </is>
      </c>
      <c r="M690" s="66" t="inlineStr">
        <is>
          <t>08/31/2012</t>
        </is>
      </c>
      <c r="O690" s="11" t="n">
        <v>1918</v>
      </c>
      <c r="P690" s="11" t="n"/>
      <c r="Q690" s="11" t="n"/>
      <c r="R690" s="11" t="n"/>
      <c r="S690" s="11" t="n"/>
      <c r="T690" s="11" t="n"/>
      <c r="U690" s="11" t="n">
        <v>3</v>
      </c>
      <c r="V690" s="11" t="n"/>
      <c r="W690" s="11" t="n"/>
      <c r="X690" s="11" t="n"/>
      <c r="Y690" s="11" t="n"/>
      <c r="Z690" s="11" t="n"/>
    </row>
    <row r="691">
      <c r="A691" s="61" t="inlineStr">
        <is>
          <t>6114</t>
        </is>
      </c>
      <c r="B691" s="61" t="inlineStr">
        <is>
          <t>C2</t>
        </is>
      </c>
      <c r="C691" s="20" t="n">
        <v>1364</v>
      </c>
      <c r="D691" s="19" t="n">
        <v>3</v>
      </c>
      <c r="E691" s="19" t="n">
        <v>2</v>
      </c>
      <c r="F691" s="62" t="inlineStr">
        <is>
          <t>Market</t>
        </is>
      </c>
      <c r="G691" s="62" t="inlineStr">
        <is>
          <t>Occupied</t>
        </is>
      </c>
      <c r="H691" s="20" t="n">
        <v>2115</v>
      </c>
      <c r="I691" s="20" t="n">
        <v>1879</v>
      </c>
      <c r="J691" s="20" t="n">
        <v>1879</v>
      </c>
      <c r="K691" s="63" t="inlineStr">
        <is>
          <t>05/24/2025</t>
        </is>
      </c>
      <c r="L691" s="63" t="inlineStr">
        <is>
          <t>06/23/2026</t>
        </is>
      </c>
      <c r="M691" s="63" t="inlineStr">
        <is>
          <t>05/24/2025</t>
        </is>
      </c>
      <c r="O691" s="20" t="n">
        <v>1879</v>
      </c>
      <c r="P691" s="20" t="n"/>
      <c r="Q691" s="20" t="n"/>
      <c r="R691" s="20" t="n"/>
      <c r="S691" s="20" t="n"/>
      <c r="T691" s="20" t="n"/>
      <c r="U691" s="20" t="n">
        <v>1</v>
      </c>
      <c r="V691" s="20" t="n"/>
      <c r="W691" s="20" t="n"/>
      <c r="X691" s="20" t="n"/>
      <c r="Y691" s="20" t="n"/>
      <c r="Z691" s="20" t="n"/>
    </row>
    <row r="692">
      <c r="A692" s="64" t="inlineStr">
        <is>
          <t>6115</t>
        </is>
      </c>
      <c r="B692" s="64" t="inlineStr">
        <is>
          <t>C2</t>
        </is>
      </c>
      <c r="C692" s="11" t="n">
        <v>1364</v>
      </c>
      <c r="D692" s="10" t="n">
        <v>3</v>
      </c>
      <c r="E692" s="10" t="n">
        <v>2</v>
      </c>
      <c r="F692" s="65" t="inlineStr">
        <is>
          <t>Market</t>
        </is>
      </c>
      <c r="G692" s="65" t="inlineStr">
        <is>
          <t>Occupied</t>
        </is>
      </c>
      <c r="H692" s="11" t="n">
        <v>2115</v>
      </c>
      <c r="I692" s="11" t="n">
        <v>1969</v>
      </c>
      <c r="J692" s="11" t="n">
        <v>1969</v>
      </c>
      <c r="K692" s="66" t="inlineStr">
        <is>
          <t>02/22/2026</t>
        </is>
      </c>
      <c r="L692" s="66" t="inlineStr">
        <is>
          <t>05/21/2027</t>
        </is>
      </c>
      <c r="M692" s="66" t="inlineStr">
        <is>
          <t>06/15/2016</t>
        </is>
      </c>
      <c r="O692" s="11" t="n">
        <v>1969</v>
      </c>
      <c r="P692" s="11" t="n"/>
      <c r="Q692" s="11" t="n"/>
      <c r="R692" s="11" t="n"/>
      <c r="S692" s="11" t="n"/>
      <c r="T692" s="11" t="n"/>
      <c r="U692" s="11" t="n">
        <v>3</v>
      </c>
      <c r="V692" s="11" t="n"/>
      <c r="W692" s="11" t="n"/>
      <c r="X692" s="11" t="n"/>
      <c r="Y692" s="11" t="n"/>
      <c r="Z692" s="11" t="n"/>
    </row>
    <row r="693">
      <c r="A693" s="61" t="inlineStr">
        <is>
          <t>6311</t>
        </is>
      </c>
      <c r="B693" s="61" t="inlineStr">
        <is>
          <t>B4</t>
        </is>
      </c>
      <c r="C693" s="20" t="n">
        <v>1187</v>
      </c>
      <c r="D693" s="19" t="n">
        <v>2</v>
      </c>
      <c r="E693" s="19" t="n">
        <v>2</v>
      </c>
      <c r="F693" s="62" t="inlineStr">
        <is>
          <t>Market</t>
        </is>
      </c>
      <c r="G693" s="62" t="inlineStr">
        <is>
          <t>Occupied</t>
        </is>
      </c>
      <c r="H693" s="20" t="n">
        <v>1756</v>
      </c>
      <c r="I693" s="20" t="n">
        <v>2928</v>
      </c>
      <c r="J693" s="20" t="n">
        <v>2928</v>
      </c>
      <c r="K693" s="63" t="inlineStr">
        <is>
          <t>05/01/2022</t>
        </is>
      </c>
      <c r="L693" s="63" t="inlineStr">
        <is>
          <t>12/24/2022</t>
        </is>
      </c>
      <c r="M693" s="63" t="inlineStr">
        <is>
          <t>09/15/2018</t>
        </is>
      </c>
      <c r="O693" s="20" t="n">
        <v>2928</v>
      </c>
      <c r="P693" s="20" t="n"/>
      <c r="Q693" s="20" t="n">
        <v>75</v>
      </c>
      <c r="R693" s="20" t="n"/>
      <c r="S693" s="20" t="n"/>
      <c r="T693" s="20" t="n">
        <v>30</v>
      </c>
      <c r="U693" s="20" t="n">
        <v>1</v>
      </c>
      <c r="V693" s="20" t="n"/>
      <c r="W693" s="20" t="n"/>
      <c r="X693" s="20" t="n"/>
      <c r="Y693" s="20" t="n"/>
      <c r="Z693" s="20" t="n"/>
    </row>
    <row r="694">
      <c r="A694" s="64" t="inlineStr">
        <is>
          <t>6312</t>
        </is>
      </c>
      <c r="B694" s="64" t="inlineStr">
        <is>
          <t>B1</t>
        </is>
      </c>
      <c r="C694" s="11" t="n">
        <v>947</v>
      </c>
      <c r="D694" s="10" t="n">
        <v>2</v>
      </c>
      <c r="E694" s="10" t="n">
        <v>2</v>
      </c>
      <c r="F694" s="65" t="inlineStr">
        <is>
          <t>Market</t>
        </is>
      </c>
      <c r="G694" s="65" t="inlineStr">
        <is>
          <t>Occupied</t>
        </is>
      </c>
      <c r="H694" s="11" t="n">
        <v>1492</v>
      </c>
      <c r="I694" s="11" t="n">
        <v>1643</v>
      </c>
      <c r="J694" s="11" t="n">
        <v>1643</v>
      </c>
      <c r="K694" s="66" t="inlineStr">
        <is>
          <t>12/25/2025</t>
        </is>
      </c>
      <c r="L694" s="66" t="inlineStr">
        <is>
          <t>06/24/2026</t>
        </is>
      </c>
      <c r="M694" s="66" t="inlineStr">
        <is>
          <t>12/01/2024</t>
        </is>
      </c>
      <c r="O694" s="11" t="n">
        <v>1643</v>
      </c>
      <c r="P694" s="11" t="n"/>
      <c r="Q694" s="11" t="n"/>
      <c r="R694" s="11" t="n"/>
      <c r="S694" s="11" t="n"/>
      <c r="T694" s="11" t="n">
        <v>45</v>
      </c>
      <c r="U694" s="11" t="n">
        <v>1</v>
      </c>
      <c r="V694" s="11" t="n"/>
      <c r="W694" s="11" t="n"/>
      <c r="X694" s="11" t="n"/>
      <c r="Y694" s="11" t="n"/>
      <c r="Z694" s="11" t="n"/>
    </row>
    <row r="695">
      <c r="A695" s="61" t="inlineStr">
        <is>
          <t>6313</t>
        </is>
      </c>
      <c r="B695" s="61" t="inlineStr">
        <is>
          <t>B1</t>
        </is>
      </c>
      <c r="C695" s="20" t="n">
        <v>947</v>
      </c>
      <c r="D695" s="19" t="n">
        <v>2</v>
      </c>
      <c r="E695" s="19" t="n">
        <v>2</v>
      </c>
      <c r="F695" s="62" t="inlineStr">
        <is>
          <t>Market</t>
        </is>
      </c>
      <c r="G695" s="62" t="inlineStr">
        <is>
          <t>Occupied</t>
        </is>
      </c>
      <c r="H695" s="20" t="n">
        <v>1492</v>
      </c>
      <c r="I695" s="20" t="n">
        <v>1466</v>
      </c>
      <c r="J695" s="20" t="n">
        <v>1466</v>
      </c>
      <c r="K695" s="63" t="inlineStr">
        <is>
          <t>05/22/2026</t>
        </is>
      </c>
      <c r="L695" s="63" t="inlineStr">
        <is>
          <t>07/21/2027</t>
        </is>
      </c>
      <c r="M695" s="63" t="inlineStr">
        <is>
          <t>05/22/2026</t>
        </is>
      </c>
      <c r="O695" s="20" t="n">
        <v>1466</v>
      </c>
      <c r="P695" s="20" t="n">
        <v>35</v>
      </c>
      <c r="Q695" s="20" t="n"/>
      <c r="R695" s="20" t="n"/>
      <c r="S695" s="20" t="n"/>
      <c r="T695" s="20" t="n"/>
      <c r="U695" s="20" t="n">
        <v>3</v>
      </c>
      <c r="V695" s="20" t="n"/>
      <c r="W695" s="20" t="n"/>
      <c r="X695" s="20" t="n"/>
      <c r="Y695" s="20" t="n"/>
      <c r="Z695" s="20" t="n"/>
    </row>
    <row r="696">
      <c r="A696" s="64" t="inlineStr">
        <is>
          <t>6314</t>
        </is>
      </c>
      <c r="B696" s="64" t="inlineStr">
        <is>
          <t>B4</t>
        </is>
      </c>
      <c r="C696" s="11" t="n">
        <v>1187</v>
      </c>
      <c r="D696" s="10" t="n">
        <v>2</v>
      </c>
      <c r="E696" s="10" t="n">
        <v>2</v>
      </c>
      <c r="F696" s="65" t="inlineStr">
        <is>
          <t>Market</t>
        </is>
      </c>
      <c r="G696" s="65" t="inlineStr">
        <is>
          <t>Occupied</t>
        </is>
      </c>
      <c r="H696" s="11" t="n">
        <v>1756</v>
      </c>
      <c r="I696" s="11" t="n">
        <v>1526</v>
      </c>
      <c r="J696" s="11" t="n">
        <v>1526</v>
      </c>
      <c r="K696" s="66" t="inlineStr">
        <is>
          <t>01/12/2026</t>
        </is>
      </c>
      <c r="L696" s="66" t="inlineStr">
        <is>
          <t>01/11/2027</t>
        </is>
      </c>
      <c r="M696" s="66" t="inlineStr">
        <is>
          <t>01/12/2026</t>
        </is>
      </c>
      <c r="O696" s="11" t="n">
        <v>1526</v>
      </c>
      <c r="P696" s="11" t="n">
        <v>35</v>
      </c>
      <c r="Q696" s="11" t="n"/>
      <c r="R696" s="11" t="n"/>
      <c r="S696" s="11" t="n"/>
      <c r="T696" s="11" t="n"/>
      <c r="U696" s="11" t="n">
        <v>3</v>
      </c>
      <c r="V696" s="11" t="n"/>
      <c r="W696" s="11" t="n"/>
      <c r="X696" s="11" t="n"/>
      <c r="Y696" s="11" t="n"/>
      <c r="Z696" s="11" t="n"/>
    </row>
    <row r="697">
      <c r="A697" s="61" t="inlineStr">
        <is>
          <t>6315</t>
        </is>
      </c>
      <c r="B697" s="61" t="inlineStr">
        <is>
          <t>B4</t>
        </is>
      </c>
      <c r="C697" s="20" t="n">
        <v>1187</v>
      </c>
      <c r="D697" s="19" t="n">
        <v>2</v>
      </c>
      <c r="E697" s="19" t="n">
        <v>2</v>
      </c>
      <c r="F697" s="62" t="inlineStr">
        <is>
          <t>Market</t>
        </is>
      </c>
      <c r="G697" s="62" t="inlineStr">
        <is>
          <t>Occupied</t>
        </is>
      </c>
      <c r="H697" s="20" t="n">
        <v>1806</v>
      </c>
      <c r="I697" s="20" t="n">
        <v>1554</v>
      </c>
      <c r="J697" s="20" t="n">
        <v>1554</v>
      </c>
      <c r="K697" s="63" t="inlineStr">
        <is>
          <t>01/08/2026</t>
        </is>
      </c>
      <c r="L697" s="63" t="inlineStr">
        <is>
          <t>04/07/2027</t>
        </is>
      </c>
      <c r="M697" s="63" t="inlineStr">
        <is>
          <t>11/10/2024</t>
        </is>
      </c>
      <c r="O697" s="20" t="n">
        <v>1554</v>
      </c>
      <c r="P697" s="20" t="n"/>
      <c r="Q697" s="20" t="n"/>
      <c r="R697" s="20" t="n"/>
      <c r="S697" s="20" t="n"/>
      <c r="T697" s="20" t="n"/>
      <c r="U697" s="20" t="n">
        <v>3</v>
      </c>
      <c r="V697" s="20" t="n"/>
      <c r="W697" s="20" t="n"/>
      <c r="X697" s="20" t="n"/>
      <c r="Y697" s="20" t="n"/>
      <c r="Z697" s="20" t="n"/>
    </row>
    <row r="698">
      <c r="A698" s="64" t="inlineStr">
        <is>
          <t>6316</t>
        </is>
      </c>
      <c r="B698" s="64" t="inlineStr">
        <is>
          <t>B1</t>
        </is>
      </c>
      <c r="C698" s="11" t="n">
        <v>947</v>
      </c>
      <c r="D698" s="10" t="n">
        <v>2</v>
      </c>
      <c r="E698" s="10" t="n">
        <v>2</v>
      </c>
      <c r="F698" s="65" t="inlineStr">
        <is>
          <t>Market</t>
        </is>
      </c>
      <c r="G698" s="65" t="inlineStr">
        <is>
          <t>Occupied</t>
        </is>
      </c>
      <c r="H698" s="11" t="n">
        <v>1492</v>
      </c>
      <c r="I698" s="11" t="n">
        <v>1546</v>
      </c>
      <c r="J698" s="11" t="n">
        <v>1546</v>
      </c>
      <c r="K698" s="66" t="inlineStr">
        <is>
          <t>04/11/2025</t>
        </is>
      </c>
      <c r="L698" s="66" t="inlineStr">
        <is>
          <t>07/10/2026</t>
        </is>
      </c>
      <c r="M698" s="66" t="inlineStr">
        <is>
          <t>04/11/2025</t>
        </is>
      </c>
      <c r="O698" s="11" t="n">
        <v>1546</v>
      </c>
      <c r="P698" s="11" t="n"/>
      <c r="Q698" s="11" t="n">
        <v>100</v>
      </c>
      <c r="R698" s="11" t="n"/>
      <c r="S698" s="11" t="n"/>
      <c r="T698" s="11" t="n"/>
      <c r="U698" s="11" t="n">
        <v>1</v>
      </c>
      <c r="V698" s="11" t="n"/>
      <c r="W698" s="11" t="n"/>
      <c r="X698" s="11" t="n"/>
      <c r="Y698" s="11" t="n"/>
      <c r="Z698" s="11" t="n"/>
    </row>
    <row r="699">
      <c r="A699" s="61" t="inlineStr">
        <is>
          <t>6317</t>
        </is>
      </c>
      <c r="B699" s="61" t="inlineStr">
        <is>
          <t>B1</t>
        </is>
      </c>
      <c r="C699" s="20" t="n">
        <v>947</v>
      </c>
      <c r="D699" s="19" t="n">
        <v>2</v>
      </c>
      <c r="E699" s="19" t="n">
        <v>2</v>
      </c>
      <c r="F699" s="62" t="inlineStr">
        <is>
          <t>Market</t>
        </is>
      </c>
      <c r="G699" s="62" t="inlineStr">
        <is>
          <t>Occupied</t>
        </is>
      </c>
      <c r="H699" s="20" t="n">
        <v>1467</v>
      </c>
      <c r="I699" s="20" t="n">
        <v>1750</v>
      </c>
      <c r="J699" s="20" t="n">
        <v>1750</v>
      </c>
      <c r="K699" s="63" t="inlineStr">
        <is>
          <t>11/08/2025</t>
        </is>
      </c>
      <c r="L699" s="63" t="inlineStr">
        <is>
          <t>01/07/2027</t>
        </is>
      </c>
      <c r="M699" s="63" t="inlineStr">
        <is>
          <t>02/10/2022</t>
        </is>
      </c>
      <c r="O699" s="20" t="n">
        <v>1750</v>
      </c>
      <c r="P699" s="20" t="n"/>
      <c r="Q699" s="20" t="n"/>
      <c r="R699" s="20" t="n"/>
      <c r="S699" s="20" t="n"/>
      <c r="T699" s="20" t="n"/>
      <c r="U699" s="20" t="n">
        <v>1</v>
      </c>
      <c r="V699" s="20" t="n"/>
      <c r="W699" s="20" t="n"/>
      <c r="X699" s="20" t="n"/>
      <c r="Y699" s="20" t="n"/>
      <c r="Z699" s="20" t="n"/>
    </row>
    <row r="700">
      <c r="A700" s="64" t="inlineStr">
        <is>
          <t>6318</t>
        </is>
      </c>
      <c r="B700" s="64" t="inlineStr">
        <is>
          <t>B4</t>
        </is>
      </c>
      <c r="C700" s="11" t="n">
        <v>1187</v>
      </c>
      <c r="D700" s="10" t="n">
        <v>2</v>
      </c>
      <c r="E700" s="10" t="n">
        <v>2</v>
      </c>
      <c r="F700" s="65" t="inlineStr">
        <is>
          <t>Market</t>
        </is>
      </c>
      <c r="G700" s="65" t="inlineStr">
        <is>
          <t>Occupied</t>
        </is>
      </c>
      <c r="H700" s="11" t="n">
        <v>1756</v>
      </c>
      <c r="I700" s="11" t="n">
        <v>1867</v>
      </c>
      <c r="J700" s="11" t="n">
        <v>1867</v>
      </c>
      <c r="K700" s="66" t="inlineStr">
        <is>
          <t>02/04/2026</t>
        </is>
      </c>
      <c r="L700" s="66" t="inlineStr">
        <is>
          <t>05/10/2027</t>
        </is>
      </c>
      <c r="M700" s="66" t="inlineStr">
        <is>
          <t>05/04/2022</t>
        </is>
      </c>
      <c r="O700" s="11" t="n">
        <v>1867</v>
      </c>
      <c r="P700" s="11" t="n"/>
      <c r="Q700" s="11" t="n"/>
      <c r="R700" s="11" t="n"/>
      <c r="S700" s="11" t="n"/>
      <c r="T700" s="11" t="n"/>
      <c r="U700" s="11" t="n">
        <v>3</v>
      </c>
      <c r="V700" s="11" t="n"/>
      <c r="W700" s="11" t="n"/>
      <c r="X700" s="11" t="n"/>
      <c r="Y700" s="11" t="n"/>
      <c r="Z700" s="11" t="n"/>
    </row>
    <row r="701">
      <c r="A701" s="61" t="inlineStr">
        <is>
          <t>6321</t>
        </is>
      </c>
      <c r="B701" s="61" t="inlineStr">
        <is>
          <t>B4</t>
        </is>
      </c>
      <c r="C701" s="20" t="n">
        <v>1187</v>
      </c>
      <c r="D701" s="19" t="n">
        <v>2</v>
      </c>
      <c r="E701" s="19" t="n">
        <v>2</v>
      </c>
      <c r="F701" s="62" t="inlineStr">
        <is>
          <t>Market</t>
        </is>
      </c>
      <c r="G701" s="62" t="inlineStr">
        <is>
          <t>Occupied</t>
        </is>
      </c>
      <c r="H701" s="20" t="n">
        <v>1696</v>
      </c>
      <c r="I701" s="20" t="n">
        <v>1458</v>
      </c>
      <c r="J701" s="20" t="n">
        <v>1458</v>
      </c>
      <c r="K701" s="63" t="inlineStr">
        <is>
          <t>01/07/2026</t>
        </is>
      </c>
      <c r="L701" s="63" t="inlineStr">
        <is>
          <t>01/13/2027</t>
        </is>
      </c>
      <c r="M701" s="63" t="inlineStr">
        <is>
          <t>12/07/2024</t>
        </is>
      </c>
      <c r="O701" s="20" t="n">
        <v>1458</v>
      </c>
      <c r="P701" s="20" t="n"/>
      <c r="Q701" s="20" t="n"/>
      <c r="R701" s="20" t="n"/>
      <c r="S701" s="20" t="n"/>
      <c r="T701" s="20" t="n"/>
      <c r="U701" s="20" t="n">
        <v>3</v>
      </c>
      <c r="V701" s="20" t="n"/>
      <c r="W701" s="20" t="n"/>
      <c r="X701" s="20" t="n"/>
      <c r="Y701" s="20" t="n"/>
      <c r="Z701" s="20" t="n"/>
    </row>
    <row r="702">
      <c r="A702" s="64" t="inlineStr">
        <is>
          <t>6322</t>
        </is>
      </c>
      <c r="B702" s="64" t="inlineStr">
        <is>
          <t>B1</t>
        </is>
      </c>
      <c r="C702" s="11" t="n">
        <v>947</v>
      </c>
      <c r="D702" s="10" t="n">
        <v>2</v>
      </c>
      <c r="E702" s="10" t="n">
        <v>2</v>
      </c>
      <c r="F702" s="65" t="inlineStr">
        <is>
          <t>Market</t>
        </is>
      </c>
      <c r="G702" s="65" t="inlineStr">
        <is>
          <t>Occupied</t>
        </is>
      </c>
      <c r="H702" s="11" t="n">
        <v>1432</v>
      </c>
      <c r="I702" s="11" t="n">
        <v>1614</v>
      </c>
      <c r="J702" s="11" t="n">
        <v>1614</v>
      </c>
      <c r="K702" s="66" t="inlineStr">
        <is>
          <t>07/06/2025</t>
        </is>
      </c>
      <c r="L702" s="66" t="inlineStr">
        <is>
          <t>07/05/2026</t>
        </is>
      </c>
      <c r="M702" s="66" t="inlineStr">
        <is>
          <t>05/05/2024</t>
        </is>
      </c>
      <c r="O702" s="11" t="n">
        <v>1614</v>
      </c>
      <c r="P702" s="11" t="n"/>
      <c r="Q702" s="11" t="n"/>
      <c r="R702" s="11" t="n"/>
      <c r="S702" s="11" t="n"/>
      <c r="T702" s="11" t="n"/>
      <c r="U702" s="11" t="n">
        <v>1</v>
      </c>
      <c r="V702" s="11" t="n"/>
      <c r="W702" s="11" t="n"/>
      <c r="X702" s="11" t="n"/>
      <c r="Y702" s="11" t="n"/>
      <c r="Z702" s="11" t="n"/>
    </row>
    <row r="703">
      <c r="A703" s="61" t="inlineStr">
        <is>
          <t>6323</t>
        </is>
      </c>
      <c r="B703" s="61" t="inlineStr">
        <is>
          <t>B1</t>
        </is>
      </c>
      <c r="C703" s="20" t="n">
        <v>947</v>
      </c>
      <c r="D703" s="19" t="n">
        <v>2</v>
      </c>
      <c r="E703" s="19" t="n">
        <v>2</v>
      </c>
      <c r="F703" s="62" t="inlineStr">
        <is>
          <t>Market</t>
        </is>
      </c>
      <c r="G703" s="62" t="inlineStr">
        <is>
          <t>Occupied</t>
        </is>
      </c>
      <c r="H703" s="20" t="n">
        <v>1497</v>
      </c>
      <c r="I703" s="20" t="n">
        <v>1353</v>
      </c>
      <c r="J703" s="20" t="n">
        <v>1353</v>
      </c>
      <c r="K703" s="63" t="inlineStr">
        <is>
          <t>02/24/2026</t>
        </is>
      </c>
      <c r="L703" s="63" t="inlineStr">
        <is>
          <t>05/23/2027</t>
        </is>
      </c>
      <c r="M703" s="63" t="inlineStr">
        <is>
          <t>02/24/2026</t>
        </is>
      </c>
      <c r="O703" s="20" t="n">
        <v>1353</v>
      </c>
      <c r="P703" s="20" t="n"/>
      <c r="Q703" s="20" t="n"/>
      <c r="R703" s="20" t="n"/>
      <c r="S703" s="20" t="n"/>
      <c r="T703" s="20" t="n"/>
      <c r="U703" s="20" t="n">
        <v>3</v>
      </c>
      <c r="V703" s="20" t="n"/>
      <c r="W703" s="20" t="n"/>
      <c r="X703" s="20" t="n"/>
      <c r="Y703" s="20" t="n"/>
      <c r="Z703" s="20" t="n"/>
    </row>
    <row r="704">
      <c r="A704" s="64" t="inlineStr">
        <is>
          <t>6324</t>
        </is>
      </c>
      <c r="B704" s="64" t="inlineStr">
        <is>
          <t>B4</t>
        </is>
      </c>
      <c r="C704" s="11" t="n">
        <v>1187</v>
      </c>
      <c r="D704" s="10" t="n">
        <v>2</v>
      </c>
      <c r="E704" s="10" t="n">
        <v>2</v>
      </c>
      <c r="F704" s="65" t="inlineStr">
        <is>
          <t>Market</t>
        </is>
      </c>
      <c r="G704" s="65" t="inlineStr">
        <is>
          <t>Vacant</t>
        </is>
      </c>
      <c r="H704" s="11" t="n">
        <v>1781</v>
      </c>
      <c r="I704" s="11" t="n">
        <v>0</v>
      </c>
      <c r="J704" s="11" t="n">
        <v>0</v>
      </c>
      <c r="K704" s="66" t="n"/>
      <c r="L704" s="66" t="n"/>
      <c r="M704" s="66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61" t="inlineStr">
        <is>
          <t>6325</t>
        </is>
      </c>
      <c r="B705" s="61" t="inlineStr">
        <is>
          <t>B4</t>
        </is>
      </c>
      <c r="C705" s="20" t="n">
        <v>1187</v>
      </c>
      <c r="D705" s="19" t="n">
        <v>2</v>
      </c>
      <c r="E705" s="19" t="n">
        <v>2</v>
      </c>
      <c r="F705" s="62" t="inlineStr">
        <is>
          <t>Market</t>
        </is>
      </c>
      <c r="G705" s="62" t="inlineStr">
        <is>
          <t>Occupied</t>
        </is>
      </c>
      <c r="H705" s="20" t="n">
        <v>1696</v>
      </c>
      <c r="I705" s="20" t="n">
        <v>1708</v>
      </c>
      <c r="J705" s="20" t="n">
        <v>1708</v>
      </c>
      <c r="K705" s="63" t="inlineStr">
        <is>
          <t>09/23/2025</t>
        </is>
      </c>
      <c r="L705" s="63" t="inlineStr">
        <is>
          <t>09/15/2026</t>
        </is>
      </c>
      <c r="M705" s="63" t="inlineStr">
        <is>
          <t>01/28/2018</t>
        </is>
      </c>
      <c r="O705" s="20" t="n">
        <v>1708</v>
      </c>
      <c r="P705" s="20" t="n"/>
      <c r="Q705" s="20" t="n"/>
      <c r="R705" s="20" t="n"/>
      <c r="S705" s="20" t="n"/>
      <c r="T705" s="20" t="n"/>
      <c r="U705" s="20" t="n">
        <v>1</v>
      </c>
      <c r="V705" s="20" t="n"/>
      <c r="W705" s="20" t="n"/>
      <c r="X705" s="20" t="n"/>
      <c r="Y705" s="20" t="n"/>
      <c r="Z705" s="20" t="n"/>
    </row>
    <row r="706">
      <c r="A706" s="64" t="inlineStr">
        <is>
          <t>6326</t>
        </is>
      </c>
      <c r="B706" s="64" t="inlineStr">
        <is>
          <t>B1</t>
        </is>
      </c>
      <c r="C706" s="11" t="n">
        <v>947</v>
      </c>
      <c r="D706" s="10" t="n">
        <v>2</v>
      </c>
      <c r="E706" s="10" t="n">
        <v>2</v>
      </c>
      <c r="F706" s="65" t="inlineStr">
        <is>
          <t>Market</t>
        </is>
      </c>
      <c r="G706" s="65" t="inlineStr">
        <is>
          <t>Occupied</t>
        </is>
      </c>
      <c r="H706" s="11" t="n">
        <v>1472</v>
      </c>
      <c r="I706" s="11" t="n">
        <v>1382</v>
      </c>
      <c r="J706" s="11" t="n">
        <v>1382</v>
      </c>
      <c r="K706" s="66" t="inlineStr">
        <is>
          <t>01/21/2026</t>
        </is>
      </c>
      <c r="L706" s="66" t="inlineStr">
        <is>
          <t>01/20/2027</t>
        </is>
      </c>
      <c r="M706" s="66" t="inlineStr">
        <is>
          <t>01/21/2026</t>
        </is>
      </c>
      <c r="O706" s="11" t="n">
        <v>1382</v>
      </c>
      <c r="P706" s="11" t="n">
        <v>35</v>
      </c>
      <c r="Q706" s="11" t="n"/>
      <c r="R706" s="11" t="n"/>
      <c r="S706" s="11" t="n"/>
      <c r="T706" s="11" t="n"/>
      <c r="U706" s="11" t="n">
        <v>3</v>
      </c>
      <c r="V706" s="11" t="n"/>
      <c r="W706" s="11" t="n"/>
      <c r="X706" s="11" t="n"/>
      <c r="Y706" s="11" t="n"/>
      <c r="Z706" s="11" t="n"/>
    </row>
    <row r="707">
      <c r="A707" s="61" t="inlineStr">
        <is>
          <t>6327</t>
        </is>
      </c>
      <c r="B707" s="61" t="inlineStr">
        <is>
          <t>B1</t>
        </is>
      </c>
      <c r="C707" s="20" t="n">
        <v>947</v>
      </c>
      <c r="D707" s="19" t="n">
        <v>2</v>
      </c>
      <c r="E707" s="19" t="n">
        <v>2</v>
      </c>
      <c r="F707" s="62" t="inlineStr">
        <is>
          <t>Market</t>
        </is>
      </c>
      <c r="G707" s="62" t="inlineStr">
        <is>
          <t>Occupied</t>
        </is>
      </c>
      <c r="H707" s="20" t="n">
        <v>1432</v>
      </c>
      <c r="I707" s="20" t="n">
        <v>1399</v>
      </c>
      <c r="J707" s="20" t="n">
        <v>1399</v>
      </c>
      <c r="K707" s="63" t="inlineStr">
        <is>
          <t>03/29/2025</t>
        </is>
      </c>
      <c r="L707" s="63" t="inlineStr">
        <is>
          <t>06/28/2026</t>
        </is>
      </c>
      <c r="M707" s="63" t="inlineStr">
        <is>
          <t>01/29/2024</t>
        </is>
      </c>
      <c r="O707" s="20" t="n">
        <v>1399</v>
      </c>
      <c r="P707" s="20" t="n"/>
      <c r="Q707" s="20" t="n"/>
      <c r="R707" s="20" t="n"/>
      <c r="S707" s="20" t="n"/>
      <c r="T707" s="20" t="n"/>
      <c r="U707" s="20" t="n">
        <v>1</v>
      </c>
      <c r="V707" s="20" t="n"/>
      <c r="W707" s="20" t="n"/>
      <c r="X707" s="20" t="n"/>
      <c r="Y707" s="20" t="n"/>
      <c r="Z707" s="20" t="n"/>
    </row>
    <row r="708">
      <c r="A708" s="64" t="inlineStr">
        <is>
          <t>6328</t>
        </is>
      </c>
      <c r="B708" s="64" t="inlineStr">
        <is>
          <t>B4</t>
        </is>
      </c>
      <c r="C708" s="11" t="n">
        <v>1187</v>
      </c>
      <c r="D708" s="10" t="n">
        <v>2</v>
      </c>
      <c r="E708" s="10" t="n">
        <v>2</v>
      </c>
      <c r="F708" s="65" t="inlineStr">
        <is>
          <t>Market</t>
        </is>
      </c>
      <c r="G708" s="65" t="inlineStr">
        <is>
          <t>Vacant</t>
        </is>
      </c>
      <c r="H708" s="11" t="n">
        <v>1696</v>
      </c>
      <c r="I708" s="11" t="n">
        <v>0</v>
      </c>
      <c r="J708" s="11" t="n">
        <v>0</v>
      </c>
      <c r="K708" s="66" t="n"/>
      <c r="L708" s="66" t="n"/>
      <c r="M708" s="66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61" t="inlineStr">
        <is>
          <t>6332</t>
        </is>
      </c>
      <c r="B709" s="61" t="inlineStr">
        <is>
          <t>B1</t>
        </is>
      </c>
      <c r="C709" s="20" t="n">
        <v>947</v>
      </c>
      <c r="D709" s="19" t="n">
        <v>2</v>
      </c>
      <c r="E709" s="19" t="n">
        <v>2</v>
      </c>
      <c r="F709" s="62" t="inlineStr">
        <is>
          <t>Market</t>
        </is>
      </c>
      <c r="G709" s="62" t="inlineStr">
        <is>
          <t>Occupied</t>
        </is>
      </c>
      <c r="H709" s="20" t="n">
        <v>1472</v>
      </c>
      <c r="I709" s="20" t="n">
        <v>1502</v>
      </c>
      <c r="J709" s="20" t="n">
        <v>1502</v>
      </c>
      <c r="K709" s="63" t="inlineStr">
        <is>
          <t>01/01/2026</t>
        </is>
      </c>
      <c r="L709" s="63" t="inlineStr">
        <is>
          <t>03/31/2027</t>
        </is>
      </c>
      <c r="M709" s="63" t="inlineStr">
        <is>
          <t>11/01/2024</t>
        </is>
      </c>
      <c r="O709" s="20" t="n">
        <v>1502</v>
      </c>
      <c r="P709" s="20" t="n"/>
      <c r="Q709" s="20" t="n"/>
      <c r="R709" s="20" t="n"/>
      <c r="S709" s="20" t="n"/>
      <c r="T709" s="20" t="n">
        <v>45</v>
      </c>
      <c r="U709" s="20" t="n">
        <v>1</v>
      </c>
      <c r="V709" s="20" t="n"/>
      <c r="W709" s="20" t="n"/>
      <c r="X709" s="20" t="n"/>
      <c r="Y709" s="20" t="n"/>
      <c r="Z709" s="20" t="n"/>
    </row>
    <row r="710">
      <c r="A710" s="64" t="inlineStr">
        <is>
          <t>6333</t>
        </is>
      </c>
      <c r="B710" s="64" t="inlineStr">
        <is>
          <t>B1</t>
        </is>
      </c>
      <c r="C710" s="11" t="n">
        <v>947</v>
      </c>
      <c r="D710" s="10" t="n">
        <v>2</v>
      </c>
      <c r="E710" s="10" t="n">
        <v>2</v>
      </c>
      <c r="F710" s="65" t="inlineStr">
        <is>
          <t>Market</t>
        </is>
      </c>
      <c r="G710" s="65" t="inlineStr">
        <is>
          <t>Occupied</t>
        </is>
      </c>
      <c r="H710" s="11" t="n">
        <v>1517</v>
      </c>
      <c r="I710" s="11" t="n">
        <v>1941</v>
      </c>
      <c r="J710" s="11" t="n">
        <v>1941</v>
      </c>
      <c r="K710" s="66" t="inlineStr">
        <is>
          <t>01/17/2026</t>
        </is>
      </c>
      <c r="L710" s="66" t="inlineStr">
        <is>
          <t>11/16/2026</t>
        </is>
      </c>
      <c r="M710" s="66" t="inlineStr">
        <is>
          <t>12/17/2024</t>
        </is>
      </c>
      <c r="O710" s="11" t="n">
        <v>1941</v>
      </c>
      <c r="P710" s="11" t="n"/>
      <c r="Q710" s="11" t="n"/>
      <c r="R710" s="11" t="n"/>
      <c r="S710" s="11" t="n"/>
      <c r="T710" s="11" t="n"/>
      <c r="U710" s="11" t="n">
        <v>3</v>
      </c>
      <c r="V710" s="11" t="n">
        <v>65</v>
      </c>
      <c r="W710" s="11" t="n"/>
      <c r="X710" s="11" t="n"/>
      <c r="Y710" s="11" t="n"/>
      <c r="Z710" s="11" t="n"/>
    </row>
    <row r="711">
      <c r="A711" s="61" t="inlineStr">
        <is>
          <t>6336</t>
        </is>
      </c>
      <c r="B711" s="61" t="inlineStr">
        <is>
          <t>B1</t>
        </is>
      </c>
      <c r="C711" s="20" t="n">
        <v>947</v>
      </c>
      <c r="D711" s="19" t="n">
        <v>2</v>
      </c>
      <c r="E711" s="19" t="n">
        <v>2</v>
      </c>
      <c r="F711" s="62" t="inlineStr">
        <is>
          <t>Market</t>
        </is>
      </c>
      <c r="G711" s="62" t="inlineStr">
        <is>
          <t>Occupied</t>
        </is>
      </c>
      <c r="H711" s="20" t="n">
        <v>1432</v>
      </c>
      <c r="I711" s="20" t="n">
        <v>1476</v>
      </c>
      <c r="J711" s="20" t="n">
        <v>1476</v>
      </c>
      <c r="K711" s="63" t="inlineStr">
        <is>
          <t>11/01/2025</t>
        </is>
      </c>
      <c r="L711" s="63" t="inlineStr">
        <is>
          <t>10/07/2026</t>
        </is>
      </c>
      <c r="M711" s="63" t="inlineStr">
        <is>
          <t>09/01/2023</t>
        </is>
      </c>
      <c r="O711" s="20" t="n">
        <v>1476</v>
      </c>
      <c r="P711" s="20" t="n"/>
      <c r="Q711" s="20" t="n">
        <v>100</v>
      </c>
      <c r="R711" s="20" t="n"/>
      <c r="S711" s="20" t="n"/>
      <c r="T711" s="20" t="n"/>
      <c r="U711" s="20" t="n">
        <v>1</v>
      </c>
      <c r="V711" s="20" t="n"/>
      <c r="W711" s="20" t="n"/>
      <c r="X711" s="20" t="n"/>
      <c r="Y711" s="20" t="n"/>
      <c r="Z711" s="20" t="n"/>
    </row>
    <row r="712">
      <c r="A712" s="64" t="inlineStr">
        <is>
          <t>6337</t>
        </is>
      </c>
      <c r="B712" s="64" t="inlineStr">
        <is>
          <t>B1</t>
        </is>
      </c>
      <c r="C712" s="11" t="n">
        <v>947</v>
      </c>
      <c r="D712" s="10" t="n">
        <v>2</v>
      </c>
      <c r="E712" s="10" t="n">
        <v>2</v>
      </c>
      <c r="F712" s="65" t="inlineStr">
        <is>
          <t>Market</t>
        </is>
      </c>
      <c r="G712" s="65" t="inlineStr">
        <is>
          <t>Occupied</t>
        </is>
      </c>
      <c r="H712" s="11" t="n">
        <v>1432</v>
      </c>
      <c r="I712" s="11" t="n">
        <v>1472</v>
      </c>
      <c r="J712" s="11" t="n">
        <v>1472</v>
      </c>
      <c r="K712" s="66" t="inlineStr">
        <is>
          <t>07/10/2025</t>
        </is>
      </c>
      <c r="L712" s="66" t="inlineStr">
        <is>
          <t>07/09/2026</t>
        </is>
      </c>
      <c r="M712" s="66" t="inlineStr">
        <is>
          <t>07/10/2025</t>
        </is>
      </c>
      <c r="O712" s="11" t="n">
        <v>1472</v>
      </c>
      <c r="P712" s="11" t="n"/>
      <c r="Q712" s="11" t="n"/>
      <c r="R712" s="11" t="n"/>
      <c r="S712" s="11" t="n"/>
      <c r="T712" s="11" t="n"/>
      <c r="U712" s="11" t="n">
        <v>1</v>
      </c>
      <c r="V712" s="11" t="n"/>
      <c r="W712" s="11" t="n"/>
      <c r="X712" s="11" t="n"/>
      <c r="Y712" s="11" t="n"/>
      <c r="Z712" s="11" t="n"/>
    </row>
    <row r="713">
      <c r="A713" s="61" t="inlineStr">
        <is>
          <t>6411</t>
        </is>
      </c>
      <c r="B713" s="61" t="inlineStr">
        <is>
          <t>B4.2</t>
        </is>
      </c>
      <c r="C713" s="20" t="n">
        <v>1184</v>
      </c>
      <c r="D713" s="19" t="n">
        <v>2</v>
      </c>
      <c r="E713" s="19" t="n">
        <v>2</v>
      </c>
      <c r="F713" s="62" t="inlineStr">
        <is>
          <t>Market</t>
        </is>
      </c>
      <c r="G713" s="62" t="inlineStr">
        <is>
          <t>Occupied</t>
        </is>
      </c>
      <c r="H713" s="20" t="n">
        <v>1846</v>
      </c>
      <c r="I713" s="20" t="n">
        <v>1608</v>
      </c>
      <c r="J713" s="20" t="n">
        <v>1608</v>
      </c>
      <c r="K713" s="63" t="inlineStr">
        <is>
          <t>08/15/2025</t>
        </is>
      </c>
      <c r="L713" s="63" t="inlineStr">
        <is>
          <t>09/14/2026</t>
        </is>
      </c>
      <c r="M713" s="63" t="inlineStr">
        <is>
          <t>08/15/2025</t>
        </is>
      </c>
      <c r="O713" s="20" t="n">
        <v>1608</v>
      </c>
      <c r="P713" s="20" t="n"/>
      <c r="Q713" s="20" t="n"/>
      <c r="R713" s="20" t="n"/>
      <c r="S713" s="20" t="n"/>
      <c r="T713" s="20" t="n">
        <v>30</v>
      </c>
      <c r="U713" s="20" t="n">
        <v>1</v>
      </c>
      <c r="V713" s="20" t="n"/>
      <c r="W713" s="20" t="n"/>
      <c r="X713" s="20" t="n"/>
      <c r="Y713" s="20" t="n"/>
      <c r="Z713" s="20" t="n"/>
    </row>
    <row r="714">
      <c r="A714" s="64" t="inlineStr">
        <is>
          <t>6412</t>
        </is>
      </c>
      <c r="B714" s="64" t="inlineStr">
        <is>
          <t>B4.2</t>
        </is>
      </c>
      <c r="C714" s="11" t="n">
        <v>1184</v>
      </c>
      <c r="D714" s="10" t="n">
        <v>2</v>
      </c>
      <c r="E714" s="10" t="n">
        <v>2</v>
      </c>
      <c r="F714" s="65" t="inlineStr">
        <is>
          <t>Market</t>
        </is>
      </c>
      <c r="G714" s="65" t="inlineStr">
        <is>
          <t>Occupied</t>
        </is>
      </c>
      <c r="H714" s="11" t="n">
        <v>1846</v>
      </c>
      <c r="I714" s="11" t="n">
        <v>1855</v>
      </c>
      <c r="J714" s="11" t="n">
        <v>1855</v>
      </c>
      <c r="K714" s="66" t="inlineStr">
        <is>
          <t>04/03/2025</t>
        </is>
      </c>
      <c r="L714" s="66" t="inlineStr">
        <is>
          <t>07/02/2026</t>
        </is>
      </c>
      <c r="M714" s="66" t="inlineStr">
        <is>
          <t>04/03/2025</t>
        </is>
      </c>
      <c r="O714" s="11" t="n">
        <v>1855</v>
      </c>
      <c r="P714" s="11" t="n"/>
      <c r="Q714" s="11" t="n"/>
      <c r="R714" s="11" t="n"/>
      <c r="S714" s="11" t="n"/>
      <c r="T714" s="11" t="n"/>
      <c r="U714" s="11" t="n">
        <v>1</v>
      </c>
      <c r="V714" s="11" t="n"/>
      <c r="W714" s="11" t="n"/>
      <c r="X714" s="11" t="n"/>
      <c r="Y714" s="11" t="n"/>
      <c r="Z714" s="11" t="n"/>
    </row>
    <row r="715">
      <c r="A715" s="61" t="inlineStr">
        <is>
          <t>6413</t>
        </is>
      </c>
      <c r="B715" s="61" t="inlineStr">
        <is>
          <t>B4.2</t>
        </is>
      </c>
      <c r="C715" s="20" t="n">
        <v>1184</v>
      </c>
      <c r="D715" s="19" t="n">
        <v>2</v>
      </c>
      <c r="E715" s="19" t="n">
        <v>2</v>
      </c>
      <c r="F715" s="62" t="inlineStr">
        <is>
          <t>Market</t>
        </is>
      </c>
      <c r="G715" s="62" t="inlineStr">
        <is>
          <t>Vacant</t>
        </is>
      </c>
      <c r="H715" s="20" t="n">
        <v>1846</v>
      </c>
      <c r="I715" s="20" t="n">
        <v>0</v>
      </c>
      <c r="J715" s="20" t="n">
        <v>0</v>
      </c>
      <c r="K715" s="63" t="n"/>
      <c r="L715" s="63" t="n"/>
      <c r="M715" s="63" t="n"/>
      <c r="O715" s="20" t="n"/>
      <c r="P715" s="20" t="n"/>
      <c r="Q715" s="20" t="n"/>
      <c r="R715" s="20" t="n"/>
      <c r="S715" s="20" t="n"/>
      <c r="T715" s="20" t="n"/>
      <c r="U715" s="20" t="n"/>
      <c r="V715" s="20" t="n"/>
      <c r="W715" s="20" t="n"/>
      <c r="X715" s="20" t="n"/>
      <c r="Y715" s="20" t="n"/>
      <c r="Z715" s="20" t="n"/>
    </row>
    <row r="716">
      <c r="A716" s="64" t="inlineStr">
        <is>
          <t>6414</t>
        </is>
      </c>
      <c r="B716" s="64" t="inlineStr">
        <is>
          <t>B4.2</t>
        </is>
      </c>
      <c r="C716" s="11" t="n">
        <v>1184</v>
      </c>
      <c r="D716" s="10" t="n">
        <v>2</v>
      </c>
      <c r="E716" s="10" t="n">
        <v>2</v>
      </c>
      <c r="F716" s="65" t="inlineStr">
        <is>
          <t>Market</t>
        </is>
      </c>
      <c r="G716" s="65" t="inlineStr">
        <is>
          <t>Occupied</t>
        </is>
      </c>
      <c r="H716" s="11" t="n">
        <v>1846</v>
      </c>
      <c r="I716" s="11" t="n">
        <v>1797</v>
      </c>
      <c r="J716" s="11" t="n">
        <v>1797</v>
      </c>
      <c r="K716" s="66" t="inlineStr">
        <is>
          <t>01/15/2026</t>
        </is>
      </c>
      <c r="L716" s="66" t="inlineStr">
        <is>
          <t>01/14/2027</t>
        </is>
      </c>
      <c r="M716" s="66" t="inlineStr">
        <is>
          <t>08/30/2016</t>
        </is>
      </c>
      <c r="O716" s="11" t="n">
        <v>1797</v>
      </c>
      <c r="P716" s="11" t="n"/>
      <c r="Q716" s="11" t="n">
        <v>125</v>
      </c>
      <c r="R716" s="11" t="n"/>
      <c r="S716" s="11" t="n"/>
      <c r="T716" s="11" t="n"/>
      <c r="U716" s="11" t="n">
        <v>3</v>
      </c>
      <c r="V716" s="11" t="n"/>
      <c r="W716" s="11" t="n"/>
      <c r="X716" s="11" t="n"/>
      <c r="Y716" s="11" t="n"/>
      <c r="Z716" s="11" t="n"/>
    </row>
    <row r="717">
      <c r="A717" s="61" t="inlineStr">
        <is>
          <t>6415</t>
        </is>
      </c>
      <c r="B717" s="61" t="inlineStr">
        <is>
          <t>B4.2</t>
        </is>
      </c>
      <c r="C717" s="20" t="n">
        <v>1184</v>
      </c>
      <c r="D717" s="19" t="n">
        <v>2</v>
      </c>
      <c r="E717" s="19" t="n">
        <v>2</v>
      </c>
      <c r="F717" s="62" t="inlineStr">
        <is>
          <t>Market</t>
        </is>
      </c>
      <c r="G717" s="62" t="inlineStr">
        <is>
          <t>Vacant</t>
        </is>
      </c>
      <c r="H717" s="20" t="n">
        <v>1846</v>
      </c>
      <c r="I717" s="20" t="n">
        <v>0</v>
      </c>
      <c r="J717" s="20" t="n">
        <v>0</v>
      </c>
      <c r="K717" s="63" t="n"/>
      <c r="L717" s="63" t="n"/>
      <c r="M717" s="63" t="n"/>
      <c r="O717" s="20" t="n"/>
      <c r="P717" s="20" t="n"/>
      <c r="Q717" s="20" t="n"/>
      <c r="R717" s="20" t="n"/>
      <c r="S717" s="20" t="n"/>
      <c r="T717" s="20" t="n"/>
      <c r="U717" s="20" t="n"/>
      <c r="V717" s="20" t="n"/>
      <c r="W717" s="20" t="n"/>
      <c r="X717" s="20" t="n"/>
      <c r="Y717" s="20" t="n"/>
      <c r="Z717" s="20" t="n"/>
    </row>
    <row r="718">
      <c r="A718" s="28" t="inlineStr">
        <is>
          <t>TOTAL / AVG</t>
        </is>
      </c>
      <c r="B718" s="29" t="n"/>
      <c r="C718" s="31">
        <f>SUM(C3:C717)</f>
        <v/>
      </c>
      <c r="D718" s="29" t="n"/>
      <c r="E718" s="29" t="n"/>
      <c r="F718" s="29" t="n"/>
      <c r="G718" s="29" t="n"/>
      <c r="H718" s="31">
        <f>SUM(H3:H717)</f>
        <v/>
      </c>
      <c r="I718" s="31">
        <f>SUM(I3:I717)</f>
        <v/>
      </c>
      <c r="J718" s="31">
        <f>SUM(J3:J717)</f>
        <v/>
      </c>
      <c r="K718" s="29" t="n"/>
      <c r="L718" s="29" t="n"/>
      <c r="M718" s="29" t="n"/>
      <c r="N718" s="29" t="n"/>
      <c r="O718" s="31">
        <f>SUM(O3:O717)</f>
        <v/>
      </c>
      <c r="P718" s="31">
        <f>SUM(P3:P717)</f>
        <v/>
      </c>
      <c r="Q718" s="31">
        <f>SUM(Q3:Q717)</f>
        <v/>
      </c>
      <c r="R718" s="31">
        <f>SUM(R3:R717)</f>
        <v/>
      </c>
      <c r="S718" s="31">
        <f>SUM(S3:S717)</f>
        <v/>
      </c>
      <c r="T718" s="31">
        <f>SUM(T3:T717)</f>
        <v/>
      </c>
      <c r="U718" s="31">
        <f>SUM(U3:U717)</f>
        <v/>
      </c>
      <c r="V718" s="31">
        <f>SUM(V3:V717)</f>
        <v/>
      </c>
      <c r="W718" s="31">
        <f>SUM(W3:W717)</f>
        <v/>
      </c>
      <c r="X718" s="31">
        <f>SUM(X3:X717)</f>
        <v/>
      </c>
      <c r="Y718" s="31">
        <f>SUM(Y3:Y717)</f>
        <v/>
      </c>
      <c r="Z718" s="31">
        <f>SUM(Z3:Z717)</f>
        <v/>
      </c>
    </row>
  </sheetData>
  <mergeCells count="14">
    <mergeCell ref="I1:I2"/>
    <mergeCell ref="M1:M2"/>
    <mergeCell ref="K1:K2"/>
    <mergeCell ref="O1:Z1"/>
    <mergeCell ref="C1:C2"/>
    <mergeCell ref="B1:B2"/>
    <mergeCell ref="D1:D2"/>
    <mergeCell ref="E1:E2"/>
    <mergeCell ref="F1:F2"/>
    <mergeCell ref="G1:G2"/>
    <mergeCell ref="L1:L2"/>
    <mergeCell ref="J1:J2"/>
    <mergeCell ref="H1:H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</cols>
  <sheetData>
    <row r="1">
      <c r="A1" s="67" t="inlineStr">
        <is>
          <t>Lease Trend &amp; Operating History (monthly)</t>
        </is>
      </c>
    </row>
    <row r="2">
      <c r="A2" s="2" t="inlineStr">
        <is>
          <t>True market rent from HelloData executed leases (mix-weighted by floor plan) + new-lease signings; loss-to-lease backed into from T12 AGPR; concessions compared T12 vs HelloData. Months flow left-to-right; renewals excluded from market reads.</t>
        </is>
      </c>
    </row>
    <row r="4">
      <c r="A4" s="39" t="inlineStr">
        <is>
          <t>Month →</t>
        </is>
      </c>
      <c r="B4" s="43" t="inlineStr">
        <is>
          <t>Jan 2023</t>
        </is>
      </c>
      <c r="C4" s="43" t="inlineStr">
        <is>
          <t>Feb 2023</t>
        </is>
      </c>
      <c r="D4" s="43" t="inlineStr">
        <is>
          <t>Mar 2023</t>
        </is>
      </c>
      <c r="E4" s="43" t="inlineStr">
        <is>
          <t>Apr 2023</t>
        </is>
      </c>
      <c r="F4" s="43" t="inlineStr">
        <is>
          <t>May 2023</t>
        </is>
      </c>
      <c r="G4" s="43" t="inlineStr">
        <is>
          <t>Jun 2023</t>
        </is>
      </c>
      <c r="H4" s="43" t="inlineStr">
        <is>
          <t>Jul 2023</t>
        </is>
      </c>
      <c r="I4" s="43" t="inlineStr">
        <is>
          <t>Aug 2023</t>
        </is>
      </c>
      <c r="J4" s="43" t="inlineStr">
        <is>
          <t>Sep 2023</t>
        </is>
      </c>
      <c r="K4" s="43" t="inlineStr">
        <is>
          <t>Oct 2023</t>
        </is>
      </c>
      <c r="L4" s="43" t="inlineStr">
        <is>
          <t>Nov 2023</t>
        </is>
      </c>
      <c r="M4" s="43" t="inlineStr">
        <is>
          <t>Dec 2023</t>
        </is>
      </c>
      <c r="N4" s="43" t="inlineStr">
        <is>
          <t>Jan 2024</t>
        </is>
      </c>
      <c r="O4" s="43" t="inlineStr">
        <is>
          <t>Feb 2024</t>
        </is>
      </c>
      <c r="P4" s="43" t="inlineStr">
        <is>
          <t>Mar 2024</t>
        </is>
      </c>
      <c r="Q4" s="43" t="inlineStr">
        <is>
          <t>Apr 2024</t>
        </is>
      </c>
      <c r="R4" s="43" t="inlineStr">
        <is>
          <t>May 2024</t>
        </is>
      </c>
      <c r="S4" s="43" t="inlineStr">
        <is>
          <t>Jun 2024</t>
        </is>
      </c>
      <c r="T4" s="43" t="inlineStr">
        <is>
          <t>Jul 2024</t>
        </is>
      </c>
      <c r="U4" s="43" t="inlineStr">
        <is>
          <t>Aug 2024</t>
        </is>
      </c>
      <c r="V4" s="43" t="inlineStr">
        <is>
          <t>Sep 2024</t>
        </is>
      </c>
      <c r="W4" s="43" t="inlineStr">
        <is>
          <t>Oct 2024</t>
        </is>
      </c>
      <c r="X4" s="43" t="inlineStr">
        <is>
          <t>Nov 2024</t>
        </is>
      </c>
      <c r="Y4" s="43" t="inlineStr">
        <is>
          <t>Dec 2024</t>
        </is>
      </c>
      <c r="Z4" s="43" t="inlineStr">
        <is>
          <t>Jan 2025</t>
        </is>
      </c>
      <c r="AA4" s="43" t="inlineStr">
        <is>
          <t>Feb 2025</t>
        </is>
      </c>
      <c r="AB4" s="43" t="inlineStr">
        <is>
          <t>Mar 2025</t>
        </is>
      </c>
      <c r="AC4" s="43" t="inlineStr">
        <is>
          <t>Apr 2025</t>
        </is>
      </c>
      <c r="AD4" s="43" t="inlineStr">
        <is>
          <t>May 2025</t>
        </is>
      </c>
      <c r="AE4" s="43" t="inlineStr">
        <is>
          <t>Jun 2025</t>
        </is>
      </c>
      <c r="AF4" s="43" t="inlineStr">
        <is>
          <t>Jul 2025</t>
        </is>
      </c>
      <c r="AG4" s="43" t="inlineStr">
        <is>
          <t>Aug 2025</t>
        </is>
      </c>
      <c r="AH4" s="43" t="inlineStr">
        <is>
          <t>Sep 2025</t>
        </is>
      </c>
      <c r="AI4" s="43" t="inlineStr">
        <is>
          <t>Oct 2025</t>
        </is>
      </c>
      <c r="AJ4" s="43" t="inlineStr">
        <is>
          <t>Nov 2025</t>
        </is>
      </c>
      <c r="AK4" s="43" t="inlineStr">
        <is>
          <t>Dec 2025</t>
        </is>
      </c>
      <c r="AL4" s="43" t="inlineStr">
        <is>
          <t>Jan 2026</t>
        </is>
      </c>
      <c r="AM4" s="43" t="inlineStr">
        <is>
          <t>Feb 2026</t>
        </is>
      </c>
      <c r="AN4" s="43" t="inlineStr">
        <is>
          <t>Mar 2026</t>
        </is>
      </c>
      <c r="AO4" s="43" t="inlineStr">
        <is>
          <t>Apr 2026</t>
        </is>
      </c>
      <c r="AP4" s="43" t="inlineStr">
        <is>
          <t>May 2026</t>
        </is>
      </c>
      <c r="AQ4" s="43" t="inlineStr">
        <is>
          <t>Jun 2026</t>
        </is>
      </c>
    </row>
    <row r="5">
      <c r="A5" s="3" t="inlineStr">
        <is>
          <t>MARKET RENT — HelloData executed (mix-weighted) + new-lease signings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</row>
    <row r="6">
      <c r="A6" s="27" t="inlineStr">
        <is>
          <t>HD Market Rent / unit (asking)</t>
        </is>
      </c>
      <c r="G6" s="11" t="n">
        <v>1619</v>
      </c>
      <c r="H6" s="11" t="n">
        <v>1586</v>
      </c>
      <c r="I6" s="11" t="n">
        <v>1444</v>
      </c>
      <c r="J6" s="11" t="n">
        <v>1531</v>
      </c>
      <c r="K6" s="11" t="n">
        <v>1487</v>
      </c>
      <c r="L6" s="11" t="n">
        <v>1434</v>
      </c>
      <c r="M6" s="11" t="n">
        <v>1434</v>
      </c>
      <c r="N6" s="11" t="n">
        <v>1476</v>
      </c>
      <c r="O6" s="11" t="n">
        <v>1518</v>
      </c>
      <c r="P6" s="11" t="n">
        <v>1522</v>
      </c>
      <c r="Q6" s="11" t="n">
        <v>1510</v>
      </c>
      <c r="R6" s="11" t="n">
        <v>1587</v>
      </c>
      <c r="S6" s="11" t="n">
        <v>1440</v>
      </c>
      <c r="T6" s="11" t="n">
        <v>1496</v>
      </c>
      <c r="U6" s="11" t="n">
        <v>1444</v>
      </c>
      <c r="V6" s="11" t="n">
        <v>1496</v>
      </c>
      <c r="W6" s="11" t="n">
        <v>1495</v>
      </c>
      <c r="X6" s="11" t="n">
        <v>1423</v>
      </c>
      <c r="Y6" s="11" t="n">
        <v>1370</v>
      </c>
      <c r="Z6" s="11" t="n">
        <v>1397</v>
      </c>
      <c r="AA6" s="11" t="n">
        <v>1512</v>
      </c>
      <c r="AB6" s="11" t="n">
        <v>1462</v>
      </c>
      <c r="AC6" s="11" t="n">
        <v>1447</v>
      </c>
      <c r="AD6" s="11" t="n">
        <v>1371</v>
      </c>
      <c r="AE6" s="11" t="n">
        <v>1420</v>
      </c>
      <c r="AF6" s="11" t="n">
        <v>1377</v>
      </c>
      <c r="AG6" s="11" t="n">
        <v>1393</v>
      </c>
      <c r="AH6" s="11" t="n">
        <v>1252</v>
      </c>
      <c r="AI6" s="11" t="n">
        <v>1301</v>
      </c>
      <c r="AJ6" s="11" t="n">
        <v>1334</v>
      </c>
      <c r="AK6" s="11" t="n">
        <v>1252</v>
      </c>
      <c r="AL6" s="11" t="n">
        <v>1373</v>
      </c>
      <c r="AM6" s="11" t="n">
        <v>1328</v>
      </c>
      <c r="AN6" s="11" t="n">
        <v>1323</v>
      </c>
      <c r="AO6" s="11" t="n">
        <v>1391</v>
      </c>
      <c r="AP6" s="11" t="n">
        <v>1312</v>
      </c>
      <c r="AQ6" s="11" t="n">
        <v>1346</v>
      </c>
    </row>
    <row r="7">
      <c r="A7" s="5" t="inlineStr">
        <is>
          <t>HD Effective Rent / unit</t>
        </is>
      </c>
      <c r="G7" s="11" t="n">
        <v>1557</v>
      </c>
      <c r="H7" s="11" t="n">
        <v>1546</v>
      </c>
      <c r="I7" s="11" t="n">
        <v>1393</v>
      </c>
      <c r="J7" s="11" t="n">
        <v>1487</v>
      </c>
      <c r="K7" s="11" t="n">
        <v>1363</v>
      </c>
      <c r="L7" s="11" t="n">
        <v>1315</v>
      </c>
      <c r="M7" s="11" t="n">
        <v>1314</v>
      </c>
      <c r="N7" s="11" t="n">
        <v>1353</v>
      </c>
      <c r="O7" s="11" t="n">
        <v>1403</v>
      </c>
      <c r="P7" s="11" t="n">
        <v>1407</v>
      </c>
      <c r="Q7" s="11" t="n">
        <v>1394</v>
      </c>
      <c r="R7" s="11" t="n">
        <v>1456</v>
      </c>
      <c r="S7" s="11" t="n">
        <v>1398</v>
      </c>
      <c r="T7" s="11" t="n">
        <v>1496</v>
      </c>
      <c r="U7" s="11" t="n">
        <v>1444</v>
      </c>
      <c r="V7" s="11" t="n">
        <v>1496</v>
      </c>
      <c r="W7" s="11" t="n">
        <v>1495</v>
      </c>
      <c r="X7" s="11" t="n">
        <v>1319</v>
      </c>
      <c r="Y7" s="11" t="n">
        <v>1260</v>
      </c>
      <c r="Z7" s="11" t="n">
        <v>1286</v>
      </c>
      <c r="AA7" s="11" t="n">
        <v>1390</v>
      </c>
      <c r="AB7" s="11" t="n">
        <v>1343</v>
      </c>
      <c r="AC7" s="11" t="n">
        <v>1334</v>
      </c>
      <c r="AD7" s="11" t="n">
        <v>1264</v>
      </c>
      <c r="AE7" s="11" t="n">
        <v>1306</v>
      </c>
      <c r="AF7" s="11" t="n">
        <v>1269</v>
      </c>
      <c r="AG7" s="11" t="n">
        <v>1335</v>
      </c>
      <c r="AH7" s="11" t="n">
        <v>1148</v>
      </c>
      <c r="AI7" s="11" t="n">
        <v>1200</v>
      </c>
      <c r="AJ7" s="11" t="n">
        <v>1334</v>
      </c>
      <c r="AK7" s="11" t="n">
        <v>1252</v>
      </c>
      <c r="AL7" s="11" t="n">
        <v>1373</v>
      </c>
      <c r="AM7" s="11" t="n">
        <v>1328</v>
      </c>
      <c r="AN7" s="11" t="n">
        <v>1323</v>
      </c>
      <c r="AO7" s="11" t="n">
        <v>1391</v>
      </c>
      <c r="AP7" s="11" t="n">
        <v>1312</v>
      </c>
      <c r="AQ7" s="11" t="n">
        <v>1346</v>
      </c>
    </row>
    <row r="8">
      <c r="A8" s="5" t="inlineStr">
        <is>
          <t>HD Concession % (1 − eff/ask)</t>
        </is>
      </c>
      <c r="G8" s="14" t="n">
        <v>0.03835640964430642</v>
      </c>
      <c r="H8" s="14" t="n">
        <v>0.02498703150414006</v>
      </c>
      <c r="I8" s="14" t="n">
        <v>0.0350540700345181</v>
      </c>
      <c r="J8" s="14" t="n">
        <v>0.02859367901330023</v>
      </c>
      <c r="K8" s="14" t="n">
        <v>0.08331739355541889</v>
      </c>
      <c r="L8" s="14" t="n">
        <v>0.08336471629059439</v>
      </c>
      <c r="M8" s="14" t="n">
        <v>0.08326829086213161</v>
      </c>
      <c r="N8" s="14" t="n">
        <v>0.08335559296619399</v>
      </c>
      <c r="O8" s="14" t="n">
        <v>0.07594451877548714</v>
      </c>
      <c r="P8" s="14" t="n">
        <v>0.07531049067677631</v>
      </c>
      <c r="Q8" s="14" t="n">
        <v>0.07670102645754784</v>
      </c>
      <c r="R8" s="14" t="n">
        <v>0.08231736829651304</v>
      </c>
      <c r="S8" s="14" t="n">
        <v>0.02906526938359744</v>
      </c>
      <c r="X8" s="14" t="n">
        <v>0.07270740775824647</v>
      </c>
      <c r="Y8" s="14" t="n">
        <v>0.08045264293872301</v>
      </c>
      <c r="Z8" s="14" t="n">
        <v>0.07974680219788444</v>
      </c>
      <c r="AA8" s="14" t="n">
        <v>0.08109845066620902</v>
      </c>
      <c r="AB8" s="14" t="n">
        <v>0.08084325917480006</v>
      </c>
      <c r="AC8" s="14" t="n">
        <v>0.07873964238163689</v>
      </c>
      <c r="AD8" s="14" t="n">
        <v>0.07829425771872278</v>
      </c>
      <c r="AE8" s="14" t="n">
        <v>0.08045395970862923</v>
      </c>
      <c r="AF8" s="14" t="n">
        <v>0.07894276332425676</v>
      </c>
      <c r="AG8" s="14" t="n">
        <v>0.04182630324862258</v>
      </c>
      <c r="AH8" s="14" t="n">
        <v>0.08324695545045002</v>
      </c>
      <c r="AI8" s="14" t="n">
        <v>0.07778538021302095</v>
      </c>
    </row>
    <row r="9">
      <c r="A9" s="5" t="inlineStr">
        <is>
          <t>HD Executed Leases (#)</t>
        </is>
      </c>
      <c r="G9" s="68" t="n">
        <v>4</v>
      </c>
      <c r="H9" s="68" t="n">
        <v>18</v>
      </c>
      <c r="I9" s="68" t="n">
        <v>20</v>
      </c>
      <c r="J9" s="68" t="n">
        <v>14</v>
      </c>
      <c r="K9" s="68" t="n">
        <v>19</v>
      </c>
      <c r="L9" s="68" t="n">
        <v>20</v>
      </c>
      <c r="M9" s="68" t="n">
        <v>32</v>
      </c>
      <c r="N9" s="68" t="n">
        <v>21</v>
      </c>
      <c r="O9" s="68" t="n">
        <v>37</v>
      </c>
      <c r="P9" s="68" t="n">
        <v>28</v>
      </c>
      <c r="Q9" s="68" t="n">
        <v>18</v>
      </c>
      <c r="R9" s="68" t="n">
        <v>17</v>
      </c>
      <c r="S9" s="68" t="n">
        <v>46</v>
      </c>
      <c r="T9" s="68" t="n">
        <v>20</v>
      </c>
      <c r="U9" s="68" t="n">
        <v>21</v>
      </c>
      <c r="V9" s="68" t="n">
        <v>19</v>
      </c>
      <c r="W9" s="68" t="n">
        <v>28</v>
      </c>
      <c r="X9" s="68" t="n">
        <v>33</v>
      </c>
      <c r="Y9" s="68" t="n">
        <v>42</v>
      </c>
      <c r="Z9" s="68" t="n">
        <v>33</v>
      </c>
      <c r="AA9" s="68" t="n">
        <v>16</v>
      </c>
      <c r="AB9" s="68" t="n">
        <v>41</v>
      </c>
      <c r="AC9" s="68" t="n">
        <v>28</v>
      </c>
      <c r="AD9" s="68" t="n">
        <v>41</v>
      </c>
      <c r="AE9" s="68" t="n">
        <v>30</v>
      </c>
      <c r="AF9" s="68" t="n">
        <v>32</v>
      </c>
      <c r="AG9" s="68" t="n">
        <v>22</v>
      </c>
      <c r="AH9" s="68" t="n">
        <v>14</v>
      </c>
      <c r="AI9" s="68" t="n">
        <v>20</v>
      </c>
      <c r="AJ9" s="68" t="n">
        <v>32</v>
      </c>
      <c r="AK9" s="68" t="n">
        <v>33</v>
      </c>
      <c r="AL9" s="68" t="n">
        <v>30</v>
      </c>
      <c r="AM9" s="68" t="n">
        <v>15</v>
      </c>
      <c r="AN9" s="68" t="n">
        <v>35</v>
      </c>
      <c r="AO9" s="68" t="n">
        <v>23</v>
      </c>
      <c r="AP9" s="68" t="n">
        <v>44</v>
      </c>
      <c r="AQ9" s="68" t="n">
        <v>20</v>
      </c>
    </row>
    <row r="10">
      <c r="A10" s="27" t="inlineStr">
        <is>
          <t>New-Lease Contract / unit (rent roll)</t>
        </is>
      </c>
      <c r="AB10" s="11" t="n">
        <v>1523</v>
      </c>
      <c r="AC10" s="11" t="n">
        <v>1449</v>
      </c>
      <c r="AD10" s="11" t="n">
        <v>1438</v>
      </c>
      <c r="AE10" s="11" t="n">
        <v>1409</v>
      </c>
      <c r="AF10" s="11" t="n">
        <v>1392</v>
      </c>
      <c r="AG10" s="11" t="n">
        <v>1335</v>
      </c>
      <c r="AH10" s="11" t="n">
        <v>1306</v>
      </c>
      <c r="AI10" s="11" t="n">
        <v>1322</v>
      </c>
      <c r="AJ10" s="11" t="n">
        <v>1317</v>
      </c>
      <c r="AK10" s="11" t="n">
        <v>1273</v>
      </c>
      <c r="AL10" s="11" t="n">
        <v>1277</v>
      </c>
      <c r="AM10" s="11" t="n">
        <v>1289</v>
      </c>
      <c r="AN10" s="11" t="n">
        <v>1328</v>
      </c>
      <c r="AO10" s="11" t="n">
        <v>1404</v>
      </c>
      <c r="AP10" s="11" t="n">
        <v>1325</v>
      </c>
    </row>
    <row r="11">
      <c r="A11" s="5" t="inlineStr">
        <is>
          <t>New Leases (#)</t>
        </is>
      </c>
      <c r="AB11" s="68" t="n">
        <v>11</v>
      </c>
      <c r="AC11" s="68" t="n">
        <v>13</v>
      </c>
      <c r="AD11" s="68" t="n">
        <v>20</v>
      </c>
      <c r="AE11" s="68" t="n">
        <v>25</v>
      </c>
      <c r="AF11" s="68" t="n">
        <v>23</v>
      </c>
      <c r="AG11" s="68" t="n">
        <v>26</v>
      </c>
      <c r="AH11" s="68" t="n">
        <v>14</v>
      </c>
      <c r="AI11" s="68" t="n">
        <v>20</v>
      </c>
      <c r="AJ11" s="68" t="n">
        <v>20</v>
      </c>
      <c r="AK11" s="68" t="n">
        <v>30</v>
      </c>
      <c r="AL11" s="68" t="n">
        <v>22</v>
      </c>
      <c r="AM11" s="68" t="n">
        <v>18</v>
      </c>
      <c r="AN11" s="68" t="n">
        <v>36</v>
      </c>
      <c r="AO11" s="68" t="n">
        <v>16</v>
      </c>
      <c r="AP11" s="68" t="n">
        <v>24</v>
      </c>
    </row>
    <row r="13">
      <c r="A13" s="3" t="inlineStr">
        <is>
          <t>OCCUPANCY &amp; RENT POSITION — from financial statements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</row>
    <row r="14">
      <c r="A14" s="5" t="inlineStr">
        <is>
          <t>Physical Occupancy % (T12: 1 − vac/AGPR)</t>
        </is>
      </c>
      <c r="B14" s="14" t="n">
        <v>0.9283773254576129</v>
      </c>
      <c r="C14" s="14" t="n">
        <v>0.8873617891059128</v>
      </c>
      <c r="D14" s="14" t="n">
        <v>0.8465634290924492</v>
      </c>
      <c r="E14" s="14" t="n">
        <v>0.8164445044003936</v>
      </c>
      <c r="F14" s="14" t="n">
        <v>0.8800822863233362</v>
      </c>
      <c r="G14" s="14" t="n">
        <v>0.9145533752289118</v>
      </c>
      <c r="H14" s="14" t="n">
        <v>0.891575594418022</v>
      </c>
      <c r="I14" s="14" t="n">
        <v>0.8928042946778979</v>
      </c>
      <c r="J14" s="14" t="n">
        <v>0.9138559720179289</v>
      </c>
      <c r="K14" s="14" t="n">
        <v>0.9028853276663849</v>
      </c>
      <c r="L14" s="14" t="n">
        <v>0.9003979740481181</v>
      </c>
      <c r="M14" s="14" t="n">
        <v>0.928379324199587</v>
      </c>
      <c r="N14" s="14" t="n">
        <v>0.927577926486403</v>
      </c>
      <c r="O14" s="14" t="n">
        <v>0.9288699763511544</v>
      </c>
      <c r="P14" s="14" t="n">
        <v>0.9345916246865319</v>
      </c>
      <c r="Q14" s="14" t="n">
        <v>0.9355743439814801</v>
      </c>
      <c r="R14" s="14" t="n">
        <v>0.923804483999333</v>
      </c>
      <c r="S14" s="14" t="n">
        <v>0.9281390325666857</v>
      </c>
      <c r="T14" s="14" t="n">
        <v>0.9409631448885077</v>
      </c>
      <c r="U14" s="14" t="n">
        <v>0.9398491664853531</v>
      </c>
      <c r="V14" s="14" t="n">
        <v>0.9401826706477285</v>
      </c>
      <c r="W14" s="14" t="n">
        <v>0.9238826870514331</v>
      </c>
      <c r="X14" s="14" t="n">
        <v>0.9289524418792154</v>
      </c>
      <c r="Y14" s="14" t="n">
        <v>0.9379935445570775</v>
      </c>
      <c r="Z14" s="14" t="n">
        <v>0.9255755641323533</v>
      </c>
      <c r="AA14" s="14" t="n">
        <v>0.9314594106301983</v>
      </c>
      <c r="AB14" s="14" t="n">
        <v>0.9319479855941166</v>
      </c>
      <c r="AC14" s="14" t="n">
        <v>0.9367812994830151</v>
      </c>
      <c r="AD14" s="14" t="n">
        <v>0.9305705474153322</v>
      </c>
      <c r="AE14" s="14" t="n">
        <v>0.933667103596709</v>
      </c>
      <c r="AF14" s="14" t="n">
        <v>0.9393642191321134</v>
      </c>
      <c r="AG14" s="14" t="n">
        <v>0.9286336138487086</v>
      </c>
      <c r="AH14" s="14" t="n">
        <v>0.916800826087368</v>
      </c>
      <c r="AI14" s="14" t="n">
        <v>0.9229281513190408</v>
      </c>
      <c r="AJ14" s="14" t="n">
        <v>0.9016220101731469</v>
      </c>
      <c r="AK14" s="14" t="n">
        <v>0.9146371190040405</v>
      </c>
    </row>
    <row r="15">
      <c r="A15" s="27" t="inlineStr">
        <is>
          <t>Contract Rent / unit — AGPR (T12)</t>
        </is>
      </c>
      <c r="B15" s="11" t="n">
        <v>1579</v>
      </c>
      <c r="C15" s="11" t="n">
        <v>1672</v>
      </c>
      <c r="D15" s="11" t="n">
        <v>1642</v>
      </c>
      <c r="E15" s="11" t="n">
        <v>1618</v>
      </c>
      <c r="F15" s="11" t="n">
        <v>1449</v>
      </c>
      <c r="G15" s="11" t="n">
        <v>1560</v>
      </c>
      <c r="H15" s="11" t="n">
        <v>1567</v>
      </c>
      <c r="I15" s="11" t="n">
        <v>1567</v>
      </c>
      <c r="J15" s="11" t="n">
        <v>1566</v>
      </c>
      <c r="K15" s="11" t="n">
        <v>1564</v>
      </c>
      <c r="L15" s="11" t="n">
        <v>1560</v>
      </c>
      <c r="M15" s="11" t="n">
        <v>1553</v>
      </c>
      <c r="N15" s="11" t="n">
        <v>1547</v>
      </c>
      <c r="O15" s="11" t="n">
        <v>1551</v>
      </c>
      <c r="P15" s="11" t="n">
        <v>1545</v>
      </c>
      <c r="Q15" s="11" t="n">
        <v>1538</v>
      </c>
      <c r="R15" s="11" t="n">
        <v>1544</v>
      </c>
      <c r="S15" s="11" t="n">
        <v>1545</v>
      </c>
      <c r="T15" s="11" t="n">
        <v>1545</v>
      </c>
      <c r="U15" s="11" t="n">
        <v>1541</v>
      </c>
      <c r="V15" s="11" t="n">
        <v>1538</v>
      </c>
      <c r="W15" s="11" t="n">
        <v>1540</v>
      </c>
      <c r="X15" s="11" t="n">
        <v>1537</v>
      </c>
      <c r="Y15" s="11" t="n">
        <v>1551</v>
      </c>
      <c r="Z15" s="11" t="n">
        <v>1525</v>
      </c>
      <c r="AA15" s="11" t="n">
        <v>1514</v>
      </c>
      <c r="AB15" s="11" t="n">
        <v>1514</v>
      </c>
      <c r="AC15" s="11" t="n">
        <v>1509</v>
      </c>
      <c r="AD15" s="11" t="n">
        <v>1511</v>
      </c>
      <c r="AE15" s="11" t="n">
        <v>1508</v>
      </c>
      <c r="AF15" s="11" t="n">
        <v>1504</v>
      </c>
      <c r="AG15" s="11" t="n">
        <v>1501</v>
      </c>
      <c r="AH15" s="11" t="n">
        <v>1498</v>
      </c>
      <c r="AI15" s="11" t="n">
        <v>1485</v>
      </c>
      <c r="AJ15" s="11" t="n">
        <v>1474</v>
      </c>
      <c r="AK15" s="11" t="n">
        <v>1454</v>
      </c>
    </row>
    <row r="16">
      <c r="A16" s="5" t="inlineStr">
        <is>
          <t>Market Rent / unit — GPR basis (T12, ref only)</t>
        </is>
      </c>
      <c r="B16" s="11" t="n">
        <v>1681</v>
      </c>
      <c r="C16" s="11" t="n">
        <v>1681</v>
      </c>
      <c r="D16" s="11" t="n">
        <v>1681</v>
      </c>
      <c r="E16" s="11" t="n">
        <v>1681</v>
      </c>
      <c r="F16" s="11" t="n">
        <v>1681</v>
      </c>
      <c r="G16" s="11" t="n">
        <v>1681</v>
      </c>
      <c r="H16" s="11" t="n">
        <v>1681</v>
      </c>
      <c r="I16" s="11" t="n">
        <v>1681</v>
      </c>
      <c r="J16" s="11" t="n">
        <v>1681</v>
      </c>
      <c r="K16" s="11" t="n">
        <v>1681</v>
      </c>
      <c r="L16" s="11" t="n">
        <v>1681</v>
      </c>
      <c r="M16" s="11" t="n">
        <v>1681</v>
      </c>
      <c r="N16" s="11" t="n">
        <v>1681</v>
      </c>
      <c r="O16" s="11" t="n">
        <v>1681</v>
      </c>
      <c r="P16" s="11" t="n">
        <v>1681</v>
      </c>
      <c r="Q16" s="11" t="n">
        <v>1681</v>
      </c>
      <c r="R16" s="11" t="n">
        <v>1681</v>
      </c>
      <c r="S16" s="11" t="n">
        <v>1681</v>
      </c>
      <c r="T16" s="11" t="n">
        <v>1681</v>
      </c>
      <c r="U16" s="11" t="n">
        <v>1681</v>
      </c>
      <c r="V16" s="11" t="n">
        <v>1681</v>
      </c>
      <c r="W16" s="11" t="n">
        <v>1682</v>
      </c>
      <c r="X16" s="11" t="n">
        <v>1681</v>
      </c>
      <c r="Y16" s="11" t="n">
        <v>1681</v>
      </c>
      <c r="Z16" s="11" t="n">
        <v>1681</v>
      </c>
      <c r="AA16" s="11" t="n">
        <v>1681</v>
      </c>
      <c r="AB16" s="11" t="n">
        <v>1681</v>
      </c>
      <c r="AC16" s="11" t="n">
        <v>1681</v>
      </c>
      <c r="AD16" s="11" t="n">
        <v>1681</v>
      </c>
      <c r="AE16" s="11" t="n">
        <v>1690</v>
      </c>
      <c r="AF16" s="11" t="n">
        <v>1690</v>
      </c>
      <c r="AG16" s="11" t="n">
        <v>1703</v>
      </c>
      <c r="AH16" s="11" t="n">
        <v>1703</v>
      </c>
      <c r="AI16" s="11" t="n">
        <v>1492</v>
      </c>
      <c r="AJ16" s="11" t="n">
        <v>1390</v>
      </c>
      <c r="AK16" s="11" t="n">
        <v>1329</v>
      </c>
    </row>
    <row r="17">
      <c r="A17" s="27" t="inlineStr">
        <is>
          <t>Loss-to-Lease / unit (HD mkt − AGPR)</t>
        </is>
      </c>
      <c r="G17" s="11" t="n">
        <v>59</v>
      </c>
      <c r="H17" s="11" t="n">
        <v>19</v>
      </c>
      <c r="I17" s="11" t="n">
        <v>-123</v>
      </c>
      <c r="J17" s="11" t="n">
        <v>-35</v>
      </c>
      <c r="K17" s="11" t="n">
        <v>-77</v>
      </c>
      <c r="L17" s="11" t="n">
        <v>-125</v>
      </c>
      <c r="M17" s="11" t="n">
        <v>-120</v>
      </c>
      <c r="N17" s="11" t="n">
        <v>-70</v>
      </c>
      <c r="O17" s="11" t="n">
        <v>-33</v>
      </c>
      <c r="P17" s="11" t="n">
        <v>-24</v>
      </c>
      <c r="Q17" s="11" t="n">
        <v>-28</v>
      </c>
      <c r="R17" s="11" t="n">
        <v>43</v>
      </c>
      <c r="S17" s="11" t="n">
        <v>-106</v>
      </c>
      <c r="T17" s="11" t="n">
        <v>-49</v>
      </c>
      <c r="U17" s="11" t="n">
        <v>-97</v>
      </c>
      <c r="V17" s="11" t="n">
        <v>-42</v>
      </c>
      <c r="W17" s="11" t="n">
        <v>-45</v>
      </c>
      <c r="X17" s="11" t="n">
        <v>-114</v>
      </c>
      <c r="Y17" s="11" t="n">
        <v>-181</v>
      </c>
      <c r="Z17" s="11" t="n">
        <v>-128</v>
      </c>
      <c r="AA17" s="11" t="n">
        <v>-2</v>
      </c>
      <c r="AB17" s="11" t="n">
        <v>-52</v>
      </c>
      <c r="AC17" s="11" t="n">
        <v>-62</v>
      </c>
      <c r="AD17" s="11" t="n">
        <v>-140</v>
      </c>
      <c r="AE17" s="11" t="n">
        <v>-88</v>
      </c>
      <c r="AF17" s="11" t="n">
        <v>-127</v>
      </c>
      <c r="AG17" s="11" t="n">
        <v>-108</v>
      </c>
      <c r="AH17" s="11" t="n">
        <v>-246</v>
      </c>
      <c r="AI17" s="11" t="n">
        <v>-184</v>
      </c>
      <c r="AJ17" s="11" t="n">
        <v>-140</v>
      </c>
      <c r="AK17" s="11" t="n">
        <v>-203</v>
      </c>
    </row>
    <row r="18">
      <c r="A18" s="5" t="inlineStr">
        <is>
          <t>Loss-to-Lease % (vs HD market)</t>
        </is>
      </c>
      <c r="G18" s="14" t="n">
        <v>0.03615731907743715</v>
      </c>
      <c r="H18" s="14" t="n">
        <v>0.01182287663037182</v>
      </c>
      <c r="I18" s="14" t="n">
        <v>-0.08521279088255157</v>
      </c>
      <c r="J18" s="14" t="n">
        <v>-0.02296815348312647</v>
      </c>
      <c r="K18" s="14" t="n">
        <v>-0.05193795197914559</v>
      </c>
      <c r="L18" s="14" t="n">
        <v>-0.08740634718899785</v>
      </c>
      <c r="M18" s="14" t="n">
        <v>-0.08337982482413876</v>
      </c>
      <c r="N18" s="14" t="n">
        <v>-0.04761407414089942</v>
      </c>
      <c r="O18" s="14" t="n">
        <v>-0.02198728303745755</v>
      </c>
      <c r="P18" s="14" t="n">
        <v>-0.01569391264961333</v>
      </c>
      <c r="Q18" s="14" t="n">
        <v>-0.01854723534290923</v>
      </c>
      <c r="R18" s="14" t="n">
        <v>0.02706834626561506</v>
      </c>
      <c r="S18" s="14" t="n">
        <v>-0.07344714403663134</v>
      </c>
      <c r="T18" s="14" t="n">
        <v>-0.03288152356735612</v>
      </c>
      <c r="U18" s="14" t="n">
        <v>-0.06719158749629349</v>
      </c>
      <c r="V18" s="14" t="n">
        <v>-0.02785925383451321</v>
      </c>
      <c r="W18" s="14" t="n">
        <v>-0.03008898024472725</v>
      </c>
      <c r="X18" s="14" t="n">
        <v>-0.08030429514383597</v>
      </c>
      <c r="Y18" s="14" t="n">
        <v>-0.1319936749383939</v>
      </c>
      <c r="Z18" s="14" t="n">
        <v>-0.0913959640382096</v>
      </c>
      <c r="AA18" s="14" t="n">
        <v>-0.001137199838964798</v>
      </c>
      <c r="AB18" s="14" t="n">
        <v>-0.03564879994023464</v>
      </c>
      <c r="AC18" s="14" t="n">
        <v>-0.04261136309910633</v>
      </c>
      <c r="AD18" s="14" t="n">
        <v>-0.1019953426521925</v>
      </c>
      <c r="AE18" s="14" t="n">
        <v>-0.06187351497986598</v>
      </c>
      <c r="AF18" s="14" t="n">
        <v>-0.09234513085103747</v>
      </c>
      <c r="AG18" s="14" t="n">
        <v>-0.07733743309989544</v>
      </c>
      <c r="AH18" s="14" t="n">
        <v>-0.1968596649474466</v>
      </c>
      <c r="AI18" s="14" t="n">
        <v>-0.1412781032630008</v>
      </c>
      <c r="AJ18" s="14" t="n">
        <v>-0.1051388658682115</v>
      </c>
      <c r="AK18" s="14" t="n">
        <v>-0.1619372546871586</v>
      </c>
    </row>
    <row r="20">
      <c r="A20" s="3" t="inlineStr">
        <is>
          <t>CONCESSIONS — T12 (portfolio) vs HelloData (new-lease)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5" t="inlineStr">
        <is>
          <t>T12 Concessions ($/mo)</t>
        </is>
      </c>
      <c r="B21" s="11" t="n">
        <v>-1319</v>
      </c>
      <c r="C21" s="11" t="n">
        <v>-230</v>
      </c>
      <c r="D21" s="11" t="n">
        <v>485</v>
      </c>
      <c r="E21" s="11" t="n">
        <v>672</v>
      </c>
      <c r="F21" s="11" t="n">
        <v>-498</v>
      </c>
      <c r="G21" s="11" t="n">
        <v>-576</v>
      </c>
      <c r="H21" s="11" t="n">
        <v>-2759</v>
      </c>
      <c r="I21" s="11" t="n">
        <v>-12086</v>
      </c>
      <c r="J21" s="11" t="n">
        <v>-1593</v>
      </c>
      <c r="K21" s="11" t="n">
        <v>-6592</v>
      </c>
      <c r="L21" s="11" t="n">
        <v>-12726</v>
      </c>
      <c r="M21" s="11" t="n">
        <v>-18421</v>
      </c>
      <c r="N21" s="11" t="n">
        <v>-7822</v>
      </c>
      <c r="O21" s="11" t="n">
        <v>-12417</v>
      </c>
      <c r="P21" s="11" t="n">
        <v>-5910</v>
      </c>
      <c r="Q21" s="11" t="n">
        <v>394</v>
      </c>
      <c r="R21" s="11" t="n">
        <v>-1968</v>
      </c>
      <c r="S21" s="11" t="n">
        <v>-7675</v>
      </c>
      <c r="T21" s="11" t="n">
        <v>-15019</v>
      </c>
      <c r="U21" s="11" t="n">
        <v>-1969</v>
      </c>
      <c r="V21" s="11" t="n">
        <v>-3434</v>
      </c>
      <c r="W21" s="11" t="n">
        <v>3279</v>
      </c>
      <c r="X21" s="11" t="n">
        <v>-3967</v>
      </c>
      <c r="Y21" s="11" t="n">
        <v>-1493</v>
      </c>
      <c r="Z21" s="11" t="n">
        <v>1024</v>
      </c>
      <c r="AA21" s="11" t="n">
        <v>2266</v>
      </c>
      <c r="AB21" s="11" t="n">
        <v>1680</v>
      </c>
      <c r="AC21" s="11" t="n">
        <v>-325</v>
      </c>
      <c r="AD21" s="11" t="n">
        <v>-589</v>
      </c>
      <c r="AE21" s="11" t="n">
        <v>883</v>
      </c>
      <c r="AF21" s="11" t="n">
        <v>-1241</v>
      </c>
      <c r="AG21" s="11" t="n">
        <v>-30</v>
      </c>
      <c r="AH21" s="11" t="n">
        <v>-2389</v>
      </c>
      <c r="AI21" s="11" t="n">
        <v>-8809</v>
      </c>
      <c r="AJ21" s="11" t="n">
        <v>-8744</v>
      </c>
      <c r="AK21" s="11" t="n">
        <v>-5805</v>
      </c>
    </row>
    <row r="22">
      <c r="A22" s="27" t="inlineStr">
        <is>
          <t>T12 Concessions % of AGPR</t>
        </is>
      </c>
      <c r="B22" s="14" t="n">
        <v>0.001168011494633648</v>
      </c>
      <c r="C22" s="14" t="n">
        <v>0.0001926594668465892</v>
      </c>
      <c r="D22" s="14" t="n">
        <v>-0.000413500426937104</v>
      </c>
      <c r="E22" s="14" t="n">
        <v>-0.0005813169985109722</v>
      </c>
      <c r="F22" s="14" t="n">
        <v>0.0004804802695105411</v>
      </c>
      <c r="G22" s="14" t="n">
        <v>0.0005158886248113326</v>
      </c>
      <c r="H22" s="14" t="n">
        <v>0.002462520806355357</v>
      </c>
      <c r="I22" s="14" t="n">
        <v>0.01078650463182863</v>
      </c>
      <c r="J22" s="14" t="n">
        <v>0.001422623156660435</v>
      </c>
      <c r="K22" s="14" t="n">
        <v>0.00589398846043458</v>
      </c>
      <c r="L22" s="14" t="n">
        <v>0.01141126740710546</v>
      </c>
      <c r="M22" s="14" t="n">
        <v>0.01658708929857442</v>
      </c>
      <c r="N22" s="14" t="n">
        <v>0.007073064085467183</v>
      </c>
      <c r="O22" s="14" t="n">
        <v>0.01119355913097547</v>
      </c>
      <c r="P22" s="14" t="n">
        <v>0.005348454100526274</v>
      </c>
      <c r="Q22" s="14" t="n">
        <v>-0.0003585083205227208</v>
      </c>
      <c r="R22" s="14" t="n">
        <v>0.001783115423276201</v>
      </c>
      <c r="S22" s="14" t="n">
        <v>0.006945456493590879</v>
      </c>
      <c r="T22" s="14" t="n">
        <v>0.01359463677800225</v>
      </c>
      <c r="U22" s="14" t="n">
        <v>0.001787342580373226</v>
      </c>
      <c r="V22" s="14" t="n">
        <v>0.00312244103853639</v>
      </c>
      <c r="W22" s="14" t="n">
        <v>-0.002978722395352492</v>
      </c>
      <c r="X22" s="14" t="n">
        <v>0.003610682031489998</v>
      </c>
      <c r="Y22" s="14" t="n">
        <v>0.001346165381711255</v>
      </c>
      <c r="Z22" s="14" t="n">
        <v>-0.000939329595493728</v>
      </c>
      <c r="AA22" s="14" t="n">
        <v>-0.002093360322962078</v>
      </c>
      <c r="AB22" s="14" t="n">
        <v>-0.001552290413282631</v>
      </c>
      <c r="AC22" s="14" t="n">
        <v>0.0003011906362407531</v>
      </c>
      <c r="AD22" s="14" t="n">
        <v>0.0005452099625318569</v>
      </c>
      <c r="AE22" s="14" t="n">
        <v>-0.0008188265338521992</v>
      </c>
      <c r="AF22" s="14" t="n">
        <v>0.00115370327642341</v>
      </c>
      <c r="AG22" s="14" t="n">
        <v>2.796010797187135e-05</v>
      </c>
      <c r="AH22" s="14" t="n">
        <v>0.002230257049742537</v>
      </c>
      <c r="AI22" s="14" t="n">
        <v>0.008296799948221349</v>
      </c>
      <c r="AJ22" s="14" t="n">
        <v>0.008294959221029252</v>
      </c>
      <c r="AK22" s="14" t="n">
        <v>0.00558219945097304</v>
      </c>
    </row>
    <row r="23">
      <c r="A23" s="27" t="inlineStr">
        <is>
          <t>HD Concession % (new-lease)</t>
        </is>
      </c>
      <c r="G23" s="14" t="n">
        <v>0.03835640964430642</v>
      </c>
      <c r="H23" s="14" t="n">
        <v>0.02498703150414006</v>
      </c>
      <c r="I23" s="14" t="n">
        <v>0.0350540700345181</v>
      </c>
      <c r="J23" s="14" t="n">
        <v>0.02859367901330023</v>
      </c>
      <c r="K23" s="14" t="n">
        <v>0.08331739355541889</v>
      </c>
      <c r="L23" s="14" t="n">
        <v>0.08336471629059439</v>
      </c>
      <c r="M23" s="14" t="n">
        <v>0.08326829086213161</v>
      </c>
      <c r="N23" s="14" t="n">
        <v>0.08335559296619399</v>
      </c>
      <c r="O23" s="14" t="n">
        <v>0.07594451877548714</v>
      </c>
      <c r="P23" s="14" t="n">
        <v>0.07531049067677631</v>
      </c>
      <c r="Q23" s="14" t="n">
        <v>0.07670102645754784</v>
      </c>
      <c r="R23" s="14" t="n">
        <v>0.08231736829651304</v>
      </c>
      <c r="S23" s="14" t="n">
        <v>0.02906526938359744</v>
      </c>
      <c r="X23" s="14" t="n">
        <v>0.07270740775824647</v>
      </c>
      <c r="Y23" s="14" t="n">
        <v>0.08045264293872301</v>
      </c>
      <c r="Z23" s="14" t="n">
        <v>0.07974680219788444</v>
      </c>
      <c r="AA23" s="14" t="n">
        <v>0.08109845066620902</v>
      </c>
      <c r="AB23" s="14" t="n">
        <v>0.08084325917480006</v>
      </c>
      <c r="AC23" s="14" t="n">
        <v>0.07873964238163689</v>
      </c>
      <c r="AD23" s="14" t="n">
        <v>0.07829425771872278</v>
      </c>
      <c r="AE23" s="14" t="n">
        <v>0.08045395970862923</v>
      </c>
      <c r="AF23" s="14" t="n">
        <v>0.07894276332425676</v>
      </c>
      <c r="AG23" s="14" t="n">
        <v>0.04182630324862258</v>
      </c>
      <c r="AH23" s="14" t="n">
        <v>0.08324695545045002</v>
      </c>
      <c r="AI23" s="14" t="n">
        <v>0.07778538021302095</v>
      </c>
    </row>
    <row r="25">
      <c r="A25" s="3" t="inlineStr">
        <is>
          <t>OPERATING TREND — from stitched T12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</row>
    <row r="26">
      <c r="A26" s="5" t="inlineStr">
        <is>
          <t>Effective Gross Revenue</t>
        </is>
      </c>
      <c r="B26" s="11" t="n">
        <v>1143514</v>
      </c>
      <c r="C26" s="11" t="n">
        <v>1145572</v>
      </c>
      <c r="D26" s="11" t="n">
        <v>1121077</v>
      </c>
      <c r="E26" s="11" t="n">
        <v>1120083</v>
      </c>
      <c r="F26" s="11" t="n">
        <v>1116882</v>
      </c>
      <c r="G26" s="11" t="n">
        <v>1092100</v>
      </c>
      <c r="H26" s="11" t="n">
        <v>1094124</v>
      </c>
      <c r="I26" s="11" t="n">
        <v>1113985</v>
      </c>
      <c r="J26" s="11" t="n">
        <v>1116213</v>
      </c>
      <c r="K26" s="11" t="n">
        <v>1103979</v>
      </c>
      <c r="L26" s="11" t="n">
        <v>1131526</v>
      </c>
      <c r="M26" s="11" t="n">
        <v>1102587</v>
      </c>
      <c r="N26" s="11" t="n">
        <v>1141431</v>
      </c>
      <c r="O26" s="11" t="n">
        <v>1170076</v>
      </c>
      <c r="P26" s="11" t="n">
        <v>1131084</v>
      </c>
      <c r="Q26" s="11" t="n">
        <v>1123026</v>
      </c>
      <c r="R26" s="11" t="n">
        <v>1123158</v>
      </c>
      <c r="S26" s="11" t="n">
        <v>1118430</v>
      </c>
      <c r="T26" s="11" t="n">
        <v>1123281</v>
      </c>
      <c r="U26" s="11" t="n">
        <v>1127132</v>
      </c>
      <c r="V26" s="11" t="n">
        <v>1153725</v>
      </c>
      <c r="W26" s="11" t="n">
        <v>1148946</v>
      </c>
      <c r="X26" s="11" t="n">
        <v>1149839</v>
      </c>
      <c r="Y26" s="11" t="n">
        <v>1161354</v>
      </c>
      <c r="Z26" s="11" t="n">
        <v>1111397</v>
      </c>
      <c r="AA26" s="11" t="n">
        <v>1144483</v>
      </c>
      <c r="AB26" s="11" t="n">
        <v>1138198</v>
      </c>
      <c r="AC26" s="11" t="n">
        <v>1147377</v>
      </c>
      <c r="AD26" s="11" t="n">
        <v>1146827</v>
      </c>
      <c r="AE26" s="11" t="n">
        <v>1118878</v>
      </c>
      <c r="AF26" s="11" t="n">
        <v>1137450</v>
      </c>
      <c r="AG26" s="11" t="n">
        <v>1126264</v>
      </c>
      <c r="AH26" s="11" t="n">
        <v>1090538</v>
      </c>
      <c r="AI26" s="11" t="n">
        <v>1069938</v>
      </c>
      <c r="AJ26" s="11" t="n">
        <v>1053659</v>
      </c>
      <c r="AK26" s="11" t="n">
        <v>1040538</v>
      </c>
    </row>
    <row r="27">
      <c r="A27" s="5" t="inlineStr">
        <is>
          <t>Operating Expenses</t>
        </is>
      </c>
      <c r="B27" s="11" t="n">
        <v>343089</v>
      </c>
      <c r="C27" s="11" t="n">
        <v>317955</v>
      </c>
      <c r="D27" s="11" t="n">
        <v>348099</v>
      </c>
      <c r="E27" s="11" t="n">
        <v>366590</v>
      </c>
      <c r="F27" s="11" t="n">
        <v>349311</v>
      </c>
      <c r="G27" s="11" t="n">
        <v>310720</v>
      </c>
      <c r="H27" s="11" t="n">
        <v>354213</v>
      </c>
      <c r="I27" s="11" t="n">
        <v>367003</v>
      </c>
      <c r="J27" s="11" t="n">
        <v>327477</v>
      </c>
      <c r="K27" s="11" t="n">
        <v>360559</v>
      </c>
      <c r="L27" s="11" t="n">
        <v>267608</v>
      </c>
      <c r="M27" s="11" t="n">
        <v>346324</v>
      </c>
      <c r="N27" s="11" t="n">
        <v>387583</v>
      </c>
      <c r="O27" s="11" t="n">
        <v>338045</v>
      </c>
      <c r="P27" s="11" t="n">
        <v>325176</v>
      </c>
      <c r="Q27" s="11" t="n">
        <v>373255</v>
      </c>
      <c r="R27" s="11" t="n">
        <v>361992</v>
      </c>
      <c r="S27" s="11" t="n">
        <v>355862</v>
      </c>
      <c r="T27" s="11" t="n">
        <v>379859</v>
      </c>
      <c r="U27" s="11" t="n">
        <v>364264</v>
      </c>
      <c r="V27" s="11" t="n">
        <v>356243</v>
      </c>
      <c r="W27" s="11" t="n">
        <v>382298</v>
      </c>
      <c r="X27" s="11" t="n">
        <v>342206</v>
      </c>
      <c r="Y27" s="11" t="n">
        <v>343551</v>
      </c>
      <c r="Z27" s="11" t="n">
        <v>361414</v>
      </c>
      <c r="AA27" s="11" t="n">
        <v>368963</v>
      </c>
      <c r="AB27" s="11" t="n">
        <v>387322</v>
      </c>
      <c r="AC27" s="11" t="n">
        <v>426049</v>
      </c>
      <c r="AD27" s="11" t="n">
        <v>350329</v>
      </c>
      <c r="AE27" s="11" t="n">
        <v>391397</v>
      </c>
      <c r="AF27" s="11" t="n">
        <v>370729</v>
      </c>
      <c r="AG27" s="11" t="n">
        <v>366505</v>
      </c>
      <c r="AH27" s="11" t="n">
        <v>351125</v>
      </c>
      <c r="AI27" s="11" t="n">
        <v>347675</v>
      </c>
      <c r="AJ27" s="11" t="n">
        <v>350663</v>
      </c>
      <c r="AK27" s="11" t="n">
        <v>348342</v>
      </c>
    </row>
    <row r="28">
      <c r="A28" s="27" t="inlineStr">
        <is>
          <t>Net Operating Income</t>
        </is>
      </c>
      <c r="B28" s="11" t="n">
        <v>800425</v>
      </c>
      <c r="C28" s="11" t="n">
        <v>827618</v>
      </c>
      <c r="D28" s="11" t="n">
        <v>772978</v>
      </c>
      <c r="E28" s="11" t="n">
        <v>753493</v>
      </c>
      <c r="F28" s="11" t="n">
        <v>767571</v>
      </c>
      <c r="G28" s="11" t="n">
        <v>781380</v>
      </c>
      <c r="H28" s="11" t="n">
        <v>739911</v>
      </c>
      <c r="I28" s="11" t="n">
        <v>746982</v>
      </c>
      <c r="J28" s="11" t="n">
        <v>788736</v>
      </c>
      <c r="K28" s="11" t="n">
        <v>743421</v>
      </c>
      <c r="L28" s="11" t="n">
        <v>863918</v>
      </c>
      <c r="M28" s="11" t="n">
        <v>756263</v>
      </c>
      <c r="N28" s="11" t="n">
        <v>753848</v>
      </c>
      <c r="O28" s="11" t="n">
        <v>832030</v>
      </c>
      <c r="P28" s="11" t="n">
        <v>805908</v>
      </c>
      <c r="Q28" s="11" t="n">
        <v>749772</v>
      </c>
      <c r="R28" s="11" t="n">
        <v>761167</v>
      </c>
      <c r="S28" s="11" t="n">
        <v>762568</v>
      </c>
      <c r="T28" s="11" t="n">
        <v>743422</v>
      </c>
      <c r="U28" s="11" t="n">
        <v>762868</v>
      </c>
      <c r="V28" s="11" t="n">
        <v>797483</v>
      </c>
      <c r="W28" s="11" t="n">
        <v>766648</v>
      </c>
      <c r="X28" s="11" t="n">
        <v>807633</v>
      </c>
      <c r="Y28" s="11" t="n">
        <v>817803</v>
      </c>
      <c r="Z28" s="11" t="n">
        <v>749984</v>
      </c>
      <c r="AA28" s="11" t="n">
        <v>775520</v>
      </c>
      <c r="AB28" s="11" t="n">
        <v>750876</v>
      </c>
      <c r="AC28" s="11" t="n">
        <v>721328</v>
      </c>
      <c r="AD28" s="11" t="n">
        <v>796498</v>
      </c>
      <c r="AE28" s="11" t="n">
        <v>727481</v>
      </c>
      <c r="AF28" s="11" t="n">
        <v>766721</v>
      </c>
      <c r="AG28" s="11" t="n">
        <v>759759</v>
      </c>
      <c r="AH28" s="11" t="n">
        <v>739413</v>
      </c>
      <c r="AI28" s="11" t="n">
        <v>722263</v>
      </c>
      <c r="AJ28" s="11" t="n">
        <v>702996</v>
      </c>
      <c r="AK28" s="11" t="n">
        <v>692196</v>
      </c>
    </row>
    <row r="30">
      <c r="A30" s="3" t="inlineStr">
        <is>
          <t>TRAILING ANNUALIZATIONS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B31" s="43" t="inlineStr">
        <is>
          <t>T12</t>
        </is>
      </c>
      <c r="C31" s="43" t="inlineStr">
        <is>
          <t>T6</t>
        </is>
      </c>
      <c r="D31" s="43" t="inlineStr">
        <is>
          <t>T3</t>
        </is>
      </c>
    </row>
    <row r="32">
      <c r="A32" s="5" t="inlineStr">
        <is>
          <t>EGR (annualized)</t>
        </is>
      </c>
      <c r="B32" s="11" t="n">
        <v>13325549</v>
      </c>
      <c r="C32" s="11" t="n">
        <v>13036777</v>
      </c>
      <c r="D32" s="11" t="n">
        <v>12656543</v>
      </c>
    </row>
    <row r="33">
      <c r="A33" s="5" t="inlineStr">
        <is>
          <t>Operating Expenses</t>
        </is>
      </c>
      <c r="B33" s="11" t="n">
        <v>4420513</v>
      </c>
      <c r="C33" s="11" t="n">
        <v>4270078</v>
      </c>
      <c r="D33" s="11" t="n">
        <v>4186721</v>
      </c>
    </row>
    <row r="34">
      <c r="A34" s="9" t="inlineStr">
        <is>
          <t>NOI</t>
        </is>
      </c>
      <c r="B34" s="11" t="n">
        <v>8905036</v>
      </c>
      <c r="C34" s="11" t="n">
        <v>8766699</v>
      </c>
      <c r="D34" s="11" t="n">
        <v>8469822</v>
      </c>
    </row>
    <row r="36">
      <c r="A36" s="27" t="inlineStr">
        <is>
          <t>Observations</t>
        </is>
      </c>
    </row>
    <row r="37" ht="42" customHeight="1">
      <c r="A37" s="38" t="inlineStr">
        <is>
          <t>•  Seasonality: executed asking rents peak in Jul and trough in Dec (~10% spread across the HelloData history).</t>
        </is>
      </c>
    </row>
    <row r="38" ht="42" customHeight="1">
      <c r="A38" s="38" t="inlineStr">
        <is>
          <t>•  HelloData asking-rent YoY (same calendar month): -5.8% average across 25 month-pair(s).</t>
        </is>
      </c>
    </row>
    <row r="39" ht="42" customHeight="1">
      <c r="A39" s="38" t="inlineStr">
        <is>
          <t xml:space="preserve">•  Concessions by source: the T12 books concessions across the WHOLE portfolio (~0.3% of AGPR here), while HelloData's is per NEW lease (~6.9% here). The portfolio figure ≈ new-lease concession × the share of units on a recently-signed lease — here ~44% of in-place leases are new (lease-up), so the two run close (little dilution). On a stabilized deal with ~40–50% annual turnover, expect the T12 figure nearer half the new-lease rate. </t>
        </is>
      </c>
    </row>
    <row r="42">
      <c r="A42" s="3" t="inlineStr">
        <is>
          <t>Trailing-90-Day Executed by Floor Plan (HelloData)</t>
        </is>
      </c>
      <c r="B42" s="4" t="n"/>
      <c r="C42" s="4" t="n"/>
      <c r="D42" s="4" t="n"/>
      <c r="E42" s="4" t="n"/>
      <c r="F42" s="4" t="n"/>
      <c r="G42" s="4" t="n"/>
    </row>
    <row r="43">
      <c r="A43" s="7" t="inlineStr">
        <is>
          <t>Base Plan</t>
        </is>
      </c>
      <c r="B43" s="7" t="inlineStr">
        <is>
          <t>T90 Asking</t>
        </is>
      </c>
      <c r="C43" s="7" t="inlineStr">
        <is>
          <t>T90 Effective</t>
        </is>
      </c>
      <c r="D43" s="7" t="inlineStr">
        <is>
          <t>Concession %</t>
        </is>
      </c>
      <c r="E43" s="7" t="inlineStr">
        <is>
          <t>Exec (n)</t>
        </is>
      </c>
    </row>
    <row r="44">
      <c r="A44" s="56" t="inlineStr">
        <is>
          <t>A1</t>
        </is>
      </c>
      <c r="B44" s="11" t="n">
        <v>1079</v>
      </c>
      <c r="C44" s="11" t="n">
        <v>1079</v>
      </c>
      <c r="D44" s="14">
        <f>IF(OR(B44="",B44=0),"-",1-C44/B44)</f>
        <v/>
      </c>
      <c r="E44" s="10" t="n">
        <v>14</v>
      </c>
    </row>
    <row r="45">
      <c r="A45" s="56" t="inlineStr">
        <is>
          <t>A1R</t>
        </is>
      </c>
      <c r="B45" s="11" t="n">
        <v>1178</v>
      </c>
      <c r="C45" s="11" t="n">
        <v>1178</v>
      </c>
      <c r="D45" s="14">
        <f>IF(OR(B45="",B45=0),"-",1-C45/B45)</f>
        <v/>
      </c>
      <c r="E45" s="10" t="n">
        <v>2</v>
      </c>
    </row>
    <row r="46">
      <c r="A46" s="56" t="inlineStr">
        <is>
          <t>A2</t>
        </is>
      </c>
      <c r="B46" s="11" t="n">
        <v>1160</v>
      </c>
      <c r="C46" s="11" t="n">
        <v>1160</v>
      </c>
      <c r="D46" s="14">
        <f>IF(OR(B46="",B46=0),"-",1-C46/B46)</f>
        <v/>
      </c>
      <c r="E46" s="10" t="n">
        <v>29</v>
      </c>
    </row>
    <row r="47">
      <c r="A47" s="56" t="inlineStr">
        <is>
          <t>A2R</t>
        </is>
      </c>
      <c r="B47" s="11" t="n">
        <v>1234</v>
      </c>
      <c r="C47" s="11" t="n">
        <v>1234</v>
      </c>
      <c r="D47" s="14">
        <f>IF(OR(B47="",B47=0),"-",1-C47/B47)</f>
        <v/>
      </c>
      <c r="E47" s="10" t="n">
        <v>9</v>
      </c>
    </row>
    <row r="48">
      <c r="A48" s="56" t="inlineStr">
        <is>
          <t>B1</t>
        </is>
      </c>
      <c r="B48" s="11" t="n">
        <v>1340</v>
      </c>
      <c r="C48" s="11" t="n">
        <v>1340</v>
      </c>
      <c r="D48" s="14">
        <f>IF(OR(B48="",B48=0),"-",1-C48/B48)</f>
        <v/>
      </c>
      <c r="E48" s="10" t="n">
        <v>12</v>
      </c>
    </row>
    <row r="49">
      <c r="A49" s="56" t="inlineStr">
        <is>
          <t>B1R</t>
        </is>
      </c>
      <c r="B49" s="11" t="n">
        <v>1383</v>
      </c>
      <c r="C49" s="11" t="n">
        <v>1383</v>
      </c>
      <c r="D49" s="14">
        <f>IF(OR(B49="",B49=0),"-",1-C49/B49)</f>
        <v/>
      </c>
      <c r="E49" s="10" t="n">
        <v>3</v>
      </c>
    </row>
    <row r="50">
      <c r="A50" s="56" t="inlineStr">
        <is>
          <t>B2</t>
        </is>
      </c>
      <c r="B50" s="11" t="n">
        <v>1579</v>
      </c>
      <c r="C50" s="11" t="n">
        <v>1579</v>
      </c>
      <c r="D50" s="14">
        <f>IF(OR(B50="",B50=0),"-",1-C50/B50)</f>
        <v/>
      </c>
      <c r="E50" s="10" t="n">
        <v>2</v>
      </c>
    </row>
    <row r="51">
      <c r="A51" s="56" t="inlineStr">
        <is>
          <t>B2R</t>
        </is>
      </c>
      <c r="B51" s="11" t="n">
        <v>1813</v>
      </c>
      <c r="C51" s="11" t="n">
        <v>1813</v>
      </c>
      <c r="D51" s="14">
        <f>IF(OR(B51="",B51=0),"-",1-C51/B51)</f>
        <v/>
      </c>
      <c r="E51" s="10" t="n">
        <v>1</v>
      </c>
    </row>
    <row r="52">
      <c r="A52" s="56" t="inlineStr">
        <is>
          <t>B3</t>
        </is>
      </c>
      <c r="B52" s="11" t="n">
        <v>1780</v>
      </c>
      <c r="C52" s="11" t="n">
        <v>1780</v>
      </c>
      <c r="D52" s="14">
        <f>IF(OR(B52="",B52=0),"-",1-C52/B52)</f>
        <v/>
      </c>
      <c r="E52" s="10" t="n">
        <v>1</v>
      </c>
    </row>
    <row r="53">
      <c r="A53" s="56" t="inlineStr">
        <is>
          <t>B4</t>
        </is>
      </c>
      <c r="B53" s="11" t="n">
        <v>1630</v>
      </c>
      <c r="C53" s="11" t="n">
        <v>1630</v>
      </c>
      <c r="D53" s="14">
        <f>IF(OR(B53="",B53=0),"-",1-C53/B53)</f>
        <v/>
      </c>
      <c r="E53" s="10" t="n">
        <v>6</v>
      </c>
    </row>
    <row r="54">
      <c r="A54" s="56" t="inlineStr">
        <is>
          <t>B4.2</t>
        </is>
      </c>
      <c r="B54" s="11" t="n">
        <v>1766</v>
      </c>
      <c r="C54" s="11" t="n">
        <v>1766</v>
      </c>
      <c r="D54" s="14">
        <f>IF(OR(B54="",B54=0),"-",1-C54/B54)</f>
        <v/>
      </c>
      <c r="E54" s="10" t="n">
        <v>3</v>
      </c>
    </row>
    <row r="55">
      <c r="A55" s="56" t="inlineStr">
        <is>
          <t>B4R</t>
        </is>
      </c>
      <c r="B55" s="11" t="n">
        <v>1618</v>
      </c>
      <c r="C55" s="11" t="n">
        <v>1618</v>
      </c>
      <c r="D55" s="14">
        <f>IF(OR(B55="",B55=0),"-",1-C55/B55)</f>
        <v/>
      </c>
      <c r="E55" s="10" t="n">
        <v>2</v>
      </c>
    </row>
    <row r="56">
      <c r="A56" s="56" t="inlineStr">
        <is>
          <t>C1</t>
        </is>
      </c>
      <c r="B56" s="11" t="n">
        <v>1828</v>
      </c>
      <c r="C56" s="11" t="n">
        <v>1828</v>
      </c>
      <c r="D56" s="14">
        <f>IF(OR(B56="",B56=0),"-",1-C56/B56)</f>
        <v/>
      </c>
      <c r="E56" s="10" t="n">
        <v>5</v>
      </c>
    </row>
    <row r="57">
      <c r="A57" s="56" t="inlineStr">
        <is>
          <t>C1R</t>
        </is>
      </c>
      <c r="B57" s="11" t="n">
        <v>2129</v>
      </c>
      <c r="C57" s="11" t="n">
        <v>2129</v>
      </c>
      <c r="D57" s="14">
        <f>IF(OR(B57="",B57=0),"-",1-C57/B57)</f>
        <v/>
      </c>
      <c r="E57" s="10" t="n">
        <v>2</v>
      </c>
    </row>
    <row r="58">
      <c r="A58" s="56" t="inlineStr">
        <is>
          <t>C2</t>
        </is>
      </c>
      <c r="B58" s="11" t="n">
        <v>2057</v>
      </c>
      <c r="C58" s="11" t="n">
        <v>2057</v>
      </c>
      <c r="D58" s="14">
        <f>IF(OR(B58="",B58=0),"-",1-C58/B58)</f>
        <v/>
      </c>
      <c r="E58" s="10" t="n">
        <v>1</v>
      </c>
    </row>
    <row r="60">
      <c r="A60" s="3" t="inlineStr">
        <is>
          <t>Last 5 New Leases by Floor Plan (rent roll)</t>
        </is>
      </c>
      <c r="B60" s="4" t="n"/>
      <c r="C60" s="4" t="n"/>
      <c r="D60" s="4" t="n"/>
      <c r="E60" s="4" t="n"/>
      <c r="F60" s="4" t="n"/>
      <c r="G60" s="4" t="n"/>
    </row>
    <row r="61">
      <c r="A61" s="7" t="inlineStr">
        <is>
          <t>Floor Plan</t>
        </is>
      </c>
      <c r="B61" s="7" t="inlineStr">
        <is>
          <t>Unit</t>
        </is>
      </c>
      <c r="C61" s="7" t="inlineStr">
        <is>
          <t>Lease Start</t>
        </is>
      </c>
      <c r="D61" s="7" t="inlineStr">
        <is>
          <t>Contract Rent</t>
        </is>
      </c>
      <c r="E61" s="7" t="inlineStr">
        <is>
          <t>Rent PSF (mo.)</t>
        </is>
      </c>
    </row>
    <row r="62">
      <c r="A62" s="56" t="inlineStr">
        <is>
          <t>A1</t>
        </is>
      </c>
      <c r="B62" s="65" t="inlineStr">
        <is>
          <t>0613</t>
        </is>
      </c>
      <c r="C62" s="66" t="inlineStr">
        <is>
          <t>05/26/2026</t>
        </is>
      </c>
      <c r="D62" s="11" t="n">
        <v>1055</v>
      </c>
      <c r="E62" s="69" t="n">
        <v>1.43</v>
      </c>
    </row>
    <row r="63">
      <c r="A63" s="56" t="inlineStr">
        <is>
          <t>A1</t>
        </is>
      </c>
      <c r="B63" s="65" t="inlineStr">
        <is>
          <t>4112</t>
        </is>
      </c>
      <c r="C63" s="66" t="inlineStr">
        <is>
          <t>05/21/2026</t>
        </is>
      </c>
      <c r="D63" s="11" t="n">
        <v>1092</v>
      </c>
      <c r="E63" s="69" t="n">
        <v>1.48</v>
      </c>
    </row>
    <row r="64">
      <c r="A64" s="56" t="inlineStr">
        <is>
          <t>A1</t>
        </is>
      </c>
      <c r="B64" s="65" t="inlineStr">
        <is>
          <t>4916</t>
        </is>
      </c>
      <c r="C64" s="66" t="inlineStr">
        <is>
          <t>05/18/2026</t>
        </is>
      </c>
      <c r="D64" s="11" t="n">
        <v>1167</v>
      </c>
      <c r="E64" s="69" t="n">
        <v>1.58</v>
      </c>
    </row>
    <row r="65">
      <c r="A65" s="56" t="inlineStr">
        <is>
          <t>A1</t>
        </is>
      </c>
      <c r="B65" s="65" t="inlineStr">
        <is>
          <t>4113</t>
        </is>
      </c>
      <c r="C65" s="66" t="inlineStr">
        <is>
          <t>05/02/2026</t>
        </is>
      </c>
      <c r="D65" s="11" t="n">
        <v>1119</v>
      </c>
      <c r="E65" s="69" t="n">
        <v>1.51</v>
      </c>
    </row>
    <row r="66">
      <c r="A66" s="56" t="inlineStr">
        <is>
          <t>A1</t>
        </is>
      </c>
      <c r="B66" s="65" t="inlineStr">
        <is>
          <t>0816</t>
        </is>
      </c>
      <c r="C66" s="66" t="inlineStr">
        <is>
          <t>04/15/2026</t>
        </is>
      </c>
      <c r="D66" s="11" t="n">
        <v>1008</v>
      </c>
      <c r="E66" s="69" t="n">
        <v>1.36</v>
      </c>
    </row>
    <row r="67">
      <c r="A67" s="56" t="inlineStr">
        <is>
          <t>A1R</t>
        </is>
      </c>
      <c r="B67" s="65" t="inlineStr">
        <is>
          <t>2432</t>
        </is>
      </c>
      <c r="C67" s="66" t="inlineStr">
        <is>
          <t>03/28/2026</t>
        </is>
      </c>
      <c r="D67" s="11" t="n">
        <v>1218</v>
      </c>
      <c r="E67" s="69" t="n">
        <v>1.65</v>
      </c>
    </row>
    <row r="68">
      <c r="A68" s="56" t="inlineStr">
        <is>
          <t>A1R</t>
        </is>
      </c>
      <c r="B68" s="65" t="inlineStr">
        <is>
          <t>2413</t>
        </is>
      </c>
      <c r="C68" s="66" t="inlineStr">
        <is>
          <t>12/12/2025</t>
        </is>
      </c>
      <c r="D68" s="11" t="n">
        <v>1134</v>
      </c>
      <c r="E68" s="69" t="n">
        <v>1.53</v>
      </c>
    </row>
    <row r="69">
      <c r="A69" s="56" t="inlineStr">
        <is>
          <t>A1R</t>
        </is>
      </c>
      <c r="B69" s="65" t="inlineStr">
        <is>
          <t>0823</t>
        </is>
      </c>
      <c r="C69" s="66" t="inlineStr">
        <is>
          <t>11/29/2025</t>
        </is>
      </c>
      <c r="D69" s="11" t="n">
        <v>1102</v>
      </c>
      <c r="E69" s="69" t="n">
        <v>1.49</v>
      </c>
    </row>
    <row r="70">
      <c r="A70" s="56" t="inlineStr">
        <is>
          <t>A1R</t>
        </is>
      </c>
      <c r="B70" s="65" t="inlineStr">
        <is>
          <t>0817</t>
        </is>
      </c>
      <c r="C70" s="66" t="inlineStr">
        <is>
          <t>11/07/2025</t>
        </is>
      </c>
      <c r="D70" s="11" t="n">
        <v>1408</v>
      </c>
      <c r="E70" s="69" t="n">
        <v>1.91</v>
      </c>
    </row>
    <row r="71">
      <c r="A71" s="56" t="inlineStr">
        <is>
          <t>A1R</t>
        </is>
      </c>
      <c r="B71" s="65" t="inlineStr">
        <is>
          <t>2426</t>
        </is>
      </c>
      <c r="C71" s="66" t="inlineStr">
        <is>
          <t>07/15/2025</t>
        </is>
      </c>
      <c r="D71" s="11" t="n">
        <v>1215</v>
      </c>
      <c r="E71" s="69" t="n">
        <v>1.64</v>
      </c>
    </row>
    <row r="72">
      <c r="A72" s="56" t="inlineStr">
        <is>
          <t>A2</t>
        </is>
      </c>
      <c r="B72" s="65" t="inlineStr">
        <is>
          <t>2716</t>
        </is>
      </c>
      <c r="C72" s="66" t="inlineStr">
        <is>
          <t>05/26/2026</t>
        </is>
      </c>
      <c r="D72" s="11" t="n">
        <v>1066</v>
      </c>
      <c r="E72" s="69" t="n">
        <v>1.37</v>
      </c>
    </row>
    <row r="73">
      <c r="A73" s="56" t="inlineStr">
        <is>
          <t>A2</t>
        </is>
      </c>
      <c r="B73" s="65" t="inlineStr">
        <is>
          <t>3326</t>
        </is>
      </c>
      <c r="C73" s="66" t="inlineStr">
        <is>
          <t>05/15/2026</t>
        </is>
      </c>
      <c r="D73" s="11" t="n">
        <v>1180</v>
      </c>
      <c r="E73" s="69" t="n">
        <v>1.52</v>
      </c>
    </row>
    <row r="74">
      <c r="A74" s="56" t="inlineStr">
        <is>
          <t>A2</t>
        </is>
      </c>
      <c r="B74" s="65" t="inlineStr">
        <is>
          <t>3336</t>
        </is>
      </c>
      <c r="C74" s="66" t="inlineStr">
        <is>
          <t>05/15/2026</t>
        </is>
      </c>
      <c r="D74" s="11" t="n">
        <v>1148</v>
      </c>
      <c r="E74" s="69" t="n">
        <v>1.48</v>
      </c>
    </row>
    <row r="75">
      <c r="A75" s="56" t="inlineStr">
        <is>
          <t>A2</t>
        </is>
      </c>
      <c r="B75" s="65" t="inlineStr">
        <is>
          <t>4026</t>
        </is>
      </c>
      <c r="C75" s="66" t="inlineStr">
        <is>
          <t>05/15/2026</t>
        </is>
      </c>
      <c r="D75" s="11" t="n">
        <v>1143</v>
      </c>
      <c r="E75" s="69" t="n">
        <v>1.47</v>
      </c>
    </row>
    <row r="76">
      <c r="A76" s="56" t="inlineStr">
        <is>
          <t>A2</t>
        </is>
      </c>
      <c r="B76" s="65" t="inlineStr">
        <is>
          <t>0916</t>
        </is>
      </c>
      <c r="C76" s="66" t="inlineStr">
        <is>
          <t>05/14/2026</t>
        </is>
      </c>
      <c r="D76" s="11" t="n">
        <v>1281</v>
      </c>
      <c r="E76" s="69" t="n">
        <v>1.65</v>
      </c>
    </row>
    <row r="77">
      <c r="A77" s="56" t="inlineStr">
        <is>
          <t>A2R</t>
        </is>
      </c>
      <c r="B77" s="65" t="inlineStr">
        <is>
          <t>0925</t>
        </is>
      </c>
      <c r="C77" s="66" t="inlineStr">
        <is>
          <t>05/26/2026</t>
        </is>
      </c>
      <c r="D77" s="11" t="n">
        <v>1266</v>
      </c>
      <c r="E77" s="69" t="n">
        <v>1.63</v>
      </c>
    </row>
    <row r="78">
      <c r="A78" s="56" t="inlineStr">
        <is>
          <t>A2R</t>
        </is>
      </c>
      <c r="B78" s="65" t="inlineStr">
        <is>
          <t>3018</t>
        </is>
      </c>
      <c r="C78" s="66" t="inlineStr">
        <is>
          <t>05/01/2026</t>
        </is>
      </c>
      <c r="D78" s="11" t="n">
        <v>1238</v>
      </c>
      <c r="E78" s="69" t="n">
        <v>1.59</v>
      </c>
    </row>
    <row r="79">
      <c r="A79" s="56" t="inlineStr">
        <is>
          <t>A2R</t>
        </is>
      </c>
      <c r="B79" s="65" t="inlineStr">
        <is>
          <t>2727</t>
        </is>
      </c>
      <c r="C79" s="66" t="inlineStr">
        <is>
          <t>03/27/2026</t>
        </is>
      </c>
      <c r="D79" s="11" t="n">
        <v>1249</v>
      </c>
      <c r="E79" s="69" t="n">
        <v>1.61</v>
      </c>
    </row>
    <row r="80">
      <c r="A80" s="56" t="inlineStr">
        <is>
          <t>A2R</t>
        </is>
      </c>
      <c r="B80" s="65" t="inlineStr">
        <is>
          <t>0912</t>
        </is>
      </c>
      <c r="C80" s="66" t="inlineStr">
        <is>
          <t>03/14/2026</t>
        </is>
      </c>
      <c r="D80" s="11" t="n">
        <v>1192</v>
      </c>
      <c r="E80" s="69" t="n">
        <v>1.53</v>
      </c>
    </row>
    <row r="81">
      <c r="A81" s="56" t="inlineStr">
        <is>
          <t>A2R</t>
        </is>
      </c>
      <c r="B81" s="65" t="inlineStr">
        <is>
          <t>1836</t>
        </is>
      </c>
      <c r="C81" s="66" t="inlineStr">
        <is>
          <t>03/05/2026</t>
        </is>
      </c>
      <c r="D81" s="11" t="n">
        <v>1184</v>
      </c>
      <c r="E81" s="69" t="n">
        <v>1.52</v>
      </c>
    </row>
    <row r="82">
      <c r="A82" s="56" t="inlineStr">
        <is>
          <t>B1</t>
        </is>
      </c>
      <c r="B82" s="65" t="inlineStr">
        <is>
          <t>6313</t>
        </is>
      </c>
      <c r="C82" s="66" t="inlineStr">
        <is>
          <t>05/22/2026</t>
        </is>
      </c>
      <c r="D82" s="11" t="n">
        <v>1466</v>
      </c>
      <c r="E82" s="69" t="n">
        <v>1.55</v>
      </c>
    </row>
    <row r="83">
      <c r="A83" s="56" t="inlineStr">
        <is>
          <t>B1</t>
        </is>
      </c>
      <c r="B83" s="65" t="inlineStr">
        <is>
          <t>0524</t>
        </is>
      </c>
      <c r="C83" s="66" t="inlineStr">
        <is>
          <t>05/21/2026</t>
        </is>
      </c>
      <c r="D83" s="11" t="n">
        <v>1207</v>
      </c>
      <c r="E83" s="69" t="n">
        <v>1.27</v>
      </c>
    </row>
    <row r="84">
      <c r="A84" s="56" t="inlineStr">
        <is>
          <t>B1</t>
        </is>
      </c>
      <c r="B84" s="65" t="inlineStr">
        <is>
          <t>3237</t>
        </is>
      </c>
      <c r="C84" s="66" t="inlineStr">
        <is>
          <t>05/21/2026</t>
        </is>
      </c>
      <c r="D84" s="11" t="n">
        <v>1290</v>
      </c>
      <c r="E84" s="69" t="n">
        <v>1.36</v>
      </c>
    </row>
    <row r="85">
      <c r="A85" s="56" t="inlineStr">
        <is>
          <t>B1</t>
        </is>
      </c>
      <c r="B85" s="65" t="inlineStr">
        <is>
          <t>1026</t>
        </is>
      </c>
      <c r="C85" s="66" t="inlineStr">
        <is>
          <t>04/28/2026</t>
        </is>
      </c>
      <c r="D85" s="11" t="n">
        <v>1333</v>
      </c>
      <c r="E85" s="69" t="n">
        <v>1.41</v>
      </c>
    </row>
    <row r="86">
      <c r="A86" s="56" t="inlineStr">
        <is>
          <t>B1</t>
        </is>
      </c>
      <c r="B86" s="65" t="inlineStr">
        <is>
          <t>4522</t>
        </is>
      </c>
      <c r="C86" s="66" t="inlineStr">
        <is>
          <t>04/17/2026</t>
        </is>
      </c>
      <c r="D86" s="11" t="n">
        <v>1438</v>
      </c>
      <c r="E86" s="69" t="n">
        <v>1.52</v>
      </c>
    </row>
    <row r="87">
      <c r="A87" s="56" t="inlineStr">
        <is>
          <t>B1R</t>
        </is>
      </c>
      <c r="B87" s="65" t="inlineStr">
        <is>
          <t>0437</t>
        </is>
      </c>
      <c r="C87" s="66" t="inlineStr">
        <is>
          <t>05/16/2026</t>
        </is>
      </c>
      <c r="D87" s="11" t="n">
        <v>1394</v>
      </c>
      <c r="E87" s="69" t="n">
        <v>1.47</v>
      </c>
    </row>
    <row r="88">
      <c r="A88" s="56" t="inlineStr">
        <is>
          <t>B1R</t>
        </is>
      </c>
      <c r="B88" s="65" t="inlineStr">
        <is>
          <t>1516</t>
        </is>
      </c>
      <c r="C88" s="66" t="inlineStr">
        <is>
          <t>03/31/2026</t>
        </is>
      </c>
      <c r="D88" s="11" t="n">
        <v>1449</v>
      </c>
      <c r="E88" s="69" t="n">
        <v>1.53</v>
      </c>
    </row>
    <row r="89">
      <c r="A89" s="56" t="inlineStr">
        <is>
          <t>B1R</t>
        </is>
      </c>
      <c r="B89" s="65" t="inlineStr">
        <is>
          <t>0427</t>
        </is>
      </c>
      <c r="C89" s="66" t="inlineStr">
        <is>
          <t>03/15/2026</t>
        </is>
      </c>
      <c r="D89" s="11" t="n">
        <v>1606</v>
      </c>
      <c r="E89" s="69" t="n">
        <v>1.7</v>
      </c>
    </row>
    <row r="90">
      <c r="A90" s="56" t="inlineStr">
        <is>
          <t>B1R</t>
        </is>
      </c>
      <c r="B90" s="65" t="inlineStr">
        <is>
          <t>2916</t>
        </is>
      </c>
      <c r="C90" s="66" t="inlineStr">
        <is>
          <t>03/15/2026</t>
        </is>
      </c>
      <c r="D90" s="11" t="n">
        <v>1423</v>
      </c>
      <c r="E90" s="69" t="n">
        <v>1.5</v>
      </c>
    </row>
    <row r="91">
      <c r="A91" s="56" t="inlineStr">
        <is>
          <t>B1R</t>
        </is>
      </c>
      <c r="B91" s="65" t="inlineStr">
        <is>
          <t>2926</t>
        </is>
      </c>
      <c r="C91" s="66" t="inlineStr">
        <is>
          <t>02/15/2026</t>
        </is>
      </c>
      <c r="D91" s="11" t="n">
        <v>1484</v>
      </c>
      <c r="E91" s="69" t="n">
        <v>1.57</v>
      </c>
    </row>
    <row r="92">
      <c r="A92" s="56" t="inlineStr">
        <is>
          <t>B2</t>
        </is>
      </c>
      <c r="B92" s="65" t="inlineStr">
        <is>
          <t>5021</t>
        </is>
      </c>
      <c r="C92" s="66" t="inlineStr">
        <is>
          <t>05/06/2026</t>
        </is>
      </c>
      <c r="D92" s="11" t="n">
        <v>1586</v>
      </c>
      <c r="E92" s="69" t="n">
        <v>1.52</v>
      </c>
    </row>
    <row r="93">
      <c r="A93" s="56" t="inlineStr">
        <is>
          <t>B2</t>
        </is>
      </c>
      <c r="B93" s="65" t="inlineStr">
        <is>
          <t>1421</t>
        </is>
      </c>
      <c r="C93" s="66" t="inlineStr">
        <is>
          <t>05/04/2026</t>
        </is>
      </c>
      <c r="D93" s="11" t="n">
        <v>1638</v>
      </c>
      <c r="E93" s="69" t="n">
        <v>1.57</v>
      </c>
    </row>
    <row r="94">
      <c r="A94" s="56" t="inlineStr">
        <is>
          <t>B2</t>
        </is>
      </c>
      <c r="B94" s="65" t="inlineStr">
        <is>
          <t>2221</t>
        </is>
      </c>
      <c r="C94" s="66" t="inlineStr">
        <is>
          <t>04/15/2026</t>
        </is>
      </c>
      <c r="D94" s="11" t="n">
        <v>1443</v>
      </c>
      <c r="E94" s="69" t="n">
        <v>1.39</v>
      </c>
    </row>
    <row r="95">
      <c r="A95" s="56" t="inlineStr">
        <is>
          <t>B2</t>
        </is>
      </c>
      <c r="B95" s="65" t="inlineStr">
        <is>
          <t>5122</t>
        </is>
      </c>
      <c r="C95" s="66" t="inlineStr">
        <is>
          <t>11/07/2025</t>
        </is>
      </c>
      <c r="D95" s="11" t="n">
        <v>1623</v>
      </c>
      <c r="E95" s="69" t="n">
        <v>1.56</v>
      </c>
    </row>
    <row r="96">
      <c r="A96" s="56" t="inlineStr">
        <is>
          <t>B2</t>
        </is>
      </c>
      <c r="B96" s="65" t="inlineStr">
        <is>
          <t>2121</t>
        </is>
      </c>
      <c r="C96" s="66" t="inlineStr">
        <is>
          <t>08/11/2025</t>
        </is>
      </c>
      <c r="D96" s="11" t="n">
        <v>1505</v>
      </c>
      <c r="E96" s="69" t="n">
        <v>1.45</v>
      </c>
    </row>
    <row r="97">
      <c r="A97" s="56" t="inlineStr">
        <is>
          <t>B2R</t>
        </is>
      </c>
      <c r="B97" s="65" t="inlineStr">
        <is>
          <t>2222</t>
        </is>
      </c>
      <c r="C97" s="66" t="inlineStr">
        <is>
          <t>05/27/2026</t>
        </is>
      </c>
      <c r="D97" s="11" t="n">
        <v>1771</v>
      </c>
      <c r="E97" s="69" t="n">
        <v>1.7</v>
      </c>
    </row>
    <row r="98">
      <c r="A98" s="56" t="inlineStr">
        <is>
          <t>B2R</t>
        </is>
      </c>
      <c r="B98" s="65" t="inlineStr">
        <is>
          <t>0721</t>
        </is>
      </c>
      <c r="C98" s="66" t="inlineStr">
        <is>
          <t>05/01/2026</t>
        </is>
      </c>
      <c r="D98" s="11" t="n">
        <v>1813</v>
      </c>
      <c r="E98" s="69" t="n">
        <v>1.74</v>
      </c>
    </row>
    <row r="99">
      <c r="A99" s="56" t="inlineStr">
        <is>
          <t>B3</t>
        </is>
      </c>
      <c r="B99" s="65" t="inlineStr">
        <is>
          <t>4813</t>
        </is>
      </c>
      <c r="C99" s="66" t="inlineStr">
        <is>
          <t>03/31/2026</t>
        </is>
      </c>
      <c r="D99" s="11" t="n">
        <v>1617</v>
      </c>
      <c r="E99" s="69" t="n">
        <v>1.38</v>
      </c>
    </row>
    <row r="100">
      <c r="A100" s="56" t="inlineStr">
        <is>
          <t>B3</t>
        </is>
      </c>
      <c r="B100" s="65" t="inlineStr">
        <is>
          <t>4811</t>
        </is>
      </c>
      <c r="C100" s="66" t="inlineStr">
        <is>
          <t>02/09/2026</t>
        </is>
      </c>
      <c r="D100" s="11" t="n">
        <v>1543</v>
      </c>
      <c r="E100" s="69" t="n">
        <v>1.32</v>
      </c>
    </row>
    <row r="101">
      <c r="A101" s="56" t="inlineStr">
        <is>
          <t>B3</t>
        </is>
      </c>
      <c r="B101" s="65" t="inlineStr">
        <is>
          <t>4711</t>
        </is>
      </c>
      <c r="C101" s="66" t="inlineStr">
        <is>
          <t>02/01/2026</t>
        </is>
      </c>
      <c r="D101" s="11" t="n">
        <v>1659</v>
      </c>
      <c r="E101" s="69" t="n">
        <v>1.41</v>
      </c>
    </row>
    <row r="102">
      <c r="A102" s="56" t="inlineStr">
        <is>
          <t>B3</t>
        </is>
      </c>
      <c r="B102" s="65" t="inlineStr">
        <is>
          <t>4812</t>
        </is>
      </c>
      <c r="C102" s="66" t="inlineStr">
        <is>
          <t>10/06/2025</t>
        </is>
      </c>
      <c r="D102" s="11" t="n">
        <v>1654</v>
      </c>
      <c r="E102" s="69" t="n">
        <v>1.41</v>
      </c>
    </row>
    <row r="103">
      <c r="A103" s="56" t="inlineStr">
        <is>
          <t>B3</t>
        </is>
      </c>
      <c r="B103" s="65" t="inlineStr">
        <is>
          <t>4714</t>
        </is>
      </c>
      <c r="C103" s="66" t="inlineStr">
        <is>
          <t>05/23/2025</t>
        </is>
      </c>
      <c r="D103" s="11" t="n">
        <v>1791</v>
      </c>
      <c r="E103" s="69" t="n">
        <v>1.53</v>
      </c>
    </row>
    <row r="104">
      <c r="A104" s="56" t="inlineStr">
        <is>
          <t>B4</t>
        </is>
      </c>
      <c r="B104" s="65" t="inlineStr">
        <is>
          <t>3421</t>
        </is>
      </c>
      <c r="C104" s="66" t="inlineStr">
        <is>
          <t>05/09/2026</t>
        </is>
      </c>
      <c r="D104" s="11" t="n">
        <v>1716</v>
      </c>
      <c r="E104" s="69" t="n">
        <v>1.45</v>
      </c>
    </row>
    <row r="105">
      <c r="A105" s="56" t="inlineStr">
        <is>
          <t>B4</t>
        </is>
      </c>
      <c r="B105" s="65" t="inlineStr">
        <is>
          <t>5414</t>
        </is>
      </c>
      <c r="C105" s="66" t="inlineStr">
        <is>
          <t>04/25/2026</t>
        </is>
      </c>
      <c r="D105" s="11" t="n">
        <v>1868</v>
      </c>
      <c r="E105" s="69" t="n">
        <v>1.57</v>
      </c>
    </row>
    <row r="106">
      <c r="A106" s="56" t="inlineStr">
        <is>
          <t>B4</t>
        </is>
      </c>
      <c r="B106" s="65" t="inlineStr">
        <is>
          <t>1911</t>
        </is>
      </c>
      <c r="C106" s="66" t="inlineStr">
        <is>
          <t>03/25/2026</t>
        </is>
      </c>
      <c r="D106" s="11" t="n">
        <v>1589</v>
      </c>
      <c r="E106" s="69" t="n">
        <v>1.34</v>
      </c>
    </row>
    <row r="107">
      <c r="A107" s="56" t="inlineStr">
        <is>
          <t>B4</t>
        </is>
      </c>
      <c r="B107" s="65" t="inlineStr">
        <is>
          <t>2921</t>
        </is>
      </c>
      <c r="C107" s="66" t="inlineStr">
        <is>
          <t>03/23/2026</t>
        </is>
      </c>
      <c r="D107" s="11" t="n">
        <v>1618</v>
      </c>
      <c r="E107" s="69" t="n">
        <v>1.36</v>
      </c>
    </row>
    <row r="108">
      <c r="A108" s="56" t="inlineStr">
        <is>
          <t>B4</t>
        </is>
      </c>
      <c r="B108" s="65" t="inlineStr">
        <is>
          <t>5418</t>
        </is>
      </c>
      <c r="C108" s="66" t="inlineStr">
        <is>
          <t>03/01/2026</t>
        </is>
      </c>
      <c r="D108" s="11" t="n">
        <v>1706</v>
      </c>
      <c r="E108" s="69" t="n">
        <v>1.44</v>
      </c>
    </row>
    <row r="109">
      <c r="A109" s="56" t="inlineStr">
        <is>
          <t>B4.2</t>
        </is>
      </c>
      <c r="B109" s="65" t="inlineStr">
        <is>
          <t>4312</t>
        </is>
      </c>
      <c r="C109" s="66" t="inlineStr">
        <is>
          <t>09/15/2025</t>
        </is>
      </c>
      <c r="D109" s="11" t="n">
        <v>1588</v>
      </c>
      <c r="E109" s="69" t="n">
        <v>1.34</v>
      </c>
    </row>
    <row r="110">
      <c r="A110" s="56" t="inlineStr">
        <is>
          <t>B4.2</t>
        </is>
      </c>
      <c r="B110" s="65" t="inlineStr">
        <is>
          <t>6411</t>
        </is>
      </c>
      <c r="C110" s="66" t="inlineStr">
        <is>
          <t>08/15/2025</t>
        </is>
      </c>
      <c r="D110" s="11" t="n">
        <v>1608</v>
      </c>
      <c r="E110" s="69" t="n">
        <v>1.36</v>
      </c>
    </row>
    <row r="111">
      <c r="A111" s="56" t="inlineStr">
        <is>
          <t>B4.2</t>
        </is>
      </c>
      <c r="B111" s="65" t="inlineStr">
        <is>
          <t>6015</t>
        </is>
      </c>
      <c r="C111" s="66" t="inlineStr">
        <is>
          <t>06/28/2025</t>
        </is>
      </c>
      <c r="D111" s="11" t="n">
        <v>1745</v>
      </c>
      <c r="E111" s="69" t="n">
        <v>1.47</v>
      </c>
    </row>
    <row r="112">
      <c r="A112" s="56" t="inlineStr">
        <is>
          <t>B4.2</t>
        </is>
      </c>
      <c r="B112" s="65" t="inlineStr">
        <is>
          <t>4313</t>
        </is>
      </c>
      <c r="C112" s="66" t="inlineStr">
        <is>
          <t>04/22/2025</t>
        </is>
      </c>
      <c r="D112" s="11" t="n">
        <v>1850</v>
      </c>
      <c r="E112" s="69" t="n">
        <v>1.56</v>
      </c>
    </row>
    <row r="113">
      <c r="A113" s="56" t="inlineStr">
        <is>
          <t>B4.2</t>
        </is>
      </c>
      <c r="B113" s="65" t="inlineStr">
        <is>
          <t>6412</t>
        </is>
      </c>
      <c r="C113" s="66" t="inlineStr">
        <is>
          <t>04/03/2025</t>
        </is>
      </c>
      <c r="D113" s="11" t="n">
        <v>1855</v>
      </c>
      <c r="E113" s="69" t="n">
        <v>1.57</v>
      </c>
    </row>
    <row r="114">
      <c r="A114" s="56" t="inlineStr">
        <is>
          <t>B4R</t>
        </is>
      </c>
      <c r="B114" s="65" t="inlineStr">
        <is>
          <t>1024</t>
        </is>
      </c>
      <c r="C114" s="66" t="inlineStr">
        <is>
          <t>03/04/2026</t>
        </is>
      </c>
      <c r="D114" s="11" t="n">
        <v>1523</v>
      </c>
      <c r="E114" s="69" t="n">
        <v>1.28</v>
      </c>
    </row>
    <row r="115">
      <c r="A115" s="56" t="inlineStr">
        <is>
          <t>B4R</t>
        </is>
      </c>
      <c r="B115" s="65" t="inlineStr">
        <is>
          <t>0532</t>
        </is>
      </c>
      <c r="C115" s="66" t="inlineStr">
        <is>
          <t>01/26/2026</t>
        </is>
      </c>
      <c r="D115" s="11" t="n">
        <v>1530</v>
      </c>
      <c r="E115" s="69" t="n">
        <v>1.29</v>
      </c>
    </row>
    <row r="116">
      <c r="A116" s="56" t="inlineStr">
        <is>
          <t>B4R</t>
        </is>
      </c>
      <c r="B116" s="65" t="inlineStr">
        <is>
          <t>2918</t>
        </is>
      </c>
      <c r="C116" s="66" t="inlineStr">
        <is>
          <t>01/23/2026</t>
        </is>
      </c>
      <c r="D116" s="11" t="n">
        <v>1552</v>
      </c>
      <c r="E116" s="69" t="n">
        <v>1.31</v>
      </c>
    </row>
    <row r="117">
      <c r="A117" s="56" t="inlineStr">
        <is>
          <t>B4R</t>
        </is>
      </c>
      <c r="B117" s="65" t="inlineStr">
        <is>
          <t>1515</t>
        </is>
      </c>
      <c r="C117" s="66" t="inlineStr">
        <is>
          <t>01/21/2026</t>
        </is>
      </c>
      <c r="D117" s="11" t="n">
        <v>1543</v>
      </c>
      <c r="E117" s="69" t="n">
        <v>1.3</v>
      </c>
    </row>
    <row r="118">
      <c r="A118" s="56" t="inlineStr">
        <is>
          <t>B4R</t>
        </is>
      </c>
      <c r="B118" s="65" t="inlineStr">
        <is>
          <t>1014</t>
        </is>
      </c>
      <c r="C118" s="66" t="inlineStr">
        <is>
          <t>12/15/2025</t>
        </is>
      </c>
      <c r="D118" s="11" t="n">
        <v>1578</v>
      </c>
      <c r="E118" s="69" t="n">
        <v>1.33</v>
      </c>
    </row>
    <row r="119">
      <c r="A119" s="56" t="inlineStr">
        <is>
          <t>C1</t>
        </is>
      </c>
      <c r="B119" s="65" t="inlineStr">
        <is>
          <t>0625</t>
        </is>
      </c>
      <c r="C119" s="66" t="inlineStr">
        <is>
          <t>05/16/2026</t>
        </is>
      </c>
      <c r="D119" s="11" t="n">
        <v>1699</v>
      </c>
      <c r="E119" s="69" t="n">
        <v>1.35</v>
      </c>
    </row>
    <row r="120">
      <c r="A120" s="56" t="inlineStr">
        <is>
          <t>C1</t>
        </is>
      </c>
      <c r="B120" s="65" t="inlineStr">
        <is>
          <t>3114</t>
        </is>
      </c>
      <c r="C120" s="66" t="inlineStr">
        <is>
          <t>04/28/2026</t>
        </is>
      </c>
      <c r="D120" s="11" t="n">
        <v>1770</v>
      </c>
      <c r="E120" s="69" t="n">
        <v>1.41</v>
      </c>
    </row>
    <row r="121">
      <c r="A121" s="56" t="inlineStr">
        <is>
          <t>C1</t>
        </is>
      </c>
      <c r="B121" s="65" t="inlineStr">
        <is>
          <t>4118</t>
        </is>
      </c>
      <c r="C121" s="66" t="inlineStr">
        <is>
          <t>04/24/2026</t>
        </is>
      </c>
      <c r="D121" s="11" t="n">
        <v>1944</v>
      </c>
      <c r="E121" s="69" t="n">
        <v>1.55</v>
      </c>
    </row>
    <row r="122">
      <c r="A122" s="56" t="inlineStr">
        <is>
          <t>C1</t>
        </is>
      </c>
      <c r="B122" s="65" t="inlineStr">
        <is>
          <t>4924</t>
        </is>
      </c>
      <c r="C122" s="66" t="inlineStr">
        <is>
          <t>03/24/2026</t>
        </is>
      </c>
      <c r="D122" s="11" t="n">
        <v>1707</v>
      </c>
      <c r="E122" s="69" t="n">
        <v>1.36</v>
      </c>
    </row>
    <row r="123">
      <c r="A123" s="56" t="inlineStr">
        <is>
          <t>C1</t>
        </is>
      </c>
      <c r="B123" s="65" t="inlineStr">
        <is>
          <t>2414</t>
        </is>
      </c>
      <c r="C123" s="66" t="inlineStr">
        <is>
          <t>03/06/2026</t>
        </is>
      </c>
      <c r="D123" s="11" t="n">
        <v>1706</v>
      </c>
      <c r="E123" s="69" t="n">
        <v>1.36</v>
      </c>
    </row>
    <row r="124">
      <c r="A124" s="56" t="inlineStr">
        <is>
          <t>C1R</t>
        </is>
      </c>
      <c r="B124" s="65" t="inlineStr">
        <is>
          <t>0621</t>
        </is>
      </c>
      <c r="C124" s="66" t="inlineStr">
        <is>
          <t>04/04/2026</t>
        </is>
      </c>
      <c r="D124" s="11" t="n">
        <v>1978</v>
      </c>
      <c r="E124" s="69" t="n">
        <v>1.57</v>
      </c>
    </row>
    <row r="125">
      <c r="A125" s="56" t="inlineStr">
        <is>
          <t>C1R</t>
        </is>
      </c>
      <c r="B125" s="65" t="inlineStr">
        <is>
          <t>0531</t>
        </is>
      </c>
      <c r="C125" s="66" t="inlineStr">
        <is>
          <t>03/26/2026</t>
        </is>
      </c>
      <c r="D125" s="11" t="n">
        <v>1792</v>
      </c>
      <c r="E125" s="69" t="n">
        <v>1.42</v>
      </c>
    </row>
    <row r="126">
      <c r="A126" s="56" t="inlineStr">
        <is>
          <t>C1R</t>
        </is>
      </c>
      <c r="B126" s="65" t="inlineStr">
        <is>
          <t>0611</t>
        </is>
      </c>
      <c r="C126" s="66" t="inlineStr">
        <is>
          <t>01/16/2026</t>
        </is>
      </c>
      <c r="D126" s="11" t="n">
        <v>1862</v>
      </c>
      <c r="E126" s="69" t="n">
        <v>1.48</v>
      </c>
    </row>
    <row r="127">
      <c r="A127" s="56" t="inlineStr">
        <is>
          <t>C1R</t>
        </is>
      </c>
      <c r="B127" s="65" t="inlineStr">
        <is>
          <t>0811</t>
        </is>
      </c>
      <c r="C127" s="66" t="inlineStr">
        <is>
          <t>01/09/2026</t>
        </is>
      </c>
      <c r="D127" s="11" t="n">
        <v>2140</v>
      </c>
      <c r="E127" s="69" t="n">
        <v>1.7</v>
      </c>
    </row>
    <row r="128">
      <c r="A128" s="56" t="inlineStr">
        <is>
          <t>C1R</t>
        </is>
      </c>
      <c r="B128" s="65" t="inlineStr">
        <is>
          <t>0828</t>
        </is>
      </c>
      <c r="C128" s="66" t="inlineStr">
        <is>
          <t>12/06/2025</t>
        </is>
      </c>
      <c r="D128" s="11" t="n">
        <v>1943</v>
      </c>
      <c r="E128" s="69" t="n">
        <v>1.54</v>
      </c>
    </row>
    <row r="129">
      <c r="A129" s="56" t="inlineStr">
        <is>
          <t>C2</t>
        </is>
      </c>
      <c r="B129" s="65" t="inlineStr">
        <is>
          <t>5214</t>
        </is>
      </c>
      <c r="C129" s="66" t="inlineStr">
        <is>
          <t>12/31/2025</t>
        </is>
      </c>
      <c r="D129" s="11" t="n">
        <v>1999</v>
      </c>
      <c r="E129" s="69" t="n">
        <v>1.47</v>
      </c>
    </row>
    <row r="130">
      <c r="A130" s="56" t="inlineStr">
        <is>
          <t>C2</t>
        </is>
      </c>
      <c r="B130" s="65" t="inlineStr">
        <is>
          <t>5513</t>
        </is>
      </c>
      <c r="C130" s="66" t="inlineStr">
        <is>
          <t>12/11/2025</t>
        </is>
      </c>
      <c r="D130" s="11" t="n">
        <v>1777</v>
      </c>
      <c r="E130" s="69" t="n">
        <v>1.3</v>
      </c>
    </row>
    <row r="131">
      <c r="A131" s="56" t="inlineStr">
        <is>
          <t>C2</t>
        </is>
      </c>
      <c r="B131" s="65" t="inlineStr">
        <is>
          <t>3513</t>
        </is>
      </c>
      <c r="C131" s="66" t="inlineStr">
        <is>
          <t>11/22/2025</t>
        </is>
      </c>
      <c r="D131" s="11" t="n">
        <v>2041</v>
      </c>
      <c r="E131" s="69" t="n">
        <v>1.5</v>
      </c>
    </row>
    <row r="132">
      <c r="A132" s="56" t="inlineStr">
        <is>
          <t>C2</t>
        </is>
      </c>
      <c r="B132" s="65" t="inlineStr">
        <is>
          <t>5512</t>
        </is>
      </c>
      <c r="C132" s="66" t="inlineStr">
        <is>
          <t>10/18/2025</t>
        </is>
      </c>
      <c r="D132" s="11" t="n">
        <v>2049</v>
      </c>
      <c r="E132" s="69" t="n">
        <v>1.5</v>
      </c>
    </row>
    <row r="133">
      <c r="A133" s="56" t="inlineStr">
        <is>
          <t>C2</t>
        </is>
      </c>
      <c r="B133" s="65" t="inlineStr">
        <is>
          <t>3514</t>
        </is>
      </c>
      <c r="C133" s="66" t="inlineStr">
        <is>
          <t>10/03/2025</t>
        </is>
      </c>
      <c r="D133" s="11" t="n">
        <v>2049</v>
      </c>
      <c r="E133" s="69" t="n">
        <v>1.5</v>
      </c>
    </row>
  </sheetData>
  <mergeCells count="3">
    <mergeCell ref="A38:M38"/>
    <mergeCell ref="A39:M39"/>
    <mergeCell ref="A37:M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7" t="inlineStr">
        <is>
          <t>Property Name</t>
        </is>
      </c>
      <c r="B1" s="7" t="inlineStr">
        <is>
          <t>Floorplan</t>
        </is>
      </c>
      <c r="C1" s="7" t="inlineStr">
        <is>
          <t>Unit</t>
        </is>
      </c>
      <c r="D1" s="7" t="inlineStr">
        <is>
          <t>Floor</t>
        </is>
      </c>
      <c r="E1" s="7" t="inlineStr">
        <is>
          <t>Bedrooms</t>
        </is>
      </c>
      <c r="F1" s="7" t="inlineStr">
        <is>
          <t>Bathrooms</t>
        </is>
      </c>
      <c r="G1" s="7" t="inlineStr">
        <is>
          <t>Partial Bathrooms</t>
        </is>
      </c>
      <c r="H1" s="7" t="inlineStr">
        <is>
          <t>SF</t>
        </is>
      </c>
      <c r="I1" s="7" t="inlineStr">
        <is>
          <t>Available On</t>
        </is>
      </c>
      <c r="J1" s="7" t="inlineStr">
        <is>
          <t>Deposit</t>
        </is>
      </c>
      <c r="K1" s="7" t="inlineStr">
        <is>
          <t>Term</t>
        </is>
      </c>
      <c r="L1" s="7" t="inlineStr">
        <is>
          <t>AMI Level</t>
        </is>
      </c>
      <c r="M1" s="7" t="inlineStr">
        <is>
          <t>Last Asking Rent</t>
        </is>
      </c>
      <c r="N1" s="7" t="inlineStr">
        <is>
          <t>Asking Rent PSF</t>
        </is>
      </c>
      <c r="O1" s="7" t="inlineStr">
        <is>
          <t>Last Effective Rent</t>
        </is>
      </c>
      <c r="P1" s="7" t="inlineStr">
        <is>
          <t>Effective Rent PSF</t>
        </is>
      </c>
      <c r="Q1" s="7" t="inlineStr">
        <is>
          <t>On Market Date</t>
        </is>
      </c>
      <c r="R1" s="7" t="inlineStr">
        <is>
          <t>Off Market Date</t>
        </is>
      </c>
      <c r="S1" s="7" t="inlineStr">
        <is>
          <t>Days on Market</t>
        </is>
      </c>
      <c r="T1" s="7" t="inlineStr">
        <is>
          <t>Days Vacant</t>
        </is>
      </c>
      <c r="U1" s="7" t="inlineStr">
        <is>
          <t>Floorplan Mapped</t>
        </is>
      </c>
    </row>
    <row r="2">
      <c r="A2" s="5" t="inlineStr">
        <is>
          <t>Bella Mirage</t>
        </is>
      </c>
      <c r="B2" s="5" t="inlineStr">
        <is>
          <t>Brook</t>
        </is>
      </c>
      <c r="C2" s="5" t="inlineStr">
        <is>
          <t>3127</t>
        </is>
      </c>
      <c r="D2" s="5" t="n">
        <v>3</v>
      </c>
      <c r="E2" s="5" t="n">
        <v>1</v>
      </c>
      <c r="F2" s="5" t="n">
        <v>1</v>
      </c>
      <c r="G2" s="5" t="inlineStr"/>
      <c r="H2" s="5" t="n">
        <v>739</v>
      </c>
      <c r="I2" s="5" t="inlineStr">
        <is>
          <t>7/20/2026</t>
        </is>
      </c>
      <c r="J2" s="5" t="n">
        <v>300</v>
      </c>
      <c r="K2" s="5" t="n">
        <v>12</v>
      </c>
      <c r="L2" s="5" t="inlineStr">
        <is>
          <t>50%</t>
        </is>
      </c>
      <c r="M2" s="5" t="n">
        <v>987</v>
      </c>
      <c r="N2" s="5" t="n">
        <v>1.34</v>
      </c>
      <c r="O2" s="5" t="n">
        <v>987</v>
      </c>
      <c r="P2" s="5" t="n">
        <v>1.34</v>
      </c>
      <c r="Q2" s="5" t="inlineStr">
        <is>
          <t>2026-05-08</t>
        </is>
      </c>
      <c r="R2" s="5" t="inlineStr">
        <is>
          <t>2026-05-20</t>
        </is>
      </c>
      <c r="S2" s="5" t="n">
        <v>13</v>
      </c>
      <c r="T2" s="5" t="n">
        <v>0</v>
      </c>
      <c r="U2" s="48" t="inlineStr">
        <is>
          <t>Brook</t>
        </is>
      </c>
    </row>
    <row r="3">
      <c r="A3" s="5" t="inlineStr">
        <is>
          <t>Bella Mirage</t>
        </is>
      </c>
      <c r="B3" s="5" t="inlineStr">
        <is>
          <t>Brook</t>
        </is>
      </c>
      <c r="C3" s="5" t="inlineStr">
        <is>
          <t>0816</t>
        </is>
      </c>
      <c r="D3" s="5" t="inlineStr"/>
      <c r="E3" s="5" t="n">
        <v>1</v>
      </c>
      <c r="F3" s="5" t="n">
        <v>1</v>
      </c>
      <c r="G3" s="5" t="inlineStr"/>
      <c r="H3" s="5" t="n">
        <v>739</v>
      </c>
      <c r="I3" s="5" t="inlineStr">
        <is>
          <t>1/15/2025</t>
        </is>
      </c>
      <c r="J3" s="5" t="n">
        <v>200</v>
      </c>
      <c r="K3" s="5" t="n">
        <v>13</v>
      </c>
      <c r="L3" s="5" t="inlineStr">
        <is>
          <t>50%</t>
        </is>
      </c>
      <c r="M3" s="5" t="n">
        <v>1270</v>
      </c>
      <c r="N3" s="5" t="n">
        <v>1.72</v>
      </c>
      <c r="O3" s="5" t="n">
        <v>1270</v>
      </c>
      <c r="P3" s="5" t="n">
        <v>1.72</v>
      </c>
      <c r="Q3" s="5" t="inlineStr">
        <is>
          <t>2024-10-05</t>
        </is>
      </c>
      <c r="R3" s="5" t="inlineStr">
        <is>
          <t>2024-10-31</t>
        </is>
      </c>
      <c r="S3" s="5" t="n">
        <v>27</v>
      </c>
      <c r="T3" s="5" t="n">
        <v>0</v>
      </c>
      <c r="U3" s="48" t="inlineStr">
        <is>
          <t>Brook</t>
        </is>
      </c>
    </row>
    <row r="4">
      <c r="A4" s="5" t="inlineStr">
        <is>
          <t>Bella Mirage</t>
        </is>
      </c>
      <c r="B4" s="5" t="inlineStr">
        <is>
          <t>Brook</t>
        </is>
      </c>
      <c r="C4" s="5" t="inlineStr">
        <is>
          <t>0816</t>
        </is>
      </c>
      <c r="D4" s="5" t="inlineStr"/>
      <c r="E4" s="5" t="n">
        <v>1</v>
      </c>
      <c r="F4" s="5" t="n">
        <v>1</v>
      </c>
      <c r="G4" s="5" t="inlineStr"/>
      <c r="H4" s="5" t="n">
        <v>739</v>
      </c>
      <c r="I4" s="5" t="inlineStr">
        <is>
          <t>4/15/2026</t>
        </is>
      </c>
      <c r="J4" s="5" t="n">
        <v>300</v>
      </c>
      <c r="K4" s="5" t="n">
        <v>12</v>
      </c>
      <c r="L4" s="5" t="inlineStr">
        <is>
          <t>50%</t>
        </is>
      </c>
      <c r="M4" s="5" t="n">
        <v>1004</v>
      </c>
      <c r="N4" s="5" t="n">
        <v>1.36</v>
      </c>
      <c r="O4" s="5" t="n">
        <v>1004</v>
      </c>
      <c r="P4" s="5" t="n">
        <v>1.36</v>
      </c>
      <c r="Q4" s="5" t="inlineStr">
        <is>
          <t>2026-02-14</t>
        </is>
      </c>
      <c r="R4" s="5" t="inlineStr">
        <is>
          <t>2026-02-22</t>
        </is>
      </c>
      <c r="S4" s="5" t="n">
        <v>9</v>
      </c>
      <c r="T4" s="5" t="n">
        <v>0</v>
      </c>
      <c r="U4" s="48" t="inlineStr">
        <is>
          <t>Brook</t>
        </is>
      </c>
    </row>
    <row r="5">
      <c r="A5" s="5" t="inlineStr">
        <is>
          <t>Bella Mirage</t>
        </is>
      </c>
      <c r="B5" s="5" t="inlineStr">
        <is>
          <t>Brook</t>
        </is>
      </c>
      <c r="C5" s="5" t="inlineStr">
        <is>
          <t>0826</t>
        </is>
      </c>
      <c r="D5" s="5" t="n">
        <v>2</v>
      </c>
      <c r="E5" s="5" t="n">
        <v>1</v>
      </c>
      <c r="F5" s="5" t="n">
        <v>1</v>
      </c>
      <c r="G5" s="5" t="inlineStr"/>
      <c r="H5" s="5" t="n">
        <v>739</v>
      </c>
      <c r="I5" s="5" t="inlineStr">
        <is>
          <t>7/21/2023</t>
        </is>
      </c>
      <c r="J5" s="5" t="inlineStr"/>
      <c r="K5" s="5" t="inlineStr"/>
      <c r="L5" s="5" t="inlineStr">
        <is>
          <t>50%</t>
        </is>
      </c>
      <c r="M5" s="5" t="n">
        <v>1358</v>
      </c>
      <c r="N5" s="5" t="n">
        <v>1.84</v>
      </c>
      <c r="O5" s="5" t="n">
        <v>1296</v>
      </c>
      <c r="P5" s="5" t="n">
        <v>1.75</v>
      </c>
      <c r="Q5" s="5" t="inlineStr"/>
      <c r="R5" s="5" t="inlineStr">
        <is>
          <t>2023-06-20</t>
        </is>
      </c>
      <c r="S5" s="5" t="inlineStr"/>
      <c r="T5" s="5" t="inlineStr"/>
      <c r="U5" s="48" t="inlineStr">
        <is>
          <t>Brook</t>
        </is>
      </c>
    </row>
    <row r="6">
      <c r="A6" s="5" t="inlineStr">
        <is>
          <t>Bella Mirage</t>
        </is>
      </c>
      <c r="B6" s="5" t="inlineStr">
        <is>
          <t>Brook</t>
        </is>
      </c>
      <c r="C6" s="5" t="inlineStr">
        <is>
          <t>0826</t>
        </is>
      </c>
      <c r="D6" s="5" t="n">
        <v>2</v>
      </c>
      <c r="E6" s="5" t="n">
        <v>1</v>
      </c>
      <c r="F6" s="5" t="n">
        <v>1</v>
      </c>
      <c r="G6" s="5" t="inlineStr"/>
      <c r="H6" s="5" t="n">
        <v>739</v>
      </c>
      <c r="I6" s="5" t="inlineStr">
        <is>
          <t>8/4/2025</t>
        </is>
      </c>
      <c r="J6" s="5" t="n">
        <v>200</v>
      </c>
      <c r="K6" s="5" t="n">
        <v>12</v>
      </c>
      <c r="L6" s="5" t="inlineStr">
        <is>
          <t>50%</t>
        </is>
      </c>
      <c r="M6" s="5" t="n">
        <v>1101</v>
      </c>
      <c r="N6" s="5" t="n">
        <v>1.49</v>
      </c>
      <c r="O6" s="5" t="n">
        <v>1009</v>
      </c>
      <c r="P6" s="5" t="n">
        <v>1.37</v>
      </c>
      <c r="Q6" s="5" t="inlineStr">
        <is>
          <t>2025-05-21</t>
        </is>
      </c>
      <c r="R6" s="5" t="inlineStr">
        <is>
          <t>2025-05-24</t>
        </is>
      </c>
      <c r="S6" s="5" t="n">
        <v>4</v>
      </c>
      <c r="T6" s="5" t="n">
        <v>0</v>
      </c>
      <c r="U6" s="48" t="inlineStr">
        <is>
          <t>Brook</t>
        </is>
      </c>
    </row>
    <row r="7">
      <c r="A7" s="5" t="inlineStr">
        <is>
          <t>Bella Mirage</t>
        </is>
      </c>
      <c r="B7" s="5" t="inlineStr">
        <is>
          <t>Brook</t>
        </is>
      </c>
      <c r="C7" s="5" t="inlineStr">
        <is>
          <t>0826</t>
        </is>
      </c>
      <c r="D7" s="5" t="n">
        <v>2</v>
      </c>
      <c r="E7" s="5" t="n">
        <v>1</v>
      </c>
      <c r="F7" s="5" t="n">
        <v>1</v>
      </c>
      <c r="G7" s="5" t="inlineStr"/>
      <c r="H7" s="5" t="n">
        <v>739</v>
      </c>
      <c r="I7" s="5" t="inlineStr">
        <is>
          <t>8/18/2026</t>
        </is>
      </c>
      <c r="J7" s="5" t="n">
        <v>300</v>
      </c>
      <c r="K7" s="5" t="n">
        <v>13</v>
      </c>
      <c r="L7" s="5" t="inlineStr">
        <is>
          <t>50%</t>
        </is>
      </c>
      <c r="M7" s="5" t="n">
        <v>1005</v>
      </c>
      <c r="N7" s="5" t="n">
        <v>1.36</v>
      </c>
      <c r="O7" s="5" t="n">
        <v>1005</v>
      </c>
      <c r="P7" s="5" t="n">
        <v>1.36</v>
      </c>
      <c r="Q7" s="5" t="inlineStr">
        <is>
          <t>2026-06-02</t>
        </is>
      </c>
      <c r="R7" s="5" t="inlineStr">
        <is>
          <t>2026-06-03</t>
        </is>
      </c>
      <c r="S7" s="5" t="n">
        <v>2</v>
      </c>
      <c r="T7" s="5" t="n">
        <v>0</v>
      </c>
      <c r="U7" s="48" t="inlineStr">
        <is>
          <t>Brook</t>
        </is>
      </c>
    </row>
    <row r="8">
      <c r="A8" s="5" t="inlineStr">
        <is>
          <t>Bella Mirage</t>
        </is>
      </c>
      <c r="B8" s="5" t="inlineStr">
        <is>
          <t>Brook</t>
        </is>
      </c>
      <c r="C8" s="5" t="inlineStr">
        <is>
          <t>2423</t>
        </is>
      </c>
      <c r="D8" s="5" t="n">
        <v>2</v>
      </c>
      <c r="E8" s="5" t="n">
        <v>1</v>
      </c>
      <c r="F8" s="5" t="n">
        <v>1</v>
      </c>
      <c r="G8" s="5" t="inlineStr"/>
      <c r="H8" s="5" t="n">
        <v>739</v>
      </c>
      <c r="I8" s="5" t="inlineStr">
        <is>
          <t>11/1/2024</t>
        </is>
      </c>
      <c r="J8" s="5" t="n">
        <v>200</v>
      </c>
      <c r="K8" s="5" t="n">
        <v>12</v>
      </c>
      <c r="L8" s="5" t="inlineStr">
        <is>
          <t>50%</t>
        </is>
      </c>
      <c r="M8" s="5" t="n">
        <v>1154</v>
      </c>
      <c r="N8" s="5" t="n">
        <v>1.56</v>
      </c>
      <c r="O8" s="5" t="n">
        <v>1154</v>
      </c>
      <c r="P8" s="5" t="n">
        <v>1.56</v>
      </c>
      <c r="Q8" s="5" t="inlineStr">
        <is>
          <t>2024-08-19</t>
        </is>
      </c>
      <c r="R8" s="5" t="inlineStr">
        <is>
          <t>2024-08-25</t>
        </is>
      </c>
      <c r="S8" s="5" t="n">
        <v>7</v>
      </c>
      <c r="T8" s="5" t="n">
        <v>0</v>
      </c>
      <c r="U8" s="48" t="inlineStr">
        <is>
          <t>Brook</t>
        </is>
      </c>
    </row>
    <row r="9">
      <c r="A9" s="5" t="inlineStr">
        <is>
          <t>Bella Mirage</t>
        </is>
      </c>
      <c r="B9" s="5" t="inlineStr">
        <is>
          <t>Brook</t>
        </is>
      </c>
      <c r="C9" s="5" t="inlineStr">
        <is>
          <t>2423</t>
        </is>
      </c>
      <c r="D9" s="5" t="n">
        <v>2</v>
      </c>
      <c r="E9" s="5" t="n">
        <v>1</v>
      </c>
      <c r="F9" s="5" t="n">
        <v>1</v>
      </c>
      <c r="G9" s="5" t="inlineStr"/>
      <c r="H9" s="5" t="n">
        <v>739</v>
      </c>
      <c r="I9" s="5" t="inlineStr">
        <is>
          <t>12/15/2025</t>
        </is>
      </c>
      <c r="J9" s="5" t="n">
        <v>300</v>
      </c>
      <c r="K9" s="5" t="n">
        <v>13</v>
      </c>
      <c r="L9" s="5" t="inlineStr">
        <is>
          <t>50%</t>
        </is>
      </c>
      <c r="M9" s="5" t="n">
        <v>1005</v>
      </c>
      <c r="N9" s="5" t="n">
        <v>1.36</v>
      </c>
      <c r="O9" s="5" t="n">
        <v>1005</v>
      </c>
      <c r="P9" s="5" t="n">
        <v>1.36</v>
      </c>
      <c r="Q9" s="5" t="inlineStr">
        <is>
          <t>2025-11-08</t>
        </is>
      </c>
      <c r="R9" s="5" t="inlineStr">
        <is>
          <t>2025-12-01</t>
        </is>
      </c>
      <c r="S9" s="5" t="n">
        <v>24</v>
      </c>
      <c r="T9" s="5" t="n">
        <v>0</v>
      </c>
      <c r="U9" s="48" t="inlineStr">
        <is>
          <t>Brook</t>
        </is>
      </c>
    </row>
    <row r="10">
      <c r="A10" s="5" t="inlineStr">
        <is>
          <t>Bella Mirage</t>
        </is>
      </c>
      <c r="B10" s="5" t="inlineStr">
        <is>
          <t>Brook</t>
        </is>
      </c>
      <c r="C10" s="5" t="inlineStr">
        <is>
          <t>2427</t>
        </is>
      </c>
      <c r="D10" s="5" t="n">
        <v>2</v>
      </c>
      <c r="E10" s="5" t="n">
        <v>1</v>
      </c>
      <c r="F10" s="5" t="n">
        <v>1</v>
      </c>
      <c r="G10" s="5" t="inlineStr"/>
      <c r="H10" s="5" t="n">
        <v>739</v>
      </c>
      <c r="I10" s="5" t="inlineStr">
        <is>
          <t>3/3/2025</t>
        </is>
      </c>
      <c r="J10" s="5" t="n">
        <v>200</v>
      </c>
      <c r="K10" s="5" t="n">
        <v>14</v>
      </c>
      <c r="L10" s="5" t="inlineStr">
        <is>
          <t>50%</t>
        </is>
      </c>
      <c r="M10" s="5" t="n">
        <v>1116</v>
      </c>
      <c r="N10" s="5" t="n">
        <v>1.51</v>
      </c>
      <c r="O10" s="5" t="n">
        <v>1036</v>
      </c>
      <c r="P10" s="5" t="n">
        <v>1.4</v>
      </c>
      <c r="Q10" s="5" t="inlineStr">
        <is>
          <t>2024-12-28</t>
        </is>
      </c>
      <c r="R10" s="5" t="inlineStr">
        <is>
          <t>2025-04-14</t>
        </is>
      </c>
      <c r="S10" s="5" t="n">
        <v>108</v>
      </c>
      <c r="T10" s="5" t="n">
        <v>43</v>
      </c>
      <c r="U10" s="48" t="inlineStr">
        <is>
          <t>Brook</t>
        </is>
      </c>
    </row>
    <row r="11">
      <c r="A11" s="5" t="inlineStr">
        <is>
          <t>Bella Mirage</t>
        </is>
      </c>
      <c r="B11" s="5" t="inlineStr">
        <is>
          <t>Brook</t>
        </is>
      </c>
      <c r="C11" s="5" t="inlineStr">
        <is>
          <t>2427</t>
        </is>
      </c>
      <c r="D11" s="5" t="n">
        <v>2</v>
      </c>
      <c r="E11" s="5" t="n">
        <v>1</v>
      </c>
      <c r="F11" s="5" t="n">
        <v>1</v>
      </c>
      <c r="G11" s="5" t="inlineStr"/>
      <c r="H11" s="5" t="n">
        <v>739</v>
      </c>
      <c r="I11" s="5" t="inlineStr">
        <is>
          <t>8/4/2026</t>
        </is>
      </c>
      <c r="J11" s="5" t="n">
        <v>300</v>
      </c>
      <c r="K11" s="5" t="n">
        <v>12</v>
      </c>
      <c r="L11" s="5" t="inlineStr">
        <is>
          <t>50%</t>
        </is>
      </c>
      <c r="M11" s="5" t="n">
        <v>1012</v>
      </c>
      <c r="N11" s="5" t="n">
        <v>1.37</v>
      </c>
      <c r="O11" s="5" t="n">
        <v>1012</v>
      </c>
      <c r="P11" s="5" t="n">
        <v>1.37</v>
      </c>
      <c r="Q11" s="5" t="inlineStr">
        <is>
          <t>2026-04-28</t>
        </is>
      </c>
      <c r="R11" s="5" t="inlineStr">
        <is>
          <t>2026-04-29</t>
        </is>
      </c>
      <c r="S11" s="5" t="n">
        <v>2</v>
      </c>
      <c r="T11" s="5" t="n">
        <v>0</v>
      </c>
      <c r="U11" s="48" t="inlineStr">
        <is>
          <t>Brook</t>
        </is>
      </c>
    </row>
    <row r="12">
      <c r="A12" s="5" t="inlineStr">
        <is>
          <t>Bella Mirage</t>
        </is>
      </c>
      <c r="B12" s="5" t="inlineStr">
        <is>
          <t>Brook</t>
        </is>
      </c>
      <c r="C12" s="5" t="inlineStr">
        <is>
          <t>3117</t>
        </is>
      </c>
      <c r="D12" s="5" t="n">
        <v>3</v>
      </c>
      <c r="E12" s="5" t="n">
        <v>1</v>
      </c>
      <c r="F12" s="5" t="n">
        <v>1</v>
      </c>
      <c r="G12" s="5" t="inlineStr"/>
      <c r="H12" s="5" t="n">
        <v>739</v>
      </c>
      <c r="I12" s="5" t="inlineStr">
        <is>
          <t>12/10/2023</t>
        </is>
      </c>
      <c r="J12" s="5" t="inlineStr"/>
      <c r="K12" s="5" t="inlineStr"/>
      <c r="L12" s="5" t="inlineStr">
        <is>
          <t>50%</t>
        </is>
      </c>
      <c r="M12" s="5" t="n">
        <v>1204</v>
      </c>
      <c r="N12" s="5" t="n">
        <v>1.63</v>
      </c>
      <c r="O12" s="5" t="n">
        <v>1104</v>
      </c>
      <c r="P12" s="5" t="n">
        <v>1.49</v>
      </c>
      <c r="Q12" s="5" t="inlineStr">
        <is>
          <t>2023-12-03</t>
        </is>
      </c>
      <c r="R12" s="5" t="inlineStr">
        <is>
          <t>2023-12-11</t>
        </is>
      </c>
      <c r="S12" s="5" t="n">
        <v>9</v>
      </c>
      <c r="T12" s="5" t="n">
        <v>2</v>
      </c>
      <c r="U12" s="48" t="inlineStr">
        <is>
          <t>Brook</t>
        </is>
      </c>
    </row>
    <row r="13">
      <c r="A13" s="5" t="inlineStr">
        <is>
          <t>Bella Mirage</t>
        </is>
      </c>
      <c r="B13" s="5" t="inlineStr">
        <is>
          <t>Brook</t>
        </is>
      </c>
      <c r="C13" s="5" t="inlineStr">
        <is>
          <t>3117</t>
        </is>
      </c>
      <c r="D13" s="5" t="n">
        <v>3</v>
      </c>
      <c r="E13" s="5" t="n">
        <v>1</v>
      </c>
      <c r="F13" s="5" t="n">
        <v>1</v>
      </c>
      <c r="G13" s="5" t="inlineStr"/>
      <c r="H13" s="5" t="n">
        <v>739</v>
      </c>
      <c r="I13" s="5" t="inlineStr">
        <is>
          <t>3/19/2026</t>
        </is>
      </c>
      <c r="J13" s="5" t="n">
        <v>300</v>
      </c>
      <c r="K13" s="5" t="n">
        <v>13</v>
      </c>
      <c r="L13" s="5" t="inlineStr">
        <is>
          <t>50%</t>
        </is>
      </c>
      <c r="M13" s="5" t="n">
        <v>1019</v>
      </c>
      <c r="N13" s="5" t="n">
        <v>1.38</v>
      </c>
      <c r="O13" s="5" t="n">
        <v>1019</v>
      </c>
      <c r="P13" s="5" t="n">
        <v>1.38</v>
      </c>
      <c r="Q13" s="5" t="inlineStr">
        <is>
          <t>2026-01-21</t>
        </is>
      </c>
      <c r="R13" s="5" t="inlineStr">
        <is>
          <t>2026-02-27</t>
        </is>
      </c>
      <c r="S13" s="5" t="n">
        <v>38</v>
      </c>
      <c r="T13" s="5" t="n">
        <v>0</v>
      </c>
      <c r="U13" s="48" t="inlineStr">
        <is>
          <t>Brook</t>
        </is>
      </c>
    </row>
    <row r="14">
      <c r="A14" s="5" t="inlineStr">
        <is>
          <t>Bella Mirage</t>
        </is>
      </c>
      <c r="B14" s="5" t="inlineStr">
        <is>
          <t>Brook</t>
        </is>
      </c>
      <c r="C14" s="5" t="inlineStr">
        <is>
          <t>4126</t>
        </is>
      </c>
      <c r="D14" s="5" t="n">
        <v>4</v>
      </c>
      <c r="E14" s="5" t="n">
        <v>1</v>
      </c>
      <c r="F14" s="5" t="n">
        <v>1</v>
      </c>
      <c r="G14" s="5" t="inlineStr"/>
      <c r="H14" s="5" t="n">
        <v>739</v>
      </c>
      <c r="I14" s="5" t="inlineStr">
        <is>
          <t>7/31/2023</t>
        </is>
      </c>
      <c r="J14" s="5" t="inlineStr"/>
      <c r="K14" s="5" t="inlineStr"/>
      <c r="L14" s="5" t="inlineStr">
        <is>
          <t>50%</t>
        </is>
      </c>
      <c r="M14" s="5" t="n">
        <v>1442</v>
      </c>
      <c r="N14" s="5" t="n">
        <v>1.95</v>
      </c>
      <c r="O14" s="5" t="n">
        <v>1380</v>
      </c>
      <c r="P14" s="5" t="n">
        <v>1.87</v>
      </c>
      <c r="Q14" s="5" t="inlineStr">
        <is>
          <t>2023-07-02</t>
        </is>
      </c>
      <c r="R14" s="5" t="inlineStr">
        <is>
          <t>2023-07-07</t>
        </is>
      </c>
      <c r="S14" s="5" t="n">
        <v>6</v>
      </c>
      <c r="T14" s="5" t="n">
        <v>0</v>
      </c>
      <c r="U14" s="48" t="inlineStr">
        <is>
          <t>Brook</t>
        </is>
      </c>
    </row>
    <row r="15">
      <c r="A15" s="5" t="inlineStr">
        <is>
          <t>Bella Mirage</t>
        </is>
      </c>
      <c r="B15" s="5" t="inlineStr">
        <is>
          <t>Brook</t>
        </is>
      </c>
      <c r="C15" s="5" t="inlineStr">
        <is>
          <t>4126</t>
        </is>
      </c>
      <c r="D15" s="5" t="n">
        <v>4</v>
      </c>
      <c r="E15" s="5" t="n">
        <v>1</v>
      </c>
      <c r="F15" s="5" t="n">
        <v>1</v>
      </c>
      <c r="G15" s="5" t="inlineStr"/>
      <c r="H15" s="5" t="n">
        <v>739</v>
      </c>
      <c r="I15" s="5" t="inlineStr">
        <is>
          <t>9/14/2024</t>
        </is>
      </c>
      <c r="J15" s="5" t="n">
        <v>200</v>
      </c>
      <c r="K15" s="5" t="n">
        <v>12</v>
      </c>
      <c r="L15" s="5" t="inlineStr">
        <is>
          <t>50%</t>
        </is>
      </c>
      <c r="M15" s="5" t="n">
        <v>1268</v>
      </c>
      <c r="N15" s="5" t="n">
        <v>1.72</v>
      </c>
      <c r="O15" s="5" t="n">
        <v>1268</v>
      </c>
      <c r="P15" s="5" t="n">
        <v>1.72</v>
      </c>
      <c r="Q15" s="5" t="inlineStr">
        <is>
          <t>2024-06-10</t>
        </is>
      </c>
      <c r="R15" s="5" t="inlineStr">
        <is>
          <t>2024-06-24</t>
        </is>
      </c>
      <c r="S15" s="5" t="n">
        <v>15</v>
      </c>
      <c r="T15" s="5" t="n">
        <v>0</v>
      </c>
      <c r="U15" s="48" t="inlineStr">
        <is>
          <t>Brook</t>
        </is>
      </c>
    </row>
    <row r="16">
      <c r="A16" s="5" t="inlineStr">
        <is>
          <t>Bella Mirage</t>
        </is>
      </c>
      <c r="B16" s="5" t="inlineStr">
        <is>
          <t>Brook</t>
        </is>
      </c>
      <c r="C16" s="5" t="inlineStr">
        <is>
          <t>4126</t>
        </is>
      </c>
      <c r="D16" s="5" t="n">
        <v>4</v>
      </c>
      <c r="E16" s="5" t="n">
        <v>1</v>
      </c>
      <c r="F16" s="5" t="n">
        <v>1</v>
      </c>
      <c r="G16" s="5" t="inlineStr"/>
      <c r="H16" s="5" t="n">
        <v>739</v>
      </c>
      <c r="I16" s="5" t="inlineStr">
        <is>
          <t>9/27/2025</t>
        </is>
      </c>
      <c r="J16" s="5" t="n">
        <v>300</v>
      </c>
      <c r="K16" s="5" t="n">
        <v>12</v>
      </c>
      <c r="L16" s="5" t="inlineStr">
        <is>
          <t>50%</t>
        </is>
      </c>
      <c r="M16" s="5" t="n">
        <v>1188</v>
      </c>
      <c r="N16" s="5" t="n">
        <v>1.61</v>
      </c>
      <c r="O16" s="5" t="n">
        <v>1089</v>
      </c>
      <c r="P16" s="5" t="n">
        <v>1.47</v>
      </c>
      <c r="Q16" s="5" t="inlineStr">
        <is>
          <t>2025-08-19</t>
        </is>
      </c>
      <c r="R16" s="5" t="inlineStr">
        <is>
          <t>2025-09-22</t>
        </is>
      </c>
      <c r="S16" s="5" t="n">
        <v>35</v>
      </c>
      <c r="T16" s="5" t="n">
        <v>0</v>
      </c>
      <c r="U16" s="48" t="inlineStr">
        <is>
          <t>Brook</t>
        </is>
      </c>
    </row>
    <row r="17">
      <c r="A17" s="5" t="inlineStr">
        <is>
          <t>Bella Mirage</t>
        </is>
      </c>
      <c r="B17" s="5" t="inlineStr">
        <is>
          <t>Brook</t>
        </is>
      </c>
      <c r="C17" s="5" t="inlineStr">
        <is>
          <t>4126</t>
        </is>
      </c>
      <c r="D17" s="5" t="n">
        <v>4</v>
      </c>
      <c r="E17" s="5" t="n">
        <v>1</v>
      </c>
      <c r="F17" s="5" t="n">
        <v>1</v>
      </c>
      <c r="G17" s="5" t="inlineStr"/>
      <c r="H17" s="5" t="n">
        <v>739</v>
      </c>
      <c r="I17" s="5" t="inlineStr">
        <is>
          <t>4/11/2026</t>
        </is>
      </c>
      <c r="J17" s="5" t="n">
        <v>300</v>
      </c>
      <c r="K17" s="5" t="n">
        <v>12</v>
      </c>
      <c r="L17" s="5" t="inlineStr">
        <is>
          <t>50%</t>
        </is>
      </c>
      <c r="M17" s="5" t="n">
        <v>1027</v>
      </c>
      <c r="N17" s="5" t="n">
        <v>1.39</v>
      </c>
      <c r="O17" s="5" t="n">
        <v>1027</v>
      </c>
      <c r="P17" s="5" t="n">
        <v>1.39</v>
      </c>
      <c r="Q17" s="5" t="inlineStr">
        <is>
          <t>2026-02-04</t>
        </is>
      </c>
      <c r="R17" s="5" t="inlineStr">
        <is>
          <t>2026-05-20</t>
        </is>
      </c>
      <c r="S17" s="5" t="n">
        <v>106</v>
      </c>
      <c r="T17" s="5" t="n">
        <v>40</v>
      </c>
      <c r="U17" s="48" t="inlineStr">
        <is>
          <t>Brook</t>
        </is>
      </c>
    </row>
    <row r="18">
      <c r="A18" s="5" t="inlineStr">
        <is>
          <t>Bella Mirage</t>
        </is>
      </c>
      <c r="B18" s="5" t="inlineStr">
        <is>
          <t>Brook</t>
        </is>
      </c>
      <c r="C18" s="5" t="inlineStr">
        <is>
          <t>2433</t>
        </is>
      </c>
      <c r="D18" s="5" t="n">
        <v>2</v>
      </c>
      <c r="E18" s="5" t="n">
        <v>1</v>
      </c>
      <c r="F18" s="5" t="n">
        <v>1</v>
      </c>
      <c r="G18" s="5" t="inlineStr"/>
      <c r="H18" s="5" t="n">
        <v>739</v>
      </c>
      <c r="I18" s="5" t="inlineStr">
        <is>
          <t>6/20/2023</t>
        </is>
      </c>
      <c r="J18" s="5" t="inlineStr"/>
      <c r="K18" s="5" t="inlineStr"/>
      <c r="L18" s="5" t="inlineStr">
        <is>
          <t>50%</t>
        </is>
      </c>
      <c r="M18" s="5" t="n">
        <v>1370</v>
      </c>
      <c r="N18" s="5" t="n">
        <v>1.85</v>
      </c>
      <c r="O18" s="5" t="n">
        <v>1308</v>
      </c>
      <c r="P18" s="5" t="n">
        <v>1.77</v>
      </c>
      <c r="Q18" s="5" t="inlineStr">
        <is>
          <t>2023-06-20</t>
        </is>
      </c>
      <c r="R18" s="5" t="inlineStr">
        <is>
          <t>2023-06-29</t>
        </is>
      </c>
      <c r="S18" s="5" t="n">
        <v>10</v>
      </c>
      <c r="T18" s="5" t="n">
        <v>10</v>
      </c>
      <c r="U18" s="48" t="inlineStr">
        <is>
          <t>Brook</t>
        </is>
      </c>
    </row>
    <row r="19">
      <c r="A19" s="5" t="inlineStr">
        <is>
          <t>Bella Mirage</t>
        </is>
      </c>
      <c r="B19" s="5" t="inlineStr">
        <is>
          <t>Brook</t>
        </is>
      </c>
      <c r="C19" s="5" t="inlineStr">
        <is>
          <t>2433</t>
        </is>
      </c>
      <c r="D19" s="5" t="n">
        <v>2</v>
      </c>
      <c r="E19" s="5" t="n">
        <v>1</v>
      </c>
      <c r="F19" s="5" t="n">
        <v>1</v>
      </c>
      <c r="G19" s="5" t="inlineStr"/>
      <c r="H19" s="5" t="n">
        <v>739</v>
      </c>
      <c r="I19" s="5" t="inlineStr">
        <is>
          <t>6/21/2026</t>
        </is>
      </c>
      <c r="J19" s="5" t="n">
        <v>300</v>
      </c>
      <c r="K19" s="5" t="n">
        <v>13</v>
      </c>
      <c r="L19" s="5" t="inlineStr">
        <is>
          <t>50%</t>
        </is>
      </c>
      <c r="M19" s="5" t="n">
        <v>1027</v>
      </c>
      <c r="N19" s="5" t="n">
        <v>1.39</v>
      </c>
      <c r="O19" s="5" t="n">
        <v>1027</v>
      </c>
      <c r="P19" s="5" t="n">
        <v>1.39</v>
      </c>
      <c r="Q19" s="5" t="inlineStr">
        <is>
          <t>2026-04-02</t>
        </is>
      </c>
      <c r="R19" s="5" t="inlineStr">
        <is>
          <t>2026-05-20</t>
        </is>
      </c>
      <c r="S19" s="5" t="n">
        <v>49</v>
      </c>
      <c r="T19" s="5" t="n">
        <v>0</v>
      </c>
      <c r="U19" s="48" t="inlineStr">
        <is>
          <t>Brook</t>
        </is>
      </c>
    </row>
    <row r="20">
      <c r="A20" s="5" t="inlineStr">
        <is>
          <t>Bella Mirage</t>
        </is>
      </c>
      <c r="B20" s="5" t="inlineStr">
        <is>
          <t>Brook</t>
        </is>
      </c>
      <c r="C20" s="5" t="inlineStr">
        <is>
          <t>0813</t>
        </is>
      </c>
      <c r="D20" s="5" t="inlineStr"/>
      <c r="E20" s="5" t="n">
        <v>1</v>
      </c>
      <c r="F20" s="5" t="n">
        <v>1</v>
      </c>
      <c r="G20" s="5" t="inlineStr"/>
      <c r="H20" s="5" t="n">
        <v>739</v>
      </c>
      <c r="I20" s="5" t="inlineStr">
        <is>
          <t>5/25/2026</t>
        </is>
      </c>
      <c r="J20" s="5" t="n">
        <v>300</v>
      </c>
      <c r="K20" s="5" t="n">
        <v>12</v>
      </c>
      <c r="L20" s="5" t="inlineStr">
        <is>
          <t>50%</t>
        </is>
      </c>
      <c r="M20" s="5" t="n">
        <v>1032</v>
      </c>
      <c r="N20" s="5" t="n">
        <v>1.4</v>
      </c>
      <c r="O20" s="5" t="n">
        <v>1032</v>
      </c>
      <c r="P20" s="5" t="n">
        <v>1.4</v>
      </c>
      <c r="Q20" s="5" t="inlineStr">
        <is>
          <t>2026-05-16</t>
        </is>
      </c>
      <c r="R20" s="5" t="inlineStr">
        <is>
          <t>2026-05-20</t>
        </is>
      </c>
      <c r="S20" s="5" t="n">
        <v>5</v>
      </c>
      <c r="T20" s="5" t="n">
        <v>0</v>
      </c>
      <c r="U20" s="48" t="inlineStr">
        <is>
          <t>Brook</t>
        </is>
      </c>
    </row>
    <row r="21">
      <c r="A21" s="5" t="inlineStr">
        <is>
          <t>Bella Mirage</t>
        </is>
      </c>
      <c r="B21" s="5" t="inlineStr">
        <is>
          <t>Brook</t>
        </is>
      </c>
      <c r="C21" s="5" t="inlineStr">
        <is>
          <t>4123</t>
        </is>
      </c>
      <c r="D21" s="5" t="n">
        <v>4</v>
      </c>
      <c r="E21" s="5" t="n">
        <v>1</v>
      </c>
      <c r="F21" s="5" t="n">
        <v>1</v>
      </c>
      <c r="G21" s="5" t="inlineStr"/>
      <c r="H21" s="5" t="n">
        <v>739</v>
      </c>
      <c r="I21" s="5" t="inlineStr">
        <is>
          <t>9/7/2023</t>
        </is>
      </c>
      <c r="J21" s="5" t="inlineStr"/>
      <c r="K21" s="5" t="inlineStr"/>
      <c r="L21" s="5" t="inlineStr">
        <is>
          <t>50%</t>
        </is>
      </c>
      <c r="M21" s="5" t="n">
        <v>1232</v>
      </c>
      <c r="N21" s="5" t="n">
        <v>1.67</v>
      </c>
      <c r="O21" s="5" t="n">
        <v>1129</v>
      </c>
      <c r="P21" s="5" t="n">
        <v>1.53</v>
      </c>
      <c r="Q21" s="5" t="inlineStr">
        <is>
          <t>2023-08-16</t>
        </is>
      </c>
      <c r="R21" s="5" t="inlineStr">
        <is>
          <t>2023-10-26</t>
        </is>
      </c>
      <c r="S21" s="5" t="n">
        <v>72</v>
      </c>
      <c r="T21" s="5" t="n">
        <v>50</v>
      </c>
      <c r="U21" s="48" t="inlineStr">
        <is>
          <t>Brook</t>
        </is>
      </c>
    </row>
    <row r="22">
      <c r="A22" s="5" t="inlineStr">
        <is>
          <t>Bella Mirage</t>
        </is>
      </c>
      <c r="B22" s="5" t="inlineStr">
        <is>
          <t>Brook</t>
        </is>
      </c>
      <c r="C22" s="5" t="inlineStr">
        <is>
          <t>4123</t>
        </is>
      </c>
      <c r="D22" s="5" t="n">
        <v>4</v>
      </c>
      <c r="E22" s="5" t="n">
        <v>1</v>
      </c>
      <c r="F22" s="5" t="n">
        <v>1</v>
      </c>
      <c r="G22" s="5" t="inlineStr"/>
      <c r="H22" s="5" t="n">
        <v>739</v>
      </c>
      <c r="I22" s="5" t="inlineStr">
        <is>
          <t>1/3/2025</t>
        </is>
      </c>
      <c r="J22" s="5" t="n">
        <v>200</v>
      </c>
      <c r="K22" s="5" t="n">
        <v>12</v>
      </c>
      <c r="L22" s="5" t="inlineStr">
        <is>
          <t>50%</t>
        </is>
      </c>
      <c r="M22" s="5" t="n">
        <v>1300</v>
      </c>
      <c r="N22" s="5" t="n">
        <v>1.76</v>
      </c>
      <c r="O22" s="5" t="n">
        <v>1192</v>
      </c>
      <c r="P22" s="5" t="n">
        <v>1.61</v>
      </c>
      <c r="Q22" s="5" t="inlineStr">
        <is>
          <t>2024-10-25</t>
        </is>
      </c>
      <c r="R22" s="5" t="inlineStr">
        <is>
          <t>2024-11-13</t>
        </is>
      </c>
      <c r="S22" s="5" t="n">
        <v>20</v>
      </c>
      <c r="T22" s="5" t="n">
        <v>0</v>
      </c>
      <c r="U22" s="48" t="inlineStr">
        <is>
          <t>Brook</t>
        </is>
      </c>
    </row>
    <row r="23">
      <c r="A23" s="5" t="inlineStr">
        <is>
          <t>Bella Mirage</t>
        </is>
      </c>
      <c r="B23" s="5" t="inlineStr">
        <is>
          <t>Brook</t>
        </is>
      </c>
      <c r="C23" s="5" t="inlineStr">
        <is>
          <t>4123</t>
        </is>
      </c>
      <c r="D23" s="5" t="n">
        <v>4</v>
      </c>
      <c r="E23" s="5" t="n">
        <v>1</v>
      </c>
      <c r="F23" s="5" t="n">
        <v>1</v>
      </c>
      <c r="G23" s="5" t="inlineStr"/>
      <c r="H23" s="5" t="n">
        <v>739</v>
      </c>
      <c r="I23" s="5" t="inlineStr">
        <is>
          <t>4/16/2026</t>
        </is>
      </c>
      <c r="J23" s="5" t="n">
        <v>300</v>
      </c>
      <c r="K23" s="5" t="n">
        <v>12</v>
      </c>
      <c r="L23" s="5" t="inlineStr">
        <is>
          <t>50%</t>
        </is>
      </c>
      <c r="M23" s="5" t="n">
        <v>1042</v>
      </c>
      <c r="N23" s="5" t="n">
        <v>1.41</v>
      </c>
      <c r="O23" s="5" t="n">
        <v>1042</v>
      </c>
      <c r="P23" s="5" t="n">
        <v>1.41</v>
      </c>
      <c r="Q23" s="5" t="inlineStr">
        <is>
          <t>2026-02-25</t>
        </is>
      </c>
      <c r="R23" s="5" t="inlineStr">
        <is>
          <t>2026-05-17</t>
        </is>
      </c>
      <c r="S23" s="5" t="n">
        <v>82</v>
      </c>
      <c r="T23" s="5" t="n">
        <v>32</v>
      </c>
      <c r="U23" s="48" t="inlineStr">
        <is>
          <t>Brook</t>
        </is>
      </c>
    </row>
    <row r="24">
      <c r="A24" s="5" t="inlineStr">
        <is>
          <t>Bella Mirage</t>
        </is>
      </c>
      <c r="B24" s="5" t="inlineStr">
        <is>
          <t>Brook</t>
        </is>
      </c>
      <c r="C24" s="5" t="inlineStr">
        <is>
          <t>0613</t>
        </is>
      </c>
      <c r="D24" s="5" t="inlineStr"/>
      <c r="E24" s="5" t="n">
        <v>1</v>
      </c>
      <c r="F24" s="5" t="n">
        <v>1</v>
      </c>
      <c r="G24" s="5" t="inlineStr"/>
      <c r="H24" s="5" t="n">
        <v>739</v>
      </c>
      <c r="I24" s="5" t="inlineStr">
        <is>
          <t>4/12/2024</t>
        </is>
      </c>
      <c r="J24" s="5" t="n">
        <v>200</v>
      </c>
      <c r="K24" s="5" t="n">
        <v>13</v>
      </c>
      <c r="L24" s="5" t="inlineStr">
        <is>
          <t>50%</t>
        </is>
      </c>
      <c r="M24" s="5" t="n">
        <v>1245</v>
      </c>
      <c r="N24" s="5" t="n">
        <v>1.68</v>
      </c>
      <c r="O24" s="5" t="n">
        <v>1149</v>
      </c>
      <c r="P24" s="5" t="n">
        <v>1.55</v>
      </c>
      <c r="Q24" s="5" t="inlineStr">
        <is>
          <t>2024-02-16</t>
        </is>
      </c>
      <c r="R24" s="5" t="inlineStr">
        <is>
          <t>2024-02-20</t>
        </is>
      </c>
      <c r="S24" s="5" t="n">
        <v>5</v>
      </c>
      <c r="T24" s="5" t="n">
        <v>0</v>
      </c>
      <c r="U24" s="48" t="inlineStr">
        <is>
          <t>Brook</t>
        </is>
      </c>
    </row>
    <row r="25">
      <c r="A25" s="5" t="inlineStr">
        <is>
          <t>Bella Mirage</t>
        </is>
      </c>
      <c r="B25" s="5" t="inlineStr">
        <is>
          <t>Brook</t>
        </is>
      </c>
      <c r="C25" s="5" t="inlineStr">
        <is>
          <t>0613</t>
        </is>
      </c>
      <c r="D25" s="5" t="inlineStr"/>
      <c r="E25" s="5" t="n">
        <v>1</v>
      </c>
      <c r="F25" s="5" t="n">
        <v>1</v>
      </c>
      <c r="G25" s="5" t="inlineStr"/>
      <c r="H25" s="5" t="n">
        <v>739</v>
      </c>
      <c r="I25" s="5" t="inlineStr">
        <is>
          <t>5/26/2026</t>
        </is>
      </c>
      <c r="J25" s="5" t="n">
        <v>300</v>
      </c>
      <c r="K25" s="5" t="n">
        <v>12</v>
      </c>
      <c r="L25" s="5" t="inlineStr">
        <is>
          <t>50%</t>
        </is>
      </c>
      <c r="M25" s="5" t="n">
        <v>1050</v>
      </c>
      <c r="N25" s="5" t="n">
        <v>1.42</v>
      </c>
      <c r="O25" s="5" t="n">
        <v>1050</v>
      </c>
      <c r="P25" s="5" t="n">
        <v>1.42</v>
      </c>
      <c r="Q25" s="5" t="inlineStr">
        <is>
          <t>2026-02-24</t>
        </is>
      </c>
      <c r="R25" s="5" t="inlineStr">
        <is>
          <t>2026-03-09</t>
        </is>
      </c>
      <c r="S25" s="5" t="n">
        <v>14</v>
      </c>
      <c r="T25" s="5" t="n">
        <v>0</v>
      </c>
      <c r="U25" s="48" t="inlineStr">
        <is>
          <t>Brook</t>
        </is>
      </c>
    </row>
    <row r="26">
      <c r="A26" s="5" t="inlineStr">
        <is>
          <t>Bella Mirage</t>
        </is>
      </c>
      <c r="B26" s="5" t="inlineStr">
        <is>
          <t>Brook</t>
        </is>
      </c>
      <c r="C26" s="5" t="inlineStr">
        <is>
          <t>4937</t>
        </is>
      </c>
      <c r="D26" s="5" t="inlineStr"/>
      <c r="E26" s="5" t="n">
        <v>1</v>
      </c>
      <c r="F26" s="5" t="n">
        <v>1</v>
      </c>
      <c r="G26" s="5" t="inlineStr"/>
      <c r="H26" s="5" t="n">
        <v>739</v>
      </c>
      <c r="I26" s="5" t="inlineStr">
        <is>
          <t>4/28/2024</t>
        </is>
      </c>
      <c r="J26" s="5" t="n">
        <v>200</v>
      </c>
      <c r="K26" s="5" t="n">
        <v>13</v>
      </c>
      <c r="L26" s="5" t="inlineStr">
        <is>
          <t>50%</t>
        </is>
      </c>
      <c r="M26" s="5" t="n">
        <v>1402</v>
      </c>
      <c r="N26" s="5" t="n">
        <v>1.9</v>
      </c>
      <c r="O26" s="5" t="n">
        <v>1294</v>
      </c>
      <c r="P26" s="5" t="n">
        <v>1.75</v>
      </c>
      <c r="Q26" s="5" t="inlineStr">
        <is>
          <t>2024-02-12</t>
        </is>
      </c>
      <c r="R26" s="5" t="inlineStr">
        <is>
          <t>2024-05-22</t>
        </is>
      </c>
      <c r="S26" s="5" t="n">
        <v>101</v>
      </c>
      <c r="T26" s="5" t="n">
        <v>25</v>
      </c>
      <c r="U26" s="48" t="inlineStr">
        <is>
          <t>Brook</t>
        </is>
      </c>
    </row>
    <row r="27">
      <c r="A27" s="5" t="inlineStr">
        <is>
          <t>Bella Mirage</t>
        </is>
      </c>
      <c r="B27" s="5" t="inlineStr">
        <is>
          <t>Brook</t>
        </is>
      </c>
      <c r="C27" s="5" t="inlineStr">
        <is>
          <t>4937</t>
        </is>
      </c>
      <c r="D27" s="5" t="inlineStr"/>
      <c r="E27" s="5" t="n">
        <v>1</v>
      </c>
      <c r="F27" s="5" t="n">
        <v>1</v>
      </c>
      <c r="G27" s="5" t="inlineStr"/>
      <c r="H27" s="5" t="n">
        <v>739</v>
      </c>
      <c r="I27" s="5" t="inlineStr">
        <is>
          <t>3/5/2026</t>
        </is>
      </c>
      <c r="J27" s="5" t="n">
        <v>300</v>
      </c>
      <c r="K27" s="5" t="n">
        <v>12</v>
      </c>
      <c r="L27" s="5" t="inlineStr">
        <is>
          <t>50%</t>
        </is>
      </c>
      <c r="M27" s="5" t="n">
        <v>1073</v>
      </c>
      <c r="N27" s="5" t="n">
        <v>1.45</v>
      </c>
      <c r="O27" s="5" t="n">
        <v>1073</v>
      </c>
      <c r="P27" s="5" t="n">
        <v>1.45</v>
      </c>
      <c r="Q27" s="5" t="inlineStr">
        <is>
          <t>2025-12-16</t>
        </is>
      </c>
      <c r="R27" s="5" t="inlineStr">
        <is>
          <t>2026-06-03</t>
        </is>
      </c>
      <c r="S27" s="5" t="n">
        <v>170</v>
      </c>
      <c r="T27" s="5" t="n">
        <v>91</v>
      </c>
      <c r="U27" s="48" t="inlineStr">
        <is>
          <t>Brook</t>
        </is>
      </c>
    </row>
    <row r="28">
      <c r="A28" s="5" t="inlineStr">
        <is>
          <t>Bella Mirage</t>
        </is>
      </c>
      <c r="B28" s="5" t="inlineStr">
        <is>
          <t>Brook</t>
        </is>
      </c>
      <c r="C28" s="5" t="inlineStr">
        <is>
          <t>4922</t>
        </is>
      </c>
      <c r="D28" s="5" t="n">
        <v>2</v>
      </c>
      <c r="E28" s="5" t="n">
        <v>1</v>
      </c>
      <c r="F28" s="5" t="n">
        <v>1</v>
      </c>
      <c r="G28" s="5" t="inlineStr"/>
      <c r="H28" s="5" t="n">
        <v>739</v>
      </c>
      <c r="I28" s="5" t="inlineStr">
        <is>
          <t>5/2/2024</t>
        </is>
      </c>
      <c r="J28" s="5" t="n">
        <v>200</v>
      </c>
      <c r="K28" s="5" t="n">
        <v>14</v>
      </c>
      <c r="L28" s="5" t="inlineStr">
        <is>
          <t>50%</t>
        </is>
      </c>
      <c r="M28" s="5" t="n">
        <v>1198</v>
      </c>
      <c r="N28" s="5" t="n">
        <v>1.62</v>
      </c>
      <c r="O28" s="5" t="n">
        <v>1198</v>
      </c>
      <c r="P28" s="5" t="n">
        <v>1.62</v>
      </c>
      <c r="Q28" s="5" t="inlineStr">
        <is>
          <t>2024-02-22</t>
        </is>
      </c>
      <c r="R28" s="5" t="inlineStr">
        <is>
          <t>2024-06-15</t>
        </is>
      </c>
      <c r="S28" s="5" t="n">
        <v>115</v>
      </c>
      <c r="T28" s="5" t="n">
        <v>45</v>
      </c>
      <c r="U28" s="48" t="inlineStr">
        <is>
          <t>Brook</t>
        </is>
      </c>
    </row>
    <row r="29">
      <c r="A29" s="5" t="inlineStr">
        <is>
          <t>Bella Mirage</t>
        </is>
      </c>
      <c r="B29" s="5" t="inlineStr">
        <is>
          <t>Brook</t>
        </is>
      </c>
      <c r="C29" s="5" t="inlineStr">
        <is>
          <t>4922</t>
        </is>
      </c>
      <c r="D29" s="5" t="n">
        <v>2</v>
      </c>
      <c r="E29" s="5" t="n">
        <v>1</v>
      </c>
      <c r="F29" s="5" t="n">
        <v>1</v>
      </c>
      <c r="G29" s="5" t="inlineStr"/>
      <c r="H29" s="5" t="n">
        <v>739</v>
      </c>
      <c r="I29" s="5" t="inlineStr">
        <is>
          <t>10/2/2025</t>
        </is>
      </c>
      <c r="J29" s="5" t="n">
        <v>300</v>
      </c>
      <c r="K29" s="5" t="n">
        <v>12</v>
      </c>
      <c r="L29" s="5" t="inlineStr">
        <is>
          <t>50%</t>
        </is>
      </c>
      <c r="M29" s="5" t="n">
        <v>1079</v>
      </c>
      <c r="N29" s="5" t="n">
        <v>1.46</v>
      </c>
      <c r="O29" s="5" t="n">
        <v>1079</v>
      </c>
      <c r="P29" s="5" t="n">
        <v>1.46</v>
      </c>
      <c r="Q29" s="5" t="inlineStr">
        <is>
          <t>2025-09-12</t>
        </is>
      </c>
      <c r="R29" s="5" t="inlineStr">
        <is>
          <t>2025-12-04</t>
        </is>
      </c>
      <c r="S29" s="5" t="n">
        <v>84</v>
      </c>
      <c r="T29" s="5" t="n">
        <v>64</v>
      </c>
      <c r="U29" s="48" t="inlineStr">
        <is>
          <t>Brook</t>
        </is>
      </c>
    </row>
    <row r="30">
      <c r="A30" s="5" t="inlineStr">
        <is>
          <t>Bella Mirage</t>
        </is>
      </c>
      <c r="B30" s="5" t="inlineStr">
        <is>
          <t>Brook</t>
        </is>
      </c>
      <c r="C30" s="5" t="inlineStr">
        <is>
          <t>0836</t>
        </is>
      </c>
      <c r="D30" s="5" t="n">
        <v>3</v>
      </c>
      <c r="E30" s="5" t="n">
        <v>1</v>
      </c>
      <c r="F30" s="5" t="n">
        <v>1</v>
      </c>
      <c r="G30" s="5" t="inlineStr"/>
      <c r="H30" s="5" t="n">
        <v>739</v>
      </c>
      <c r="I30" s="5" t="inlineStr">
        <is>
          <t>2/26/2025</t>
        </is>
      </c>
      <c r="J30" s="5" t="n">
        <v>200</v>
      </c>
      <c r="K30" s="5" t="n">
        <v>12</v>
      </c>
      <c r="L30" s="5" t="inlineStr">
        <is>
          <t>50%</t>
        </is>
      </c>
      <c r="M30" s="5" t="n">
        <v>1090</v>
      </c>
      <c r="N30" s="5" t="n">
        <v>1.47</v>
      </c>
      <c r="O30" s="5" t="n">
        <v>999</v>
      </c>
      <c r="P30" s="5" t="n">
        <v>1.35</v>
      </c>
      <c r="Q30" s="5" t="inlineStr">
        <is>
          <t>2024-12-14</t>
        </is>
      </c>
      <c r="R30" s="5" t="inlineStr">
        <is>
          <t>2024-12-20</t>
        </is>
      </c>
      <c r="S30" s="5" t="n">
        <v>7</v>
      </c>
      <c r="T30" s="5" t="n">
        <v>0</v>
      </c>
      <c r="U30" s="48" t="inlineStr">
        <is>
          <t>Brook</t>
        </is>
      </c>
    </row>
    <row r="31">
      <c r="A31" s="5" t="inlineStr">
        <is>
          <t>Bella Mirage</t>
        </is>
      </c>
      <c r="B31" s="5" t="inlineStr">
        <is>
          <t>Brook</t>
        </is>
      </c>
      <c r="C31" s="5" t="inlineStr">
        <is>
          <t>3612</t>
        </is>
      </c>
      <c r="D31" s="5" t="n">
        <v>3</v>
      </c>
      <c r="E31" s="5" t="n">
        <v>1</v>
      </c>
      <c r="F31" s="5" t="n">
        <v>1</v>
      </c>
      <c r="G31" s="5" t="inlineStr"/>
      <c r="H31" s="5" t="n">
        <v>739</v>
      </c>
      <c r="I31" s="5" t="inlineStr">
        <is>
          <t>6/22/2026</t>
        </is>
      </c>
      <c r="J31" s="5" t="n">
        <v>300</v>
      </c>
      <c r="K31" s="5" t="n">
        <v>13</v>
      </c>
      <c r="L31" s="5" t="inlineStr">
        <is>
          <t>50%</t>
        </is>
      </c>
      <c r="M31" s="5" t="n">
        <v>1092</v>
      </c>
      <c r="N31" s="5" t="n">
        <v>1.48</v>
      </c>
      <c r="O31" s="5" t="n">
        <v>1092</v>
      </c>
      <c r="P31" s="5" t="n">
        <v>1.48</v>
      </c>
      <c r="Q31" s="5" t="inlineStr">
        <is>
          <t>2026-03-28</t>
        </is>
      </c>
      <c r="R31" s="5" t="inlineStr">
        <is>
          <t>2026-05-20</t>
        </is>
      </c>
      <c r="S31" s="5" t="n">
        <v>54</v>
      </c>
      <c r="T31" s="5" t="n">
        <v>0</v>
      </c>
      <c r="U31" s="48" t="inlineStr">
        <is>
          <t>Brook</t>
        </is>
      </c>
    </row>
    <row r="32">
      <c r="A32" s="5" t="inlineStr">
        <is>
          <t>Bella Mirage</t>
        </is>
      </c>
      <c r="B32" s="5" t="inlineStr">
        <is>
          <t>Brook</t>
        </is>
      </c>
      <c r="C32" s="5" t="inlineStr">
        <is>
          <t>3613</t>
        </is>
      </c>
      <c r="D32" s="5" t="inlineStr"/>
      <c r="E32" s="5" t="n">
        <v>1</v>
      </c>
      <c r="F32" s="5" t="n">
        <v>1</v>
      </c>
      <c r="G32" s="5" t="inlineStr"/>
      <c r="H32" s="5" t="n">
        <v>739</v>
      </c>
      <c r="I32" s="5" t="inlineStr">
        <is>
          <t>9/7/2024</t>
        </is>
      </c>
      <c r="J32" s="5" t="n">
        <v>200</v>
      </c>
      <c r="K32" s="5" t="n">
        <v>12</v>
      </c>
      <c r="L32" s="5" t="inlineStr">
        <is>
          <t>50%</t>
        </is>
      </c>
      <c r="M32" s="5" t="n">
        <v>1310</v>
      </c>
      <c r="N32" s="5" t="n">
        <v>1.77</v>
      </c>
      <c r="O32" s="5" t="n">
        <v>1310</v>
      </c>
      <c r="P32" s="5" t="n">
        <v>1.77</v>
      </c>
      <c r="Q32" s="5" t="inlineStr">
        <is>
          <t>2024-03-19</t>
        </is>
      </c>
      <c r="R32" s="5" t="inlineStr">
        <is>
          <t>2024-08-09</t>
        </is>
      </c>
      <c r="S32" s="5" t="n">
        <v>144</v>
      </c>
      <c r="T32" s="5" t="n">
        <v>0</v>
      </c>
      <c r="U32" s="48" t="inlineStr">
        <is>
          <t>Brook</t>
        </is>
      </c>
    </row>
    <row r="33">
      <c r="A33" s="5" t="inlineStr">
        <is>
          <t>Bella Mirage</t>
        </is>
      </c>
      <c r="B33" s="5" t="inlineStr">
        <is>
          <t>Brook</t>
        </is>
      </c>
      <c r="C33" s="5" t="inlineStr">
        <is>
          <t>3613</t>
        </is>
      </c>
      <c r="D33" s="5" t="inlineStr"/>
      <c r="E33" s="5" t="n">
        <v>1</v>
      </c>
      <c r="F33" s="5" t="n">
        <v>1</v>
      </c>
      <c r="G33" s="5" t="inlineStr"/>
      <c r="H33" s="5" t="n">
        <v>739</v>
      </c>
      <c r="I33" s="5" t="inlineStr">
        <is>
          <t>8/8/2025</t>
        </is>
      </c>
      <c r="J33" s="5" t="n">
        <v>200</v>
      </c>
      <c r="K33" s="5" t="n">
        <v>13</v>
      </c>
      <c r="L33" s="5" t="inlineStr">
        <is>
          <t>50%</t>
        </is>
      </c>
      <c r="M33" s="5" t="n">
        <v>1093</v>
      </c>
      <c r="N33" s="5" t="n">
        <v>1.48</v>
      </c>
      <c r="O33" s="5" t="n">
        <v>1009</v>
      </c>
      <c r="P33" s="5" t="n">
        <v>1.37</v>
      </c>
      <c r="Q33" s="5" t="inlineStr">
        <is>
          <t>2025-07-06</t>
        </is>
      </c>
      <c r="R33" s="5" t="inlineStr">
        <is>
          <t>2025-07-31</t>
        </is>
      </c>
      <c r="S33" s="5" t="n">
        <v>26</v>
      </c>
      <c r="T33" s="5" t="n">
        <v>0</v>
      </c>
      <c r="U33" s="48" t="inlineStr">
        <is>
          <t>Brook</t>
        </is>
      </c>
    </row>
    <row r="34">
      <c r="A34" s="5" t="inlineStr">
        <is>
          <t>Bella Mirage</t>
        </is>
      </c>
      <c r="B34" s="5" t="inlineStr">
        <is>
          <t>Brook</t>
        </is>
      </c>
      <c r="C34" s="5" t="inlineStr">
        <is>
          <t>3636</t>
        </is>
      </c>
      <c r="D34" s="5" t="n">
        <v>3</v>
      </c>
      <c r="E34" s="5" t="n">
        <v>1</v>
      </c>
      <c r="F34" s="5" t="n">
        <v>1</v>
      </c>
      <c r="G34" s="5" t="inlineStr"/>
      <c r="H34" s="5" t="n">
        <v>739</v>
      </c>
      <c r="I34" s="5" t="inlineStr">
        <is>
          <t>8/20/2023</t>
        </is>
      </c>
      <c r="J34" s="5" t="inlineStr"/>
      <c r="K34" s="5" t="inlineStr"/>
      <c r="L34" s="5" t="inlineStr">
        <is>
          <t>50%</t>
        </is>
      </c>
      <c r="M34" s="5" t="n">
        <v>1357</v>
      </c>
      <c r="N34" s="5" t="n">
        <v>1.84</v>
      </c>
      <c r="O34" s="5" t="n">
        <v>1294</v>
      </c>
      <c r="P34" s="5" t="n">
        <v>1.75</v>
      </c>
      <c r="Q34" s="5" t="inlineStr">
        <is>
          <t>2023-07-27</t>
        </is>
      </c>
      <c r="R34" s="5" t="inlineStr">
        <is>
          <t>2023-09-20</t>
        </is>
      </c>
      <c r="S34" s="5" t="n">
        <v>56</v>
      </c>
      <c r="T34" s="5" t="n">
        <v>32</v>
      </c>
      <c r="U34" s="48" t="inlineStr">
        <is>
          <t>Brook</t>
        </is>
      </c>
    </row>
    <row r="35">
      <c r="A35" s="5" t="inlineStr">
        <is>
          <t>Bella Mirage</t>
        </is>
      </c>
      <c r="B35" s="5" t="inlineStr">
        <is>
          <t>Brook</t>
        </is>
      </c>
      <c r="C35" s="5" t="inlineStr">
        <is>
          <t>3636</t>
        </is>
      </c>
      <c r="D35" s="5" t="n">
        <v>3</v>
      </c>
      <c r="E35" s="5" t="n">
        <v>1</v>
      </c>
      <c r="F35" s="5" t="n">
        <v>1</v>
      </c>
      <c r="G35" s="5" t="inlineStr"/>
      <c r="H35" s="5" t="n">
        <v>739</v>
      </c>
      <c r="I35" s="5" t="inlineStr">
        <is>
          <t>1/10/2025</t>
        </is>
      </c>
      <c r="J35" s="5" t="n">
        <v>200</v>
      </c>
      <c r="K35" s="5" t="n">
        <v>12</v>
      </c>
      <c r="L35" s="5" t="inlineStr">
        <is>
          <t>50%</t>
        </is>
      </c>
      <c r="M35" s="5" t="n">
        <v>1302</v>
      </c>
      <c r="N35" s="5" t="n">
        <v>1.76</v>
      </c>
      <c r="O35" s="5" t="n">
        <v>1194</v>
      </c>
      <c r="P35" s="5" t="n">
        <v>1.62</v>
      </c>
      <c r="Q35" s="5" t="inlineStr">
        <is>
          <t>2024-10-29</t>
        </is>
      </c>
      <c r="R35" s="5" t="inlineStr">
        <is>
          <t>2025-02-16</t>
        </is>
      </c>
      <c r="S35" s="5" t="n">
        <v>111</v>
      </c>
      <c r="T35" s="5" t="n">
        <v>38</v>
      </c>
      <c r="U35" s="48" t="inlineStr">
        <is>
          <t>Brook</t>
        </is>
      </c>
    </row>
    <row r="36">
      <c r="A36" s="5" t="inlineStr">
        <is>
          <t>Bella Mirage</t>
        </is>
      </c>
      <c r="B36" s="5" t="inlineStr">
        <is>
          <t>Brook</t>
        </is>
      </c>
      <c r="C36" s="5" t="inlineStr">
        <is>
          <t>3636</t>
        </is>
      </c>
      <c r="D36" s="5" t="n">
        <v>3</v>
      </c>
      <c r="E36" s="5" t="n">
        <v>1</v>
      </c>
      <c r="F36" s="5" t="n">
        <v>1</v>
      </c>
      <c r="G36" s="5" t="inlineStr"/>
      <c r="H36" s="5" t="n">
        <v>739</v>
      </c>
      <c r="I36" s="5" t="inlineStr">
        <is>
          <t>7/7/2025</t>
        </is>
      </c>
      <c r="J36" s="5" t="n">
        <v>200</v>
      </c>
      <c r="K36" s="5" t="n">
        <v>12</v>
      </c>
      <c r="L36" s="5" t="inlineStr">
        <is>
          <t>50%</t>
        </is>
      </c>
      <c r="M36" s="5" t="n">
        <v>1225</v>
      </c>
      <c r="N36" s="5" t="n">
        <v>1.66</v>
      </c>
      <c r="O36" s="5" t="n">
        <v>1123</v>
      </c>
      <c r="P36" s="5" t="n">
        <v>1.52</v>
      </c>
      <c r="Q36" s="5" t="inlineStr">
        <is>
          <t>2025-06-09</t>
        </is>
      </c>
      <c r="R36" s="5" t="inlineStr">
        <is>
          <t>2025-07-23</t>
        </is>
      </c>
      <c r="S36" s="5" t="n">
        <v>45</v>
      </c>
      <c r="T36" s="5" t="n">
        <v>17</v>
      </c>
      <c r="U36" s="48" t="inlineStr">
        <is>
          <t>Brook</t>
        </is>
      </c>
    </row>
    <row r="37">
      <c r="A37" s="5" t="inlineStr">
        <is>
          <t>Bella Mirage</t>
        </is>
      </c>
      <c r="B37" s="5" t="inlineStr">
        <is>
          <t>Brook</t>
        </is>
      </c>
      <c r="C37" s="5" t="inlineStr">
        <is>
          <t>3636</t>
        </is>
      </c>
      <c r="D37" s="5" t="n">
        <v>3</v>
      </c>
      <c r="E37" s="5" t="n">
        <v>1</v>
      </c>
      <c r="F37" s="5" t="n">
        <v>1</v>
      </c>
      <c r="G37" s="5" t="inlineStr"/>
      <c r="H37" s="5" t="n">
        <v>739</v>
      </c>
      <c r="I37" s="5" t="inlineStr">
        <is>
          <t>8/3/2026</t>
        </is>
      </c>
      <c r="J37" s="5" t="n">
        <v>300</v>
      </c>
      <c r="K37" s="5" t="n">
        <v>12</v>
      </c>
      <c r="L37" s="5" t="inlineStr">
        <is>
          <t>50%</t>
        </is>
      </c>
      <c r="M37" s="5" t="n">
        <v>1097</v>
      </c>
      <c r="N37" s="5" t="n">
        <v>1.48</v>
      </c>
      <c r="O37" s="5" t="n">
        <v>1097</v>
      </c>
      <c r="P37" s="5" t="n">
        <v>1.48</v>
      </c>
      <c r="Q37" s="5" t="inlineStr">
        <is>
          <t>2026-05-07</t>
        </is>
      </c>
      <c r="R37" s="5" t="inlineStr">
        <is>
          <t>2026-05-13</t>
        </is>
      </c>
      <c r="S37" s="5" t="n">
        <v>7</v>
      </c>
      <c r="T37" s="5" t="n">
        <v>0</v>
      </c>
      <c r="U37" s="48" t="inlineStr">
        <is>
          <t>Brook</t>
        </is>
      </c>
    </row>
    <row r="38">
      <c r="A38" s="5" t="inlineStr">
        <is>
          <t>Bella Mirage</t>
        </is>
      </c>
      <c r="B38" s="5" t="inlineStr">
        <is>
          <t>Brook</t>
        </is>
      </c>
      <c r="C38" s="5" t="inlineStr">
        <is>
          <t>4127</t>
        </is>
      </c>
      <c r="D38" s="5" t="n">
        <v>4</v>
      </c>
      <c r="E38" s="5" t="n">
        <v>1</v>
      </c>
      <c r="F38" s="5" t="n">
        <v>1</v>
      </c>
      <c r="G38" s="5" t="inlineStr"/>
      <c r="H38" s="5" t="n">
        <v>739</v>
      </c>
      <c r="I38" s="5" t="inlineStr">
        <is>
          <t>10/28/2023</t>
        </is>
      </c>
      <c r="J38" s="5" t="inlineStr"/>
      <c r="K38" s="5" t="inlineStr"/>
      <c r="L38" s="5" t="inlineStr">
        <is>
          <t>50%</t>
        </is>
      </c>
      <c r="M38" s="5" t="n">
        <v>1254</v>
      </c>
      <c r="N38" s="5" t="n">
        <v>1.7</v>
      </c>
      <c r="O38" s="5" t="n">
        <v>1150</v>
      </c>
      <c r="P38" s="5" t="n">
        <v>1.56</v>
      </c>
      <c r="Q38" s="5" t="inlineStr">
        <is>
          <t>2023-10-26</t>
        </is>
      </c>
      <c r="R38" s="5" t="inlineStr">
        <is>
          <t>2023-11-18</t>
        </is>
      </c>
      <c r="S38" s="5" t="n">
        <v>24</v>
      </c>
      <c r="T38" s="5" t="n">
        <v>22</v>
      </c>
      <c r="U38" s="48" t="inlineStr">
        <is>
          <t>Brook</t>
        </is>
      </c>
    </row>
    <row r="39">
      <c r="A39" s="5" t="inlineStr">
        <is>
          <t>Bella Mirage</t>
        </is>
      </c>
      <c r="B39" s="5" t="inlineStr">
        <is>
          <t>Brook</t>
        </is>
      </c>
      <c r="C39" s="5" t="inlineStr">
        <is>
          <t>4127</t>
        </is>
      </c>
      <c r="D39" s="5" t="n">
        <v>4</v>
      </c>
      <c r="E39" s="5" t="n">
        <v>1</v>
      </c>
      <c r="F39" s="5" t="n">
        <v>1</v>
      </c>
      <c r="G39" s="5" t="inlineStr"/>
      <c r="H39" s="5" t="n">
        <v>739</v>
      </c>
      <c r="I39" s="5" t="inlineStr">
        <is>
          <t>1/7/2025</t>
        </is>
      </c>
      <c r="J39" s="5" t="n">
        <v>200</v>
      </c>
      <c r="K39" s="5" t="n">
        <v>13</v>
      </c>
      <c r="L39" s="5" t="inlineStr">
        <is>
          <t>50%</t>
        </is>
      </c>
      <c r="M39" s="5" t="n">
        <v>1208</v>
      </c>
      <c r="N39" s="5" t="n">
        <v>1.63</v>
      </c>
      <c r="O39" s="5" t="n">
        <v>1115</v>
      </c>
      <c r="P39" s="5" t="n">
        <v>1.51</v>
      </c>
      <c r="Q39" s="5" t="inlineStr">
        <is>
          <t>2024-12-04</t>
        </is>
      </c>
      <c r="R39" s="5" t="inlineStr">
        <is>
          <t>2024-12-15</t>
        </is>
      </c>
      <c r="S39" s="5" t="n">
        <v>12</v>
      </c>
      <c r="T39" s="5" t="n">
        <v>0</v>
      </c>
      <c r="U39" s="48" t="inlineStr">
        <is>
          <t>Brook</t>
        </is>
      </c>
    </row>
    <row r="40">
      <c r="A40" s="5" t="inlineStr">
        <is>
          <t>Bella Mirage</t>
        </is>
      </c>
      <c r="B40" s="5" t="inlineStr">
        <is>
          <t>Brook</t>
        </is>
      </c>
      <c r="C40" s="5" t="inlineStr">
        <is>
          <t>4127</t>
        </is>
      </c>
      <c r="D40" s="5" t="n">
        <v>4</v>
      </c>
      <c r="E40" s="5" t="n">
        <v>1</v>
      </c>
      <c r="F40" s="5" t="n">
        <v>1</v>
      </c>
      <c r="G40" s="5" t="inlineStr"/>
      <c r="H40" s="5" t="n">
        <v>739</v>
      </c>
      <c r="I40" s="5" t="inlineStr">
        <is>
          <t>2/20/2026</t>
        </is>
      </c>
      <c r="J40" s="5" t="n">
        <v>300</v>
      </c>
      <c r="K40" s="5" t="n">
        <v>15</v>
      </c>
      <c r="L40" s="5" t="inlineStr">
        <is>
          <t>50%</t>
        </is>
      </c>
      <c r="M40" s="5" t="n">
        <v>1102</v>
      </c>
      <c r="N40" s="5" t="n">
        <v>1.49</v>
      </c>
      <c r="O40" s="5" t="n">
        <v>1102</v>
      </c>
      <c r="P40" s="5" t="n">
        <v>1.49</v>
      </c>
      <c r="Q40" s="5" t="inlineStr">
        <is>
          <t>2026-01-06</t>
        </is>
      </c>
      <c r="R40" s="5" t="inlineStr">
        <is>
          <t>2026-03-18</t>
        </is>
      </c>
      <c r="S40" s="5" t="n">
        <v>72</v>
      </c>
      <c r="T40" s="5" t="n">
        <v>27</v>
      </c>
      <c r="U40" s="48" t="inlineStr">
        <is>
          <t>Brook</t>
        </is>
      </c>
    </row>
    <row r="41">
      <c r="A41" s="5" t="inlineStr">
        <is>
          <t>Bella Mirage</t>
        </is>
      </c>
      <c r="B41" s="5" t="inlineStr">
        <is>
          <t>Brook</t>
        </is>
      </c>
      <c r="C41" s="5" t="inlineStr">
        <is>
          <t>0823</t>
        </is>
      </c>
      <c r="D41" s="5" t="n">
        <v>2</v>
      </c>
      <c r="E41" s="5" t="n">
        <v>1</v>
      </c>
      <c r="F41" s="5" t="n">
        <v>1</v>
      </c>
      <c r="G41" s="5" t="inlineStr"/>
      <c r="H41" s="5" t="n">
        <v>739</v>
      </c>
      <c r="I41" s="5" t="inlineStr">
        <is>
          <t>4/30/2024</t>
        </is>
      </c>
      <c r="J41" s="5" t="n">
        <v>200</v>
      </c>
      <c r="K41" s="5" t="n">
        <v>12</v>
      </c>
      <c r="L41" s="5" t="inlineStr">
        <is>
          <t>50%</t>
        </is>
      </c>
      <c r="M41" s="5" t="n">
        <v>1362</v>
      </c>
      <c r="N41" s="5" t="n">
        <v>1.84</v>
      </c>
      <c r="O41" s="5" t="n">
        <v>1248</v>
      </c>
      <c r="P41" s="5" t="n">
        <v>1.69</v>
      </c>
      <c r="Q41" s="5" t="inlineStr">
        <is>
          <t>2024-04-02</t>
        </is>
      </c>
      <c r="R41" s="5" t="inlineStr">
        <is>
          <t>2024-06-08</t>
        </is>
      </c>
      <c r="S41" s="5" t="n">
        <v>68</v>
      </c>
      <c r="T41" s="5" t="n">
        <v>40</v>
      </c>
      <c r="U41" s="48" t="inlineStr">
        <is>
          <t>Brook</t>
        </is>
      </c>
    </row>
    <row r="42">
      <c r="A42" s="5" t="inlineStr">
        <is>
          <t>Bella Mirage</t>
        </is>
      </c>
      <c r="B42" s="5" t="inlineStr">
        <is>
          <t>Brook</t>
        </is>
      </c>
      <c r="C42" s="5" t="inlineStr">
        <is>
          <t>0823</t>
        </is>
      </c>
      <c r="D42" s="5" t="n">
        <v>2</v>
      </c>
      <c r="E42" s="5" t="n">
        <v>1</v>
      </c>
      <c r="F42" s="5" t="n">
        <v>1</v>
      </c>
      <c r="G42" s="5" t="inlineStr"/>
      <c r="H42" s="5" t="n">
        <v>739</v>
      </c>
      <c r="I42" s="5" t="inlineStr">
        <is>
          <t>8/26/2025</t>
        </is>
      </c>
      <c r="J42" s="5" t="n">
        <v>300</v>
      </c>
      <c r="K42" s="5" t="n">
        <v>12</v>
      </c>
      <c r="L42" s="5" t="inlineStr">
        <is>
          <t>50%</t>
        </is>
      </c>
      <c r="M42" s="5" t="n">
        <v>1102</v>
      </c>
      <c r="N42" s="5" t="n">
        <v>1.49</v>
      </c>
      <c r="O42" s="5" t="n">
        <v>1102</v>
      </c>
      <c r="P42" s="5" t="n">
        <v>1.49</v>
      </c>
      <c r="Q42" s="5" t="inlineStr">
        <is>
          <t>2025-06-09</t>
        </is>
      </c>
      <c r="R42" s="5" t="inlineStr">
        <is>
          <t>2025-11-16</t>
        </is>
      </c>
      <c r="S42" s="5" t="n">
        <v>161</v>
      </c>
      <c r="T42" s="5" t="n">
        <v>83</v>
      </c>
      <c r="U42" s="48" t="inlineStr">
        <is>
          <t>Brook</t>
        </is>
      </c>
    </row>
    <row r="43">
      <c r="A43" s="5" t="inlineStr">
        <is>
          <t>Bella Mirage</t>
        </is>
      </c>
      <c r="B43" s="5" t="inlineStr">
        <is>
          <t>Brook</t>
        </is>
      </c>
      <c r="C43" s="5" t="inlineStr">
        <is>
          <t>4912</t>
        </is>
      </c>
      <c r="D43" s="5" t="inlineStr"/>
      <c r="E43" s="5" t="n">
        <v>1</v>
      </c>
      <c r="F43" s="5" t="n">
        <v>1</v>
      </c>
      <c r="G43" s="5" t="inlineStr"/>
      <c r="H43" s="5" t="n">
        <v>739</v>
      </c>
      <c r="I43" s="5" t="inlineStr">
        <is>
          <t>6/17/2023</t>
        </is>
      </c>
      <c r="J43" s="5" t="inlineStr"/>
      <c r="K43" s="5" t="inlineStr"/>
      <c r="L43" s="5" t="inlineStr">
        <is>
          <t>50%</t>
        </is>
      </c>
      <c r="M43" s="5" t="n">
        <v>1262</v>
      </c>
      <c r="N43" s="5" t="n">
        <v>1.71</v>
      </c>
      <c r="O43" s="5" t="n">
        <v>1157</v>
      </c>
      <c r="P43" s="5" t="n">
        <v>1.57</v>
      </c>
      <c r="Q43" s="5" t="inlineStr"/>
      <c r="R43" s="5" t="inlineStr">
        <is>
          <t>2023-10-24</t>
        </is>
      </c>
      <c r="S43" s="5" t="inlineStr"/>
      <c r="T43" s="5" t="inlineStr"/>
      <c r="U43" s="48" t="inlineStr">
        <is>
          <t>Brook</t>
        </is>
      </c>
    </row>
    <row r="44">
      <c r="A44" s="5" t="inlineStr">
        <is>
          <t>Bella Mirage</t>
        </is>
      </c>
      <c r="B44" s="5" t="inlineStr">
        <is>
          <t>Brook</t>
        </is>
      </c>
      <c r="C44" s="5" t="inlineStr">
        <is>
          <t>4912</t>
        </is>
      </c>
      <c r="D44" s="5" t="inlineStr"/>
      <c r="E44" s="5" t="n">
        <v>1</v>
      </c>
      <c r="F44" s="5" t="n">
        <v>1</v>
      </c>
      <c r="G44" s="5" t="inlineStr"/>
      <c r="H44" s="5" t="n">
        <v>739</v>
      </c>
      <c r="I44" s="5" t="inlineStr">
        <is>
          <t>7/26/2025</t>
        </is>
      </c>
      <c r="J44" s="5" t="n">
        <v>300</v>
      </c>
      <c r="K44" s="5" t="n">
        <v>12</v>
      </c>
      <c r="L44" s="5" t="inlineStr">
        <is>
          <t>50%</t>
        </is>
      </c>
      <c r="M44" s="5" t="n">
        <v>1106</v>
      </c>
      <c r="N44" s="5" t="n">
        <v>1.5</v>
      </c>
      <c r="O44" s="5" t="n">
        <v>1106</v>
      </c>
      <c r="P44" s="5" t="n">
        <v>1.5</v>
      </c>
      <c r="Q44" s="5" t="inlineStr">
        <is>
          <t>2025-05-20</t>
        </is>
      </c>
      <c r="R44" s="5" t="inlineStr">
        <is>
          <t>2025-12-29</t>
        </is>
      </c>
      <c r="S44" s="5" t="n">
        <v>224</v>
      </c>
      <c r="T44" s="5" t="n">
        <v>157</v>
      </c>
      <c r="U44" s="48" t="inlineStr">
        <is>
          <t>Brook</t>
        </is>
      </c>
    </row>
    <row r="45">
      <c r="A45" s="5" t="inlineStr">
        <is>
          <t>Bella Mirage</t>
        </is>
      </c>
      <c r="B45" s="5" t="inlineStr">
        <is>
          <t>Brook</t>
        </is>
      </c>
      <c r="C45" s="5" t="inlineStr">
        <is>
          <t>0622</t>
        </is>
      </c>
      <c r="D45" s="5" t="n">
        <v>2</v>
      </c>
      <c r="E45" s="5" t="n">
        <v>1</v>
      </c>
      <c r="F45" s="5" t="n">
        <v>1</v>
      </c>
      <c r="G45" s="5" t="inlineStr"/>
      <c r="H45" s="5" t="n">
        <v>739</v>
      </c>
      <c r="I45" s="5" t="inlineStr">
        <is>
          <t>5/19/2025</t>
        </is>
      </c>
      <c r="J45" s="5" t="n">
        <v>200</v>
      </c>
      <c r="K45" s="5" t="n">
        <v>12</v>
      </c>
      <c r="L45" s="5" t="inlineStr">
        <is>
          <t>50%</t>
        </is>
      </c>
      <c r="M45" s="5" t="n">
        <v>1209</v>
      </c>
      <c r="N45" s="5" t="n">
        <v>1.64</v>
      </c>
      <c r="O45" s="5" t="n">
        <v>1108</v>
      </c>
      <c r="P45" s="5" t="n">
        <v>1.5</v>
      </c>
      <c r="Q45" s="5" t="inlineStr">
        <is>
          <t>2025-01-19</t>
        </is>
      </c>
      <c r="R45" s="5" t="inlineStr">
        <is>
          <t>2025-02-05</t>
        </is>
      </c>
      <c r="S45" s="5" t="n">
        <v>18</v>
      </c>
      <c r="T45" s="5" t="n">
        <v>0</v>
      </c>
      <c r="U45" s="48" t="inlineStr">
        <is>
          <t>Brook</t>
        </is>
      </c>
    </row>
    <row r="46">
      <c r="A46" s="5" t="inlineStr">
        <is>
          <t>Bella Mirage</t>
        </is>
      </c>
      <c r="B46" s="5" t="inlineStr">
        <is>
          <t>Brook</t>
        </is>
      </c>
      <c r="C46" s="5" t="inlineStr">
        <is>
          <t>0622</t>
        </is>
      </c>
      <c r="D46" s="5" t="n">
        <v>2</v>
      </c>
      <c r="E46" s="5" t="n">
        <v>1</v>
      </c>
      <c r="F46" s="5" t="n">
        <v>1</v>
      </c>
      <c r="G46" s="5" t="inlineStr"/>
      <c r="H46" s="5" t="n">
        <v>739</v>
      </c>
      <c r="I46" s="5" t="inlineStr">
        <is>
          <t>5/13/2025</t>
        </is>
      </c>
      <c r="J46" s="5" t="n">
        <v>200</v>
      </c>
      <c r="K46" s="5" t="n">
        <v>13</v>
      </c>
      <c r="L46" s="5" t="inlineStr">
        <is>
          <t>50%</t>
        </is>
      </c>
      <c r="M46" s="5" t="n">
        <v>1112</v>
      </c>
      <c r="N46" s="5" t="n">
        <v>1.5</v>
      </c>
      <c r="O46" s="5" t="n">
        <v>1026</v>
      </c>
      <c r="P46" s="5" t="n">
        <v>1.39</v>
      </c>
      <c r="Q46" s="5" t="inlineStr">
        <is>
          <t>2025-05-18</t>
        </is>
      </c>
      <c r="R46" s="5" t="inlineStr">
        <is>
          <t>2025-05-24</t>
        </is>
      </c>
      <c r="S46" s="5" t="n">
        <v>7</v>
      </c>
      <c r="T46" s="5" t="n">
        <v>7</v>
      </c>
      <c r="U46" s="48" t="inlineStr">
        <is>
          <t>Brook</t>
        </is>
      </c>
    </row>
    <row r="47">
      <c r="A47" s="5" t="inlineStr">
        <is>
          <t>Bella Mirage</t>
        </is>
      </c>
      <c r="B47" s="5" t="inlineStr">
        <is>
          <t>Brook</t>
        </is>
      </c>
      <c r="C47" s="5" t="inlineStr">
        <is>
          <t>3137</t>
        </is>
      </c>
      <c r="D47" s="5" t="inlineStr"/>
      <c r="E47" s="5" t="n">
        <v>1</v>
      </c>
      <c r="F47" s="5" t="n">
        <v>1</v>
      </c>
      <c r="G47" s="5" t="inlineStr"/>
      <c r="H47" s="5" t="n">
        <v>739</v>
      </c>
      <c r="I47" s="5" t="inlineStr">
        <is>
          <t>8/6/2024</t>
        </is>
      </c>
      <c r="J47" s="5" t="n">
        <v>200</v>
      </c>
      <c r="K47" s="5" t="n">
        <v>12</v>
      </c>
      <c r="L47" s="5" t="inlineStr">
        <is>
          <t>50%</t>
        </is>
      </c>
      <c r="M47" s="5" t="n">
        <v>1085</v>
      </c>
      <c r="N47" s="5" t="n">
        <v>1.47</v>
      </c>
      <c r="O47" s="5" t="n">
        <v>1085</v>
      </c>
      <c r="P47" s="5" t="n">
        <v>1.47</v>
      </c>
      <c r="Q47" s="5" t="inlineStr">
        <is>
          <t>2024-05-20</t>
        </is>
      </c>
      <c r="R47" s="5" t="inlineStr">
        <is>
          <t>2024-06-16</t>
        </is>
      </c>
      <c r="S47" s="5" t="n">
        <v>28</v>
      </c>
      <c r="T47" s="5" t="n">
        <v>0</v>
      </c>
      <c r="U47" s="48" t="inlineStr">
        <is>
          <t>Brook</t>
        </is>
      </c>
    </row>
    <row r="48">
      <c r="A48" s="5" t="inlineStr">
        <is>
          <t>Bella Mirage</t>
        </is>
      </c>
      <c r="B48" s="5" t="inlineStr">
        <is>
          <t>Brook</t>
        </is>
      </c>
      <c r="C48" s="5" t="inlineStr">
        <is>
          <t>3137</t>
        </is>
      </c>
      <c r="D48" s="5" t="inlineStr"/>
      <c r="E48" s="5" t="n">
        <v>1</v>
      </c>
      <c r="F48" s="5" t="n">
        <v>1</v>
      </c>
      <c r="G48" s="5" t="inlineStr"/>
      <c r="H48" s="5" t="n">
        <v>739</v>
      </c>
      <c r="I48" s="5" t="inlineStr">
        <is>
          <t>11/20/2025</t>
        </is>
      </c>
      <c r="J48" s="5" t="n">
        <v>300</v>
      </c>
      <c r="K48" s="5" t="n">
        <v>12</v>
      </c>
      <c r="L48" s="5" t="inlineStr">
        <is>
          <t>50%</t>
        </is>
      </c>
      <c r="M48" s="5" t="n">
        <v>1116</v>
      </c>
      <c r="N48" s="5" t="n">
        <v>1.51</v>
      </c>
      <c r="O48" s="5" t="n">
        <v>1023</v>
      </c>
      <c r="P48" s="5" t="n">
        <v>1.38</v>
      </c>
      <c r="Q48" s="5" t="inlineStr">
        <is>
          <t>2025-09-02</t>
        </is>
      </c>
      <c r="R48" s="5" t="inlineStr">
        <is>
          <t>2025-10-05</t>
        </is>
      </c>
      <c r="S48" s="5" t="n">
        <v>34</v>
      </c>
      <c r="T48" s="5" t="n">
        <v>0</v>
      </c>
      <c r="U48" s="48" t="inlineStr">
        <is>
          <t>Brook</t>
        </is>
      </c>
    </row>
    <row r="49">
      <c r="A49" s="5" t="inlineStr">
        <is>
          <t>Bella Mirage</t>
        </is>
      </c>
      <c r="B49" s="5" t="inlineStr">
        <is>
          <t>Brook</t>
        </is>
      </c>
      <c r="C49" s="5" t="inlineStr">
        <is>
          <t>4113</t>
        </is>
      </c>
      <c r="D49" s="5" t="n">
        <v>4</v>
      </c>
      <c r="E49" s="5" t="n">
        <v>1</v>
      </c>
      <c r="F49" s="5" t="n">
        <v>1</v>
      </c>
      <c r="G49" s="5" t="inlineStr"/>
      <c r="H49" s="5" t="n">
        <v>739</v>
      </c>
      <c r="I49" s="5" t="inlineStr">
        <is>
          <t>4/20/2025</t>
        </is>
      </c>
      <c r="J49" s="5" t="n">
        <v>200</v>
      </c>
      <c r="K49" s="5" t="n">
        <v>12</v>
      </c>
      <c r="L49" s="5" t="inlineStr">
        <is>
          <t>50%</t>
        </is>
      </c>
      <c r="M49" s="5" t="n">
        <v>1204</v>
      </c>
      <c r="N49" s="5" t="n">
        <v>1.63</v>
      </c>
      <c r="O49" s="5" t="n">
        <v>1104</v>
      </c>
      <c r="P49" s="5" t="n">
        <v>1.49</v>
      </c>
      <c r="Q49" s="5" t="inlineStr">
        <is>
          <t>2025-03-06</t>
        </is>
      </c>
      <c r="R49" s="5" t="inlineStr">
        <is>
          <t>2025-03-10</t>
        </is>
      </c>
      <c r="S49" s="5" t="n">
        <v>5</v>
      </c>
      <c r="T49" s="5" t="n">
        <v>0</v>
      </c>
      <c r="U49" s="48" t="inlineStr">
        <is>
          <t>Brook</t>
        </is>
      </c>
    </row>
    <row r="50">
      <c r="A50" s="5" t="inlineStr">
        <is>
          <t>Bella Mirage</t>
        </is>
      </c>
      <c r="B50" s="5" t="inlineStr">
        <is>
          <t>Brook</t>
        </is>
      </c>
      <c r="C50" s="5" t="inlineStr">
        <is>
          <t>4113</t>
        </is>
      </c>
      <c r="D50" s="5" t="n">
        <v>4</v>
      </c>
      <c r="E50" s="5" t="n">
        <v>1</v>
      </c>
      <c r="F50" s="5" t="n">
        <v>1</v>
      </c>
      <c r="G50" s="5" t="inlineStr"/>
      <c r="H50" s="5" t="n">
        <v>739</v>
      </c>
      <c r="I50" s="5" t="inlineStr">
        <is>
          <t>5/2/2026</t>
        </is>
      </c>
      <c r="J50" s="5" t="n">
        <v>300</v>
      </c>
      <c r="K50" s="5" t="n">
        <v>12</v>
      </c>
      <c r="L50" s="5" t="inlineStr">
        <is>
          <t>50%</t>
        </is>
      </c>
      <c r="M50" s="5" t="n">
        <v>1119</v>
      </c>
      <c r="N50" s="5" t="n">
        <v>1.51</v>
      </c>
      <c r="O50" s="5" t="n">
        <v>1119</v>
      </c>
      <c r="P50" s="5" t="n">
        <v>1.51</v>
      </c>
      <c r="Q50" s="5" t="inlineStr">
        <is>
          <t>2026-01-27</t>
        </is>
      </c>
      <c r="R50" s="5" t="inlineStr">
        <is>
          <t>2026-03-03</t>
        </is>
      </c>
      <c r="S50" s="5" t="n">
        <v>36</v>
      </c>
      <c r="T50" s="5" t="n">
        <v>0</v>
      </c>
      <c r="U50" s="48" t="inlineStr">
        <is>
          <t>Brook</t>
        </is>
      </c>
    </row>
    <row r="51">
      <c r="A51" s="5" t="inlineStr">
        <is>
          <t>Bella Mirage</t>
        </is>
      </c>
      <c r="B51" s="5" t="inlineStr">
        <is>
          <t>Brook</t>
        </is>
      </c>
      <c r="C51" s="5" t="inlineStr">
        <is>
          <t>3136</t>
        </is>
      </c>
      <c r="D51" s="5" t="n">
        <v>3</v>
      </c>
      <c r="E51" s="5" t="n">
        <v>1</v>
      </c>
      <c r="F51" s="5" t="n">
        <v>1</v>
      </c>
      <c r="G51" s="5" t="inlineStr"/>
      <c r="H51" s="5" t="n">
        <v>739</v>
      </c>
      <c r="I51" s="5" t="inlineStr">
        <is>
          <t>12/15/2024</t>
        </is>
      </c>
      <c r="J51" s="5" t="n">
        <v>200</v>
      </c>
      <c r="K51" s="5" t="n">
        <v>12</v>
      </c>
      <c r="L51" s="5" t="inlineStr">
        <is>
          <t>60%</t>
        </is>
      </c>
      <c r="M51" s="5" t="n">
        <v>1315</v>
      </c>
      <c r="N51" s="5" t="n">
        <v>1.78</v>
      </c>
      <c r="O51" s="5" t="n">
        <v>1205</v>
      </c>
      <c r="P51" s="5" t="n">
        <v>1.63</v>
      </c>
      <c r="Q51" s="5" t="inlineStr">
        <is>
          <t>2024-09-26</t>
        </is>
      </c>
      <c r="R51" s="5" t="inlineStr">
        <is>
          <t>2024-12-15</t>
        </is>
      </c>
      <c r="S51" s="5" t="n">
        <v>81</v>
      </c>
      <c r="T51" s="5" t="n">
        <v>1</v>
      </c>
      <c r="U51" s="48" t="inlineStr">
        <is>
          <t>Brook</t>
        </is>
      </c>
    </row>
    <row r="52">
      <c r="A52" s="5" t="inlineStr">
        <is>
          <t>Bella Mirage</t>
        </is>
      </c>
      <c r="B52" s="5" t="inlineStr">
        <is>
          <t>Brook</t>
        </is>
      </c>
      <c r="C52" s="5" t="inlineStr">
        <is>
          <t>3136</t>
        </is>
      </c>
      <c r="D52" s="5" t="n">
        <v>3</v>
      </c>
      <c r="E52" s="5" t="n">
        <v>1</v>
      </c>
      <c r="F52" s="5" t="n">
        <v>1</v>
      </c>
      <c r="G52" s="5" t="inlineStr"/>
      <c r="H52" s="5" t="n">
        <v>739</v>
      </c>
      <c r="I52" s="5" t="inlineStr">
        <is>
          <t>3/27/2026</t>
        </is>
      </c>
      <c r="J52" s="5" t="n">
        <v>300</v>
      </c>
      <c r="K52" s="5" t="n">
        <v>12</v>
      </c>
      <c r="L52" s="5" t="inlineStr">
        <is>
          <t>60%</t>
        </is>
      </c>
      <c r="M52" s="5" t="n">
        <v>1123</v>
      </c>
      <c r="N52" s="5" t="n">
        <v>1.52</v>
      </c>
      <c r="O52" s="5" t="n">
        <v>1123</v>
      </c>
      <c r="P52" s="5" t="n">
        <v>1.52</v>
      </c>
      <c r="Q52" s="5" t="inlineStr">
        <is>
          <t>2026-03-18</t>
        </is>
      </c>
      <c r="R52" s="5" t="inlineStr">
        <is>
          <t>2026-05-20</t>
        </is>
      </c>
      <c r="S52" s="5" t="n">
        <v>64</v>
      </c>
      <c r="T52" s="5" t="n">
        <v>55</v>
      </c>
      <c r="U52" s="48" t="inlineStr">
        <is>
          <t>Brook</t>
        </is>
      </c>
    </row>
    <row r="53">
      <c r="A53" s="5" t="inlineStr">
        <is>
          <t>Bella Mirage</t>
        </is>
      </c>
      <c r="B53" s="5" t="inlineStr">
        <is>
          <t>Brook</t>
        </is>
      </c>
      <c r="C53" s="5" t="inlineStr">
        <is>
          <t>4112</t>
        </is>
      </c>
      <c r="D53" s="5" t="n">
        <v>4</v>
      </c>
      <c r="E53" s="5" t="n">
        <v>1</v>
      </c>
      <c r="F53" s="5" t="n">
        <v>1</v>
      </c>
      <c r="G53" s="5" t="inlineStr"/>
      <c r="H53" s="5" t="n">
        <v>739</v>
      </c>
      <c r="I53" s="5" t="inlineStr">
        <is>
          <t>10/14/2023</t>
        </is>
      </c>
      <c r="J53" s="5" t="inlineStr"/>
      <c r="K53" s="5" t="inlineStr"/>
      <c r="L53" s="5" t="inlineStr">
        <is>
          <t>60%</t>
        </is>
      </c>
      <c r="M53" s="5" t="n">
        <v>1247</v>
      </c>
      <c r="N53" s="5" t="n">
        <v>1.69</v>
      </c>
      <c r="O53" s="5" t="n">
        <v>1143</v>
      </c>
      <c r="P53" s="5" t="n">
        <v>1.55</v>
      </c>
      <c r="Q53" s="5" t="inlineStr">
        <is>
          <t>2023-10-14</t>
        </is>
      </c>
      <c r="R53" s="5" t="inlineStr">
        <is>
          <t>2023-11-03</t>
        </is>
      </c>
      <c r="S53" s="5" t="n">
        <v>21</v>
      </c>
      <c r="T53" s="5" t="n">
        <v>21</v>
      </c>
      <c r="U53" s="48" t="inlineStr">
        <is>
          <t>Brook</t>
        </is>
      </c>
    </row>
    <row r="54">
      <c r="A54" s="5" t="inlineStr">
        <is>
          <t>Bella Mirage</t>
        </is>
      </c>
      <c r="B54" s="5" t="inlineStr">
        <is>
          <t>Brook</t>
        </is>
      </c>
      <c r="C54" s="5" t="inlineStr">
        <is>
          <t>4112</t>
        </is>
      </c>
      <c r="D54" s="5" t="n">
        <v>4</v>
      </c>
      <c r="E54" s="5" t="n">
        <v>1</v>
      </c>
      <c r="F54" s="5" t="n">
        <v>1</v>
      </c>
      <c r="G54" s="5" t="inlineStr"/>
      <c r="H54" s="5" t="n">
        <v>739</v>
      </c>
      <c r="I54" s="5" t="inlineStr">
        <is>
          <t>2/13/2026</t>
        </is>
      </c>
      <c r="J54" s="5" t="n">
        <v>300</v>
      </c>
      <c r="K54" s="5" t="n">
        <v>12</v>
      </c>
      <c r="L54" s="5" t="inlineStr">
        <is>
          <t>60%</t>
        </is>
      </c>
      <c r="M54" s="5" t="n">
        <v>1128</v>
      </c>
      <c r="N54" s="5" t="n">
        <v>1.53</v>
      </c>
      <c r="O54" s="5" t="n">
        <v>1128</v>
      </c>
      <c r="P54" s="5" t="n">
        <v>1.53</v>
      </c>
      <c r="Q54" s="5" t="inlineStr">
        <is>
          <t>2026-01-07</t>
        </is>
      </c>
      <c r="R54" s="5" t="inlineStr">
        <is>
          <t>2026-05-16</t>
        </is>
      </c>
      <c r="S54" s="5" t="n">
        <v>130</v>
      </c>
      <c r="T54" s="5" t="n">
        <v>93</v>
      </c>
      <c r="U54" s="48" t="inlineStr">
        <is>
          <t>Brook</t>
        </is>
      </c>
    </row>
    <row r="55">
      <c r="A55" s="5" t="inlineStr">
        <is>
          <t>Bella Mirage</t>
        </is>
      </c>
      <c r="B55" s="5" t="inlineStr">
        <is>
          <t>Brook</t>
        </is>
      </c>
      <c r="C55" s="5" t="inlineStr">
        <is>
          <t>2413</t>
        </is>
      </c>
      <c r="D55" s="5" t="inlineStr"/>
      <c r="E55" s="5" t="n">
        <v>1</v>
      </c>
      <c r="F55" s="5" t="n">
        <v>1</v>
      </c>
      <c r="G55" s="5" t="inlineStr"/>
      <c r="H55" s="5" t="n">
        <v>739</v>
      </c>
      <c r="I55" s="5" t="inlineStr">
        <is>
          <t>6/22/2023</t>
        </is>
      </c>
      <c r="J55" s="5" t="inlineStr"/>
      <c r="K55" s="5" t="inlineStr"/>
      <c r="L55" s="5" t="inlineStr">
        <is>
          <t>60%</t>
        </is>
      </c>
      <c r="M55" s="5" t="n">
        <v>1316</v>
      </c>
      <c r="N55" s="5" t="n">
        <v>1.78</v>
      </c>
      <c r="O55" s="5" t="n">
        <v>1254</v>
      </c>
      <c r="P55" s="5" t="n">
        <v>1.7</v>
      </c>
      <c r="Q55" s="5" t="inlineStr">
        <is>
          <t>2023-06-22</t>
        </is>
      </c>
      <c r="R55" s="5" t="inlineStr">
        <is>
          <t>2023-08-25</t>
        </is>
      </c>
      <c r="S55" s="5" t="n">
        <v>65</v>
      </c>
      <c r="T55" s="5" t="n">
        <v>65</v>
      </c>
      <c r="U55" s="48" t="inlineStr">
        <is>
          <t>Brook</t>
        </is>
      </c>
    </row>
    <row r="56">
      <c r="A56" s="5" t="inlineStr">
        <is>
          <t>Bella Mirage</t>
        </is>
      </c>
      <c r="B56" s="5" t="inlineStr">
        <is>
          <t>Brook</t>
        </is>
      </c>
      <c r="C56" s="5" t="inlineStr">
        <is>
          <t>2413</t>
        </is>
      </c>
      <c r="D56" s="5" t="inlineStr"/>
      <c r="E56" s="5" t="n">
        <v>1</v>
      </c>
      <c r="F56" s="5" t="n">
        <v>1</v>
      </c>
      <c r="G56" s="5" t="inlineStr"/>
      <c r="H56" s="5" t="n">
        <v>739</v>
      </c>
      <c r="I56" s="5" t="inlineStr">
        <is>
          <t>9/16/2024</t>
        </is>
      </c>
      <c r="J56" s="5" t="n">
        <v>200</v>
      </c>
      <c r="K56" s="5" t="n">
        <v>13</v>
      </c>
      <c r="L56" s="5" t="inlineStr">
        <is>
          <t>60%</t>
        </is>
      </c>
      <c r="M56" s="5" t="n">
        <v>1374</v>
      </c>
      <c r="N56" s="5" t="n">
        <v>1.86</v>
      </c>
      <c r="O56" s="5" t="n">
        <v>1374</v>
      </c>
      <c r="P56" s="5" t="n">
        <v>1.86</v>
      </c>
      <c r="Q56" s="5" t="inlineStr">
        <is>
          <t>2024-08-01</t>
        </is>
      </c>
      <c r="R56" s="5" t="inlineStr">
        <is>
          <t>2024-08-24</t>
        </is>
      </c>
      <c r="S56" s="5" t="n">
        <v>24</v>
      </c>
      <c r="T56" s="5" t="n">
        <v>0</v>
      </c>
      <c r="U56" s="48" t="inlineStr">
        <is>
          <t>Brook</t>
        </is>
      </c>
    </row>
    <row r="57">
      <c r="A57" s="5" t="inlineStr">
        <is>
          <t>Bella Mirage</t>
        </is>
      </c>
      <c r="B57" s="5" t="inlineStr">
        <is>
          <t>Brook</t>
        </is>
      </c>
      <c r="C57" s="5" t="inlineStr">
        <is>
          <t>2413</t>
        </is>
      </c>
      <c r="D57" s="5" t="inlineStr"/>
      <c r="E57" s="5" t="n">
        <v>1</v>
      </c>
      <c r="F57" s="5" t="n">
        <v>1</v>
      </c>
      <c r="G57" s="5" t="inlineStr"/>
      <c r="H57" s="5" t="n">
        <v>739</v>
      </c>
      <c r="I57" s="5" t="inlineStr">
        <is>
          <t>9/11/2025</t>
        </is>
      </c>
      <c r="J57" s="5" t="n">
        <v>300</v>
      </c>
      <c r="K57" s="5" t="n">
        <v>12</v>
      </c>
      <c r="L57" s="5" t="inlineStr">
        <is>
          <t>60%</t>
        </is>
      </c>
      <c r="M57" s="5" t="n">
        <v>1134</v>
      </c>
      <c r="N57" s="5" t="n">
        <v>1.53</v>
      </c>
      <c r="O57" s="5" t="n">
        <v>1134</v>
      </c>
      <c r="P57" s="5" t="n">
        <v>1.53</v>
      </c>
      <c r="Q57" s="5" t="inlineStr">
        <is>
          <t>2025-07-08</t>
        </is>
      </c>
      <c r="R57" s="5" t="inlineStr">
        <is>
          <t>2025-12-07</t>
        </is>
      </c>
      <c r="S57" s="5" t="n">
        <v>153</v>
      </c>
      <c r="T57" s="5" t="n">
        <v>88</v>
      </c>
      <c r="U57" s="48" t="inlineStr">
        <is>
          <t>Brook</t>
        </is>
      </c>
    </row>
    <row r="58">
      <c r="A58" s="5" t="inlineStr">
        <is>
          <t>Bella Mirage</t>
        </is>
      </c>
      <c r="B58" s="5" t="inlineStr">
        <is>
          <t>Brook</t>
        </is>
      </c>
      <c r="C58" s="5" t="inlineStr">
        <is>
          <t>3637</t>
        </is>
      </c>
      <c r="D58" s="5" t="inlineStr"/>
      <c r="E58" s="5" t="n">
        <v>1</v>
      </c>
      <c r="F58" s="5" t="n">
        <v>1</v>
      </c>
      <c r="G58" s="5" t="inlineStr"/>
      <c r="H58" s="5" t="n">
        <v>739</v>
      </c>
      <c r="I58" s="5" t="inlineStr">
        <is>
          <t>9/11/2025</t>
        </is>
      </c>
      <c r="J58" s="5" t="n">
        <v>300</v>
      </c>
      <c r="K58" s="5" t="n">
        <v>12</v>
      </c>
      <c r="L58" s="5" t="inlineStr">
        <is>
          <t>60%</t>
        </is>
      </c>
      <c r="M58" s="5" t="n">
        <v>1218</v>
      </c>
      <c r="N58" s="5" t="n">
        <v>1.65</v>
      </c>
      <c r="O58" s="5" t="n">
        <v>1116</v>
      </c>
      <c r="P58" s="5" t="n">
        <v>1.51</v>
      </c>
      <c r="Q58" s="5" t="inlineStr">
        <is>
          <t>2025-08-28</t>
        </is>
      </c>
      <c r="R58" s="5" t="inlineStr">
        <is>
          <t>2025-10-03</t>
        </is>
      </c>
      <c r="S58" s="5" t="n">
        <v>37</v>
      </c>
      <c r="T58" s="5" t="n">
        <v>23</v>
      </c>
      <c r="U58" s="48" t="inlineStr">
        <is>
          <t>Brook</t>
        </is>
      </c>
    </row>
    <row r="59">
      <c r="A59" s="5" t="inlineStr">
        <is>
          <t>Bella Mirage</t>
        </is>
      </c>
      <c r="B59" s="5" t="inlineStr">
        <is>
          <t>Brook</t>
        </is>
      </c>
      <c r="C59" s="5" t="inlineStr">
        <is>
          <t>4122</t>
        </is>
      </c>
      <c r="D59" s="5" t="n">
        <v>4</v>
      </c>
      <c r="E59" s="5" t="n">
        <v>1</v>
      </c>
      <c r="F59" s="5" t="n">
        <v>1</v>
      </c>
      <c r="G59" s="5" t="inlineStr"/>
      <c r="H59" s="5" t="n">
        <v>739</v>
      </c>
      <c r="I59" s="5" t="inlineStr">
        <is>
          <t>1/29/2025</t>
        </is>
      </c>
      <c r="J59" s="5" t="n">
        <v>200</v>
      </c>
      <c r="K59" s="5" t="n">
        <v>12</v>
      </c>
      <c r="L59" s="5" t="inlineStr">
        <is>
          <t>60%</t>
        </is>
      </c>
      <c r="M59" s="5" t="n">
        <v>1284</v>
      </c>
      <c r="N59" s="5" t="n">
        <v>1.74</v>
      </c>
      <c r="O59" s="5" t="n">
        <v>1177</v>
      </c>
      <c r="P59" s="5" t="n">
        <v>1.59</v>
      </c>
      <c r="Q59" s="5" t="inlineStr">
        <is>
          <t>2024-11-07</t>
        </is>
      </c>
      <c r="R59" s="5" t="inlineStr">
        <is>
          <t>2025-01-26</t>
        </is>
      </c>
      <c r="S59" s="5" t="n">
        <v>81</v>
      </c>
      <c r="T59" s="5" t="n">
        <v>0</v>
      </c>
      <c r="U59" s="48" t="inlineStr">
        <is>
          <t>Brook</t>
        </is>
      </c>
    </row>
    <row r="60">
      <c r="A60" s="5" t="inlineStr">
        <is>
          <t>Bella Mirage</t>
        </is>
      </c>
      <c r="B60" s="5" t="inlineStr">
        <is>
          <t>Brook</t>
        </is>
      </c>
      <c r="C60" s="5" t="inlineStr">
        <is>
          <t>4122</t>
        </is>
      </c>
      <c r="D60" s="5" t="n">
        <v>4</v>
      </c>
      <c r="E60" s="5" t="n">
        <v>1</v>
      </c>
      <c r="F60" s="5" t="n">
        <v>1</v>
      </c>
      <c r="G60" s="5" t="inlineStr"/>
      <c r="H60" s="5" t="n">
        <v>739</v>
      </c>
      <c r="I60" s="5" t="inlineStr">
        <is>
          <t>2/8/2026</t>
        </is>
      </c>
      <c r="J60" s="5" t="n">
        <v>300</v>
      </c>
      <c r="K60" s="5" t="n">
        <v>12</v>
      </c>
      <c r="L60" s="5" t="inlineStr">
        <is>
          <t>60%</t>
        </is>
      </c>
      <c r="M60" s="5" t="n">
        <v>1136</v>
      </c>
      <c r="N60" s="5" t="n">
        <v>1.54</v>
      </c>
      <c r="O60" s="5" t="n">
        <v>1136</v>
      </c>
      <c r="P60" s="5" t="n">
        <v>1.54</v>
      </c>
      <c r="Q60" s="5" t="inlineStr">
        <is>
          <t>2025-12-24</t>
        </is>
      </c>
      <c r="R60" s="5" t="inlineStr">
        <is>
          <t>2026-02-04</t>
        </is>
      </c>
      <c r="S60" s="5" t="n">
        <v>43</v>
      </c>
      <c r="T60" s="5" t="n">
        <v>0</v>
      </c>
      <c r="U60" s="48" t="inlineStr">
        <is>
          <t>Brook</t>
        </is>
      </c>
    </row>
    <row r="61">
      <c r="A61" s="5" t="inlineStr">
        <is>
          <t>Bella Mirage</t>
        </is>
      </c>
      <c r="B61" s="5" t="inlineStr">
        <is>
          <t>Brook</t>
        </is>
      </c>
      <c r="C61" s="5" t="inlineStr">
        <is>
          <t>4923</t>
        </is>
      </c>
      <c r="D61" s="5" t="n">
        <v>4</v>
      </c>
      <c r="E61" s="5" t="n">
        <v>1</v>
      </c>
      <c r="F61" s="5" t="n">
        <v>1</v>
      </c>
      <c r="G61" s="5" t="inlineStr"/>
      <c r="H61" s="5" t="n">
        <v>739</v>
      </c>
      <c r="I61" s="5" t="inlineStr">
        <is>
          <t>3/21/2025</t>
        </is>
      </c>
      <c r="J61" s="5" t="n">
        <v>200</v>
      </c>
      <c r="K61" s="5" t="n">
        <v>12</v>
      </c>
      <c r="L61" s="5" t="inlineStr">
        <is>
          <t>60%</t>
        </is>
      </c>
      <c r="M61" s="5" t="n">
        <v>1141</v>
      </c>
      <c r="N61" s="5" t="n">
        <v>1.54</v>
      </c>
      <c r="O61" s="5" t="n">
        <v>1046</v>
      </c>
      <c r="P61" s="5" t="n">
        <v>1.42</v>
      </c>
      <c r="Q61" s="5" t="inlineStr">
        <is>
          <t>2024-11-24</t>
        </is>
      </c>
      <c r="R61" s="5" t="inlineStr">
        <is>
          <t>2025-07-29</t>
        </is>
      </c>
      <c r="S61" s="5" t="n">
        <v>248</v>
      </c>
      <c r="T61" s="5" t="n">
        <v>131</v>
      </c>
      <c r="U61" s="48" t="inlineStr">
        <is>
          <t>Brook</t>
        </is>
      </c>
    </row>
    <row r="62">
      <c r="A62" s="5" t="inlineStr">
        <is>
          <t>Bella Mirage</t>
        </is>
      </c>
      <c r="B62" s="5" t="inlineStr">
        <is>
          <t>Brook</t>
        </is>
      </c>
      <c r="C62" s="5" t="inlineStr">
        <is>
          <t>3122</t>
        </is>
      </c>
      <c r="D62" s="5" t="inlineStr"/>
      <c r="E62" s="5" t="n">
        <v>1</v>
      </c>
      <c r="F62" s="5" t="n">
        <v>1</v>
      </c>
      <c r="G62" s="5" t="inlineStr"/>
      <c r="H62" s="5" t="n">
        <v>739</v>
      </c>
      <c r="I62" s="5" t="inlineStr">
        <is>
          <t>9/4/2024</t>
        </is>
      </c>
      <c r="J62" s="5" t="n">
        <v>200</v>
      </c>
      <c r="K62" s="5" t="n">
        <v>12</v>
      </c>
      <c r="L62" s="5" t="inlineStr">
        <is>
          <t>60%</t>
        </is>
      </c>
      <c r="M62" s="5" t="n">
        <v>1283</v>
      </c>
      <c r="N62" s="5" t="n">
        <v>1.74</v>
      </c>
      <c r="O62" s="5" t="n">
        <v>1176</v>
      </c>
      <c r="P62" s="5" t="n">
        <v>1.59</v>
      </c>
      <c r="Q62" s="5" t="inlineStr">
        <is>
          <t>2024-06-22</t>
        </is>
      </c>
      <c r="R62" s="5" t="inlineStr">
        <is>
          <t>2024-11-13</t>
        </is>
      </c>
      <c r="S62" s="5" t="n">
        <v>145</v>
      </c>
      <c r="T62" s="5" t="n">
        <v>71</v>
      </c>
      <c r="U62" s="48" t="inlineStr">
        <is>
          <t>Brook</t>
        </is>
      </c>
    </row>
    <row r="63">
      <c r="A63" s="5" t="inlineStr">
        <is>
          <t>Bella Mirage</t>
        </is>
      </c>
      <c r="B63" s="5" t="inlineStr">
        <is>
          <t>Brook</t>
        </is>
      </c>
      <c r="C63" s="5" t="inlineStr">
        <is>
          <t>0626</t>
        </is>
      </c>
      <c r="D63" s="5" t="n">
        <v>2</v>
      </c>
      <c r="E63" s="5" t="n">
        <v>1</v>
      </c>
      <c r="F63" s="5" t="n">
        <v>1</v>
      </c>
      <c r="G63" s="5" t="inlineStr"/>
      <c r="H63" s="5" t="n">
        <v>739</v>
      </c>
      <c r="I63" s="5" t="inlineStr">
        <is>
          <t>11/5/2024</t>
        </is>
      </c>
      <c r="J63" s="5" t="n">
        <v>200</v>
      </c>
      <c r="K63" s="5" t="n">
        <v>12</v>
      </c>
      <c r="L63" s="5" t="inlineStr">
        <is>
          <t>60%</t>
        </is>
      </c>
      <c r="M63" s="5" t="n">
        <v>1184</v>
      </c>
      <c r="N63" s="5" t="n">
        <v>1.6</v>
      </c>
      <c r="O63" s="5" t="n">
        <v>1184</v>
      </c>
      <c r="P63" s="5" t="n">
        <v>1.6</v>
      </c>
      <c r="Q63" s="5" t="inlineStr">
        <is>
          <t>2024-08-19</t>
        </is>
      </c>
      <c r="R63" s="5" t="inlineStr">
        <is>
          <t>2024-09-24</t>
        </is>
      </c>
      <c r="S63" s="5" t="n">
        <v>37</v>
      </c>
      <c r="T63" s="5" t="n">
        <v>0</v>
      </c>
      <c r="U63" s="48" t="inlineStr">
        <is>
          <t>Brook</t>
        </is>
      </c>
    </row>
    <row r="64">
      <c r="A64" s="5" t="inlineStr">
        <is>
          <t>Bella Mirage</t>
        </is>
      </c>
      <c r="B64" s="5" t="inlineStr">
        <is>
          <t>Brook</t>
        </is>
      </c>
      <c r="C64" s="5" t="inlineStr">
        <is>
          <t>0626</t>
        </is>
      </c>
      <c r="D64" s="5" t="n">
        <v>2</v>
      </c>
      <c r="E64" s="5" t="n">
        <v>1</v>
      </c>
      <c r="F64" s="5" t="n">
        <v>1</v>
      </c>
      <c r="G64" s="5" t="inlineStr"/>
      <c r="H64" s="5" t="n">
        <v>739</v>
      </c>
      <c r="I64" s="5" t="inlineStr">
        <is>
          <t>12/11/2025</t>
        </is>
      </c>
      <c r="J64" s="5" t="n">
        <v>300</v>
      </c>
      <c r="K64" s="5" t="n">
        <v>12</v>
      </c>
      <c r="L64" s="5" t="inlineStr">
        <is>
          <t>60%</t>
        </is>
      </c>
      <c r="M64" s="5" t="n">
        <v>1166</v>
      </c>
      <c r="N64" s="5" t="n">
        <v>1.58</v>
      </c>
      <c r="O64" s="5" t="n">
        <v>1069</v>
      </c>
      <c r="P64" s="5" t="n">
        <v>1.45</v>
      </c>
      <c r="Q64" s="5" t="inlineStr">
        <is>
          <t>2025-09-11</t>
        </is>
      </c>
      <c r="R64" s="5" t="inlineStr">
        <is>
          <t>2025-10-25</t>
        </is>
      </c>
      <c r="S64" s="5" t="n">
        <v>45</v>
      </c>
      <c r="T64" s="5" t="n">
        <v>0</v>
      </c>
      <c r="U64" s="48" t="inlineStr">
        <is>
          <t>Brook</t>
        </is>
      </c>
    </row>
    <row r="65">
      <c r="A65" s="5" t="inlineStr">
        <is>
          <t>Bella Mirage</t>
        </is>
      </c>
      <c r="B65" s="5" t="inlineStr">
        <is>
          <t>Brook</t>
        </is>
      </c>
      <c r="C65" s="5" t="inlineStr">
        <is>
          <t>4116</t>
        </is>
      </c>
      <c r="D65" s="5" t="n">
        <v>4</v>
      </c>
      <c r="E65" s="5" t="n">
        <v>1</v>
      </c>
      <c r="F65" s="5" t="n">
        <v>1</v>
      </c>
      <c r="G65" s="5" t="inlineStr"/>
      <c r="H65" s="5" t="n">
        <v>739</v>
      </c>
      <c r="I65" s="5" t="inlineStr">
        <is>
          <t>1/5/2024</t>
        </is>
      </c>
      <c r="J65" s="5" t="n">
        <v>200</v>
      </c>
      <c r="K65" s="5" t="n">
        <v>15</v>
      </c>
      <c r="L65" s="5" t="inlineStr">
        <is>
          <t>60%</t>
        </is>
      </c>
      <c r="M65" s="5" t="n">
        <v>1325</v>
      </c>
      <c r="N65" s="5" t="n">
        <v>1.79</v>
      </c>
      <c r="O65" s="5" t="n">
        <v>1237</v>
      </c>
      <c r="P65" s="5" t="n">
        <v>1.67</v>
      </c>
      <c r="Q65" s="5" t="inlineStr">
        <is>
          <t>2023-11-14</t>
        </is>
      </c>
      <c r="R65" s="5" t="inlineStr">
        <is>
          <t>2024-02-20</t>
        </is>
      </c>
      <c r="S65" s="5" t="n">
        <v>99</v>
      </c>
      <c r="T65" s="5" t="n">
        <v>47</v>
      </c>
      <c r="U65" s="48" t="inlineStr">
        <is>
          <t>Brook</t>
        </is>
      </c>
    </row>
    <row r="66">
      <c r="A66" s="5" t="inlineStr">
        <is>
          <t>Bella Mirage</t>
        </is>
      </c>
      <c r="B66" s="5" t="inlineStr">
        <is>
          <t>Brook</t>
        </is>
      </c>
      <c r="C66" s="5" t="inlineStr">
        <is>
          <t>4116</t>
        </is>
      </c>
      <c r="D66" s="5" t="n">
        <v>4</v>
      </c>
      <c r="E66" s="5" t="n">
        <v>1</v>
      </c>
      <c r="F66" s="5" t="n">
        <v>1</v>
      </c>
      <c r="G66" s="5" t="inlineStr"/>
      <c r="H66" s="5" t="n">
        <v>739</v>
      </c>
      <c r="I66" s="5" t="inlineStr">
        <is>
          <t>7/24/2024</t>
        </is>
      </c>
      <c r="J66" s="5" t="n">
        <v>200</v>
      </c>
      <c r="K66" s="5" t="n">
        <v>12</v>
      </c>
      <c r="L66" s="5" t="inlineStr">
        <is>
          <t>60%</t>
        </is>
      </c>
      <c r="M66" s="5" t="n">
        <v>1300</v>
      </c>
      <c r="N66" s="5" t="n">
        <v>1.76</v>
      </c>
      <c r="O66" s="5" t="n">
        <v>1300</v>
      </c>
      <c r="P66" s="5" t="n">
        <v>1.76</v>
      </c>
      <c r="Q66" s="5" t="inlineStr">
        <is>
          <t>2024-06-01</t>
        </is>
      </c>
      <c r="R66" s="5" t="inlineStr">
        <is>
          <t>2024-06-20</t>
        </is>
      </c>
      <c r="S66" s="5" t="n">
        <v>20</v>
      </c>
      <c r="T66" s="5" t="n">
        <v>0</v>
      </c>
      <c r="U66" s="48" t="inlineStr">
        <is>
          <t>Brook</t>
        </is>
      </c>
    </row>
    <row r="67">
      <c r="A67" s="5" t="inlineStr">
        <is>
          <t>Bella Mirage</t>
        </is>
      </c>
      <c r="B67" s="5" t="inlineStr">
        <is>
          <t>Brook</t>
        </is>
      </c>
      <c r="C67" s="5" t="inlineStr">
        <is>
          <t>4116</t>
        </is>
      </c>
      <c r="D67" s="5" t="n">
        <v>4</v>
      </c>
      <c r="E67" s="5" t="n">
        <v>1</v>
      </c>
      <c r="F67" s="5" t="n">
        <v>1</v>
      </c>
      <c r="G67" s="5" t="inlineStr"/>
      <c r="H67" s="5" t="n">
        <v>739</v>
      </c>
      <c r="I67" s="5" t="inlineStr">
        <is>
          <t>7/18/2025</t>
        </is>
      </c>
      <c r="J67" s="5" t="n">
        <v>200</v>
      </c>
      <c r="K67" s="5" t="n">
        <v>12</v>
      </c>
      <c r="L67" s="5" t="inlineStr">
        <is>
          <t>60%</t>
        </is>
      </c>
      <c r="M67" s="5" t="n">
        <v>1165</v>
      </c>
      <c r="N67" s="5" t="n">
        <v>1.58</v>
      </c>
      <c r="O67" s="5" t="n">
        <v>1068</v>
      </c>
      <c r="P67" s="5" t="n">
        <v>1.45</v>
      </c>
      <c r="Q67" s="5" t="inlineStr">
        <is>
          <t>2025-05-23</t>
        </is>
      </c>
      <c r="R67" s="5" t="inlineStr">
        <is>
          <t>2025-07-30</t>
        </is>
      </c>
      <c r="S67" s="5" t="n">
        <v>69</v>
      </c>
      <c r="T67" s="5" t="n">
        <v>13</v>
      </c>
      <c r="U67" s="48" t="inlineStr">
        <is>
          <t>Brook</t>
        </is>
      </c>
    </row>
    <row r="68">
      <c r="A68" s="5" t="inlineStr">
        <is>
          <t>Bella Mirage</t>
        </is>
      </c>
      <c r="B68" s="5" t="inlineStr">
        <is>
          <t>Brook</t>
        </is>
      </c>
      <c r="C68" s="5" t="inlineStr">
        <is>
          <t>3627</t>
        </is>
      </c>
      <c r="D68" s="5" t="n">
        <v>2</v>
      </c>
      <c r="E68" s="5" t="n">
        <v>1</v>
      </c>
      <c r="F68" s="5" t="n">
        <v>1</v>
      </c>
      <c r="G68" s="5" t="inlineStr"/>
      <c r="H68" s="5" t="n">
        <v>739</v>
      </c>
      <c r="I68" s="5" t="inlineStr">
        <is>
          <t>6/26/2024</t>
        </is>
      </c>
      <c r="J68" s="5" t="n">
        <v>200</v>
      </c>
      <c r="K68" s="5" t="n">
        <v>14</v>
      </c>
      <c r="L68" s="5" t="inlineStr">
        <is>
          <t>60%</t>
        </is>
      </c>
      <c r="M68" s="5" t="n">
        <v>1249</v>
      </c>
      <c r="N68" s="5" t="n">
        <v>1.69</v>
      </c>
      <c r="O68" s="5" t="n">
        <v>1249</v>
      </c>
      <c r="P68" s="5" t="n">
        <v>1.69</v>
      </c>
      <c r="Q68" s="5" t="inlineStr">
        <is>
          <t>2023-12-15</t>
        </is>
      </c>
      <c r="R68" s="5" t="inlineStr">
        <is>
          <t>2024-08-22</t>
        </is>
      </c>
      <c r="S68" s="5" t="n">
        <v>252</v>
      </c>
      <c r="T68" s="5" t="n">
        <v>58</v>
      </c>
      <c r="U68" s="48" t="inlineStr">
        <is>
          <t>Brook</t>
        </is>
      </c>
    </row>
    <row r="69">
      <c r="A69" s="5" t="inlineStr">
        <is>
          <t>Bella Mirage</t>
        </is>
      </c>
      <c r="B69" s="5" t="inlineStr">
        <is>
          <t>Brook</t>
        </is>
      </c>
      <c r="C69" s="5" t="inlineStr">
        <is>
          <t>3627</t>
        </is>
      </c>
      <c r="D69" s="5" t="n">
        <v>2</v>
      </c>
      <c r="E69" s="5" t="n">
        <v>1</v>
      </c>
      <c r="F69" s="5" t="n">
        <v>1</v>
      </c>
      <c r="G69" s="5" t="inlineStr"/>
      <c r="H69" s="5" t="n">
        <v>739</v>
      </c>
      <c r="I69" s="5" t="inlineStr">
        <is>
          <t>6/9/2025</t>
        </is>
      </c>
      <c r="J69" s="5" t="n">
        <v>200</v>
      </c>
      <c r="K69" s="5" t="n">
        <v>13</v>
      </c>
      <c r="L69" s="5" t="inlineStr">
        <is>
          <t>60%</t>
        </is>
      </c>
      <c r="M69" s="5" t="n">
        <v>1250</v>
      </c>
      <c r="N69" s="5" t="n">
        <v>1.69</v>
      </c>
      <c r="O69" s="5" t="n">
        <v>1154</v>
      </c>
      <c r="P69" s="5" t="n">
        <v>1.56</v>
      </c>
      <c r="Q69" s="5" t="inlineStr">
        <is>
          <t>2025-03-29</t>
        </is>
      </c>
      <c r="R69" s="5" t="inlineStr">
        <is>
          <t>2025-08-03</t>
        </is>
      </c>
      <c r="S69" s="5" t="n">
        <v>128</v>
      </c>
      <c r="T69" s="5" t="n">
        <v>56</v>
      </c>
      <c r="U69" s="48" t="inlineStr">
        <is>
          <t>Brook</t>
        </is>
      </c>
    </row>
    <row r="70">
      <c r="A70" s="5" t="inlineStr">
        <is>
          <t>Bella Mirage</t>
        </is>
      </c>
      <c r="B70" s="5" t="inlineStr">
        <is>
          <t>Brook</t>
        </is>
      </c>
      <c r="C70" s="5" t="inlineStr">
        <is>
          <t>3627</t>
        </is>
      </c>
      <c r="D70" s="5" t="n">
        <v>2</v>
      </c>
      <c r="E70" s="5" t="n">
        <v>1</v>
      </c>
      <c r="F70" s="5" t="n">
        <v>1</v>
      </c>
      <c r="G70" s="5" t="inlineStr"/>
      <c r="H70" s="5" t="n">
        <v>739</v>
      </c>
      <c r="I70" s="5" t="inlineStr">
        <is>
          <t>11/26/2025</t>
        </is>
      </c>
      <c r="J70" s="5" t="n">
        <v>300</v>
      </c>
      <c r="K70" s="5" t="n">
        <v>12</v>
      </c>
      <c r="L70" s="5" t="inlineStr">
        <is>
          <t>60%</t>
        </is>
      </c>
      <c r="M70" s="5" t="n">
        <v>1172</v>
      </c>
      <c r="N70" s="5" t="n">
        <v>1.59</v>
      </c>
      <c r="O70" s="5" t="n">
        <v>1172</v>
      </c>
      <c r="P70" s="5" t="n">
        <v>1.59</v>
      </c>
      <c r="Q70" s="5" t="inlineStr">
        <is>
          <t>2025-11-04</t>
        </is>
      </c>
      <c r="R70" s="5" t="inlineStr">
        <is>
          <t>2026-03-17</t>
        </is>
      </c>
      <c r="S70" s="5" t="n">
        <v>134</v>
      </c>
      <c r="T70" s="5" t="n">
        <v>112</v>
      </c>
      <c r="U70" s="48" t="inlineStr">
        <is>
          <t>Brook</t>
        </is>
      </c>
    </row>
    <row r="71">
      <c r="A71" s="5" t="inlineStr">
        <is>
          <t>Bella Mirage</t>
        </is>
      </c>
      <c r="B71" s="5" t="inlineStr">
        <is>
          <t>Brook</t>
        </is>
      </c>
      <c r="C71" s="5" t="inlineStr">
        <is>
          <t>3616</t>
        </is>
      </c>
      <c r="D71" s="5" t="inlineStr"/>
      <c r="E71" s="5" t="n">
        <v>1</v>
      </c>
      <c r="F71" s="5" t="n">
        <v>1</v>
      </c>
      <c r="G71" s="5" t="inlineStr"/>
      <c r="H71" s="5" t="n">
        <v>739</v>
      </c>
      <c r="I71" s="5" t="inlineStr">
        <is>
          <t>8/19/2023</t>
        </is>
      </c>
      <c r="J71" s="5" t="inlineStr"/>
      <c r="K71" s="5" t="inlineStr"/>
      <c r="L71" s="5" t="inlineStr">
        <is>
          <t>60%</t>
        </is>
      </c>
      <c r="M71" s="5" t="n">
        <v>1292</v>
      </c>
      <c r="N71" s="5" t="n">
        <v>1.75</v>
      </c>
      <c r="O71" s="5" t="n">
        <v>1184</v>
      </c>
      <c r="P71" s="5" t="n">
        <v>1.6</v>
      </c>
      <c r="Q71" s="5" t="inlineStr">
        <is>
          <t>2023-07-28</t>
        </is>
      </c>
      <c r="R71" s="5" t="inlineStr">
        <is>
          <t>2023-10-26</t>
        </is>
      </c>
      <c r="S71" s="5" t="n">
        <v>91</v>
      </c>
      <c r="T71" s="5" t="n">
        <v>69</v>
      </c>
      <c r="U71" s="48" t="inlineStr">
        <is>
          <t>Brook</t>
        </is>
      </c>
    </row>
    <row r="72">
      <c r="A72" s="5" t="inlineStr">
        <is>
          <t>Bella Mirage</t>
        </is>
      </c>
      <c r="B72" s="5" t="inlineStr">
        <is>
          <t>Brook</t>
        </is>
      </c>
      <c r="C72" s="5" t="inlineStr">
        <is>
          <t>3616</t>
        </is>
      </c>
      <c r="D72" s="5" t="inlineStr"/>
      <c r="E72" s="5" t="n">
        <v>1</v>
      </c>
      <c r="F72" s="5" t="n">
        <v>1</v>
      </c>
      <c r="G72" s="5" t="inlineStr"/>
      <c r="H72" s="5" t="n">
        <v>739</v>
      </c>
      <c r="I72" s="5" t="inlineStr">
        <is>
          <t>1/15/2025</t>
        </is>
      </c>
      <c r="J72" s="5" t="n">
        <v>200</v>
      </c>
      <c r="K72" s="5" t="n">
        <v>14</v>
      </c>
      <c r="L72" s="5" t="inlineStr">
        <is>
          <t>60%</t>
        </is>
      </c>
      <c r="M72" s="5" t="n">
        <v>1260</v>
      </c>
      <c r="N72" s="5" t="n">
        <v>1.71</v>
      </c>
      <c r="O72" s="5" t="n">
        <v>1170</v>
      </c>
      <c r="P72" s="5" t="n">
        <v>1.58</v>
      </c>
      <c r="Q72" s="5" t="inlineStr">
        <is>
          <t>2024-10-25</t>
        </is>
      </c>
      <c r="R72" s="5" t="inlineStr">
        <is>
          <t>2025-04-23</t>
        </is>
      </c>
      <c r="S72" s="5" t="n">
        <v>181</v>
      </c>
      <c r="T72" s="5" t="n">
        <v>99</v>
      </c>
      <c r="U72" s="48" t="inlineStr">
        <is>
          <t>Brook</t>
        </is>
      </c>
    </row>
    <row r="73">
      <c r="A73" s="5" t="inlineStr">
        <is>
          <t>Bella Mirage</t>
        </is>
      </c>
      <c r="B73" s="5" t="inlineStr">
        <is>
          <t>Brook</t>
        </is>
      </c>
      <c r="C73" s="5" t="inlineStr">
        <is>
          <t>3616</t>
        </is>
      </c>
      <c r="D73" s="5" t="inlineStr"/>
      <c r="E73" s="5" t="n">
        <v>1</v>
      </c>
      <c r="F73" s="5" t="n">
        <v>1</v>
      </c>
      <c r="G73" s="5" t="inlineStr"/>
      <c r="H73" s="5" t="n">
        <v>739</v>
      </c>
      <c r="I73" s="5" t="inlineStr">
        <is>
          <t>2/19/2026</t>
        </is>
      </c>
      <c r="J73" s="5" t="n">
        <v>300</v>
      </c>
      <c r="K73" s="5" t="n">
        <v>13</v>
      </c>
      <c r="L73" s="5" t="inlineStr">
        <is>
          <t>60%</t>
        </is>
      </c>
      <c r="M73" s="5" t="n">
        <v>1174</v>
      </c>
      <c r="N73" s="5" t="n">
        <v>1.59</v>
      </c>
      <c r="O73" s="5" t="n">
        <v>1174</v>
      </c>
      <c r="P73" s="5" t="n">
        <v>1.59</v>
      </c>
      <c r="Q73" s="5" t="inlineStr">
        <is>
          <t>2026-01-04</t>
        </is>
      </c>
      <c r="R73" s="5" t="inlineStr">
        <is>
          <t>2026-02-19</t>
        </is>
      </c>
      <c r="S73" s="5" t="n">
        <v>47</v>
      </c>
      <c r="T73" s="5" t="n">
        <v>1</v>
      </c>
      <c r="U73" s="48" t="inlineStr">
        <is>
          <t>Brook</t>
        </is>
      </c>
    </row>
    <row r="74">
      <c r="A74" s="5" t="inlineStr">
        <is>
          <t>Bella Mirage</t>
        </is>
      </c>
      <c r="B74" s="5" t="inlineStr">
        <is>
          <t>Brook</t>
        </is>
      </c>
      <c r="C74" s="5" t="inlineStr">
        <is>
          <t>3626</t>
        </is>
      </c>
      <c r="D74" s="5" t="n">
        <v>3</v>
      </c>
      <c r="E74" s="5" t="n">
        <v>1</v>
      </c>
      <c r="F74" s="5" t="n">
        <v>1</v>
      </c>
      <c r="G74" s="5" t="inlineStr"/>
      <c r="H74" s="5" t="n">
        <v>739</v>
      </c>
      <c r="I74" s="5" t="inlineStr">
        <is>
          <t>8/26/2023</t>
        </is>
      </c>
      <c r="J74" s="5" t="inlineStr"/>
      <c r="K74" s="5" t="inlineStr"/>
      <c r="L74" s="5" t="inlineStr">
        <is>
          <t>60%</t>
        </is>
      </c>
      <c r="M74" s="5" t="n">
        <v>1178</v>
      </c>
      <c r="N74" s="5" t="n">
        <v>1.59</v>
      </c>
      <c r="O74" s="5" t="n">
        <v>1080</v>
      </c>
      <c r="P74" s="5" t="n">
        <v>1.46</v>
      </c>
      <c r="Q74" s="5" t="inlineStr">
        <is>
          <t>2023-08-23</t>
        </is>
      </c>
      <c r="R74" s="5" t="inlineStr">
        <is>
          <t>2023-10-31</t>
        </is>
      </c>
      <c r="S74" s="5" t="n">
        <v>70</v>
      </c>
      <c r="T74" s="5" t="n">
        <v>67</v>
      </c>
      <c r="U74" s="48" t="inlineStr">
        <is>
          <t>Brook</t>
        </is>
      </c>
    </row>
    <row r="75">
      <c r="A75" s="5" t="inlineStr">
        <is>
          <t>Bella Mirage</t>
        </is>
      </c>
      <c r="B75" s="5" t="inlineStr">
        <is>
          <t>Brook</t>
        </is>
      </c>
      <c r="C75" s="5" t="inlineStr">
        <is>
          <t>3626</t>
        </is>
      </c>
      <c r="D75" s="5" t="n">
        <v>3</v>
      </c>
      <c r="E75" s="5" t="n">
        <v>1</v>
      </c>
      <c r="F75" s="5" t="n">
        <v>1</v>
      </c>
      <c r="G75" s="5" t="inlineStr"/>
      <c r="H75" s="5" t="n">
        <v>739</v>
      </c>
      <c r="I75" s="5" t="inlineStr">
        <is>
          <t>2/6/2025</t>
        </is>
      </c>
      <c r="J75" s="5" t="n">
        <v>200</v>
      </c>
      <c r="K75" s="5" t="n">
        <v>12</v>
      </c>
      <c r="L75" s="5" t="inlineStr">
        <is>
          <t>60%</t>
        </is>
      </c>
      <c r="M75" s="5" t="n">
        <v>1343</v>
      </c>
      <c r="N75" s="5" t="n">
        <v>1.82</v>
      </c>
      <c r="O75" s="5" t="n">
        <v>1231</v>
      </c>
      <c r="P75" s="5" t="n">
        <v>1.67</v>
      </c>
      <c r="Q75" s="5" t="inlineStr">
        <is>
          <t>2024-12-18</t>
        </is>
      </c>
      <c r="R75" s="5" t="inlineStr">
        <is>
          <t>2025-02-17</t>
        </is>
      </c>
      <c r="S75" s="5" t="n">
        <v>62</v>
      </c>
      <c r="T75" s="5" t="n">
        <v>12</v>
      </c>
      <c r="U75" s="48" t="inlineStr">
        <is>
          <t>Brook</t>
        </is>
      </c>
    </row>
    <row r="76">
      <c r="A76" s="5" t="inlineStr">
        <is>
          <t>Bella Mirage</t>
        </is>
      </c>
      <c r="B76" s="5" t="inlineStr">
        <is>
          <t>Brook</t>
        </is>
      </c>
      <c r="C76" s="5" t="inlineStr">
        <is>
          <t>3626</t>
        </is>
      </c>
      <c r="D76" s="5" t="n">
        <v>3</v>
      </c>
      <c r="E76" s="5" t="n">
        <v>1</v>
      </c>
      <c r="F76" s="5" t="n">
        <v>1</v>
      </c>
      <c r="G76" s="5" t="inlineStr"/>
      <c r="H76" s="5" t="n">
        <v>739</v>
      </c>
      <c r="I76" s="5" t="inlineStr">
        <is>
          <t>12/1/2025</t>
        </is>
      </c>
      <c r="J76" s="5" t="n">
        <v>300</v>
      </c>
      <c r="K76" s="5" t="n">
        <v>12</v>
      </c>
      <c r="L76" s="5" t="inlineStr">
        <is>
          <t>60%</t>
        </is>
      </c>
      <c r="M76" s="5" t="n">
        <v>1179</v>
      </c>
      <c r="N76" s="5" t="n">
        <v>1.6</v>
      </c>
      <c r="O76" s="5" t="n">
        <v>1081</v>
      </c>
      <c r="P76" s="5" t="n">
        <v>1.46</v>
      </c>
      <c r="Q76" s="5" t="inlineStr">
        <is>
          <t>2025-08-26</t>
        </is>
      </c>
      <c r="R76" s="5" t="inlineStr">
        <is>
          <t>2025-09-14</t>
        </is>
      </c>
      <c r="S76" s="5" t="n">
        <v>20</v>
      </c>
      <c r="T76" s="5" t="n">
        <v>0</v>
      </c>
      <c r="U76" s="48" t="inlineStr">
        <is>
          <t>Brook</t>
        </is>
      </c>
    </row>
    <row r="77">
      <c r="A77" s="5" t="inlineStr">
        <is>
          <t>Bella Mirage</t>
        </is>
      </c>
      <c r="B77" s="5" t="inlineStr">
        <is>
          <t>Brook</t>
        </is>
      </c>
      <c r="C77" s="5" t="inlineStr">
        <is>
          <t>2412</t>
        </is>
      </c>
      <c r="D77" s="5" t="inlineStr"/>
      <c r="E77" s="5" t="n">
        <v>1</v>
      </c>
      <c r="F77" s="5" t="n">
        <v>1</v>
      </c>
      <c r="G77" s="5" t="inlineStr"/>
      <c r="H77" s="5" t="n">
        <v>739</v>
      </c>
      <c r="I77" s="5" t="inlineStr">
        <is>
          <t>3/19/2024</t>
        </is>
      </c>
      <c r="J77" s="5" t="n">
        <v>200</v>
      </c>
      <c r="K77" s="5" t="n">
        <v>15</v>
      </c>
      <c r="L77" s="5" t="inlineStr">
        <is>
          <t>60%</t>
        </is>
      </c>
      <c r="M77" s="5" t="n">
        <v>1318</v>
      </c>
      <c r="N77" s="5" t="n">
        <v>1.78</v>
      </c>
      <c r="O77" s="5" t="n">
        <v>1230</v>
      </c>
      <c r="P77" s="5" t="n">
        <v>1.66</v>
      </c>
      <c r="Q77" s="5" t="inlineStr">
        <is>
          <t>2024-03-12</t>
        </is>
      </c>
      <c r="R77" s="5" t="inlineStr">
        <is>
          <t>2024-03-13</t>
        </is>
      </c>
      <c r="S77" s="5" t="n">
        <v>2</v>
      </c>
      <c r="T77" s="5" t="n">
        <v>0</v>
      </c>
      <c r="U77" s="48" t="inlineStr">
        <is>
          <t>Brook</t>
        </is>
      </c>
    </row>
    <row r="78">
      <c r="A78" s="5" t="inlineStr">
        <is>
          <t>Bella Mirage</t>
        </is>
      </c>
      <c r="B78" s="5" t="inlineStr">
        <is>
          <t>Brook</t>
        </is>
      </c>
      <c r="C78" s="5" t="inlineStr">
        <is>
          <t>2412</t>
        </is>
      </c>
      <c r="D78" s="5" t="inlineStr"/>
      <c r="E78" s="5" t="n">
        <v>1</v>
      </c>
      <c r="F78" s="5" t="n">
        <v>1</v>
      </c>
      <c r="G78" s="5" t="inlineStr"/>
      <c r="H78" s="5" t="n">
        <v>739</v>
      </c>
      <c r="I78" s="5" t="inlineStr">
        <is>
          <t>11/22/2024</t>
        </is>
      </c>
      <c r="J78" s="5" t="n">
        <v>200</v>
      </c>
      <c r="K78" s="5" t="n">
        <v>12</v>
      </c>
      <c r="L78" s="5" t="inlineStr">
        <is>
          <t>60%</t>
        </is>
      </c>
      <c r="M78" s="5" t="n">
        <v>1178</v>
      </c>
      <c r="N78" s="5" t="n">
        <v>1.59</v>
      </c>
      <c r="O78" s="5" t="n">
        <v>1080</v>
      </c>
      <c r="P78" s="5" t="n">
        <v>1.46</v>
      </c>
      <c r="Q78" s="5" t="inlineStr">
        <is>
          <t>2024-11-10</t>
        </is>
      </c>
      <c r="R78" s="5" t="inlineStr">
        <is>
          <t>2024-12-22</t>
        </is>
      </c>
      <c r="S78" s="5" t="n">
        <v>43</v>
      </c>
      <c r="T78" s="5" t="n">
        <v>31</v>
      </c>
      <c r="U78" s="48" t="inlineStr">
        <is>
          <t>Brook</t>
        </is>
      </c>
    </row>
    <row r="79">
      <c r="A79" s="5" t="inlineStr">
        <is>
          <t>Bella Mirage</t>
        </is>
      </c>
      <c r="B79" s="5" t="inlineStr">
        <is>
          <t>Brook</t>
        </is>
      </c>
      <c r="C79" s="5" t="inlineStr">
        <is>
          <t>4916</t>
        </is>
      </c>
      <c r="D79" s="5" t="n">
        <v>4</v>
      </c>
      <c r="E79" s="5" t="n">
        <v>1</v>
      </c>
      <c r="F79" s="5" t="n">
        <v>1</v>
      </c>
      <c r="G79" s="5" t="inlineStr"/>
      <c r="H79" s="5" t="n">
        <v>739</v>
      </c>
      <c r="I79" s="5" t="inlineStr">
        <is>
          <t>5/8/2024</t>
        </is>
      </c>
      <c r="J79" s="5" t="n">
        <v>200</v>
      </c>
      <c r="K79" s="5" t="n">
        <v>14</v>
      </c>
      <c r="L79" s="5" t="inlineStr">
        <is>
          <t>60%</t>
        </is>
      </c>
      <c r="M79" s="5" t="n">
        <v>1316</v>
      </c>
      <c r="N79" s="5" t="n">
        <v>1.78</v>
      </c>
      <c r="O79" s="5" t="n">
        <v>1316</v>
      </c>
      <c r="P79" s="5" t="n">
        <v>1.78</v>
      </c>
      <c r="Q79" s="5" t="inlineStr">
        <is>
          <t>2024-04-16</t>
        </is>
      </c>
      <c r="R79" s="5" t="inlineStr">
        <is>
          <t>2024-07-05</t>
        </is>
      </c>
      <c r="S79" s="5" t="n">
        <v>81</v>
      </c>
      <c r="T79" s="5" t="n">
        <v>59</v>
      </c>
      <c r="U79" s="48" t="inlineStr">
        <is>
          <t>Brook</t>
        </is>
      </c>
    </row>
    <row r="80">
      <c r="A80" s="5" t="inlineStr">
        <is>
          <t>Bella Mirage</t>
        </is>
      </c>
      <c r="B80" s="5" t="inlineStr">
        <is>
          <t>Brook</t>
        </is>
      </c>
      <c r="C80" s="5" t="inlineStr">
        <is>
          <t>4916</t>
        </is>
      </c>
      <c r="D80" s="5" t="n">
        <v>4</v>
      </c>
      <c r="E80" s="5" t="n">
        <v>1</v>
      </c>
      <c r="F80" s="5" t="n">
        <v>1</v>
      </c>
      <c r="G80" s="5" t="inlineStr"/>
      <c r="H80" s="5" t="n">
        <v>739</v>
      </c>
      <c r="I80" s="5" t="inlineStr">
        <is>
          <t>12/17/2024</t>
        </is>
      </c>
      <c r="J80" s="5" t="n">
        <v>200</v>
      </c>
      <c r="K80" s="5" t="n">
        <v>13</v>
      </c>
      <c r="L80" s="5" t="inlineStr">
        <is>
          <t>60%</t>
        </is>
      </c>
      <c r="M80" s="5" t="n">
        <v>1419</v>
      </c>
      <c r="N80" s="5" t="n">
        <v>1.92</v>
      </c>
      <c r="O80" s="5" t="n">
        <v>1310</v>
      </c>
      <c r="P80" s="5" t="n">
        <v>1.77</v>
      </c>
      <c r="Q80" s="5" t="inlineStr">
        <is>
          <t>2024-12-04</t>
        </is>
      </c>
      <c r="R80" s="5" t="inlineStr">
        <is>
          <t>2025-05-09</t>
        </is>
      </c>
      <c r="S80" s="5" t="n">
        <v>157</v>
      </c>
      <c r="T80" s="5" t="n">
        <v>144</v>
      </c>
      <c r="U80" s="48" t="inlineStr">
        <is>
          <t>Brook</t>
        </is>
      </c>
    </row>
    <row r="81">
      <c r="A81" s="5" t="inlineStr">
        <is>
          <t>Bella Mirage</t>
        </is>
      </c>
      <c r="B81" s="5" t="inlineStr">
        <is>
          <t>Brook</t>
        </is>
      </c>
      <c r="C81" s="5" t="inlineStr">
        <is>
          <t>4916</t>
        </is>
      </c>
      <c r="D81" s="5" t="n">
        <v>4</v>
      </c>
      <c r="E81" s="5" t="n">
        <v>1</v>
      </c>
      <c r="F81" s="5" t="n">
        <v>1</v>
      </c>
      <c r="G81" s="5" t="inlineStr"/>
      <c r="H81" s="5" t="n">
        <v>739</v>
      </c>
      <c r="I81" s="5" t="inlineStr">
        <is>
          <t>5/9/2026</t>
        </is>
      </c>
      <c r="J81" s="5" t="n">
        <v>300</v>
      </c>
      <c r="K81" s="5" t="n">
        <v>12</v>
      </c>
      <c r="L81" s="5" t="inlineStr">
        <is>
          <t>60%</t>
        </is>
      </c>
      <c r="M81" s="5" t="n">
        <v>1178</v>
      </c>
      <c r="N81" s="5" t="n">
        <v>1.59</v>
      </c>
      <c r="O81" s="5" t="n">
        <v>1178</v>
      </c>
      <c r="P81" s="5" t="n">
        <v>1.59</v>
      </c>
      <c r="Q81" s="5" t="inlineStr">
        <is>
          <t>2026-04-07</t>
        </is>
      </c>
      <c r="R81" s="5" t="inlineStr">
        <is>
          <t>2026-05-14</t>
        </is>
      </c>
      <c r="S81" s="5" t="n">
        <v>38</v>
      </c>
      <c r="T81" s="5" t="n">
        <v>6</v>
      </c>
      <c r="U81" s="48" t="inlineStr">
        <is>
          <t>Brook</t>
        </is>
      </c>
    </row>
    <row r="82">
      <c r="A82" s="5" t="inlineStr">
        <is>
          <t>Bella Mirage</t>
        </is>
      </c>
      <c r="B82" s="5" t="inlineStr">
        <is>
          <t>Brook</t>
        </is>
      </c>
      <c r="C82" s="5" t="inlineStr">
        <is>
          <t>3623</t>
        </is>
      </c>
      <c r="D82" s="5" t="n">
        <v>2</v>
      </c>
      <c r="E82" s="5" t="n">
        <v>1</v>
      </c>
      <c r="F82" s="5" t="n">
        <v>1</v>
      </c>
      <c r="G82" s="5" t="inlineStr"/>
      <c r="H82" s="5" t="n">
        <v>739</v>
      </c>
      <c r="I82" s="5" t="inlineStr">
        <is>
          <t>6/1/2025</t>
        </is>
      </c>
      <c r="J82" s="5" t="n">
        <v>200</v>
      </c>
      <c r="K82" s="5" t="n">
        <v>12</v>
      </c>
      <c r="L82" s="5" t="inlineStr">
        <is>
          <t>60%</t>
        </is>
      </c>
      <c r="M82" s="5" t="n">
        <v>1180</v>
      </c>
      <c r="N82" s="5" t="n">
        <v>1.6</v>
      </c>
      <c r="O82" s="5" t="n">
        <v>1082</v>
      </c>
      <c r="P82" s="5" t="n">
        <v>1.46</v>
      </c>
      <c r="Q82" s="5" t="inlineStr">
        <is>
          <t>2025-05-18</t>
        </is>
      </c>
      <c r="R82" s="5" t="inlineStr">
        <is>
          <t>2025-06-08</t>
        </is>
      </c>
      <c r="S82" s="5" t="n">
        <v>22</v>
      </c>
      <c r="T82" s="5" t="n">
        <v>8</v>
      </c>
      <c r="U82" s="48" t="inlineStr">
        <is>
          <t>Brook</t>
        </is>
      </c>
    </row>
    <row r="83">
      <c r="A83" s="5" t="inlineStr">
        <is>
          <t>Bella Mirage</t>
        </is>
      </c>
      <c r="B83" s="5" t="inlineStr">
        <is>
          <t>Brook</t>
        </is>
      </c>
      <c r="C83" s="5" t="inlineStr">
        <is>
          <t>3113</t>
        </is>
      </c>
      <c r="D83" s="5" t="inlineStr"/>
      <c r="E83" s="5" t="n">
        <v>1</v>
      </c>
      <c r="F83" s="5" t="n">
        <v>1</v>
      </c>
      <c r="G83" s="5" t="inlineStr"/>
      <c r="H83" s="5" t="n">
        <v>739</v>
      </c>
      <c r="I83" s="5" t="inlineStr">
        <is>
          <t>1/17/2025</t>
        </is>
      </c>
      <c r="J83" s="5" t="n">
        <v>200</v>
      </c>
      <c r="K83" s="5" t="n">
        <v>13</v>
      </c>
      <c r="L83" s="5" t="inlineStr">
        <is>
          <t>60%</t>
        </is>
      </c>
      <c r="M83" s="5" t="n">
        <v>1187</v>
      </c>
      <c r="N83" s="5" t="n">
        <v>1.61</v>
      </c>
      <c r="O83" s="5" t="n">
        <v>1096</v>
      </c>
      <c r="P83" s="5" t="n">
        <v>1.48</v>
      </c>
      <c r="Q83" s="5" t="inlineStr">
        <is>
          <t>2024-11-02</t>
        </is>
      </c>
      <c r="R83" s="5" t="inlineStr">
        <is>
          <t>2025-03-04</t>
        </is>
      </c>
      <c r="S83" s="5" t="n">
        <v>123</v>
      </c>
      <c r="T83" s="5" t="n">
        <v>47</v>
      </c>
      <c r="U83" s="48" t="inlineStr">
        <is>
          <t>Brook</t>
        </is>
      </c>
    </row>
    <row r="84">
      <c r="A84" s="5" t="inlineStr">
        <is>
          <t>Bella Mirage</t>
        </is>
      </c>
      <c r="B84" s="5" t="inlineStr">
        <is>
          <t>Brook</t>
        </is>
      </c>
      <c r="C84" s="5" t="inlineStr">
        <is>
          <t>2436</t>
        </is>
      </c>
      <c r="D84" s="5" t="n">
        <v>3</v>
      </c>
      <c r="E84" s="5" t="n">
        <v>1</v>
      </c>
      <c r="F84" s="5" t="n">
        <v>1</v>
      </c>
      <c r="G84" s="5" t="inlineStr"/>
      <c r="H84" s="5" t="n">
        <v>739</v>
      </c>
      <c r="I84" s="5" t="inlineStr">
        <is>
          <t>11/15/2024</t>
        </is>
      </c>
      <c r="J84" s="5" t="n">
        <v>200</v>
      </c>
      <c r="K84" s="5" t="n">
        <v>12</v>
      </c>
      <c r="L84" s="5" t="inlineStr">
        <is>
          <t>60%</t>
        </is>
      </c>
      <c r="M84" s="5" t="n">
        <v>1187</v>
      </c>
      <c r="N84" s="5" t="n">
        <v>1.61</v>
      </c>
      <c r="O84" s="5" t="n">
        <v>1088</v>
      </c>
      <c r="P84" s="5" t="n">
        <v>1.47</v>
      </c>
      <c r="Q84" s="5" t="inlineStr">
        <is>
          <t>2024-11-08</t>
        </is>
      </c>
      <c r="R84" s="5" t="inlineStr">
        <is>
          <t>2024-11-22</t>
        </is>
      </c>
      <c r="S84" s="5" t="n">
        <v>15</v>
      </c>
      <c r="T84" s="5" t="n">
        <v>8</v>
      </c>
      <c r="U84" s="48" t="inlineStr">
        <is>
          <t>Brook</t>
        </is>
      </c>
    </row>
    <row r="85">
      <c r="A85" s="5" t="inlineStr">
        <is>
          <t>Bella Mirage</t>
        </is>
      </c>
      <c r="B85" s="5" t="inlineStr">
        <is>
          <t>Brook</t>
        </is>
      </c>
      <c r="C85" s="5" t="inlineStr">
        <is>
          <t>3413</t>
        </is>
      </c>
      <c r="D85" s="5" t="n">
        <v>3</v>
      </c>
      <c r="E85" s="5" t="n">
        <v>1</v>
      </c>
      <c r="F85" s="5" t="n">
        <v>1</v>
      </c>
      <c r="G85" s="5" t="inlineStr"/>
      <c r="H85" s="5" t="n">
        <v>739</v>
      </c>
      <c r="I85" s="5" t="inlineStr">
        <is>
          <t>10/15/2024</t>
        </is>
      </c>
      <c r="J85" s="5" t="n">
        <v>200</v>
      </c>
      <c r="K85" s="5" t="n">
        <v>13</v>
      </c>
      <c r="L85" s="5" t="inlineStr">
        <is>
          <t>60%</t>
        </is>
      </c>
      <c r="M85" s="5" t="n">
        <v>1299</v>
      </c>
      <c r="N85" s="5" t="n">
        <v>1.76</v>
      </c>
      <c r="O85" s="5" t="n">
        <v>1299</v>
      </c>
      <c r="P85" s="5" t="n">
        <v>1.76</v>
      </c>
      <c r="Q85" s="5" t="inlineStr">
        <is>
          <t>2024-08-29</t>
        </is>
      </c>
      <c r="R85" s="5" t="inlineStr">
        <is>
          <t>2024-09-06</t>
        </is>
      </c>
      <c r="S85" s="5" t="n">
        <v>9</v>
      </c>
      <c r="T85" s="5" t="n">
        <v>0</v>
      </c>
      <c r="U85" s="48" t="inlineStr">
        <is>
          <t>Brook</t>
        </is>
      </c>
    </row>
    <row r="86">
      <c r="A86" s="5" t="inlineStr">
        <is>
          <t>Bella Mirage</t>
        </is>
      </c>
      <c r="B86" s="5" t="inlineStr">
        <is>
          <t>Brook</t>
        </is>
      </c>
      <c r="C86" s="5" t="inlineStr">
        <is>
          <t>3413</t>
        </is>
      </c>
      <c r="D86" s="5" t="n">
        <v>3</v>
      </c>
      <c r="E86" s="5" t="n">
        <v>1</v>
      </c>
      <c r="F86" s="5" t="n">
        <v>1</v>
      </c>
      <c r="G86" s="5" t="inlineStr"/>
      <c r="H86" s="5" t="n">
        <v>739</v>
      </c>
      <c r="I86" s="5" t="inlineStr">
        <is>
          <t>6/4/2026</t>
        </is>
      </c>
      <c r="J86" s="5" t="n">
        <v>300</v>
      </c>
      <c r="K86" s="5" t="n">
        <v>13</v>
      </c>
      <c r="L86" s="5" t="inlineStr">
        <is>
          <t>60%</t>
        </is>
      </c>
      <c r="M86" s="5" t="n">
        <v>1187</v>
      </c>
      <c r="N86" s="5" t="n">
        <v>1.61</v>
      </c>
      <c r="O86" s="5" t="n">
        <v>1187</v>
      </c>
      <c r="P86" s="5" t="n">
        <v>1.61</v>
      </c>
      <c r="Q86" s="5" t="inlineStr">
        <is>
          <t>2026-05-13</t>
        </is>
      </c>
      <c r="R86" s="5" t="inlineStr">
        <is>
          <t>2026-05-20</t>
        </is>
      </c>
      <c r="S86" s="5" t="n">
        <v>8</v>
      </c>
      <c r="T86" s="5" t="n">
        <v>0</v>
      </c>
      <c r="U86" s="48" t="inlineStr">
        <is>
          <t>Brook</t>
        </is>
      </c>
    </row>
    <row r="87">
      <c r="A87" s="5" t="inlineStr">
        <is>
          <t>Bella Mirage</t>
        </is>
      </c>
      <c r="B87" s="5" t="inlineStr">
        <is>
          <t>Brook</t>
        </is>
      </c>
      <c r="C87" s="5" t="inlineStr">
        <is>
          <t>4926</t>
        </is>
      </c>
      <c r="D87" s="5" t="inlineStr"/>
      <c r="E87" s="5" t="n">
        <v>1</v>
      </c>
      <c r="F87" s="5" t="n">
        <v>1</v>
      </c>
      <c r="G87" s="5" t="inlineStr"/>
      <c r="H87" s="5" t="n">
        <v>739</v>
      </c>
      <c r="I87" s="5" t="inlineStr">
        <is>
          <t>6/25/2023</t>
        </is>
      </c>
      <c r="J87" s="5" t="inlineStr"/>
      <c r="K87" s="5" t="inlineStr"/>
      <c r="L87" s="5" t="inlineStr">
        <is>
          <t>60%</t>
        </is>
      </c>
      <c r="M87" s="5" t="n">
        <v>1284</v>
      </c>
      <c r="N87" s="5" t="n">
        <v>1.74</v>
      </c>
      <c r="O87" s="5" t="n">
        <v>1222</v>
      </c>
      <c r="P87" s="5" t="n">
        <v>1.65</v>
      </c>
      <c r="Q87" s="5" t="inlineStr"/>
      <c r="R87" s="5" t="inlineStr">
        <is>
          <t>2023-07-24</t>
        </is>
      </c>
      <c r="S87" s="5" t="inlineStr"/>
      <c r="T87" s="5" t="inlineStr"/>
      <c r="U87" s="48" t="inlineStr">
        <is>
          <t>Brook</t>
        </is>
      </c>
    </row>
    <row r="88">
      <c r="A88" s="5" t="inlineStr">
        <is>
          <t>Bella Mirage</t>
        </is>
      </c>
      <c r="B88" s="5" t="inlineStr">
        <is>
          <t>Brook</t>
        </is>
      </c>
      <c r="C88" s="5" t="inlineStr">
        <is>
          <t>4926</t>
        </is>
      </c>
      <c r="D88" s="5" t="inlineStr"/>
      <c r="E88" s="5" t="n">
        <v>1</v>
      </c>
      <c r="F88" s="5" t="n">
        <v>1</v>
      </c>
      <c r="G88" s="5" t="inlineStr"/>
      <c r="H88" s="5" t="n">
        <v>739</v>
      </c>
      <c r="I88" s="5" t="inlineStr">
        <is>
          <t>8/2/2024</t>
        </is>
      </c>
      <c r="J88" s="5" t="n">
        <v>200</v>
      </c>
      <c r="K88" s="5" t="n">
        <v>15</v>
      </c>
      <c r="L88" s="5" t="inlineStr">
        <is>
          <t>60%</t>
        </is>
      </c>
      <c r="M88" s="5" t="n">
        <v>1239</v>
      </c>
      <c r="N88" s="5" t="n">
        <v>1.68</v>
      </c>
      <c r="O88" s="5" t="n">
        <v>1239</v>
      </c>
      <c r="P88" s="5" t="n">
        <v>1.68</v>
      </c>
      <c r="Q88" s="5" t="inlineStr">
        <is>
          <t>2024-05-01</t>
        </is>
      </c>
      <c r="R88" s="5" t="inlineStr">
        <is>
          <t>2024-09-04</t>
        </is>
      </c>
      <c r="S88" s="5" t="n">
        <v>127</v>
      </c>
      <c r="T88" s="5" t="n">
        <v>34</v>
      </c>
      <c r="U88" s="48" t="inlineStr">
        <is>
          <t>Brook</t>
        </is>
      </c>
    </row>
    <row r="89">
      <c r="A89" s="5" t="inlineStr">
        <is>
          <t>Bella Mirage</t>
        </is>
      </c>
      <c r="B89" s="5" t="inlineStr">
        <is>
          <t>Brook</t>
        </is>
      </c>
      <c r="C89" s="5" t="inlineStr">
        <is>
          <t>4926</t>
        </is>
      </c>
      <c r="D89" s="5" t="inlineStr"/>
      <c r="E89" s="5" t="n">
        <v>1</v>
      </c>
      <c r="F89" s="5" t="n">
        <v>1</v>
      </c>
      <c r="G89" s="5" t="inlineStr"/>
      <c r="H89" s="5" t="n">
        <v>739</v>
      </c>
      <c r="I89" s="5" t="inlineStr">
        <is>
          <t>9/9/2025</t>
        </is>
      </c>
      <c r="J89" s="5" t="n">
        <v>300</v>
      </c>
      <c r="K89" s="5" t="n">
        <v>12</v>
      </c>
      <c r="L89" s="5" t="inlineStr">
        <is>
          <t>60%</t>
        </is>
      </c>
      <c r="M89" s="5" t="n">
        <v>1188</v>
      </c>
      <c r="N89" s="5" t="n">
        <v>1.61</v>
      </c>
      <c r="O89" s="5" t="n">
        <v>1089</v>
      </c>
      <c r="P89" s="5" t="n">
        <v>1.47</v>
      </c>
      <c r="Q89" s="5" t="inlineStr">
        <is>
          <t>2025-07-21</t>
        </is>
      </c>
      <c r="R89" s="5" t="inlineStr">
        <is>
          <t>2025-09-21</t>
        </is>
      </c>
      <c r="S89" s="5" t="n">
        <v>63</v>
      </c>
      <c r="T89" s="5" t="n">
        <v>13</v>
      </c>
      <c r="U89" s="48" t="inlineStr">
        <is>
          <t>Brook</t>
        </is>
      </c>
    </row>
    <row r="90">
      <c r="A90" s="5" t="inlineStr">
        <is>
          <t>Bella Mirage</t>
        </is>
      </c>
      <c r="B90" s="5" t="inlineStr">
        <is>
          <t>Brook</t>
        </is>
      </c>
      <c r="C90" s="5" t="inlineStr">
        <is>
          <t>4136</t>
        </is>
      </c>
      <c r="D90" s="5" t="n">
        <v>4</v>
      </c>
      <c r="E90" s="5" t="n">
        <v>1</v>
      </c>
      <c r="F90" s="5" t="n">
        <v>1</v>
      </c>
      <c r="G90" s="5" t="inlineStr"/>
      <c r="H90" s="5" t="n">
        <v>739</v>
      </c>
      <c r="I90" s="5" t="inlineStr">
        <is>
          <t>2/23/2025</t>
        </is>
      </c>
      <c r="J90" s="5" t="n">
        <v>200</v>
      </c>
      <c r="K90" s="5" t="n">
        <v>12</v>
      </c>
      <c r="L90" s="5" t="inlineStr">
        <is>
          <t>60%</t>
        </is>
      </c>
      <c r="M90" s="5" t="n">
        <v>1190</v>
      </c>
      <c r="N90" s="5" t="n">
        <v>1.61</v>
      </c>
      <c r="O90" s="5" t="n">
        <v>1091</v>
      </c>
      <c r="P90" s="5" t="n">
        <v>1.48</v>
      </c>
      <c r="Q90" s="5" t="inlineStr">
        <is>
          <t>2024-11-19</t>
        </is>
      </c>
      <c r="R90" s="5" t="inlineStr">
        <is>
          <t>2024-12-27</t>
        </is>
      </c>
      <c r="S90" s="5" t="n">
        <v>39</v>
      </c>
      <c r="T90" s="5" t="n">
        <v>0</v>
      </c>
      <c r="U90" s="48" t="inlineStr">
        <is>
          <t>Brook</t>
        </is>
      </c>
    </row>
    <row r="91">
      <c r="A91" s="5" t="inlineStr">
        <is>
          <t>Bella Mirage</t>
        </is>
      </c>
      <c r="B91" s="5" t="inlineStr">
        <is>
          <t>Brook</t>
        </is>
      </c>
      <c r="C91" s="5" t="inlineStr">
        <is>
          <t>4933</t>
        </is>
      </c>
      <c r="D91" s="5" t="inlineStr"/>
      <c r="E91" s="5" t="n">
        <v>1</v>
      </c>
      <c r="F91" s="5" t="n">
        <v>1</v>
      </c>
      <c r="G91" s="5" t="inlineStr"/>
      <c r="H91" s="5" t="n">
        <v>739</v>
      </c>
      <c r="I91" s="5" t="inlineStr">
        <is>
          <t>11/9/2024</t>
        </is>
      </c>
      <c r="J91" s="5" t="n">
        <v>200</v>
      </c>
      <c r="K91" s="5" t="n">
        <v>13</v>
      </c>
      <c r="L91" s="5" t="inlineStr">
        <is>
          <t>60%</t>
        </is>
      </c>
      <c r="M91" s="5" t="n">
        <v>1190</v>
      </c>
      <c r="N91" s="5" t="n">
        <v>1.61</v>
      </c>
      <c r="O91" s="5" t="n">
        <v>1098</v>
      </c>
      <c r="P91" s="5" t="n">
        <v>1.49</v>
      </c>
      <c r="Q91" s="5" t="inlineStr">
        <is>
          <t>2024-11-02</t>
        </is>
      </c>
      <c r="R91" s="5" t="inlineStr">
        <is>
          <t>2025-01-04</t>
        </is>
      </c>
      <c r="S91" s="5" t="n">
        <v>64</v>
      </c>
      <c r="T91" s="5" t="n">
        <v>57</v>
      </c>
      <c r="U91" s="48" t="inlineStr">
        <is>
          <t>Brook</t>
        </is>
      </c>
    </row>
    <row r="92">
      <c r="A92" s="5" t="inlineStr">
        <is>
          <t>Bella Mirage</t>
        </is>
      </c>
      <c r="B92" s="5" t="inlineStr">
        <is>
          <t>Brook</t>
        </is>
      </c>
      <c r="C92" s="5" t="inlineStr">
        <is>
          <t>4933</t>
        </is>
      </c>
      <c r="D92" s="5" t="inlineStr"/>
      <c r="E92" s="5" t="n">
        <v>1</v>
      </c>
      <c r="F92" s="5" t="n">
        <v>1</v>
      </c>
      <c r="G92" s="5" t="inlineStr"/>
      <c r="H92" s="5" t="n">
        <v>739</v>
      </c>
      <c r="I92" s="5" t="inlineStr">
        <is>
          <t>8/21/2025</t>
        </is>
      </c>
      <c r="J92" s="5" t="n">
        <v>300</v>
      </c>
      <c r="K92" s="5" t="n">
        <v>12</v>
      </c>
      <c r="L92" s="5" t="inlineStr">
        <is>
          <t>60%</t>
        </is>
      </c>
      <c r="M92" s="5" t="n">
        <v>1191</v>
      </c>
      <c r="N92" s="5" t="n">
        <v>1.61</v>
      </c>
      <c r="O92" s="5" t="n">
        <v>1092</v>
      </c>
      <c r="P92" s="5" t="n">
        <v>1.48</v>
      </c>
      <c r="Q92" s="5" t="inlineStr">
        <is>
          <t>2025-08-07</t>
        </is>
      </c>
      <c r="R92" s="5" t="inlineStr">
        <is>
          <t>2025-09-16</t>
        </is>
      </c>
      <c r="S92" s="5" t="n">
        <v>41</v>
      </c>
      <c r="T92" s="5" t="n">
        <v>27</v>
      </c>
      <c r="U92" s="48" t="inlineStr">
        <is>
          <t>Brook</t>
        </is>
      </c>
    </row>
    <row r="93">
      <c r="A93" s="5" t="inlineStr">
        <is>
          <t>Bella Mirage</t>
        </is>
      </c>
      <c r="B93" s="5" t="inlineStr">
        <is>
          <t>Brook</t>
        </is>
      </c>
      <c r="C93" s="5" t="inlineStr">
        <is>
          <t>2416</t>
        </is>
      </c>
      <c r="D93" s="5" t="inlineStr"/>
      <c r="E93" s="5" t="n">
        <v>1</v>
      </c>
      <c r="F93" s="5" t="n">
        <v>1</v>
      </c>
      <c r="G93" s="5" t="inlineStr"/>
      <c r="H93" s="5" t="n">
        <v>739</v>
      </c>
      <c r="I93" s="5" t="inlineStr">
        <is>
          <t>8/28/2024</t>
        </is>
      </c>
      <c r="J93" s="5" t="n">
        <v>200</v>
      </c>
      <c r="K93" s="5" t="n">
        <v>12</v>
      </c>
      <c r="L93" s="5" t="inlineStr">
        <is>
          <t>60%</t>
        </is>
      </c>
      <c r="M93" s="5" t="n">
        <v>1155</v>
      </c>
      <c r="N93" s="5" t="n">
        <v>1.56</v>
      </c>
      <c r="O93" s="5" t="n">
        <v>1155</v>
      </c>
      <c r="P93" s="5" t="n">
        <v>1.56</v>
      </c>
      <c r="Q93" s="5" t="inlineStr">
        <is>
          <t>2024-06-14</t>
        </is>
      </c>
      <c r="R93" s="5" t="inlineStr">
        <is>
          <t>2024-06-16</t>
        </is>
      </c>
      <c r="S93" s="5" t="n">
        <v>3</v>
      </c>
      <c r="T93" s="5" t="n">
        <v>0</v>
      </c>
      <c r="U93" s="48" t="inlineStr">
        <is>
          <t>Brook</t>
        </is>
      </c>
    </row>
    <row r="94">
      <c r="A94" s="5" t="inlineStr">
        <is>
          <t>Bella Mirage</t>
        </is>
      </c>
      <c r="B94" s="5" t="inlineStr">
        <is>
          <t>Brook</t>
        </is>
      </c>
      <c r="C94" s="5" t="inlineStr">
        <is>
          <t>2416</t>
        </is>
      </c>
      <c r="D94" s="5" t="inlineStr"/>
      <c r="E94" s="5" t="n">
        <v>1</v>
      </c>
      <c r="F94" s="5" t="n">
        <v>1</v>
      </c>
      <c r="G94" s="5" t="inlineStr"/>
      <c r="H94" s="5" t="n">
        <v>739</v>
      </c>
      <c r="I94" s="5" t="inlineStr">
        <is>
          <t>10/2/2025</t>
        </is>
      </c>
      <c r="J94" s="5" t="n">
        <v>300</v>
      </c>
      <c r="K94" s="5" t="n">
        <v>12</v>
      </c>
      <c r="L94" s="5" t="inlineStr">
        <is>
          <t>60%</t>
        </is>
      </c>
      <c r="M94" s="5" t="n">
        <v>1196</v>
      </c>
      <c r="N94" s="5" t="n">
        <v>1.62</v>
      </c>
      <c r="O94" s="5" t="n">
        <v>1096</v>
      </c>
      <c r="P94" s="5" t="n">
        <v>1.48</v>
      </c>
      <c r="Q94" s="5" t="inlineStr">
        <is>
          <t>2025-09-11</t>
        </is>
      </c>
      <c r="R94" s="5" t="inlineStr">
        <is>
          <t>2025-10-11</t>
        </is>
      </c>
      <c r="S94" s="5" t="n">
        <v>31</v>
      </c>
      <c r="T94" s="5" t="n">
        <v>10</v>
      </c>
      <c r="U94" s="48" t="inlineStr">
        <is>
          <t>Brook</t>
        </is>
      </c>
    </row>
    <row r="95">
      <c r="A95" s="5" t="inlineStr">
        <is>
          <t>Bella Mirage</t>
        </is>
      </c>
      <c r="B95" s="5" t="inlineStr">
        <is>
          <t>Brook</t>
        </is>
      </c>
      <c r="C95" s="5" t="inlineStr">
        <is>
          <t>4932</t>
        </is>
      </c>
      <c r="D95" s="5" t="inlineStr"/>
      <c r="E95" s="5" t="n">
        <v>1</v>
      </c>
      <c r="F95" s="5" t="n">
        <v>1</v>
      </c>
      <c r="G95" s="5" t="inlineStr"/>
      <c r="H95" s="5" t="n">
        <v>739</v>
      </c>
      <c r="I95" s="5" t="inlineStr">
        <is>
          <t>1/29/2024</t>
        </is>
      </c>
      <c r="J95" s="5" t="n">
        <v>200</v>
      </c>
      <c r="K95" s="5" t="n">
        <v>14</v>
      </c>
      <c r="L95" s="5" t="inlineStr">
        <is>
          <t>60%</t>
        </is>
      </c>
      <c r="M95" s="5" t="n">
        <v>1309</v>
      </c>
      <c r="N95" s="5" t="n">
        <v>1.77</v>
      </c>
      <c r="O95" s="5" t="n">
        <v>1216</v>
      </c>
      <c r="P95" s="5" t="n">
        <v>1.65</v>
      </c>
      <c r="Q95" s="5" t="inlineStr">
        <is>
          <t>2023-11-30</t>
        </is>
      </c>
      <c r="R95" s="5" t="inlineStr">
        <is>
          <t>2024-03-28</t>
        </is>
      </c>
      <c r="S95" s="5" t="n">
        <v>120</v>
      </c>
      <c r="T95" s="5" t="n">
        <v>60</v>
      </c>
      <c r="U95" s="48" t="inlineStr">
        <is>
          <t>Brook</t>
        </is>
      </c>
    </row>
    <row r="96">
      <c r="A96" s="5" t="inlineStr">
        <is>
          <t>Bella Mirage</t>
        </is>
      </c>
      <c r="B96" s="5" t="inlineStr">
        <is>
          <t>Brook</t>
        </is>
      </c>
      <c r="C96" s="5" t="inlineStr">
        <is>
          <t>4932</t>
        </is>
      </c>
      <c r="D96" s="5" t="inlineStr"/>
      <c r="E96" s="5" t="n">
        <v>1</v>
      </c>
      <c r="F96" s="5" t="n">
        <v>1</v>
      </c>
      <c r="G96" s="5" t="inlineStr"/>
      <c r="H96" s="5" t="n">
        <v>739</v>
      </c>
      <c r="I96" s="5" t="inlineStr">
        <is>
          <t>7/9/2025</t>
        </is>
      </c>
      <c r="J96" s="5" t="n">
        <v>200</v>
      </c>
      <c r="K96" s="5" t="n">
        <v>13</v>
      </c>
      <c r="L96" s="5" t="inlineStr">
        <is>
          <t>60%</t>
        </is>
      </c>
      <c r="M96" s="5" t="n">
        <v>1200</v>
      </c>
      <c r="N96" s="5" t="n">
        <v>1.62</v>
      </c>
      <c r="O96" s="5" t="n">
        <v>1200</v>
      </c>
      <c r="P96" s="5" t="n">
        <v>1.62</v>
      </c>
      <c r="Q96" s="5" t="inlineStr">
        <is>
          <t>2025-05-02</t>
        </is>
      </c>
      <c r="R96" s="5" t="inlineStr">
        <is>
          <t>2025-08-15</t>
        </is>
      </c>
      <c r="S96" s="5" t="n">
        <v>106</v>
      </c>
      <c r="T96" s="5" t="n">
        <v>38</v>
      </c>
      <c r="U96" s="48" t="inlineStr">
        <is>
          <t>Brook</t>
        </is>
      </c>
    </row>
    <row r="97">
      <c r="A97" s="5" t="inlineStr">
        <is>
          <t>Bella Mirage</t>
        </is>
      </c>
      <c r="B97" s="5" t="inlineStr">
        <is>
          <t>Brook</t>
        </is>
      </c>
      <c r="C97" s="5" t="inlineStr">
        <is>
          <t>4913</t>
        </is>
      </c>
      <c r="D97" s="5" t="n">
        <v>4</v>
      </c>
      <c r="E97" s="5" t="n">
        <v>1</v>
      </c>
      <c r="F97" s="5" t="n">
        <v>1</v>
      </c>
      <c r="G97" s="5" t="inlineStr"/>
      <c r="H97" s="5" t="n">
        <v>739</v>
      </c>
      <c r="I97" s="5" t="inlineStr">
        <is>
          <t>4/4/2024</t>
        </is>
      </c>
      <c r="J97" s="5" t="n">
        <v>200</v>
      </c>
      <c r="K97" s="5" t="n">
        <v>13</v>
      </c>
      <c r="L97" s="5" t="inlineStr">
        <is>
          <t>60%</t>
        </is>
      </c>
      <c r="M97" s="5" t="n">
        <v>1363</v>
      </c>
      <c r="N97" s="5" t="n">
        <v>1.84</v>
      </c>
      <c r="O97" s="5" t="n">
        <v>1258</v>
      </c>
      <c r="P97" s="5" t="n">
        <v>1.7</v>
      </c>
      <c r="Q97" s="5" t="inlineStr">
        <is>
          <t>2024-02-27</t>
        </is>
      </c>
      <c r="R97" s="5" t="inlineStr">
        <is>
          <t>2024-05-22</t>
        </is>
      </c>
      <c r="S97" s="5" t="n">
        <v>86</v>
      </c>
      <c r="T97" s="5" t="n">
        <v>49</v>
      </c>
      <c r="U97" s="48" t="inlineStr">
        <is>
          <t>Brook</t>
        </is>
      </c>
    </row>
    <row r="98">
      <c r="A98" s="5" t="inlineStr">
        <is>
          <t>Bella Mirage</t>
        </is>
      </c>
      <c r="B98" s="5" t="inlineStr">
        <is>
          <t>Brook</t>
        </is>
      </c>
      <c r="C98" s="5" t="inlineStr">
        <is>
          <t>4913</t>
        </is>
      </c>
      <c r="D98" s="5" t="n">
        <v>4</v>
      </c>
      <c r="E98" s="5" t="n">
        <v>1</v>
      </c>
      <c r="F98" s="5" t="n">
        <v>1</v>
      </c>
      <c r="G98" s="5" t="inlineStr"/>
      <c r="H98" s="5" t="n">
        <v>739</v>
      </c>
      <c r="I98" s="5" t="inlineStr">
        <is>
          <t>9/8/2025</t>
        </is>
      </c>
      <c r="J98" s="5" t="n">
        <v>300</v>
      </c>
      <c r="K98" s="5" t="n">
        <v>12</v>
      </c>
      <c r="L98" s="5" t="inlineStr">
        <is>
          <t>60%</t>
        </is>
      </c>
      <c r="M98" s="5" t="n">
        <v>1211</v>
      </c>
      <c r="N98" s="5" t="n">
        <v>1.64</v>
      </c>
      <c r="O98" s="5" t="n">
        <v>1110</v>
      </c>
      <c r="P98" s="5" t="n">
        <v>1.5</v>
      </c>
      <c r="Q98" s="5" t="inlineStr">
        <is>
          <t>2025-06-02</t>
        </is>
      </c>
      <c r="R98" s="5" t="inlineStr">
        <is>
          <t>2025-09-25</t>
        </is>
      </c>
      <c r="S98" s="5" t="n">
        <v>116</v>
      </c>
      <c r="T98" s="5" t="n">
        <v>18</v>
      </c>
      <c r="U98" s="48" t="inlineStr">
        <is>
          <t>Brook</t>
        </is>
      </c>
    </row>
    <row r="99">
      <c r="A99" s="5" t="inlineStr">
        <is>
          <t>Bella Mirage</t>
        </is>
      </c>
      <c r="B99" s="5" t="inlineStr">
        <is>
          <t>Brook</t>
        </is>
      </c>
      <c r="C99" s="5" t="inlineStr">
        <is>
          <t>3112</t>
        </is>
      </c>
      <c r="D99" s="5" t="inlineStr"/>
      <c r="E99" s="5" t="n">
        <v>1</v>
      </c>
      <c r="F99" s="5" t="n">
        <v>1</v>
      </c>
      <c r="G99" s="5" t="inlineStr"/>
      <c r="H99" s="5" t="n">
        <v>739</v>
      </c>
      <c r="I99" s="5" t="inlineStr">
        <is>
          <t>6/17/2023</t>
        </is>
      </c>
      <c r="J99" s="5" t="inlineStr"/>
      <c r="K99" s="5" t="inlineStr"/>
      <c r="L99" s="5" t="inlineStr">
        <is>
          <t>60%</t>
        </is>
      </c>
      <c r="M99" s="5" t="n">
        <v>1293</v>
      </c>
      <c r="N99" s="5" t="n">
        <v>1.75</v>
      </c>
      <c r="O99" s="5" t="n">
        <v>1230</v>
      </c>
      <c r="P99" s="5" t="n">
        <v>1.66</v>
      </c>
      <c r="Q99" s="5" t="inlineStr"/>
      <c r="R99" s="5" t="inlineStr">
        <is>
          <t>2023-08-09</t>
        </is>
      </c>
      <c r="S99" s="5" t="inlineStr"/>
      <c r="T99" s="5" t="inlineStr"/>
      <c r="U99" s="48" t="inlineStr">
        <is>
          <t>Brook</t>
        </is>
      </c>
    </row>
    <row r="100">
      <c r="A100" s="5" t="inlineStr">
        <is>
          <t>Bella Mirage</t>
        </is>
      </c>
      <c r="B100" s="5" t="inlineStr">
        <is>
          <t>Brook</t>
        </is>
      </c>
      <c r="C100" s="5" t="inlineStr">
        <is>
          <t>3112</t>
        </is>
      </c>
      <c r="D100" s="5" t="inlineStr"/>
      <c r="E100" s="5" t="n">
        <v>1</v>
      </c>
      <c r="F100" s="5" t="n">
        <v>1</v>
      </c>
      <c r="G100" s="5" t="inlineStr"/>
      <c r="H100" s="5" t="n">
        <v>739</v>
      </c>
      <c r="I100" s="5" t="inlineStr">
        <is>
          <t>11/29/2025</t>
        </is>
      </c>
      <c r="J100" s="5" t="n">
        <v>300</v>
      </c>
      <c r="K100" s="5" t="n">
        <v>13</v>
      </c>
      <c r="L100" s="5" t="inlineStr">
        <is>
          <t>60%</t>
        </is>
      </c>
      <c r="M100" s="5" t="n">
        <v>1208</v>
      </c>
      <c r="N100" s="5" t="n">
        <v>1.63</v>
      </c>
      <c r="O100" s="5" t="n">
        <v>1208</v>
      </c>
      <c r="P100" s="5" t="n">
        <v>1.63</v>
      </c>
      <c r="Q100" s="5" t="inlineStr">
        <is>
          <t>2025-09-03</t>
        </is>
      </c>
      <c r="R100" s="5" t="inlineStr">
        <is>
          <t>2025-12-13</t>
        </is>
      </c>
      <c r="S100" s="5" t="n">
        <v>102</v>
      </c>
      <c r="T100" s="5" t="n">
        <v>15</v>
      </c>
      <c r="U100" s="48" t="inlineStr">
        <is>
          <t>Brook</t>
        </is>
      </c>
    </row>
    <row r="101">
      <c r="A101" s="5" t="inlineStr">
        <is>
          <t>Bella Mirage</t>
        </is>
      </c>
      <c r="B101" s="5" t="inlineStr">
        <is>
          <t>Brook</t>
        </is>
      </c>
      <c r="C101" s="5" t="inlineStr">
        <is>
          <t>2426</t>
        </is>
      </c>
      <c r="D101" s="5" t="inlineStr"/>
      <c r="E101" s="5" t="n">
        <v>1</v>
      </c>
      <c r="F101" s="5" t="n">
        <v>1</v>
      </c>
      <c r="G101" s="5" t="inlineStr"/>
      <c r="H101" s="5" t="n">
        <v>739</v>
      </c>
      <c r="I101" s="5" t="inlineStr">
        <is>
          <t>11/11/2023</t>
        </is>
      </c>
      <c r="J101" s="5" t="inlineStr"/>
      <c r="K101" s="5" t="inlineStr"/>
      <c r="L101" s="5" t="inlineStr">
        <is>
          <t>60%</t>
        </is>
      </c>
      <c r="M101" s="5" t="n">
        <v>1355</v>
      </c>
      <c r="N101" s="5" t="n">
        <v>1.83</v>
      </c>
      <c r="O101" s="5" t="n">
        <v>1242</v>
      </c>
      <c r="P101" s="5" t="n">
        <v>1.68</v>
      </c>
      <c r="Q101" s="5" t="inlineStr">
        <is>
          <t>2023-10-31</t>
        </is>
      </c>
      <c r="R101" s="5" t="inlineStr">
        <is>
          <t>2024-01-04</t>
        </is>
      </c>
      <c r="S101" s="5" t="n">
        <v>66</v>
      </c>
      <c r="T101" s="5" t="n">
        <v>55</v>
      </c>
      <c r="U101" s="48" t="inlineStr">
        <is>
          <t>Brook</t>
        </is>
      </c>
    </row>
    <row r="102">
      <c r="A102" s="5" t="inlineStr">
        <is>
          <t>Bella Mirage</t>
        </is>
      </c>
      <c r="B102" s="5" t="inlineStr">
        <is>
          <t>Brook</t>
        </is>
      </c>
      <c r="C102" s="5" t="inlineStr">
        <is>
          <t>2426</t>
        </is>
      </c>
      <c r="D102" s="5" t="inlineStr"/>
      <c r="E102" s="5" t="n">
        <v>1</v>
      </c>
      <c r="F102" s="5" t="n">
        <v>1</v>
      </c>
      <c r="G102" s="5" t="inlineStr"/>
      <c r="H102" s="5" t="n">
        <v>739</v>
      </c>
      <c r="I102" s="5" t="inlineStr">
        <is>
          <t>4/10/2025</t>
        </is>
      </c>
      <c r="J102" s="5" t="n">
        <v>200</v>
      </c>
      <c r="K102" s="5" t="n">
        <v>12</v>
      </c>
      <c r="L102" s="5" t="inlineStr">
        <is>
          <t>60%</t>
        </is>
      </c>
      <c r="M102" s="5" t="n">
        <v>1215</v>
      </c>
      <c r="N102" s="5" t="n">
        <v>1.64</v>
      </c>
      <c r="O102" s="5" t="n">
        <v>1114</v>
      </c>
      <c r="P102" s="5" t="n">
        <v>1.51</v>
      </c>
      <c r="Q102" s="5" t="inlineStr">
        <is>
          <t>2025-01-25</t>
        </is>
      </c>
      <c r="R102" s="5" t="inlineStr">
        <is>
          <t>2025-07-03</t>
        </is>
      </c>
      <c r="S102" s="5" t="n">
        <v>160</v>
      </c>
      <c r="T102" s="5" t="n">
        <v>85</v>
      </c>
      <c r="U102" s="48" t="inlineStr">
        <is>
          <t>Brook</t>
        </is>
      </c>
    </row>
    <row r="103">
      <c r="A103" s="5" t="inlineStr">
        <is>
          <t>Bella Mirage</t>
        </is>
      </c>
      <c r="B103" s="5" t="inlineStr">
        <is>
          <t>Brook</t>
        </is>
      </c>
      <c r="C103" s="5" t="inlineStr">
        <is>
          <t>0617</t>
        </is>
      </c>
      <c r="D103" s="5" t="inlineStr"/>
      <c r="E103" s="5" t="n">
        <v>1</v>
      </c>
      <c r="F103" s="5" t="n">
        <v>1</v>
      </c>
      <c r="G103" s="5" t="inlineStr"/>
      <c r="H103" s="5" t="n">
        <v>739</v>
      </c>
      <c r="I103" s="5" t="inlineStr">
        <is>
          <t>8/15/2023</t>
        </is>
      </c>
      <c r="J103" s="5" t="inlineStr"/>
      <c r="K103" s="5" t="inlineStr"/>
      <c r="L103" s="5" t="inlineStr">
        <is>
          <t>60%</t>
        </is>
      </c>
      <c r="M103" s="5" t="n">
        <v>1209</v>
      </c>
      <c r="N103" s="5" t="n">
        <v>1.64</v>
      </c>
      <c r="O103" s="5" t="n">
        <v>1209</v>
      </c>
      <c r="P103" s="5" t="n">
        <v>1.64</v>
      </c>
      <c r="Q103" s="5" t="inlineStr">
        <is>
          <t>2023-07-24</t>
        </is>
      </c>
      <c r="R103" s="5" t="inlineStr">
        <is>
          <t>2023-07-27</t>
        </is>
      </c>
      <c r="S103" s="5" t="n">
        <v>4</v>
      </c>
      <c r="T103" s="5" t="n">
        <v>0</v>
      </c>
      <c r="U103" s="48" t="inlineStr">
        <is>
          <t>Brook</t>
        </is>
      </c>
    </row>
    <row r="104">
      <c r="A104" s="5" t="inlineStr">
        <is>
          <t>Bella Mirage</t>
        </is>
      </c>
      <c r="B104" s="5" t="inlineStr">
        <is>
          <t>Brook</t>
        </is>
      </c>
      <c r="C104" s="5" t="inlineStr">
        <is>
          <t>0617</t>
        </is>
      </c>
      <c r="D104" s="5" t="inlineStr"/>
      <c r="E104" s="5" t="n">
        <v>1</v>
      </c>
      <c r="F104" s="5" t="n">
        <v>1</v>
      </c>
      <c r="G104" s="5" t="inlineStr"/>
      <c r="H104" s="5" t="n">
        <v>739</v>
      </c>
      <c r="I104" s="5" t="inlineStr">
        <is>
          <t>9/30/2024</t>
        </is>
      </c>
      <c r="J104" s="5" t="n">
        <v>200</v>
      </c>
      <c r="K104" s="5" t="n">
        <v>13</v>
      </c>
      <c r="L104" s="5" t="inlineStr">
        <is>
          <t>60%</t>
        </is>
      </c>
      <c r="M104" s="5" t="n">
        <v>1215</v>
      </c>
      <c r="N104" s="5" t="n">
        <v>1.64</v>
      </c>
      <c r="O104" s="5" t="n">
        <v>1215</v>
      </c>
      <c r="P104" s="5" t="n">
        <v>1.64</v>
      </c>
      <c r="Q104" s="5" t="inlineStr">
        <is>
          <t>2024-07-19</t>
        </is>
      </c>
      <c r="R104" s="5" t="inlineStr">
        <is>
          <t>2024-08-09</t>
        </is>
      </c>
      <c r="S104" s="5" t="n">
        <v>22</v>
      </c>
      <c r="T104" s="5" t="n">
        <v>0</v>
      </c>
      <c r="U104" s="48" t="inlineStr">
        <is>
          <t>Brook</t>
        </is>
      </c>
    </row>
    <row r="105">
      <c r="A105" s="5" t="inlineStr">
        <is>
          <t>Bella Mirage</t>
        </is>
      </c>
      <c r="B105" s="5" t="inlineStr">
        <is>
          <t>Brook</t>
        </is>
      </c>
      <c r="C105" s="5" t="inlineStr">
        <is>
          <t>2432</t>
        </is>
      </c>
      <c r="D105" s="5" t="n">
        <v>3</v>
      </c>
      <c r="E105" s="5" t="n">
        <v>1</v>
      </c>
      <c r="F105" s="5" t="n">
        <v>1</v>
      </c>
      <c r="G105" s="5" t="inlineStr"/>
      <c r="H105" s="5" t="n">
        <v>739</v>
      </c>
      <c r="I105" s="5" t="inlineStr">
        <is>
          <t>1/12/2024</t>
        </is>
      </c>
      <c r="J105" s="5" t="n">
        <v>200</v>
      </c>
      <c r="K105" s="5" t="n">
        <v>15</v>
      </c>
      <c r="L105" s="5" t="inlineStr">
        <is>
          <t>60%</t>
        </is>
      </c>
      <c r="M105" s="5" t="n">
        <v>1313</v>
      </c>
      <c r="N105" s="5" t="n">
        <v>1.78</v>
      </c>
      <c r="O105" s="5" t="n">
        <v>1225</v>
      </c>
      <c r="P105" s="5" t="n">
        <v>1.66</v>
      </c>
      <c r="Q105" s="5" t="inlineStr">
        <is>
          <t>2023-12-23</t>
        </is>
      </c>
      <c r="R105" s="5" t="inlineStr">
        <is>
          <t>2024-03-04</t>
        </is>
      </c>
      <c r="S105" s="5" t="n">
        <v>73</v>
      </c>
      <c r="T105" s="5" t="n">
        <v>53</v>
      </c>
      <c r="U105" s="48" t="inlineStr">
        <is>
          <t>Brook</t>
        </is>
      </c>
    </row>
    <row r="106">
      <c r="A106" s="5" t="inlineStr">
        <is>
          <t>Bella Mirage</t>
        </is>
      </c>
      <c r="B106" s="5" t="inlineStr">
        <is>
          <t>Brook</t>
        </is>
      </c>
      <c r="C106" s="5" t="inlineStr">
        <is>
          <t>2432</t>
        </is>
      </c>
      <c r="D106" s="5" t="n">
        <v>3</v>
      </c>
      <c r="E106" s="5" t="n">
        <v>1</v>
      </c>
      <c r="F106" s="5" t="n">
        <v>1</v>
      </c>
      <c r="G106" s="5" t="inlineStr"/>
      <c r="H106" s="5" t="n">
        <v>739</v>
      </c>
      <c r="I106" s="5" t="inlineStr">
        <is>
          <t>8/2/2024</t>
        </is>
      </c>
      <c r="J106" s="5" t="n">
        <v>200</v>
      </c>
      <c r="K106" s="5" t="n">
        <v>15</v>
      </c>
      <c r="L106" s="5" t="inlineStr">
        <is>
          <t>60%</t>
        </is>
      </c>
      <c r="M106" s="5" t="n">
        <v>1322</v>
      </c>
      <c r="N106" s="5" t="n">
        <v>1.79</v>
      </c>
      <c r="O106" s="5" t="n">
        <v>1322</v>
      </c>
      <c r="P106" s="5" t="n">
        <v>1.79</v>
      </c>
      <c r="Q106" s="5" t="inlineStr">
        <is>
          <t>2024-07-02</t>
        </is>
      </c>
      <c r="R106" s="5" t="inlineStr">
        <is>
          <t>2024-09-08</t>
        </is>
      </c>
      <c r="S106" s="5" t="n">
        <v>69</v>
      </c>
      <c r="T106" s="5" t="n">
        <v>38</v>
      </c>
      <c r="U106" s="48" t="inlineStr">
        <is>
          <t>Brook</t>
        </is>
      </c>
    </row>
    <row r="107">
      <c r="A107" s="5" t="inlineStr">
        <is>
          <t>Bella Mirage</t>
        </is>
      </c>
      <c r="B107" s="5" t="inlineStr">
        <is>
          <t>Brook</t>
        </is>
      </c>
      <c r="C107" s="5" t="inlineStr">
        <is>
          <t>2432</t>
        </is>
      </c>
      <c r="D107" s="5" t="n">
        <v>3</v>
      </c>
      <c r="E107" s="5" t="n">
        <v>1</v>
      </c>
      <c r="F107" s="5" t="n">
        <v>1</v>
      </c>
      <c r="G107" s="5" t="inlineStr"/>
      <c r="H107" s="5" t="n">
        <v>739</v>
      </c>
      <c r="I107" s="5" t="inlineStr">
        <is>
          <t>12/22/2025</t>
        </is>
      </c>
      <c r="J107" s="5" t="n">
        <v>300</v>
      </c>
      <c r="K107" s="5" t="n">
        <v>12</v>
      </c>
      <c r="L107" s="5" t="inlineStr">
        <is>
          <t>60%</t>
        </is>
      </c>
      <c r="M107" s="5" t="n">
        <v>1218</v>
      </c>
      <c r="N107" s="5" t="n">
        <v>1.65</v>
      </c>
      <c r="O107" s="5" t="n">
        <v>1218</v>
      </c>
      <c r="P107" s="5" t="n">
        <v>1.65</v>
      </c>
      <c r="Q107" s="5" t="inlineStr">
        <is>
          <t>2025-10-14</t>
        </is>
      </c>
      <c r="R107" s="5" t="inlineStr">
        <is>
          <t>2026-03-16</t>
        </is>
      </c>
      <c r="S107" s="5" t="n">
        <v>154</v>
      </c>
      <c r="T107" s="5" t="n">
        <v>85</v>
      </c>
      <c r="U107" s="48" t="inlineStr">
        <is>
          <t>Brook</t>
        </is>
      </c>
    </row>
    <row r="108">
      <c r="A108" s="5" t="inlineStr">
        <is>
          <t>Bella Mirage</t>
        </is>
      </c>
      <c r="B108" s="5" t="inlineStr">
        <is>
          <t>Brook</t>
        </is>
      </c>
      <c r="C108" s="5" t="inlineStr">
        <is>
          <t>4917</t>
        </is>
      </c>
      <c r="D108" s="5" t="n">
        <v>4</v>
      </c>
      <c r="E108" s="5" t="n">
        <v>1</v>
      </c>
      <c r="F108" s="5" t="n">
        <v>1</v>
      </c>
      <c r="G108" s="5" t="inlineStr"/>
      <c r="H108" s="5" t="n">
        <v>739</v>
      </c>
      <c r="I108" s="5" t="inlineStr">
        <is>
          <t>1/4/2024</t>
        </is>
      </c>
      <c r="J108" s="5" t="inlineStr"/>
      <c r="K108" s="5" t="inlineStr"/>
      <c r="L108" s="5" t="inlineStr">
        <is>
          <t>60%</t>
        </is>
      </c>
      <c r="M108" s="5" t="n">
        <v>1337</v>
      </c>
      <c r="N108" s="5" t="n">
        <v>1.81</v>
      </c>
      <c r="O108" s="5" t="n">
        <v>1226</v>
      </c>
      <c r="P108" s="5" t="n">
        <v>1.66</v>
      </c>
      <c r="Q108" s="5" t="inlineStr">
        <is>
          <t>2023-12-21</t>
        </is>
      </c>
      <c r="R108" s="5" t="inlineStr">
        <is>
          <t>2024-02-08</t>
        </is>
      </c>
      <c r="S108" s="5" t="n">
        <v>50</v>
      </c>
      <c r="T108" s="5" t="n">
        <v>36</v>
      </c>
      <c r="U108" s="48" t="inlineStr">
        <is>
          <t>Brook</t>
        </is>
      </c>
    </row>
    <row r="109">
      <c r="A109" s="5" t="inlineStr">
        <is>
          <t>Bella Mirage</t>
        </is>
      </c>
      <c r="B109" s="5" t="inlineStr">
        <is>
          <t>Brook</t>
        </is>
      </c>
      <c r="C109" s="5" t="inlineStr">
        <is>
          <t>4917</t>
        </is>
      </c>
      <c r="D109" s="5" t="n">
        <v>4</v>
      </c>
      <c r="E109" s="5" t="n">
        <v>1</v>
      </c>
      <c r="F109" s="5" t="n">
        <v>1</v>
      </c>
      <c r="G109" s="5" t="inlineStr"/>
      <c r="H109" s="5" t="n">
        <v>739</v>
      </c>
      <c r="I109" s="5" t="inlineStr">
        <is>
          <t>5/31/2026</t>
        </is>
      </c>
      <c r="J109" s="5" t="n">
        <v>300</v>
      </c>
      <c r="K109" s="5" t="n">
        <v>12</v>
      </c>
      <c r="L109" s="5" t="inlineStr">
        <is>
          <t>60%</t>
        </is>
      </c>
      <c r="M109" s="5" t="n">
        <v>1218</v>
      </c>
      <c r="N109" s="5" t="n">
        <v>1.65</v>
      </c>
      <c r="O109" s="5" t="n">
        <v>1218</v>
      </c>
      <c r="P109" s="5" t="n">
        <v>1.65</v>
      </c>
      <c r="Q109" s="5" t="inlineStr">
        <is>
          <t>2026-03-11</t>
        </is>
      </c>
      <c r="R109" s="5" t="inlineStr">
        <is>
          <t>2026-05-11</t>
        </is>
      </c>
      <c r="S109" s="5" t="n">
        <v>62</v>
      </c>
      <c r="T109" s="5" t="n">
        <v>0</v>
      </c>
      <c r="U109" s="48" t="inlineStr">
        <is>
          <t>Brook</t>
        </is>
      </c>
    </row>
    <row r="110">
      <c r="A110" s="5" t="inlineStr">
        <is>
          <t>Bella Mirage</t>
        </is>
      </c>
      <c r="B110" s="5" t="inlineStr">
        <is>
          <t>Brook</t>
        </is>
      </c>
      <c r="C110" s="5" t="inlineStr">
        <is>
          <t>0812</t>
        </is>
      </c>
      <c r="D110" s="5" t="inlineStr"/>
      <c r="E110" s="5" t="n">
        <v>1</v>
      </c>
      <c r="F110" s="5" t="n">
        <v>1</v>
      </c>
      <c r="G110" s="5" t="inlineStr"/>
      <c r="H110" s="5" t="n">
        <v>739</v>
      </c>
      <c r="I110" s="5" t="inlineStr">
        <is>
          <t>8/1/2024</t>
        </is>
      </c>
      <c r="J110" s="5" t="n">
        <v>200</v>
      </c>
      <c r="K110" s="5" t="n">
        <v>12</v>
      </c>
      <c r="L110" s="5" t="inlineStr">
        <is>
          <t>60%</t>
        </is>
      </c>
      <c r="M110" s="5" t="n">
        <v>1205</v>
      </c>
      <c r="N110" s="5" t="n">
        <v>1.63</v>
      </c>
      <c r="O110" s="5" t="n">
        <v>1205</v>
      </c>
      <c r="P110" s="5" t="n">
        <v>1.63</v>
      </c>
      <c r="Q110" s="5" t="inlineStr">
        <is>
          <t>2024-05-21</t>
        </is>
      </c>
      <c r="R110" s="5" t="inlineStr">
        <is>
          <t>2024-06-16</t>
        </is>
      </c>
      <c r="S110" s="5" t="n">
        <v>27</v>
      </c>
      <c r="T110" s="5" t="n">
        <v>0</v>
      </c>
      <c r="U110" s="48" t="inlineStr">
        <is>
          <t>Brook</t>
        </is>
      </c>
    </row>
    <row r="111">
      <c r="A111" s="5" t="inlineStr">
        <is>
          <t>Bella Mirage</t>
        </is>
      </c>
      <c r="B111" s="5" t="inlineStr">
        <is>
          <t>Brook</t>
        </is>
      </c>
      <c r="C111" s="5" t="inlineStr">
        <is>
          <t>0812</t>
        </is>
      </c>
      <c r="D111" s="5" t="inlineStr"/>
      <c r="E111" s="5" t="n">
        <v>1</v>
      </c>
      <c r="F111" s="5" t="n">
        <v>1</v>
      </c>
      <c r="G111" s="5" t="inlineStr"/>
      <c r="H111" s="5" t="n">
        <v>739</v>
      </c>
      <c r="I111" s="5" t="inlineStr">
        <is>
          <t>8/10/2025</t>
        </is>
      </c>
      <c r="J111" s="5" t="n">
        <v>200</v>
      </c>
      <c r="K111" s="5" t="n">
        <v>13</v>
      </c>
      <c r="L111" s="5" t="inlineStr">
        <is>
          <t>60%</t>
        </is>
      </c>
      <c r="M111" s="5" t="n">
        <v>1220</v>
      </c>
      <c r="N111" s="5" t="n">
        <v>1.65</v>
      </c>
      <c r="O111" s="5" t="n">
        <v>1220</v>
      </c>
      <c r="P111" s="5" t="n">
        <v>1.65</v>
      </c>
      <c r="Q111" s="5" t="inlineStr">
        <is>
          <t>2025-07-03</t>
        </is>
      </c>
      <c r="R111" s="5" t="inlineStr">
        <is>
          <t>2025-08-12</t>
        </is>
      </c>
      <c r="S111" s="5" t="n">
        <v>41</v>
      </c>
      <c r="T111" s="5" t="n">
        <v>3</v>
      </c>
      <c r="U111" s="48" t="inlineStr">
        <is>
          <t>Brook</t>
        </is>
      </c>
    </row>
    <row r="112">
      <c r="A112" s="5" t="inlineStr">
        <is>
          <t>Bella Mirage</t>
        </is>
      </c>
      <c r="B112" s="5" t="inlineStr">
        <is>
          <t>Brook</t>
        </is>
      </c>
      <c r="C112" s="5" t="inlineStr">
        <is>
          <t>0827</t>
        </is>
      </c>
      <c r="D112" s="5" t="n">
        <v>2</v>
      </c>
      <c r="E112" s="5" t="n">
        <v>1</v>
      </c>
      <c r="F112" s="5" t="n">
        <v>1</v>
      </c>
      <c r="G112" s="5" t="inlineStr"/>
      <c r="H112" s="5" t="n">
        <v>739</v>
      </c>
      <c r="I112" s="5" t="inlineStr">
        <is>
          <t>5/3/2024</t>
        </is>
      </c>
      <c r="J112" s="5" t="n">
        <v>200</v>
      </c>
      <c r="K112" s="5" t="n">
        <v>13</v>
      </c>
      <c r="L112" s="5" t="inlineStr">
        <is>
          <t>60%</t>
        </is>
      </c>
      <c r="M112" s="5" t="n">
        <v>1228</v>
      </c>
      <c r="N112" s="5" t="n">
        <v>1.66</v>
      </c>
      <c r="O112" s="5" t="n">
        <v>1134</v>
      </c>
      <c r="P112" s="5" t="n">
        <v>1.53</v>
      </c>
      <c r="Q112" s="5" t="inlineStr">
        <is>
          <t>2024-02-12</t>
        </is>
      </c>
      <c r="R112" s="5" t="inlineStr">
        <is>
          <t>2024-02-22</t>
        </is>
      </c>
      <c r="S112" s="5" t="n">
        <v>11</v>
      </c>
      <c r="T112" s="5" t="n">
        <v>0</v>
      </c>
      <c r="U112" s="48" t="inlineStr">
        <is>
          <t>Brook</t>
        </is>
      </c>
    </row>
    <row r="113">
      <c r="A113" s="5" t="inlineStr">
        <is>
          <t>Bella Mirage</t>
        </is>
      </c>
      <c r="B113" s="5" t="inlineStr">
        <is>
          <t>Brook</t>
        </is>
      </c>
      <c r="C113" s="5" t="inlineStr">
        <is>
          <t>2417</t>
        </is>
      </c>
      <c r="D113" s="5" t="n">
        <v>2</v>
      </c>
      <c r="E113" s="5" t="n">
        <v>1</v>
      </c>
      <c r="F113" s="5" t="n">
        <v>1</v>
      </c>
      <c r="G113" s="5" t="inlineStr"/>
      <c r="H113" s="5" t="n">
        <v>739</v>
      </c>
      <c r="I113" s="5" t="inlineStr">
        <is>
          <t>9/10/2023</t>
        </is>
      </c>
      <c r="J113" s="5" t="inlineStr"/>
      <c r="K113" s="5" t="inlineStr"/>
      <c r="L113" s="5" t="inlineStr">
        <is>
          <t>60%</t>
        </is>
      </c>
      <c r="M113" s="5" t="n">
        <v>1293</v>
      </c>
      <c r="N113" s="5" t="n">
        <v>1.75</v>
      </c>
      <c r="O113" s="5" t="n">
        <v>1185</v>
      </c>
      <c r="P113" s="5" t="n">
        <v>1.6</v>
      </c>
      <c r="Q113" s="5" t="inlineStr">
        <is>
          <t>2023-09-04</t>
        </is>
      </c>
      <c r="R113" s="5" t="inlineStr">
        <is>
          <t>2023-11-29</t>
        </is>
      </c>
      <c r="S113" s="5" t="n">
        <v>87</v>
      </c>
      <c r="T113" s="5" t="n">
        <v>81</v>
      </c>
      <c r="U113" s="48" t="inlineStr">
        <is>
          <t>Brook</t>
        </is>
      </c>
    </row>
    <row r="114">
      <c r="A114" s="5" t="inlineStr">
        <is>
          <t>Bella Mirage</t>
        </is>
      </c>
      <c r="B114" s="5" t="inlineStr">
        <is>
          <t>Brook</t>
        </is>
      </c>
      <c r="C114" s="5" t="inlineStr">
        <is>
          <t>2417</t>
        </is>
      </c>
      <c r="D114" s="5" t="n">
        <v>2</v>
      </c>
      <c r="E114" s="5" t="n">
        <v>1</v>
      </c>
      <c r="F114" s="5" t="n">
        <v>1</v>
      </c>
      <c r="G114" s="5" t="inlineStr"/>
      <c r="H114" s="5" t="n">
        <v>739</v>
      </c>
      <c r="I114" s="5" t="inlineStr">
        <is>
          <t>12/11/2024</t>
        </is>
      </c>
      <c r="J114" s="5" t="n">
        <v>200</v>
      </c>
      <c r="K114" s="5" t="n">
        <v>13</v>
      </c>
      <c r="L114" s="5" t="inlineStr">
        <is>
          <t>60%</t>
        </is>
      </c>
      <c r="M114" s="5" t="n">
        <v>1470</v>
      </c>
      <c r="N114" s="5" t="n">
        <v>1.99</v>
      </c>
      <c r="O114" s="5" t="n">
        <v>1470</v>
      </c>
      <c r="P114" s="5" t="n">
        <v>1.99</v>
      </c>
      <c r="Q114" s="5" t="inlineStr">
        <is>
          <t>2024-09-04</t>
        </is>
      </c>
      <c r="R114" s="5" t="inlineStr">
        <is>
          <t>2024-10-30</t>
        </is>
      </c>
      <c r="S114" s="5" t="n">
        <v>57</v>
      </c>
      <c r="T114" s="5" t="n">
        <v>0</v>
      </c>
      <c r="U114" s="48" t="inlineStr">
        <is>
          <t>Brook</t>
        </is>
      </c>
    </row>
    <row r="115">
      <c r="A115" s="5" t="inlineStr">
        <is>
          <t>Bella Mirage</t>
        </is>
      </c>
      <c r="B115" s="5" t="inlineStr">
        <is>
          <t>Brook</t>
        </is>
      </c>
      <c r="C115" s="5" t="inlineStr">
        <is>
          <t>2417</t>
        </is>
      </c>
      <c r="D115" s="5" t="n">
        <v>2</v>
      </c>
      <c r="E115" s="5" t="n">
        <v>1</v>
      </c>
      <c r="F115" s="5" t="n">
        <v>1</v>
      </c>
      <c r="G115" s="5" t="inlineStr"/>
      <c r="H115" s="5" t="n">
        <v>739</v>
      </c>
      <c r="I115" s="5" t="inlineStr">
        <is>
          <t>9/30/2025</t>
        </is>
      </c>
      <c r="J115" s="5" t="n">
        <v>200</v>
      </c>
      <c r="K115" s="5" t="n">
        <v>12</v>
      </c>
      <c r="L115" s="5" t="inlineStr">
        <is>
          <t>60%</t>
        </is>
      </c>
      <c r="M115" s="5" t="n">
        <v>1270</v>
      </c>
      <c r="N115" s="5" t="n">
        <v>1.72</v>
      </c>
      <c r="O115" s="5" t="n">
        <v>1164</v>
      </c>
      <c r="P115" s="5" t="n">
        <v>1.58</v>
      </c>
      <c r="Q115" s="5" t="inlineStr">
        <is>
          <t>2025-08-07</t>
        </is>
      </c>
      <c r="R115" s="5" t="inlineStr">
        <is>
          <t>2025-08-09</t>
        </is>
      </c>
      <c r="S115" s="5" t="n">
        <v>3</v>
      </c>
      <c r="T115" s="5" t="n">
        <v>0</v>
      </c>
      <c r="U115" s="48" t="inlineStr">
        <is>
          <t>Brook</t>
        </is>
      </c>
    </row>
    <row r="116">
      <c r="A116" s="5" t="inlineStr">
        <is>
          <t>Bella Mirage</t>
        </is>
      </c>
      <c r="B116" s="5" t="inlineStr">
        <is>
          <t>Brook</t>
        </is>
      </c>
      <c r="C116" s="5" t="inlineStr">
        <is>
          <t>2417</t>
        </is>
      </c>
      <c r="D116" s="5" t="n">
        <v>2</v>
      </c>
      <c r="E116" s="5" t="n">
        <v>1</v>
      </c>
      <c r="F116" s="5" t="n">
        <v>1</v>
      </c>
      <c r="G116" s="5" t="inlineStr"/>
      <c r="H116" s="5" t="n">
        <v>739</v>
      </c>
      <c r="I116" s="5" t="inlineStr">
        <is>
          <t>6/30/2026</t>
        </is>
      </c>
      <c r="J116" s="5" t="n">
        <v>300</v>
      </c>
      <c r="K116" s="5" t="n">
        <v>12</v>
      </c>
      <c r="L116" s="5" t="inlineStr">
        <is>
          <t>60%</t>
        </is>
      </c>
      <c r="M116" s="5" t="n">
        <v>1232</v>
      </c>
      <c r="N116" s="5" t="n">
        <v>1.67</v>
      </c>
      <c r="O116" s="5" t="n">
        <v>1232</v>
      </c>
      <c r="P116" s="5" t="n">
        <v>1.67</v>
      </c>
      <c r="Q116" s="5" t="inlineStr">
        <is>
          <t>2026-05-05</t>
        </is>
      </c>
      <c r="R116" s="5" t="inlineStr">
        <is>
          <t>2026-05-15</t>
        </is>
      </c>
      <c r="S116" s="5" t="n">
        <v>11</v>
      </c>
      <c r="T116" s="5" t="n">
        <v>0</v>
      </c>
      <c r="U116" s="48" t="inlineStr">
        <is>
          <t>Brook</t>
        </is>
      </c>
    </row>
    <row r="117">
      <c r="A117" s="5" t="inlineStr">
        <is>
          <t>Bella Mirage</t>
        </is>
      </c>
      <c r="B117" s="5" t="inlineStr">
        <is>
          <t>Brook</t>
        </is>
      </c>
      <c r="C117" s="5" t="inlineStr">
        <is>
          <t>3633</t>
        </is>
      </c>
      <c r="D117" s="5" t="inlineStr"/>
      <c r="E117" s="5" t="n">
        <v>1</v>
      </c>
      <c r="F117" s="5" t="n">
        <v>1</v>
      </c>
      <c r="G117" s="5" t="inlineStr"/>
      <c r="H117" s="5" t="n">
        <v>739</v>
      </c>
      <c r="I117" s="5" t="inlineStr">
        <is>
          <t>8/19/2023</t>
        </is>
      </c>
      <c r="J117" s="5" t="inlineStr"/>
      <c r="K117" s="5" t="inlineStr"/>
      <c r="L117" s="5" t="inlineStr">
        <is>
          <t>60%</t>
        </is>
      </c>
      <c r="M117" s="5" t="n">
        <v>1329</v>
      </c>
      <c r="N117" s="5" t="n">
        <v>1.8</v>
      </c>
      <c r="O117" s="5" t="n">
        <v>1218</v>
      </c>
      <c r="P117" s="5" t="n">
        <v>1.65</v>
      </c>
      <c r="Q117" s="5" t="inlineStr">
        <is>
          <t>2023-08-08</t>
        </is>
      </c>
      <c r="R117" s="5" t="inlineStr">
        <is>
          <t>2023-11-03</t>
        </is>
      </c>
      <c r="S117" s="5" t="n">
        <v>88</v>
      </c>
      <c r="T117" s="5" t="n">
        <v>77</v>
      </c>
      <c r="U117" s="48" t="inlineStr">
        <is>
          <t>Brook</t>
        </is>
      </c>
    </row>
    <row r="118">
      <c r="A118" s="5" t="inlineStr">
        <is>
          <t>Bella Mirage</t>
        </is>
      </c>
      <c r="B118" s="5" t="inlineStr">
        <is>
          <t>Brook</t>
        </is>
      </c>
      <c r="C118" s="5" t="inlineStr">
        <is>
          <t>3633</t>
        </is>
      </c>
      <c r="D118" s="5" t="inlineStr"/>
      <c r="E118" s="5" t="n">
        <v>1</v>
      </c>
      <c r="F118" s="5" t="n">
        <v>1</v>
      </c>
      <c r="G118" s="5" t="inlineStr"/>
      <c r="H118" s="5" t="n">
        <v>739</v>
      </c>
      <c r="I118" s="5" t="inlineStr">
        <is>
          <t>12/8/2024</t>
        </is>
      </c>
      <c r="J118" s="5" t="n">
        <v>200</v>
      </c>
      <c r="K118" s="5" t="n">
        <v>12</v>
      </c>
      <c r="L118" s="5" t="inlineStr">
        <is>
          <t>60%</t>
        </is>
      </c>
      <c r="M118" s="5" t="n">
        <v>1290</v>
      </c>
      <c r="N118" s="5" t="n">
        <v>1.75</v>
      </c>
      <c r="O118" s="5" t="n">
        <v>1182</v>
      </c>
      <c r="P118" s="5" t="n">
        <v>1.6</v>
      </c>
      <c r="Q118" s="5" t="inlineStr">
        <is>
          <t>2024-10-26</t>
        </is>
      </c>
      <c r="R118" s="5" t="inlineStr">
        <is>
          <t>2024-12-16</t>
        </is>
      </c>
      <c r="S118" s="5" t="n">
        <v>52</v>
      </c>
      <c r="T118" s="5" t="n">
        <v>9</v>
      </c>
      <c r="U118" s="48" t="inlineStr">
        <is>
          <t>Brook</t>
        </is>
      </c>
    </row>
    <row r="119">
      <c r="A119" s="5" t="inlineStr">
        <is>
          <t>Bella Mirage</t>
        </is>
      </c>
      <c r="B119" s="5" t="inlineStr">
        <is>
          <t>Brook</t>
        </is>
      </c>
      <c r="C119" s="5" t="inlineStr">
        <is>
          <t>3633</t>
        </is>
      </c>
      <c r="D119" s="5" t="inlineStr"/>
      <c r="E119" s="5" t="n">
        <v>1</v>
      </c>
      <c r="F119" s="5" t="n">
        <v>1</v>
      </c>
      <c r="G119" s="5" t="inlineStr"/>
      <c r="H119" s="5" t="n">
        <v>739</v>
      </c>
      <c r="I119" s="5" t="inlineStr">
        <is>
          <t>12/5/2025</t>
        </is>
      </c>
      <c r="J119" s="5" t="n">
        <v>300</v>
      </c>
      <c r="K119" s="5" t="n">
        <v>13</v>
      </c>
      <c r="L119" s="5" t="inlineStr">
        <is>
          <t>60%</t>
        </is>
      </c>
      <c r="M119" s="5" t="n">
        <v>1232</v>
      </c>
      <c r="N119" s="5" t="n">
        <v>1.67</v>
      </c>
      <c r="O119" s="5" t="n">
        <v>1232</v>
      </c>
      <c r="P119" s="5" t="n">
        <v>1.67</v>
      </c>
      <c r="Q119" s="5" t="inlineStr">
        <is>
          <t>2025-11-26</t>
        </is>
      </c>
      <c r="R119" s="5" t="inlineStr">
        <is>
          <t>2026-01-07</t>
        </is>
      </c>
      <c r="S119" s="5" t="n">
        <v>43</v>
      </c>
      <c r="T119" s="5" t="n">
        <v>34</v>
      </c>
      <c r="U119" s="48" t="inlineStr">
        <is>
          <t>Brook</t>
        </is>
      </c>
    </row>
    <row r="120">
      <c r="A120" s="5" t="inlineStr">
        <is>
          <t>Bella Mirage</t>
        </is>
      </c>
      <c r="B120" s="5" t="inlineStr">
        <is>
          <t>Brook</t>
        </is>
      </c>
      <c r="C120" s="5" t="inlineStr">
        <is>
          <t>3423</t>
        </is>
      </c>
      <c r="D120" s="5" t="n">
        <v>3</v>
      </c>
      <c r="E120" s="5" t="n">
        <v>1</v>
      </c>
      <c r="F120" s="5" t="n">
        <v>1</v>
      </c>
      <c r="G120" s="5" t="inlineStr"/>
      <c r="H120" s="5" t="n">
        <v>739</v>
      </c>
      <c r="I120" s="5" t="inlineStr">
        <is>
          <t>5/11/2025</t>
        </is>
      </c>
      <c r="J120" s="5" t="n">
        <v>200</v>
      </c>
      <c r="K120" s="5" t="n">
        <v>12</v>
      </c>
      <c r="L120" s="5" t="inlineStr">
        <is>
          <t>60%</t>
        </is>
      </c>
      <c r="M120" s="5" t="n">
        <v>1247</v>
      </c>
      <c r="N120" s="5" t="n">
        <v>1.69</v>
      </c>
      <c r="O120" s="5" t="n">
        <v>1143</v>
      </c>
      <c r="P120" s="5" t="n">
        <v>1.55</v>
      </c>
      <c r="Q120" s="5" t="inlineStr">
        <is>
          <t>2025-02-26</t>
        </is>
      </c>
      <c r="R120" s="5" t="inlineStr">
        <is>
          <t>2025-03-14</t>
        </is>
      </c>
      <c r="S120" s="5" t="n">
        <v>17</v>
      </c>
      <c r="T120" s="5" t="n">
        <v>0</v>
      </c>
      <c r="U120" s="48" t="inlineStr">
        <is>
          <t>Brook</t>
        </is>
      </c>
    </row>
    <row r="121">
      <c r="A121" s="5" t="inlineStr">
        <is>
          <t>Bella Mirage</t>
        </is>
      </c>
      <c r="B121" s="5" t="inlineStr">
        <is>
          <t>Brook</t>
        </is>
      </c>
      <c r="C121" s="5" t="inlineStr">
        <is>
          <t>4132</t>
        </is>
      </c>
      <c r="D121" s="5" t="n">
        <v>4</v>
      </c>
      <c r="E121" s="5" t="n">
        <v>1</v>
      </c>
      <c r="F121" s="5" t="n">
        <v>1</v>
      </c>
      <c r="G121" s="5" t="inlineStr"/>
      <c r="H121" s="5" t="n">
        <v>739</v>
      </c>
      <c r="I121" s="5" t="inlineStr">
        <is>
          <t>2/25/2024</t>
        </is>
      </c>
      <c r="J121" s="5" t="inlineStr"/>
      <c r="K121" s="5" t="inlineStr"/>
      <c r="L121" s="5" t="inlineStr">
        <is>
          <t>60%</t>
        </is>
      </c>
      <c r="M121" s="5" t="n">
        <v>1280</v>
      </c>
      <c r="N121" s="5" t="n">
        <v>1.73</v>
      </c>
      <c r="O121" s="5" t="n">
        <v>1173</v>
      </c>
      <c r="P121" s="5" t="n">
        <v>1.59</v>
      </c>
      <c r="Q121" s="5" t="inlineStr">
        <is>
          <t>2024-02-08</t>
        </is>
      </c>
      <c r="R121" s="5" t="inlineStr">
        <is>
          <t>2024-02-12</t>
        </is>
      </c>
      <c r="S121" s="5" t="n">
        <v>5</v>
      </c>
      <c r="T121" s="5" t="n">
        <v>0</v>
      </c>
      <c r="U121" s="48" t="inlineStr">
        <is>
          <t>Brook</t>
        </is>
      </c>
    </row>
    <row r="122">
      <c r="A122" s="5" t="inlineStr">
        <is>
          <t>Bella Mirage</t>
        </is>
      </c>
      <c r="B122" s="5" t="inlineStr">
        <is>
          <t>Brook</t>
        </is>
      </c>
      <c r="C122" s="5" t="inlineStr">
        <is>
          <t>4132</t>
        </is>
      </c>
      <c r="D122" s="5" t="n">
        <v>4</v>
      </c>
      <c r="E122" s="5" t="n">
        <v>1</v>
      </c>
      <c r="F122" s="5" t="n">
        <v>1</v>
      </c>
      <c r="G122" s="5" t="inlineStr"/>
      <c r="H122" s="5" t="n">
        <v>739</v>
      </c>
      <c r="I122" s="5" t="inlineStr">
        <is>
          <t>6/15/2025</t>
        </is>
      </c>
      <c r="J122" s="5" t="n">
        <v>200</v>
      </c>
      <c r="K122" s="5" t="n">
        <v>12</v>
      </c>
      <c r="L122" s="5" t="inlineStr">
        <is>
          <t>60%</t>
        </is>
      </c>
      <c r="M122" s="5" t="n">
        <v>1269</v>
      </c>
      <c r="N122" s="5" t="n">
        <v>1.72</v>
      </c>
      <c r="O122" s="5" t="n">
        <v>1163</v>
      </c>
      <c r="P122" s="5" t="n">
        <v>1.57</v>
      </c>
      <c r="Q122" s="5" t="inlineStr">
        <is>
          <t>2025-03-10</t>
        </is>
      </c>
      <c r="R122" s="5" t="inlineStr">
        <is>
          <t>2025-04-24</t>
        </is>
      </c>
      <c r="S122" s="5" t="n">
        <v>46</v>
      </c>
      <c r="T122" s="5" t="n">
        <v>0</v>
      </c>
      <c r="U122" s="48" t="inlineStr">
        <is>
          <t>Brook</t>
        </is>
      </c>
    </row>
    <row r="123">
      <c r="A123" s="5" t="inlineStr">
        <is>
          <t>Bella Mirage</t>
        </is>
      </c>
      <c r="B123" s="5" t="inlineStr">
        <is>
          <t>Brook</t>
        </is>
      </c>
      <c r="C123" s="5" t="inlineStr">
        <is>
          <t>4117</t>
        </is>
      </c>
      <c r="D123" s="5" t="n">
        <v>4</v>
      </c>
      <c r="E123" s="5" t="n">
        <v>1</v>
      </c>
      <c r="F123" s="5" t="n">
        <v>1</v>
      </c>
      <c r="G123" s="5" t="inlineStr"/>
      <c r="H123" s="5" t="n">
        <v>739</v>
      </c>
      <c r="I123" s="5" t="inlineStr">
        <is>
          <t>5/3/2025</t>
        </is>
      </c>
      <c r="J123" s="5" t="n">
        <v>200</v>
      </c>
      <c r="K123" s="5" t="n">
        <v>14</v>
      </c>
      <c r="L123" s="5" t="inlineStr">
        <is>
          <t>60%</t>
        </is>
      </c>
      <c r="M123" s="5" t="n">
        <v>1301</v>
      </c>
      <c r="N123" s="5" t="n">
        <v>1.76</v>
      </c>
      <c r="O123" s="5" t="n">
        <v>1208</v>
      </c>
      <c r="P123" s="5" t="n">
        <v>1.63</v>
      </c>
      <c r="Q123" s="5" t="inlineStr">
        <is>
          <t>2025-04-26</t>
        </is>
      </c>
      <c r="R123" s="5" t="inlineStr">
        <is>
          <t>2025-05-01</t>
        </is>
      </c>
      <c r="S123" s="5" t="n">
        <v>6</v>
      </c>
      <c r="T123" s="5" t="n">
        <v>0</v>
      </c>
      <c r="U123" s="48" t="inlineStr">
        <is>
          <t>Brook</t>
        </is>
      </c>
    </row>
    <row r="124">
      <c r="A124" s="5" t="inlineStr">
        <is>
          <t>Bella Mirage</t>
        </is>
      </c>
      <c r="B124" s="5" t="inlineStr">
        <is>
          <t>Brook</t>
        </is>
      </c>
      <c r="C124" s="5" t="inlineStr">
        <is>
          <t>0627</t>
        </is>
      </c>
      <c r="D124" s="5" t="n">
        <v>2</v>
      </c>
      <c r="E124" s="5" t="n">
        <v>1</v>
      </c>
      <c r="F124" s="5" t="n">
        <v>1</v>
      </c>
      <c r="G124" s="5" t="inlineStr"/>
      <c r="H124" s="5" t="n">
        <v>739</v>
      </c>
      <c r="I124" s="5" t="inlineStr">
        <is>
          <t>11/30/2023</t>
        </is>
      </c>
      <c r="J124" s="5" t="inlineStr"/>
      <c r="K124" s="5" t="inlineStr"/>
      <c r="L124" s="5" t="inlineStr">
        <is>
          <t>60%</t>
        </is>
      </c>
      <c r="M124" s="5" t="n">
        <v>1353</v>
      </c>
      <c r="N124" s="5" t="n">
        <v>1.83</v>
      </c>
      <c r="O124" s="5" t="n">
        <v>1240</v>
      </c>
      <c r="P124" s="5" t="n">
        <v>1.68</v>
      </c>
      <c r="Q124" s="5" t="inlineStr">
        <is>
          <t>2023-11-15</t>
        </is>
      </c>
      <c r="R124" s="5" t="inlineStr">
        <is>
          <t>2024-01-11</t>
        </is>
      </c>
      <c r="S124" s="5" t="n">
        <v>58</v>
      </c>
      <c r="T124" s="5" t="n">
        <v>43</v>
      </c>
      <c r="U124" s="48" t="inlineStr">
        <is>
          <t>Brook</t>
        </is>
      </c>
    </row>
    <row r="125">
      <c r="A125" s="5" t="inlineStr">
        <is>
          <t>Bella Mirage</t>
        </is>
      </c>
      <c r="B125" s="5" t="inlineStr">
        <is>
          <t>Brook</t>
        </is>
      </c>
      <c r="C125" s="5" t="inlineStr">
        <is>
          <t>0627</t>
        </is>
      </c>
      <c r="D125" s="5" t="n">
        <v>2</v>
      </c>
      <c r="E125" s="5" t="n">
        <v>1</v>
      </c>
      <c r="F125" s="5" t="n">
        <v>1</v>
      </c>
      <c r="G125" s="5" t="inlineStr"/>
      <c r="H125" s="5" t="n">
        <v>739</v>
      </c>
      <c r="I125" s="5" t="inlineStr">
        <is>
          <t>5/24/2024</t>
        </is>
      </c>
      <c r="J125" s="5" t="n">
        <v>200</v>
      </c>
      <c r="K125" s="5" t="n">
        <v>15</v>
      </c>
      <c r="L125" s="5" t="inlineStr">
        <is>
          <t>60%</t>
        </is>
      </c>
      <c r="M125" s="5" t="n">
        <v>1318</v>
      </c>
      <c r="N125" s="5" t="n">
        <v>1.78</v>
      </c>
      <c r="O125" s="5" t="n">
        <v>1318</v>
      </c>
      <c r="P125" s="5" t="n">
        <v>1.78</v>
      </c>
      <c r="Q125" s="5" t="inlineStr">
        <is>
          <t>2024-04-27</t>
        </is>
      </c>
      <c r="R125" s="5" t="inlineStr">
        <is>
          <t>2024-07-12</t>
        </is>
      </c>
      <c r="S125" s="5" t="n">
        <v>77</v>
      </c>
      <c r="T125" s="5" t="n">
        <v>50</v>
      </c>
      <c r="U125" s="48" t="inlineStr">
        <is>
          <t>Brook</t>
        </is>
      </c>
    </row>
    <row r="126">
      <c r="A126" s="5" t="inlineStr">
        <is>
          <t>Bella Mirage</t>
        </is>
      </c>
      <c r="B126" s="5" t="inlineStr">
        <is>
          <t>Brook</t>
        </is>
      </c>
      <c r="C126" s="5" t="inlineStr">
        <is>
          <t>4137</t>
        </is>
      </c>
      <c r="D126" s="5" t="n">
        <v>4</v>
      </c>
      <c r="E126" s="5" t="n">
        <v>1</v>
      </c>
      <c r="F126" s="5" t="n">
        <v>1</v>
      </c>
      <c r="G126" s="5" t="inlineStr"/>
      <c r="H126" s="5" t="n">
        <v>739</v>
      </c>
      <c r="I126" s="5" t="inlineStr">
        <is>
          <t>8/7/2024</t>
        </is>
      </c>
      <c r="J126" s="5" t="n">
        <v>200</v>
      </c>
      <c r="K126" s="5" t="n">
        <v>12</v>
      </c>
      <c r="L126" s="5" t="inlineStr">
        <is>
          <t>60%</t>
        </is>
      </c>
      <c r="M126" s="5" t="n">
        <v>1328</v>
      </c>
      <c r="N126" s="5" t="n">
        <v>1.8</v>
      </c>
      <c r="O126" s="5" t="n">
        <v>1328</v>
      </c>
      <c r="P126" s="5" t="n">
        <v>1.8</v>
      </c>
      <c r="Q126" s="5" t="inlineStr">
        <is>
          <t>2024-06-10</t>
        </is>
      </c>
      <c r="R126" s="5" t="inlineStr">
        <is>
          <t>2024-07-25</t>
        </is>
      </c>
      <c r="S126" s="5" t="n">
        <v>46</v>
      </c>
      <c r="T126" s="5" t="n">
        <v>0</v>
      </c>
      <c r="U126" s="48" t="inlineStr">
        <is>
          <t>Brook</t>
        </is>
      </c>
    </row>
    <row r="127">
      <c r="A127" s="5" t="inlineStr">
        <is>
          <t>Bella Mirage</t>
        </is>
      </c>
      <c r="B127" s="5" t="inlineStr">
        <is>
          <t>Brook</t>
        </is>
      </c>
      <c r="C127" s="5" t="inlineStr">
        <is>
          <t>0817</t>
        </is>
      </c>
      <c r="D127" s="5" t="inlineStr"/>
      <c r="E127" s="5" t="n">
        <v>1</v>
      </c>
      <c r="F127" s="5" t="n">
        <v>1</v>
      </c>
      <c r="G127" s="5" t="inlineStr"/>
      <c r="H127" s="5" t="n">
        <v>739</v>
      </c>
      <c r="I127" s="5" t="inlineStr">
        <is>
          <t>12/27/2023</t>
        </is>
      </c>
      <c r="J127" s="5" t="inlineStr"/>
      <c r="K127" s="5" t="inlineStr"/>
      <c r="L127" s="5" t="inlineStr">
        <is>
          <t>80%</t>
        </is>
      </c>
      <c r="M127" s="5" t="n">
        <v>1330</v>
      </c>
      <c r="N127" s="5" t="n">
        <v>1.8</v>
      </c>
      <c r="O127" s="5" t="n">
        <v>1219</v>
      </c>
      <c r="P127" s="5" t="n">
        <v>1.65</v>
      </c>
      <c r="Q127" s="5" t="inlineStr">
        <is>
          <t>2023-11-06</t>
        </is>
      </c>
      <c r="R127" s="5" t="inlineStr">
        <is>
          <t>2024-02-10</t>
        </is>
      </c>
      <c r="S127" s="5" t="n">
        <v>97</v>
      </c>
      <c r="T127" s="5" t="n">
        <v>46</v>
      </c>
      <c r="U127" s="48" t="inlineStr">
        <is>
          <t>Brook</t>
        </is>
      </c>
    </row>
    <row r="128">
      <c r="A128" s="5" t="inlineStr">
        <is>
          <t>Bella Mirage</t>
        </is>
      </c>
      <c r="B128" s="5" t="inlineStr">
        <is>
          <t>Brook</t>
        </is>
      </c>
      <c r="C128" s="5" t="inlineStr">
        <is>
          <t>0817</t>
        </is>
      </c>
      <c r="D128" s="5" t="inlineStr"/>
      <c r="E128" s="5" t="n">
        <v>1</v>
      </c>
      <c r="F128" s="5" t="n">
        <v>1</v>
      </c>
      <c r="G128" s="5" t="inlineStr"/>
      <c r="H128" s="5" t="n">
        <v>739</v>
      </c>
      <c r="I128" s="5" t="inlineStr">
        <is>
          <t>4/26/2025</t>
        </is>
      </c>
      <c r="J128" s="5" t="n">
        <v>200</v>
      </c>
      <c r="K128" s="5" t="n">
        <v>13</v>
      </c>
      <c r="L128" s="5" t="inlineStr">
        <is>
          <t>80%</t>
        </is>
      </c>
      <c r="M128" s="5" t="n">
        <v>1408</v>
      </c>
      <c r="N128" s="5" t="n">
        <v>1.91</v>
      </c>
      <c r="O128" s="5" t="n">
        <v>1300</v>
      </c>
      <c r="P128" s="5" t="n">
        <v>1.76</v>
      </c>
      <c r="Q128" s="5" t="inlineStr">
        <is>
          <t>2025-04-01</t>
        </is>
      </c>
      <c r="R128" s="5" t="inlineStr">
        <is>
          <t>2025-04-16</t>
        </is>
      </c>
      <c r="S128" s="5" t="n">
        <v>16</v>
      </c>
      <c r="T128" s="5" t="n">
        <v>0</v>
      </c>
      <c r="U128" s="48" t="inlineStr">
        <is>
          <t>Brook</t>
        </is>
      </c>
    </row>
    <row r="129">
      <c r="A129" s="5" t="inlineStr">
        <is>
          <t>Bella Mirage</t>
        </is>
      </c>
      <c r="B129" s="5" t="inlineStr">
        <is>
          <t>Brook</t>
        </is>
      </c>
      <c r="C129" s="5" t="inlineStr">
        <is>
          <t>0817</t>
        </is>
      </c>
      <c r="D129" s="5" t="inlineStr"/>
      <c r="E129" s="5" t="n">
        <v>1</v>
      </c>
      <c r="F129" s="5" t="n">
        <v>1</v>
      </c>
      <c r="G129" s="5" t="inlineStr"/>
      <c r="H129" s="5" t="n">
        <v>739</v>
      </c>
      <c r="I129" s="5" t="inlineStr">
        <is>
          <t>10/8/2025</t>
        </is>
      </c>
      <c r="J129" s="5" t="n">
        <v>300</v>
      </c>
      <c r="K129" s="5" t="n">
        <v>12</v>
      </c>
      <c r="L129" s="5" t="inlineStr">
        <is>
          <t>80%</t>
        </is>
      </c>
      <c r="M129" s="5" t="n">
        <v>1400</v>
      </c>
      <c r="N129" s="5" t="n">
        <v>1.89</v>
      </c>
      <c r="O129" s="5" t="n">
        <v>1283</v>
      </c>
      <c r="P129" s="5" t="n">
        <v>1.74</v>
      </c>
      <c r="Q129" s="5" t="inlineStr">
        <is>
          <t>2025-09-02</t>
        </is>
      </c>
      <c r="R129" s="5" t="inlineStr">
        <is>
          <t>2025-10-25</t>
        </is>
      </c>
      <c r="S129" s="5" t="n">
        <v>54</v>
      </c>
      <c r="T129" s="5" t="n">
        <v>18</v>
      </c>
      <c r="U129" s="48" t="inlineStr">
        <is>
          <t>Brook</t>
        </is>
      </c>
    </row>
    <row r="130">
      <c r="A130" s="5" t="inlineStr">
        <is>
          <t>Bella Mirage</t>
        </is>
      </c>
      <c r="B130" s="5" t="inlineStr">
        <is>
          <t>Brook</t>
        </is>
      </c>
      <c r="C130" s="5" t="inlineStr">
        <is>
          <t>3622</t>
        </is>
      </c>
      <c r="D130" s="5" t="n">
        <v>3</v>
      </c>
      <c r="E130" s="5" t="n">
        <v>1</v>
      </c>
      <c r="F130" s="5" t="n">
        <v>1</v>
      </c>
      <c r="G130" s="5" t="inlineStr"/>
      <c r="H130" s="5" t="n">
        <v>739</v>
      </c>
      <c r="I130" s="5" t="inlineStr">
        <is>
          <t>3/1/2024</t>
        </is>
      </c>
      <c r="J130" s="5" t="inlineStr"/>
      <c r="K130" s="5" t="inlineStr"/>
      <c r="L130" s="5" t="inlineStr">
        <is>
          <t>60%</t>
        </is>
      </c>
      <c r="M130" s="5" t="n">
        <v>1280</v>
      </c>
      <c r="N130" s="5" t="n">
        <v>1.73</v>
      </c>
      <c r="O130" s="5" t="n">
        <v>1173</v>
      </c>
      <c r="P130" s="5" t="n">
        <v>1.59</v>
      </c>
      <c r="Q130" s="5" t="inlineStr">
        <is>
          <t>2024-02-10</t>
        </is>
      </c>
      <c r="R130" s="5" t="inlineStr">
        <is>
          <t>2024-02-11</t>
        </is>
      </c>
      <c r="S130" s="5" t="n">
        <v>2</v>
      </c>
      <c r="T130" s="5" t="n">
        <v>0</v>
      </c>
      <c r="U130" s="48" t="inlineStr">
        <is>
          <t>Brook</t>
        </is>
      </c>
    </row>
    <row r="131">
      <c r="A131" s="5" t="inlineStr">
        <is>
          <t>Bella Mirage</t>
        </is>
      </c>
      <c r="B131" s="5" t="inlineStr">
        <is>
          <t>Brook</t>
        </is>
      </c>
      <c r="C131" s="5" t="inlineStr">
        <is>
          <t>0623</t>
        </is>
      </c>
      <c r="D131" s="5" t="n">
        <v>2</v>
      </c>
      <c r="E131" s="5" t="n">
        <v>1</v>
      </c>
      <c r="F131" s="5" t="n">
        <v>1</v>
      </c>
      <c r="G131" s="5" t="inlineStr"/>
      <c r="H131" s="5" t="n">
        <v>739</v>
      </c>
      <c r="I131" s="5" t="inlineStr">
        <is>
          <t>10/25/2023</t>
        </is>
      </c>
      <c r="J131" s="5" t="inlineStr"/>
      <c r="K131" s="5" t="inlineStr"/>
      <c r="L131" s="5" t="inlineStr">
        <is>
          <t>60%</t>
        </is>
      </c>
      <c r="M131" s="5" t="n">
        <v>1284</v>
      </c>
      <c r="N131" s="5" t="n">
        <v>1.74</v>
      </c>
      <c r="O131" s="5" t="n">
        <v>1177</v>
      </c>
      <c r="P131" s="5" t="n">
        <v>1.59</v>
      </c>
      <c r="Q131" s="5" t="inlineStr">
        <is>
          <t>2023-10-25</t>
        </is>
      </c>
      <c r="R131" s="5" t="inlineStr">
        <is>
          <t>2023-11-30</t>
        </is>
      </c>
      <c r="S131" s="5" t="n">
        <v>37</v>
      </c>
      <c r="T131" s="5" t="n">
        <v>37</v>
      </c>
      <c r="U131" s="48" t="inlineStr">
        <is>
          <t>Brook</t>
        </is>
      </c>
    </row>
    <row r="132">
      <c r="A132" s="5" t="inlineStr">
        <is>
          <t>Bella Mirage</t>
        </is>
      </c>
      <c r="B132" s="5" t="inlineStr">
        <is>
          <t>Brook</t>
        </is>
      </c>
      <c r="C132" s="5" t="inlineStr">
        <is>
          <t>4927</t>
        </is>
      </c>
      <c r="D132" s="5" t="inlineStr"/>
      <c r="E132" s="5" t="n">
        <v>1</v>
      </c>
      <c r="F132" s="5" t="n">
        <v>1</v>
      </c>
      <c r="G132" s="5" t="inlineStr"/>
      <c r="H132" s="5" t="n">
        <v>739</v>
      </c>
      <c r="I132" s="5" t="inlineStr">
        <is>
          <t>6/17/2023</t>
        </is>
      </c>
      <c r="J132" s="5" t="inlineStr"/>
      <c r="K132" s="5" t="inlineStr"/>
      <c r="L132" s="5" t="inlineStr">
        <is>
          <t>60%</t>
        </is>
      </c>
      <c r="M132" s="5" t="n">
        <v>1298</v>
      </c>
      <c r="N132" s="5" t="n">
        <v>1.76</v>
      </c>
      <c r="O132" s="5" t="n">
        <v>1236</v>
      </c>
      <c r="P132" s="5" t="n">
        <v>1.67</v>
      </c>
      <c r="Q132" s="5" t="inlineStr"/>
      <c r="R132" s="5" t="inlineStr">
        <is>
          <t>2023-08-30</t>
        </is>
      </c>
      <c r="S132" s="5" t="inlineStr"/>
      <c r="T132" s="5" t="inlineStr"/>
      <c r="U132" s="48" t="inlineStr">
        <is>
          <t>Brook</t>
        </is>
      </c>
    </row>
    <row r="133">
      <c r="A133" s="5" t="inlineStr">
        <is>
          <t>Bella Mirage</t>
        </is>
      </c>
      <c r="B133" s="5" t="inlineStr">
        <is>
          <t>Brook</t>
        </is>
      </c>
      <c r="C133" s="5" t="inlineStr">
        <is>
          <t>0612</t>
        </is>
      </c>
      <c r="D133" s="5" t="inlineStr"/>
      <c r="E133" s="5" t="n">
        <v>1</v>
      </c>
      <c r="F133" s="5" t="n">
        <v>1</v>
      </c>
      <c r="G133" s="5" t="inlineStr"/>
      <c r="H133" s="5" t="n">
        <v>739</v>
      </c>
      <c r="I133" s="5" t="inlineStr">
        <is>
          <t>8/28/2023</t>
        </is>
      </c>
      <c r="J133" s="5" t="inlineStr"/>
      <c r="K133" s="5" t="inlineStr"/>
      <c r="L133" s="5" t="inlineStr">
        <is>
          <t>80%</t>
        </is>
      </c>
      <c r="M133" s="5" t="n">
        <v>1374</v>
      </c>
      <c r="N133" s="5" t="n">
        <v>1.86</v>
      </c>
      <c r="O133" s="5" t="n">
        <v>1260</v>
      </c>
      <c r="P133" s="5" t="n">
        <v>1.71</v>
      </c>
      <c r="Q133" s="5" t="inlineStr">
        <is>
          <t>2023-08-09</t>
        </is>
      </c>
      <c r="R133" s="5" t="inlineStr">
        <is>
          <t>2023-11-14</t>
        </is>
      </c>
      <c r="S133" s="5" t="n">
        <v>98</v>
      </c>
      <c r="T133" s="5" t="n">
        <v>79</v>
      </c>
      <c r="U133" s="48" t="inlineStr">
        <is>
          <t>Brook</t>
        </is>
      </c>
    </row>
    <row r="134">
      <c r="A134" s="5" t="inlineStr">
        <is>
          <t>Bella Mirage</t>
        </is>
      </c>
      <c r="B134" s="5" t="inlineStr">
        <is>
          <t>Cascade</t>
        </is>
      </c>
      <c r="C134" s="5" t="inlineStr">
        <is>
          <t>2824</t>
        </is>
      </c>
      <c r="D134" s="5" t="n">
        <v>2</v>
      </c>
      <c r="E134" s="5" t="n">
        <v>1</v>
      </c>
      <c r="F134" s="5" t="n">
        <v>1</v>
      </c>
      <c r="G134" s="5" t="inlineStr"/>
      <c r="H134" s="5" t="n">
        <v>777</v>
      </c>
      <c r="I134" s="5" t="inlineStr">
        <is>
          <t>10/26/2024</t>
        </is>
      </c>
      <c r="J134" s="5" t="n">
        <v>200</v>
      </c>
      <c r="K134" s="5" t="n">
        <v>12</v>
      </c>
      <c r="L134" s="5" t="inlineStr">
        <is>
          <t>50%</t>
        </is>
      </c>
      <c r="M134" s="5" t="n">
        <v>1224</v>
      </c>
      <c r="N134" s="5" t="n">
        <v>1.58</v>
      </c>
      <c r="O134" s="5" t="n">
        <v>1224</v>
      </c>
      <c r="P134" s="5" t="n">
        <v>1.58</v>
      </c>
      <c r="Q134" s="5" t="inlineStr">
        <is>
          <t>2024-08-12</t>
        </is>
      </c>
      <c r="R134" s="5" t="inlineStr">
        <is>
          <t>2024-09-18</t>
        </is>
      </c>
      <c r="S134" s="5" t="n">
        <v>38</v>
      </c>
      <c r="T134" s="5" t="n">
        <v>0</v>
      </c>
      <c r="U134" s="48" t="inlineStr">
        <is>
          <t>Cascade</t>
        </is>
      </c>
    </row>
    <row r="135">
      <c r="A135" s="5" t="inlineStr">
        <is>
          <t>Bella Mirage</t>
        </is>
      </c>
      <c r="B135" s="5" t="inlineStr">
        <is>
          <t>Cascade</t>
        </is>
      </c>
      <c r="C135" s="5" t="inlineStr">
        <is>
          <t>2824</t>
        </is>
      </c>
      <c r="D135" s="5" t="n">
        <v>2</v>
      </c>
      <c r="E135" s="5" t="n">
        <v>1</v>
      </c>
      <c r="F135" s="5" t="n">
        <v>1</v>
      </c>
      <c r="G135" s="5" t="inlineStr"/>
      <c r="H135" s="5" t="n">
        <v>777</v>
      </c>
      <c r="I135" s="5" t="inlineStr">
        <is>
          <t>1/15/2026</t>
        </is>
      </c>
      <c r="J135" s="5" t="n">
        <v>300</v>
      </c>
      <c r="K135" s="5" t="n">
        <v>13</v>
      </c>
      <c r="L135" s="5" t="inlineStr">
        <is>
          <t>50%</t>
        </is>
      </c>
      <c r="M135" s="5" t="n">
        <v>981</v>
      </c>
      <c r="N135" s="5" t="n">
        <v>1.26</v>
      </c>
      <c r="O135" s="5" t="n">
        <v>981</v>
      </c>
      <c r="P135" s="5" t="n">
        <v>1.26</v>
      </c>
      <c r="Q135" s="5" t="inlineStr">
        <is>
          <t>2025-11-26</t>
        </is>
      </c>
      <c r="R135" s="5" t="inlineStr">
        <is>
          <t>2026-03-06</t>
        </is>
      </c>
      <c r="S135" s="5" t="n">
        <v>101</v>
      </c>
      <c r="T135" s="5" t="n">
        <v>51</v>
      </c>
      <c r="U135" s="48" t="inlineStr">
        <is>
          <t>Cascade</t>
        </is>
      </c>
    </row>
    <row r="136">
      <c r="A136" s="5" t="inlineStr">
        <is>
          <t>Bella Mirage</t>
        </is>
      </c>
      <c r="B136" s="5" t="inlineStr">
        <is>
          <t>Cascade</t>
        </is>
      </c>
      <c r="C136" s="5" t="inlineStr">
        <is>
          <t>3022</t>
        </is>
      </c>
      <c r="D136" s="5" t="n">
        <v>3</v>
      </c>
      <c r="E136" s="5" t="n">
        <v>1</v>
      </c>
      <c r="F136" s="5" t="n">
        <v>1</v>
      </c>
      <c r="G136" s="5" t="inlineStr"/>
      <c r="H136" s="5" t="n">
        <v>777</v>
      </c>
      <c r="I136" s="5" t="inlineStr">
        <is>
          <t>2/19/2026</t>
        </is>
      </c>
      <c r="J136" s="5" t="n">
        <v>300</v>
      </c>
      <c r="K136" s="5" t="n">
        <v>12</v>
      </c>
      <c r="L136" s="5" t="inlineStr">
        <is>
          <t>50%</t>
        </is>
      </c>
      <c r="M136" s="5" t="n">
        <v>1035</v>
      </c>
      <c r="N136" s="5" t="n">
        <v>1.33</v>
      </c>
      <c r="O136" s="5" t="n">
        <v>1035</v>
      </c>
      <c r="P136" s="5" t="n">
        <v>1.33</v>
      </c>
      <c r="Q136" s="5" t="inlineStr">
        <is>
          <t>2025-11-04</t>
        </is>
      </c>
      <c r="R136" s="5" t="inlineStr">
        <is>
          <t>2026-03-09</t>
        </is>
      </c>
      <c r="S136" s="5" t="n">
        <v>126</v>
      </c>
      <c r="T136" s="5" t="n">
        <v>19</v>
      </c>
      <c r="U136" s="48" t="inlineStr">
        <is>
          <t>Cascade</t>
        </is>
      </c>
    </row>
    <row r="137">
      <c r="A137" s="5" t="inlineStr">
        <is>
          <t>Bella Mirage</t>
        </is>
      </c>
      <c r="B137" s="5" t="inlineStr">
        <is>
          <t>Cascade</t>
        </is>
      </c>
      <c r="C137" s="5" t="inlineStr">
        <is>
          <t>1837</t>
        </is>
      </c>
      <c r="D137" s="5" t="inlineStr"/>
      <c r="E137" s="5" t="n">
        <v>1</v>
      </c>
      <c r="F137" s="5" t="n">
        <v>1</v>
      </c>
      <c r="G137" s="5" t="inlineStr"/>
      <c r="H137" s="5" t="n">
        <v>777</v>
      </c>
      <c r="I137" s="5" t="inlineStr">
        <is>
          <t>9/20/2024</t>
        </is>
      </c>
      <c r="J137" s="5" t="n">
        <v>200</v>
      </c>
      <c r="K137" s="5" t="n">
        <v>12</v>
      </c>
      <c r="L137" s="5" t="inlineStr">
        <is>
          <t>50%</t>
        </is>
      </c>
      <c r="M137" s="5" t="n">
        <v>1144</v>
      </c>
      <c r="N137" s="5" t="n">
        <v>1.47</v>
      </c>
      <c r="O137" s="5" t="n">
        <v>1049</v>
      </c>
      <c r="P137" s="5" t="n">
        <v>1.35</v>
      </c>
      <c r="Q137" s="5" t="inlineStr">
        <is>
          <t>2024-09-06</t>
        </is>
      </c>
      <c r="R137" s="5" t="inlineStr">
        <is>
          <t>2024-11-14</t>
        </is>
      </c>
      <c r="S137" s="5" t="n">
        <v>70</v>
      </c>
      <c r="T137" s="5" t="n">
        <v>56</v>
      </c>
      <c r="U137" s="48" t="inlineStr">
        <is>
          <t>Cascade</t>
        </is>
      </c>
    </row>
    <row r="138">
      <c r="A138" s="5" t="inlineStr">
        <is>
          <t>Bella Mirage</t>
        </is>
      </c>
      <c r="B138" s="5" t="inlineStr">
        <is>
          <t>Cascade</t>
        </is>
      </c>
      <c r="C138" s="5" t="inlineStr">
        <is>
          <t>1837</t>
        </is>
      </c>
      <c r="D138" s="5" t="inlineStr"/>
      <c r="E138" s="5" t="n">
        <v>1</v>
      </c>
      <c r="F138" s="5" t="n">
        <v>1</v>
      </c>
      <c r="G138" s="5" t="inlineStr"/>
      <c r="H138" s="5" t="n">
        <v>777</v>
      </c>
      <c r="I138" s="5" t="inlineStr">
        <is>
          <t>2/26/2026</t>
        </is>
      </c>
      <c r="J138" s="5" t="n">
        <v>300</v>
      </c>
      <c r="K138" s="5" t="n">
        <v>12</v>
      </c>
      <c r="L138" s="5" t="inlineStr">
        <is>
          <t>50%</t>
        </is>
      </c>
      <c r="M138" s="5" t="n">
        <v>1035</v>
      </c>
      <c r="N138" s="5" t="n">
        <v>1.33</v>
      </c>
      <c r="O138" s="5" t="n">
        <v>1035</v>
      </c>
      <c r="P138" s="5" t="n">
        <v>1.33</v>
      </c>
      <c r="Q138" s="5" t="inlineStr">
        <is>
          <t>2026-01-22</t>
        </is>
      </c>
      <c r="R138" s="5" t="inlineStr">
        <is>
          <t>2026-03-11</t>
        </is>
      </c>
      <c r="S138" s="5" t="n">
        <v>49</v>
      </c>
      <c r="T138" s="5" t="n">
        <v>14</v>
      </c>
      <c r="U138" s="48" t="inlineStr">
        <is>
          <t>Cascade</t>
        </is>
      </c>
    </row>
    <row r="139">
      <c r="A139" s="5" t="inlineStr">
        <is>
          <t>Bella Mirage</t>
        </is>
      </c>
      <c r="B139" s="5" t="inlineStr">
        <is>
          <t>Cascade</t>
        </is>
      </c>
      <c r="C139" s="5" t="inlineStr">
        <is>
          <t>2823</t>
        </is>
      </c>
      <c r="D139" s="5" t="n">
        <v>2</v>
      </c>
      <c r="E139" s="5" t="n">
        <v>1</v>
      </c>
      <c r="F139" s="5" t="n">
        <v>1</v>
      </c>
      <c r="G139" s="5" t="inlineStr"/>
      <c r="H139" s="5" t="n">
        <v>777</v>
      </c>
      <c r="I139" s="5" t="inlineStr">
        <is>
          <t>4/10/2026</t>
        </is>
      </c>
      <c r="J139" s="5" t="n">
        <v>300</v>
      </c>
      <c r="K139" s="5" t="n">
        <v>12</v>
      </c>
      <c r="L139" s="5" t="inlineStr">
        <is>
          <t>50%</t>
        </is>
      </c>
      <c r="M139" s="5" t="n">
        <v>1037</v>
      </c>
      <c r="N139" s="5" t="n">
        <v>1.33</v>
      </c>
      <c r="O139" s="5" t="n">
        <v>1037</v>
      </c>
      <c r="P139" s="5" t="n">
        <v>1.33</v>
      </c>
      <c r="Q139" s="5" t="inlineStr">
        <is>
          <t>2026-03-03</t>
        </is>
      </c>
      <c r="R139" s="5" t="inlineStr">
        <is>
          <t>2026-04-29</t>
        </is>
      </c>
      <c r="S139" s="5" t="n">
        <v>58</v>
      </c>
      <c r="T139" s="5" t="n">
        <v>20</v>
      </c>
      <c r="U139" s="48" t="inlineStr">
        <is>
          <t>Cascade</t>
        </is>
      </c>
    </row>
    <row r="140">
      <c r="A140" s="5" t="inlineStr">
        <is>
          <t>Bella Mirage</t>
        </is>
      </c>
      <c r="B140" s="5" t="inlineStr">
        <is>
          <t>Cascade</t>
        </is>
      </c>
      <c r="C140" s="5" t="inlineStr">
        <is>
          <t>0122</t>
        </is>
      </c>
      <c r="D140" s="5" t="inlineStr"/>
      <c r="E140" s="5" t="n">
        <v>1</v>
      </c>
      <c r="F140" s="5" t="n">
        <v>1</v>
      </c>
      <c r="G140" s="5" t="inlineStr"/>
      <c r="H140" s="5" t="n">
        <v>777</v>
      </c>
      <c r="I140" s="5" t="inlineStr">
        <is>
          <t>2/1/2026</t>
        </is>
      </c>
      <c r="J140" s="5" t="n">
        <v>300</v>
      </c>
      <c r="K140" s="5" t="n">
        <v>13</v>
      </c>
      <c r="L140" s="5" t="inlineStr">
        <is>
          <t>50%</t>
        </is>
      </c>
      <c r="M140" s="5" t="n">
        <v>1042</v>
      </c>
      <c r="N140" s="5" t="n">
        <v>1.34</v>
      </c>
      <c r="O140" s="5" t="n">
        <v>1042</v>
      </c>
      <c r="P140" s="5" t="n">
        <v>1.34</v>
      </c>
      <c r="Q140" s="5" t="inlineStr">
        <is>
          <t>2025-11-18</t>
        </is>
      </c>
      <c r="R140" s="5" t="inlineStr">
        <is>
          <t>2025-12-03</t>
        </is>
      </c>
      <c r="S140" s="5" t="n">
        <v>16</v>
      </c>
      <c r="T140" s="5" t="n">
        <v>0</v>
      </c>
      <c r="U140" s="48" t="inlineStr">
        <is>
          <t>Cascade</t>
        </is>
      </c>
    </row>
    <row r="141">
      <c r="A141" s="5" t="inlineStr">
        <is>
          <t>Bella Mirage</t>
        </is>
      </c>
      <c r="B141" s="5" t="inlineStr">
        <is>
          <t>Cascade</t>
        </is>
      </c>
      <c r="C141" s="5" t="inlineStr">
        <is>
          <t>5826</t>
        </is>
      </c>
      <c r="D141" s="5" t="n">
        <v>2</v>
      </c>
      <c r="E141" s="5" t="n">
        <v>1</v>
      </c>
      <c r="F141" s="5" t="n">
        <v>1</v>
      </c>
      <c r="G141" s="5" t="inlineStr"/>
      <c r="H141" s="5" t="n">
        <v>777</v>
      </c>
      <c r="I141" s="5" t="inlineStr">
        <is>
          <t>9/16/2024</t>
        </is>
      </c>
      <c r="J141" s="5" t="n">
        <v>200</v>
      </c>
      <c r="K141" s="5" t="n">
        <v>13</v>
      </c>
      <c r="L141" s="5" t="inlineStr">
        <is>
          <t>50%</t>
        </is>
      </c>
      <c r="M141" s="5" t="n">
        <v>1330</v>
      </c>
      <c r="N141" s="5" t="n">
        <v>1.71</v>
      </c>
      <c r="O141" s="5" t="n">
        <v>1330</v>
      </c>
      <c r="P141" s="5" t="n">
        <v>1.71</v>
      </c>
      <c r="Q141" s="5" t="inlineStr">
        <is>
          <t>2024-07-02</t>
        </is>
      </c>
      <c r="R141" s="5" t="inlineStr">
        <is>
          <t>2024-08-06</t>
        </is>
      </c>
      <c r="S141" s="5" t="n">
        <v>36</v>
      </c>
      <c r="T141" s="5" t="n">
        <v>0</v>
      </c>
      <c r="U141" s="48" t="inlineStr">
        <is>
          <t>Cascade</t>
        </is>
      </c>
    </row>
    <row r="142">
      <c r="A142" s="5" t="inlineStr">
        <is>
          <t>Bella Mirage</t>
        </is>
      </c>
      <c r="B142" s="5" t="inlineStr">
        <is>
          <t>Cascade</t>
        </is>
      </c>
      <c r="C142" s="5" t="inlineStr">
        <is>
          <t>5826</t>
        </is>
      </c>
      <c r="D142" s="5" t="n">
        <v>2</v>
      </c>
      <c r="E142" s="5" t="n">
        <v>1</v>
      </c>
      <c r="F142" s="5" t="n">
        <v>1</v>
      </c>
      <c r="G142" s="5" t="inlineStr"/>
      <c r="H142" s="5" t="n">
        <v>777</v>
      </c>
      <c r="I142" s="5" t="inlineStr">
        <is>
          <t>10/31/2025</t>
        </is>
      </c>
      <c r="J142" s="5" t="n">
        <v>300</v>
      </c>
      <c r="K142" s="5" t="n">
        <v>12</v>
      </c>
      <c r="L142" s="5" t="inlineStr">
        <is>
          <t>50%</t>
        </is>
      </c>
      <c r="M142" s="5" t="n">
        <v>1046</v>
      </c>
      <c r="N142" s="5" t="n">
        <v>1.35</v>
      </c>
      <c r="O142" s="5" t="n">
        <v>1046</v>
      </c>
      <c r="P142" s="5" t="n">
        <v>1.35</v>
      </c>
      <c r="Q142" s="5" t="inlineStr">
        <is>
          <t>2025-08-13</t>
        </is>
      </c>
      <c r="R142" s="5" t="inlineStr">
        <is>
          <t>2025-12-12</t>
        </is>
      </c>
      <c r="S142" s="5" t="n">
        <v>122</v>
      </c>
      <c r="T142" s="5" t="n">
        <v>43</v>
      </c>
      <c r="U142" s="48" t="inlineStr">
        <is>
          <t>Cascade</t>
        </is>
      </c>
    </row>
    <row r="143">
      <c r="A143" s="5" t="inlineStr">
        <is>
          <t>Bella Mirage</t>
        </is>
      </c>
      <c r="B143" s="5" t="inlineStr">
        <is>
          <t>Cascade</t>
        </is>
      </c>
      <c r="C143" s="5" t="inlineStr">
        <is>
          <t>4236</t>
        </is>
      </c>
      <c r="D143" s="5" t="n">
        <v>4</v>
      </c>
      <c r="E143" s="5" t="n">
        <v>1</v>
      </c>
      <c r="F143" s="5" t="n">
        <v>1</v>
      </c>
      <c r="G143" s="5" t="inlineStr"/>
      <c r="H143" s="5" t="n">
        <v>777</v>
      </c>
      <c r="I143" s="5" t="inlineStr">
        <is>
          <t>10/2/2024</t>
        </is>
      </c>
      <c r="J143" s="5" t="n">
        <v>200</v>
      </c>
      <c r="K143" s="5" t="n">
        <v>12</v>
      </c>
      <c r="L143" s="5" t="inlineStr">
        <is>
          <t>50%</t>
        </is>
      </c>
      <c r="M143" s="5" t="n">
        <v>1334</v>
      </c>
      <c r="N143" s="5" t="n">
        <v>1.72</v>
      </c>
      <c r="O143" s="5" t="n">
        <v>1334</v>
      </c>
      <c r="P143" s="5" t="n">
        <v>1.72</v>
      </c>
      <c r="Q143" s="5" t="inlineStr">
        <is>
          <t>2024-06-20</t>
        </is>
      </c>
      <c r="R143" s="5" t="inlineStr">
        <is>
          <t>2024-09-26</t>
        </is>
      </c>
      <c r="S143" s="5" t="n">
        <v>99</v>
      </c>
      <c r="T143" s="5" t="n">
        <v>0</v>
      </c>
      <c r="U143" s="48" t="inlineStr">
        <is>
          <t>Cascade</t>
        </is>
      </c>
    </row>
    <row r="144">
      <c r="A144" s="5" t="inlineStr">
        <is>
          <t>Bella Mirage</t>
        </is>
      </c>
      <c r="B144" s="5" t="inlineStr">
        <is>
          <t>Cascade</t>
        </is>
      </c>
      <c r="C144" s="5" t="inlineStr">
        <is>
          <t>4236</t>
        </is>
      </c>
      <c r="D144" s="5" t="n">
        <v>4</v>
      </c>
      <c r="E144" s="5" t="n">
        <v>1</v>
      </c>
      <c r="F144" s="5" t="n">
        <v>1</v>
      </c>
      <c r="G144" s="5" t="inlineStr"/>
      <c r="H144" s="5" t="n">
        <v>777</v>
      </c>
      <c r="I144" s="5" t="inlineStr">
        <is>
          <t>9/20/2025</t>
        </is>
      </c>
      <c r="J144" s="5" t="n">
        <v>300</v>
      </c>
      <c r="K144" s="5" t="n">
        <v>12</v>
      </c>
      <c r="L144" s="5" t="inlineStr">
        <is>
          <t>50%</t>
        </is>
      </c>
      <c r="M144" s="5" t="n">
        <v>1047</v>
      </c>
      <c r="N144" s="5" t="n">
        <v>1.35</v>
      </c>
      <c r="O144" s="5" t="n">
        <v>1047</v>
      </c>
      <c r="P144" s="5" t="n">
        <v>1.35</v>
      </c>
      <c r="Q144" s="5" t="inlineStr">
        <is>
          <t>2025-08-13</t>
        </is>
      </c>
      <c r="R144" s="5" t="inlineStr">
        <is>
          <t>2025-11-19</t>
        </is>
      </c>
      <c r="S144" s="5" t="n">
        <v>99</v>
      </c>
      <c r="T144" s="5" t="n">
        <v>61</v>
      </c>
      <c r="U144" s="48" t="inlineStr">
        <is>
          <t>Cascade</t>
        </is>
      </c>
    </row>
    <row r="145">
      <c r="A145" s="5" t="inlineStr">
        <is>
          <t>Bella Mirage</t>
        </is>
      </c>
      <c r="B145" s="5" t="inlineStr">
        <is>
          <t>Cascade</t>
        </is>
      </c>
      <c r="C145" s="5" t="inlineStr">
        <is>
          <t>3323</t>
        </is>
      </c>
      <c r="D145" s="5" t="n">
        <v>3</v>
      </c>
      <c r="E145" s="5" t="n">
        <v>1</v>
      </c>
      <c r="F145" s="5" t="n">
        <v>1</v>
      </c>
      <c r="G145" s="5" t="inlineStr"/>
      <c r="H145" s="5" t="n">
        <v>777</v>
      </c>
      <c r="I145" s="5" t="inlineStr">
        <is>
          <t>9/1/2025</t>
        </is>
      </c>
      <c r="J145" s="5" t="n">
        <v>300</v>
      </c>
      <c r="K145" s="5" t="n">
        <v>12</v>
      </c>
      <c r="L145" s="5" t="inlineStr">
        <is>
          <t>50%</t>
        </is>
      </c>
      <c r="M145" s="5" t="n">
        <v>1047</v>
      </c>
      <c r="N145" s="5" t="n">
        <v>1.35</v>
      </c>
      <c r="O145" s="5" t="n">
        <v>1047</v>
      </c>
      <c r="P145" s="5" t="n">
        <v>1.35</v>
      </c>
      <c r="Q145" s="5" t="inlineStr">
        <is>
          <t>2025-07-25</t>
        </is>
      </c>
      <c r="R145" s="5" t="inlineStr">
        <is>
          <t>2025-11-17</t>
        </is>
      </c>
      <c r="S145" s="5" t="n">
        <v>116</v>
      </c>
      <c r="T145" s="5" t="n">
        <v>78</v>
      </c>
      <c r="U145" s="48" t="inlineStr">
        <is>
          <t>Cascade</t>
        </is>
      </c>
    </row>
    <row r="146">
      <c r="A146" s="5" t="inlineStr">
        <is>
          <t>Bella Mirage</t>
        </is>
      </c>
      <c r="B146" s="5" t="inlineStr">
        <is>
          <t>Cascade</t>
        </is>
      </c>
      <c r="C146" s="5" t="inlineStr">
        <is>
          <t>0126</t>
        </is>
      </c>
      <c r="D146" s="5" t="inlineStr"/>
      <c r="E146" s="5" t="n">
        <v>1</v>
      </c>
      <c r="F146" s="5" t="n">
        <v>1</v>
      </c>
      <c r="G146" s="5" t="inlineStr"/>
      <c r="H146" s="5" t="n">
        <v>777</v>
      </c>
      <c r="I146" s="5" t="inlineStr">
        <is>
          <t>6/22/2024</t>
        </is>
      </c>
      <c r="J146" s="5" t="n">
        <v>200</v>
      </c>
      <c r="K146" s="5" t="n">
        <v>12</v>
      </c>
      <c r="L146" s="5" t="inlineStr">
        <is>
          <t>50%</t>
        </is>
      </c>
      <c r="M146" s="5" t="n">
        <v>1338</v>
      </c>
      <c r="N146" s="5" t="n">
        <v>1.72</v>
      </c>
      <c r="O146" s="5" t="n">
        <v>1226</v>
      </c>
      <c r="P146" s="5" t="n">
        <v>1.58</v>
      </c>
      <c r="Q146" s="5" t="inlineStr">
        <is>
          <t>2024-04-23</t>
        </is>
      </c>
      <c r="R146" s="5" t="inlineStr">
        <is>
          <t>2024-05-12</t>
        </is>
      </c>
      <c r="S146" s="5" t="n">
        <v>20</v>
      </c>
      <c r="T146" s="5" t="n">
        <v>0</v>
      </c>
      <c r="U146" s="48" t="inlineStr">
        <is>
          <t>Cascade</t>
        </is>
      </c>
    </row>
    <row r="147">
      <c r="A147" s="5" t="inlineStr">
        <is>
          <t>Bella Mirage</t>
        </is>
      </c>
      <c r="B147" s="5" t="inlineStr">
        <is>
          <t>Cascade</t>
        </is>
      </c>
      <c r="C147" s="5" t="inlineStr">
        <is>
          <t>0126</t>
        </is>
      </c>
      <c r="D147" s="5" t="inlineStr"/>
      <c r="E147" s="5" t="n">
        <v>1</v>
      </c>
      <c r="F147" s="5" t="n">
        <v>1</v>
      </c>
      <c r="G147" s="5" t="inlineStr"/>
      <c r="H147" s="5" t="n">
        <v>777</v>
      </c>
      <c r="I147" s="5" t="inlineStr">
        <is>
          <t>8/14/2025</t>
        </is>
      </c>
      <c r="J147" s="5" t="n">
        <v>200</v>
      </c>
      <c r="K147" s="5" t="n">
        <v>13</v>
      </c>
      <c r="L147" s="5" t="inlineStr">
        <is>
          <t>50%</t>
        </is>
      </c>
      <c r="M147" s="5" t="n">
        <v>1212</v>
      </c>
      <c r="N147" s="5" t="n">
        <v>1.56</v>
      </c>
      <c r="O147" s="5" t="n">
        <v>1212</v>
      </c>
      <c r="P147" s="5" t="n">
        <v>1.56</v>
      </c>
      <c r="Q147" s="5" t="inlineStr">
        <is>
          <t>2025-07-29</t>
        </is>
      </c>
      <c r="R147" s="5" t="inlineStr">
        <is>
          <t>2025-08-21</t>
        </is>
      </c>
      <c r="S147" s="5" t="n">
        <v>24</v>
      </c>
      <c r="T147" s="5" t="n">
        <v>8</v>
      </c>
      <c r="U147" s="48" t="inlineStr">
        <is>
          <t>Cascade</t>
        </is>
      </c>
    </row>
    <row r="148">
      <c r="A148" s="5" t="inlineStr">
        <is>
          <t>Bella Mirage</t>
        </is>
      </c>
      <c r="B148" s="5" t="inlineStr">
        <is>
          <t>Cascade</t>
        </is>
      </c>
      <c r="C148" s="5" t="inlineStr">
        <is>
          <t>0113</t>
        </is>
      </c>
      <c r="D148" s="5" t="n">
        <v>1</v>
      </c>
      <c r="E148" s="5" t="n">
        <v>1</v>
      </c>
      <c r="F148" s="5" t="n">
        <v>1</v>
      </c>
      <c r="G148" s="5" t="inlineStr"/>
      <c r="H148" s="5" t="n">
        <v>777</v>
      </c>
      <c r="I148" s="5" t="inlineStr">
        <is>
          <t>1/7/2026</t>
        </is>
      </c>
      <c r="J148" s="5" t="n">
        <v>300</v>
      </c>
      <c r="K148" s="5" t="n">
        <v>12</v>
      </c>
      <c r="L148" s="5" t="inlineStr">
        <is>
          <t>50%</t>
        </is>
      </c>
      <c r="M148" s="5" t="n">
        <v>1062</v>
      </c>
      <c r="N148" s="5" t="n">
        <v>1.37</v>
      </c>
      <c r="O148" s="5" t="n">
        <v>1062</v>
      </c>
      <c r="P148" s="5" t="n">
        <v>1.37</v>
      </c>
      <c r="Q148" s="5" t="inlineStr">
        <is>
          <t>2025-10-23</t>
        </is>
      </c>
      <c r="R148" s="5" t="inlineStr">
        <is>
          <t>2025-11-18</t>
        </is>
      </c>
      <c r="S148" s="5" t="n">
        <v>27</v>
      </c>
      <c r="T148" s="5" t="n">
        <v>0</v>
      </c>
      <c r="U148" s="48" t="inlineStr">
        <is>
          <t>Cascade</t>
        </is>
      </c>
    </row>
    <row r="149">
      <c r="A149" s="5" t="inlineStr">
        <is>
          <t>Bella Mirage</t>
        </is>
      </c>
      <c r="B149" s="5" t="inlineStr">
        <is>
          <t>Cascade</t>
        </is>
      </c>
      <c r="C149" s="5" t="inlineStr">
        <is>
          <t>2711</t>
        </is>
      </c>
      <c r="D149" s="5" t="n">
        <v>2</v>
      </c>
      <c r="E149" s="5" t="n">
        <v>1</v>
      </c>
      <c r="F149" s="5" t="n">
        <v>1</v>
      </c>
      <c r="G149" s="5" t="inlineStr"/>
      <c r="H149" s="5" t="n">
        <v>777</v>
      </c>
      <c r="I149" s="5" t="inlineStr">
        <is>
          <t>5/12/2024</t>
        </is>
      </c>
      <c r="J149" s="5" t="n">
        <v>200</v>
      </c>
      <c r="K149" s="5" t="n">
        <v>12</v>
      </c>
      <c r="L149" s="5" t="inlineStr">
        <is>
          <t>50%</t>
        </is>
      </c>
      <c r="M149" s="5" t="n">
        <v>1119</v>
      </c>
      <c r="N149" s="5" t="n">
        <v>1.44</v>
      </c>
      <c r="O149" s="5" t="n">
        <v>1026</v>
      </c>
      <c r="P149" s="5" t="n">
        <v>1.32</v>
      </c>
      <c r="Q149" s="5" t="inlineStr">
        <is>
          <t>2024-02-28</t>
        </is>
      </c>
      <c r="R149" s="5" t="inlineStr">
        <is>
          <t>2024-06-12</t>
        </is>
      </c>
      <c r="S149" s="5" t="n">
        <v>106</v>
      </c>
      <c r="T149" s="5" t="n">
        <v>32</v>
      </c>
      <c r="U149" s="48" t="inlineStr">
        <is>
          <t>Cascade</t>
        </is>
      </c>
    </row>
    <row r="150">
      <c r="A150" s="5" t="inlineStr">
        <is>
          <t>Bella Mirage</t>
        </is>
      </c>
      <c r="B150" s="5" t="inlineStr">
        <is>
          <t>Cascade</t>
        </is>
      </c>
      <c r="C150" s="5" t="inlineStr">
        <is>
          <t>2711</t>
        </is>
      </c>
      <c r="D150" s="5" t="n">
        <v>2</v>
      </c>
      <c r="E150" s="5" t="n">
        <v>1</v>
      </c>
      <c r="F150" s="5" t="n">
        <v>1</v>
      </c>
      <c r="G150" s="5" t="inlineStr"/>
      <c r="H150" s="5" t="n">
        <v>777</v>
      </c>
      <c r="I150" s="5" t="inlineStr">
        <is>
          <t>2/9/2025</t>
        </is>
      </c>
      <c r="J150" s="5" t="n">
        <v>200</v>
      </c>
      <c r="K150" s="5" t="n">
        <v>15</v>
      </c>
      <c r="L150" s="5" t="inlineStr">
        <is>
          <t>50%</t>
        </is>
      </c>
      <c r="M150" s="5" t="n">
        <v>1119</v>
      </c>
      <c r="N150" s="5" t="n">
        <v>1.44</v>
      </c>
      <c r="O150" s="5" t="n">
        <v>1044</v>
      </c>
      <c r="P150" s="5" t="n">
        <v>1.34</v>
      </c>
      <c r="Q150" s="5" t="inlineStr">
        <is>
          <t>2025-02-02</t>
        </is>
      </c>
      <c r="R150" s="5" t="inlineStr">
        <is>
          <t>2025-04-06</t>
        </is>
      </c>
      <c r="S150" s="5" t="n">
        <v>64</v>
      </c>
      <c r="T150" s="5" t="n">
        <v>57</v>
      </c>
      <c r="U150" s="48" t="inlineStr">
        <is>
          <t>Cascade</t>
        </is>
      </c>
    </row>
    <row r="151">
      <c r="A151" s="5" t="inlineStr">
        <is>
          <t>Bella Mirage</t>
        </is>
      </c>
      <c r="B151" s="5" t="inlineStr">
        <is>
          <t>Cascade</t>
        </is>
      </c>
      <c r="C151" s="5" t="inlineStr">
        <is>
          <t>2711</t>
        </is>
      </c>
      <c r="D151" s="5" t="n">
        <v>2</v>
      </c>
      <c r="E151" s="5" t="n">
        <v>1</v>
      </c>
      <c r="F151" s="5" t="n">
        <v>1</v>
      </c>
      <c r="G151" s="5" t="inlineStr"/>
      <c r="H151" s="5" t="n">
        <v>777</v>
      </c>
      <c r="I151" s="5" t="inlineStr">
        <is>
          <t>1/29/2026</t>
        </is>
      </c>
      <c r="J151" s="5" t="n">
        <v>300</v>
      </c>
      <c r="K151" s="5" t="n">
        <v>13</v>
      </c>
      <c r="L151" s="5" t="inlineStr">
        <is>
          <t>50%</t>
        </is>
      </c>
      <c r="M151" s="5" t="n">
        <v>1062</v>
      </c>
      <c r="N151" s="5" t="n">
        <v>1.37</v>
      </c>
      <c r="O151" s="5" t="n">
        <v>1062</v>
      </c>
      <c r="P151" s="5" t="n">
        <v>1.37</v>
      </c>
      <c r="Q151" s="5" t="inlineStr">
        <is>
          <t>2025-11-14</t>
        </is>
      </c>
      <c r="R151" s="5" t="inlineStr">
        <is>
          <t>2025-11-21</t>
        </is>
      </c>
      <c r="S151" s="5" t="n">
        <v>8</v>
      </c>
      <c r="T151" s="5" t="n">
        <v>0</v>
      </c>
      <c r="U151" s="48" t="inlineStr">
        <is>
          <t>Cascade</t>
        </is>
      </c>
    </row>
    <row r="152">
      <c r="A152" s="5" t="inlineStr">
        <is>
          <t>Bella Mirage</t>
        </is>
      </c>
      <c r="B152" s="5" t="inlineStr">
        <is>
          <t>Cascade</t>
        </is>
      </c>
      <c r="C152" s="5" t="inlineStr">
        <is>
          <t>5328</t>
        </is>
      </c>
      <c r="D152" s="5" t="inlineStr"/>
      <c r="E152" s="5" t="n">
        <v>1</v>
      </c>
      <c r="F152" s="5" t="n">
        <v>1</v>
      </c>
      <c r="G152" s="5" t="inlineStr"/>
      <c r="H152" s="5" t="n">
        <v>777</v>
      </c>
      <c r="I152" s="5" t="inlineStr">
        <is>
          <t>10/16/2023</t>
        </is>
      </c>
      <c r="J152" s="5" t="inlineStr"/>
      <c r="K152" s="5" t="inlineStr"/>
      <c r="L152" s="5" t="inlineStr">
        <is>
          <t>50%</t>
        </is>
      </c>
      <c r="M152" s="5" t="n">
        <v>1263</v>
      </c>
      <c r="N152" s="5" t="n">
        <v>1.63</v>
      </c>
      <c r="O152" s="5" t="n">
        <v>1158</v>
      </c>
      <c r="P152" s="5" t="n">
        <v>1.49</v>
      </c>
      <c r="Q152" s="5" t="inlineStr">
        <is>
          <t>2023-10-16</t>
        </is>
      </c>
      <c r="R152" s="5" t="inlineStr">
        <is>
          <t>2023-10-27</t>
        </is>
      </c>
      <c r="S152" s="5" t="n">
        <v>12</v>
      </c>
      <c r="T152" s="5" t="n">
        <v>12</v>
      </c>
      <c r="U152" s="48" t="inlineStr">
        <is>
          <t>Cascade</t>
        </is>
      </c>
    </row>
    <row r="153">
      <c r="A153" s="5" t="inlineStr">
        <is>
          <t>Bella Mirage</t>
        </is>
      </c>
      <c r="B153" s="5" t="inlineStr">
        <is>
          <t>Cascade</t>
        </is>
      </c>
      <c r="C153" s="5" t="inlineStr">
        <is>
          <t>5328</t>
        </is>
      </c>
      <c r="D153" s="5" t="inlineStr"/>
      <c r="E153" s="5" t="n">
        <v>1</v>
      </c>
      <c r="F153" s="5" t="n">
        <v>1</v>
      </c>
      <c r="G153" s="5" t="inlineStr"/>
      <c r="H153" s="5" t="n">
        <v>777</v>
      </c>
      <c r="I153" s="5" t="inlineStr">
        <is>
          <t>9/17/2025</t>
        </is>
      </c>
      <c r="J153" s="5" t="n">
        <v>300</v>
      </c>
      <c r="K153" s="5" t="n">
        <v>12</v>
      </c>
      <c r="L153" s="5" t="inlineStr">
        <is>
          <t>50%</t>
        </is>
      </c>
      <c r="M153" s="5" t="n">
        <v>1065</v>
      </c>
      <c r="N153" s="5" t="n">
        <v>1.37</v>
      </c>
      <c r="O153" s="5" t="n">
        <v>1065</v>
      </c>
      <c r="P153" s="5" t="n">
        <v>1.37</v>
      </c>
      <c r="Q153" s="5" t="inlineStr">
        <is>
          <t>2025-09-03</t>
        </is>
      </c>
      <c r="R153" s="5" t="inlineStr">
        <is>
          <t>2025-11-26</t>
        </is>
      </c>
      <c r="S153" s="5" t="n">
        <v>85</v>
      </c>
      <c r="T153" s="5" t="n">
        <v>71</v>
      </c>
      <c r="U153" s="48" t="inlineStr">
        <is>
          <t>Cascade</t>
        </is>
      </c>
    </row>
    <row r="154">
      <c r="A154" s="5" t="inlineStr">
        <is>
          <t>Bella Mirage</t>
        </is>
      </c>
      <c r="B154" s="5" t="inlineStr">
        <is>
          <t>Cascade</t>
        </is>
      </c>
      <c r="C154" s="5" t="inlineStr">
        <is>
          <t>4223</t>
        </is>
      </c>
      <c r="D154" s="5" t="n">
        <v>4</v>
      </c>
      <c r="E154" s="5" t="n">
        <v>1</v>
      </c>
      <c r="F154" s="5" t="n">
        <v>1</v>
      </c>
      <c r="G154" s="5" t="inlineStr"/>
      <c r="H154" s="5" t="n">
        <v>777</v>
      </c>
      <c r="I154" s="5" t="inlineStr">
        <is>
          <t>3/23/2024</t>
        </is>
      </c>
      <c r="J154" s="5" t="n">
        <v>200</v>
      </c>
      <c r="K154" s="5" t="n">
        <v>12</v>
      </c>
      <c r="L154" s="5" t="inlineStr">
        <is>
          <t>50%</t>
        </is>
      </c>
      <c r="M154" s="5" t="n">
        <v>1225</v>
      </c>
      <c r="N154" s="5" t="n">
        <v>1.58</v>
      </c>
      <c r="O154" s="5" t="n">
        <v>1225</v>
      </c>
      <c r="P154" s="5" t="n">
        <v>1.58</v>
      </c>
      <c r="Q154" s="5" t="inlineStr">
        <is>
          <t>2024-03-01</t>
        </is>
      </c>
      <c r="R154" s="5" t="inlineStr">
        <is>
          <t>2024-06-15</t>
        </is>
      </c>
      <c r="S154" s="5" t="n">
        <v>107</v>
      </c>
      <c r="T154" s="5" t="n">
        <v>85</v>
      </c>
      <c r="U154" s="48" t="inlineStr">
        <is>
          <t>Cascade</t>
        </is>
      </c>
    </row>
    <row r="155">
      <c r="A155" s="5" t="inlineStr">
        <is>
          <t>Bella Mirage</t>
        </is>
      </c>
      <c r="B155" s="5" t="inlineStr">
        <is>
          <t>Cascade</t>
        </is>
      </c>
      <c r="C155" s="5" t="inlineStr">
        <is>
          <t>4223</t>
        </is>
      </c>
      <c r="D155" s="5" t="n">
        <v>4</v>
      </c>
      <c r="E155" s="5" t="n">
        <v>1</v>
      </c>
      <c r="F155" s="5" t="n">
        <v>1</v>
      </c>
      <c r="G155" s="5" t="inlineStr"/>
      <c r="H155" s="5" t="n">
        <v>777</v>
      </c>
      <c r="I155" s="5" t="inlineStr">
        <is>
          <t>10/3/2025</t>
        </is>
      </c>
      <c r="J155" s="5" t="n">
        <v>300</v>
      </c>
      <c r="K155" s="5" t="n">
        <v>12</v>
      </c>
      <c r="L155" s="5" t="inlineStr">
        <is>
          <t>50%</t>
        </is>
      </c>
      <c r="M155" s="5" t="n">
        <v>1071</v>
      </c>
      <c r="N155" s="5" t="n">
        <v>1.38</v>
      </c>
      <c r="O155" s="5" t="n">
        <v>1071</v>
      </c>
      <c r="P155" s="5" t="n">
        <v>1.38</v>
      </c>
      <c r="Q155" s="5" t="inlineStr">
        <is>
          <t>2025-07-06</t>
        </is>
      </c>
      <c r="R155" s="5" t="inlineStr">
        <is>
          <t>2025-12-13</t>
        </is>
      </c>
      <c r="S155" s="5" t="n">
        <v>161</v>
      </c>
      <c r="T155" s="5" t="n">
        <v>72</v>
      </c>
      <c r="U155" s="48" t="inlineStr">
        <is>
          <t>Cascade</t>
        </is>
      </c>
    </row>
    <row r="156">
      <c r="A156" s="5" t="inlineStr">
        <is>
          <t>Bella Mirage</t>
        </is>
      </c>
      <c r="B156" s="5" t="inlineStr">
        <is>
          <t>Cascade</t>
        </is>
      </c>
      <c r="C156" s="5" t="inlineStr">
        <is>
          <t>4036</t>
        </is>
      </c>
      <c r="D156" s="5" t="inlineStr"/>
      <c r="E156" s="5" t="n">
        <v>1</v>
      </c>
      <c r="F156" s="5" t="n">
        <v>1</v>
      </c>
      <c r="G156" s="5" t="inlineStr"/>
      <c r="H156" s="5" t="n">
        <v>777</v>
      </c>
      <c r="I156" s="5" t="inlineStr">
        <is>
          <t>12/27/2025</t>
        </is>
      </c>
      <c r="J156" s="5" t="n">
        <v>300</v>
      </c>
      <c r="K156" s="5" t="n">
        <v>12</v>
      </c>
      <c r="L156" s="5" t="inlineStr">
        <is>
          <t>50%</t>
        </is>
      </c>
      <c r="M156" s="5" t="n">
        <v>1071</v>
      </c>
      <c r="N156" s="5" t="n">
        <v>1.38</v>
      </c>
      <c r="O156" s="5" t="n">
        <v>1071</v>
      </c>
      <c r="P156" s="5" t="n">
        <v>1.38</v>
      </c>
      <c r="Q156" s="5" t="inlineStr">
        <is>
          <t>2025-10-15</t>
        </is>
      </c>
      <c r="R156" s="5" t="inlineStr">
        <is>
          <t>2026-02-21</t>
        </is>
      </c>
      <c r="S156" s="5" t="n">
        <v>130</v>
      </c>
      <c r="T156" s="5" t="n">
        <v>57</v>
      </c>
      <c r="U156" s="48" t="inlineStr">
        <is>
          <t>Cascade</t>
        </is>
      </c>
    </row>
    <row r="157">
      <c r="A157" s="5" t="inlineStr">
        <is>
          <t>Bella Mirage</t>
        </is>
      </c>
      <c r="B157" s="5" t="inlineStr">
        <is>
          <t>Cascade</t>
        </is>
      </c>
      <c r="C157" s="5" t="inlineStr">
        <is>
          <t>0915</t>
        </is>
      </c>
      <c r="D157" s="5" t="n">
        <v>1</v>
      </c>
      <c r="E157" s="5" t="n">
        <v>1</v>
      </c>
      <c r="F157" s="5" t="n">
        <v>1</v>
      </c>
      <c r="G157" s="5" t="inlineStr"/>
      <c r="H157" s="5" t="n">
        <v>777</v>
      </c>
      <c r="I157" s="5" t="inlineStr">
        <is>
          <t>8/7/2025</t>
        </is>
      </c>
      <c r="J157" s="5" t="n">
        <v>200</v>
      </c>
      <c r="K157" s="5" t="n">
        <v>12</v>
      </c>
      <c r="L157" s="5" t="inlineStr">
        <is>
          <t>50%</t>
        </is>
      </c>
      <c r="M157" s="5" t="n">
        <v>1074</v>
      </c>
      <c r="N157" s="5" t="n">
        <v>1.38</v>
      </c>
      <c r="O157" s="5" t="n">
        <v>984</v>
      </c>
      <c r="P157" s="5" t="n">
        <v>1.27</v>
      </c>
      <c r="Q157" s="5" t="inlineStr">
        <is>
          <t>2025-05-15</t>
        </is>
      </c>
      <c r="R157" s="5" t="inlineStr">
        <is>
          <t>2025-05-25</t>
        </is>
      </c>
      <c r="S157" s="5" t="n">
        <v>11</v>
      </c>
      <c r="T157" s="5" t="n">
        <v>0</v>
      </c>
      <c r="U157" s="48" t="inlineStr">
        <is>
          <t>Cascade</t>
        </is>
      </c>
    </row>
    <row r="158">
      <c r="A158" s="5" t="inlineStr">
        <is>
          <t>Bella Mirage</t>
        </is>
      </c>
      <c r="B158" s="5" t="inlineStr">
        <is>
          <t>Cascade</t>
        </is>
      </c>
      <c r="C158" s="5" t="inlineStr">
        <is>
          <t>0926</t>
        </is>
      </c>
      <c r="D158" s="5" t="n">
        <v>2</v>
      </c>
      <c r="E158" s="5" t="n">
        <v>1</v>
      </c>
      <c r="F158" s="5" t="n">
        <v>1</v>
      </c>
      <c r="G158" s="5" t="inlineStr"/>
      <c r="H158" s="5" t="n">
        <v>777</v>
      </c>
      <c r="I158" s="5" t="inlineStr">
        <is>
          <t>9/30/2025</t>
        </is>
      </c>
      <c r="J158" s="5" t="n">
        <v>200</v>
      </c>
      <c r="K158" s="5" t="n">
        <v>12</v>
      </c>
      <c r="L158" s="5" t="inlineStr">
        <is>
          <t>50%</t>
        </is>
      </c>
      <c r="M158" s="5" t="n">
        <v>1077</v>
      </c>
      <c r="N158" s="5" t="n">
        <v>1.39</v>
      </c>
      <c r="O158" s="5" t="n">
        <v>987</v>
      </c>
      <c r="P158" s="5" t="n">
        <v>1.27</v>
      </c>
      <c r="Q158" s="5" t="inlineStr">
        <is>
          <t>2025-07-16</t>
        </is>
      </c>
      <c r="R158" s="5" t="inlineStr">
        <is>
          <t>2025-08-05</t>
        </is>
      </c>
      <c r="S158" s="5" t="n">
        <v>21</v>
      </c>
      <c r="T158" s="5" t="n">
        <v>0</v>
      </c>
      <c r="U158" s="48" t="inlineStr">
        <is>
          <t>Cascade</t>
        </is>
      </c>
    </row>
    <row r="159">
      <c r="A159" s="5" t="inlineStr">
        <is>
          <t>Bella Mirage</t>
        </is>
      </c>
      <c r="B159" s="5" t="inlineStr">
        <is>
          <t>Cascade</t>
        </is>
      </c>
      <c r="C159" s="5" t="inlineStr">
        <is>
          <t>3822</t>
        </is>
      </c>
      <c r="D159" s="5" t="n">
        <v>3</v>
      </c>
      <c r="E159" s="5" t="n">
        <v>1</v>
      </c>
      <c r="F159" s="5" t="n">
        <v>1</v>
      </c>
      <c r="G159" s="5" t="inlineStr"/>
      <c r="H159" s="5" t="n">
        <v>777</v>
      </c>
      <c r="I159" s="5" t="inlineStr">
        <is>
          <t>8/9/2024</t>
        </is>
      </c>
      <c r="J159" s="5" t="n">
        <v>200</v>
      </c>
      <c r="K159" s="5" t="n">
        <v>12</v>
      </c>
      <c r="L159" s="5" t="inlineStr">
        <is>
          <t>50%</t>
        </is>
      </c>
      <c r="M159" s="5" t="n">
        <v>1225</v>
      </c>
      <c r="N159" s="5" t="n">
        <v>1.58</v>
      </c>
      <c r="O159" s="5" t="n">
        <v>1225</v>
      </c>
      <c r="P159" s="5" t="n">
        <v>1.58</v>
      </c>
      <c r="Q159" s="5" t="inlineStr">
        <is>
          <t>2024-05-28</t>
        </is>
      </c>
      <c r="R159" s="5" t="inlineStr">
        <is>
          <t>2024-06-16</t>
        </is>
      </c>
      <c r="S159" s="5" t="n">
        <v>20</v>
      </c>
      <c r="T159" s="5" t="n">
        <v>0</v>
      </c>
      <c r="U159" s="48" t="inlineStr">
        <is>
          <t>Cascade</t>
        </is>
      </c>
    </row>
    <row r="160">
      <c r="A160" s="5" t="inlineStr">
        <is>
          <t>Bella Mirage</t>
        </is>
      </c>
      <c r="B160" s="5" t="inlineStr">
        <is>
          <t>Cascade</t>
        </is>
      </c>
      <c r="C160" s="5" t="inlineStr">
        <is>
          <t>3822</t>
        </is>
      </c>
      <c r="D160" s="5" t="n">
        <v>3</v>
      </c>
      <c r="E160" s="5" t="n">
        <v>1</v>
      </c>
      <c r="F160" s="5" t="n">
        <v>1</v>
      </c>
      <c r="G160" s="5" t="inlineStr"/>
      <c r="H160" s="5" t="n">
        <v>777</v>
      </c>
      <c r="I160" s="5" t="inlineStr">
        <is>
          <t>8/10/2025</t>
        </is>
      </c>
      <c r="J160" s="5" t="n">
        <v>300</v>
      </c>
      <c r="K160" s="5" t="n">
        <v>15</v>
      </c>
      <c r="L160" s="5" t="inlineStr">
        <is>
          <t>50%</t>
        </is>
      </c>
      <c r="M160" s="5" t="n">
        <v>1079</v>
      </c>
      <c r="N160" s="5" t="n">
        <v>1.39</v>
      </c>
      <c r="O160" s="5" t="n">
        <v>1079</v>
      </c>
      <c r="P160" s="5" t="n">
        <v>1.39</v>
      </c>
      <c r="Q160" s="5" t="inlineStr">
        <is>
          <t>2025-07-04</t>
        </is>
      </c>
      <c r="R160" s="5" t="inlineStr">
        <is>
          <t>2025-12-08</t>
        </is>
      </c>
      <c r="S160" s="5" t="n">
        <v>158</v>
      </c>
      <c r="T160" s="5" t="n">
        <v>121</v>
      </c>
      <c r="U160" s="48" t="inlineStr">
        <is>
          <t>Cascade</t>
        </is>
      </c>
    </row>
    <row r="161">
      <c r="A161" s="5" t="inlineStr">
        <is>
          <t>Bella Mirage</t>
        </is>
      </c>
      <c r="B161" s="5" t="inlineStr">
        <is>
          <t>Cascade</t>
        </is>
      </c>
      <c r="C161" s="5" t="inlineStr">
        <is>
          <t>4237</t>
        </is>
      </c>
      <c r="D161" s="5" t="n">
        <v>4</v>
      </c>
      <c r="E161" s="5" t="n">
        <v>1</v>
      </c>
      <c r="F161" s="5" t="n">
        <v>1</v>
      </c>
      <c r="G161" s="5" t="inlineStr"/>
      <c r="H161" s="5" t="n">
        <v>777</v>
      </c>
      <c r="I161" s="5" t="inlineStr">
        <is>
          <t>7/12/2024</t>
        </is>
      </c>
      <c r="J161" s="5" t="n">
        <v>200</v>
      </c>
      <c r="K161" s="5" t="n">
        <v>14</v>
      </c>
      <c r="L161" s="5" t="inlineStr">
        <is>
          <t>50%</t>
        </is>
      </c>
      <c r="M161" s="5" t="n">
        <v>1299</v>
      </c>
      <c r="N161" s="5" t="n">
        <v>1.67</v>
      </c>
      <c r="O161" s="5" t="n">
        <v>1299</v>
      </c>
      <c r="P161" s="5" t="n">
        <v>1.67</v>
      </c>
      <c r="Q161" s="5" t="inlineStr">
        <is>
          <t>2024-04-24</t>
        </is>
      </c>
      <c r="R161" s="5" t="inlineStr">
        <is>
          <t>2024-08-14</t>
        </is>
      </c>
      <c r="S161" s="5" t="n">
        <v>113</v>
      </c>
      <c r="T161" s="5" t="n">
        <v>34</v>
      </c>
      <c r="U161" s="48" t="inlineStr">
        <is>
          <t>Cascade</t>
        </is>
      </c>
    </row>
    <row r="162">
      <c r="A162" s="5" t="inlineStr">
        <is>
          <t>Bella Mirage</t>
        </is>
      </c>
      <c r="B162" s="5" t="inlineStr">
        <is>
          <t>Cascade</t>
        </is>
      </c>
      <c r="C162" s="5" t="inlineStr">
        <is>
          <t>4237</t>
        </is>
      </c>
      <c r="D162" s="5" t="n">
        <v>4</v>
      </c>
      <c r="E162" s="5" t="n">
        <v>1</v>
      </c>
      <c r="F162" s="5" t="n">
        <v>1</v>
      </c>
      <c r="G162" s="5" t="inlineStr"/>
      <c r="H162" s="5" t="n">
        <v>777</v>
      </c>
      <c r="I162" s="5" t="inlineStr">
        <is>
          <t>4/8/2026</t>
        </is>
      </c>
      <c r="J162" s="5" t="n">
        <v>300</v>
      </c>
      <c r="K162" s="5" t="n">
        <v>12</v>
      </c>
      <c r="L162" s="5" t="inlineStr">
        <is>
          <t>50%</t>
        </is>
      </c>
      <c r="M162" s="5" t="n">
        <v>1080</v>
      </c>
      <c r="N162" s="5" t="n">
        <v>1.39</v>
      </c>
      <c r="O162" s="5" t="n">
        <v>1080</v>
      </c>
      <c r="P162" s="5" t="n">
        <v>1.39</v>
      </c>
      <c r="Q162" s="5" t="inlineStr">
        <is>
          <t>2026-03-10</t>
        </is>
      </c>
      <c r="R162" s="5" t="inlineStr">
        <is>
          <t>2026-05-20</t>
        </is>
      </c>
      <c r="S162" s="5" t="n">
        <v>72</v>
      </c>
      <c r="T162" s="5" t="n">
        <v>43</v>
      </c>
      <c r="U162" s="48" t="inlineStr">
        <is>
          <t>Cascade</t>
        </is>
      </c>
    </row>
    <row r="163">
      <c r="A163" s="5" t="inlineStr">
        <is>
          <t>Bella Mirage</t>
        </is>
      </c>
      <c r="B163" s="5" t="inlineStr">
        <is>
          <t>Cascade</t>
        </is>
      </c>
      <c r="C163" s="5" t="inlineStr">
        <is>
          <t>0914</t>
        </is>
      </c>
      <c r="D163" s="5" t="n">
        <v>1</v>
      </c>
      <c r="E163" s="5" t="n">
        <v>1</v>
      </c>
      <c r="F163" s="5" t="n">
        <v>1</v>
      </c>
      <c r="G163" s="5" t="inlineStr"/>
      <c r="H163" s="5" t="n">
        <v>777</v>
      </c>
      <c r="I163" s="5" t="inlineStr">
        <is>
          <t>11/9/2025</t>
        </is>
      </c>
      <c r="J163" s="5" t="n">
        <v>300</v>
      </c>
      <c r="K163" s="5" t="n">
        <v>12</v>
      </c>
      <c r="L163" s="5" t="inlineStr">
        <is>
          <t>50%</t>
        </is>
      </c>
      <c r="M163" s="5" t="n">
        <v>1085</v>
      </c>
      <c r="N163" s="5" t="n">
        <v>1.4</v>
      </c>
      <c r="O163" s="5" t="n">
        <v>1085</v>
      </c>
      <c r="P163" s="5" t="n">
        <v>1.4</v>
      </c>
      <c r="Q163" s="5" t="inlineStr">
        <is>
          <t>2025-09-09</t>
        </is>
      </c>
      <c r="R163" s="5" t="inlineStr">
        <is>
          <t>2025-11-30</t>
        </is>
      </c>
      <c r="S163" s="5" t="n">
        <v>83</v>
      </c>
      <c r="T163" s="5" t="n">
        <v>22</v>
      </c>
      <c r="U163" s="48" t="inlineStr">
        <is>
          <t>Cascade</t>
        </is>
      </c>
    </row>
    <row r="164">
      <c r="A164" s="5" t="inlineStr">
        <is>
          <t>Bella Mirage</t>
        </is>
      </c>
      <c r="B164" s="5" t="inlineStr">
        <is>
          <t>Cascade</t>
        </is>
      </c>
      <c r="C164" s="5" t="inlineStr">
        <is>
          <t>4026</t>
        </is>
      </c>
      <c r="D164" s="5" t="n">
        <v>4</v>
      </c>
      <c r="E164" s="5" t="n">
        <v>1</v>
      </c>
      <c r="F164" s="5" t="n">
        <v>1</v>
      </c>
      <c r="G164" s="5" t="inlineStr"/>
      <c r="H164" s="5" t="n">
        <v>777</v>
      </c>
      <c r="I164" s="5" t="inlineStr">
        <is>
          <t>4/7/2026</t>
        </is>
      </c>
      <c r="J164" s="5" t="n">
        <v>300</v>
      </c>
      <c r="K164" s="5" t="n">
        <v>12</v>
      </c>
      <c r="L164" s="5" t="inlineStr">
        <is>
          <t>50%</t>
        </is>
      </c>
      <c r="M164" s="5" t="n">
        <v>1090</v>
      </c>
      <c r="N164" s="5" t="n">
        <v>1.4</v>
      </c>
      <c r="O164" s="5" t="n">
        <v>1090</v>
      </c>
      <c r="P164" s="5" t="n">
        <v>1.4</v>
      </c>
      <c r="Q164" s="5" t="inlineStr">
        <is>
          <t>2026-03-24</t>
        </is>
      </c>
      <c r="R164" s="5" t="inlineStr">
        <is>
          <t>2026-05-15</t>
        </is>
      </c>
      <c r="S164" s="5" t="n">
        <v>53</v>
      </c>
      <c r="T164" s="5" t="n">
        <v>39</v>
      </c>
      <c r="U164" s="48" t="inlineStr">
        <is>
          <t>Cascade</t>
        </is>
      </c>
    </row>
    <row r="165">
      <c r="A165" s="5" t="inlineStr">
        <is>
          <t>Bella Mirage</t>
        </is>
      </c>
      <c r="B165" s="5" t="inlineStr">
        <is>
          <t>Cascade</t>
        </is>
      </c>
      <c r="C165" s="5" t="inlineStr">
        <is>
          <t>5827</t>
        </is>
      </c>
      <c r="D165" s="5" t="inlineStr"/>
      <c r="E165" s="5" t="n">
        <v>1</v>
      </c>
      <c r="F165" s="5" t="n">
        <v>1</v>
      </c>
      <c r="G165" s="5" t="inlineStr"/>
      <c r="H165" s="5" t="n">
        <v>777</v>
      </c>
      <c r="I165" s="5" t="inlineStr">
        <is>
          <t>7/25/2024</t>
        </is>
      </c>
      <c r="J165" s="5" t="n">
        <v>200</v>
      </c>
      <c r="K165" s="5" t="n">
        <v>15</v>
      </c>
      <c r="L165" s="5" t="inlineStr">
        <is>
          <t>50%</t>
        </is>
      </c>
      <c r="M165" s="5" t="n">
        <v>1223</v>
      </c>
      <c r="N165" s="5" t="n">
        <v>1.57</v>
      </c>
      <c r="O165" s="5" t="n">
        <v>1223</v>
      </c>
      <c r="P165" s="5" t="n">
        <v>1.57</v>
      </c>
      <c r="Q165" s="5" t="inlineStr">
        <is>
          <t>2024-06-27</t>
        </is>
      </c>
      <c r="R165" s="5" t="inlineStr">
        <is>
          <t>2024-09-24</t>
        </is>
      </c>
      <c r="S165" s="5" t="n">
        <v>90</v>
      </c>
      <c r="T165" s="5" t="n">
        <v>62</v>
      </c>
      <c r="U165" s="48" t="inlineStr">
        <is>
          <t>Cascade</t>
        </is>
      </c>
    </row>
    <row r="166">
      <c r="A166" s="5" t="inlineStr">
        <is>
          <t>Bella Mirage</t>
        </is>
      </c>
      <c r="B166" s="5" t="inlineStr">
        <is>
          <t>Cascade</t>
        </is>
      </c>
      <c r="C166" s="5" t="inlineStr">
        <is>
          <t>5827</t>
        </is>
      </c>
      <c r="D166" s="5" t="inlineStr"/>
      <c r="E166" s="5" t="n">
        <v>1</v>
      </c>
      <c r="F166" s="5" t="n">
        <v>1</v>
      </c>
      <c r="G166" s="5" t="inlineStr"/>
      <c r="H166" s="5" t="n">
        <v>777</v>
      </c>
      <c r="I166" s="5" t="inlineStr">
        <is>
          <t>2/28/2025</t>
        </is>
      </c>
      <c r="J166" s="5" t="n">
        <v>200</v>
      </c>
      <c r="K166" s="5" t="n">
        <v>12</v>
      </c>
      <c r="L166" s="5" t="inlineStr">
        <is>
          <t>50%</t>
        </is>
      </c>
      <c r="M166" s="5" t="n">
        <v>1349</v>
      </c>
      <c r="N166" s="5" t="n">
        <v>1.74</v>
      </c>
      <c r="O166" s="5" t="n">
        <v>1237</v>
      </c>
      <c r="P166" s="5" t="n">
        <v>1.59</v>
      </c>
      <c r="Q166" s="5" t="inlineStr">
        <is>
          <t>2025-01-14</t>
        </is>
      </c>
      <c r="R166" s="5" t="inlineStr">
        <is>
          <t>2025-02-06</t>
        </is>
      </c>
      <c r="S166" s="5" t="n">
        <v>24</v>
      </c>
      <c r="T166" s="5" t="n">
        <v>0</v>
      </c>
      <c r="U166" s="48" t="inlineStr">
        <is>
          <t>Cascade</t>
        </is>
      </c>
    </row>
    <row r="167">
      <c r="A167" s="5" t="inlineStr">
        <is>
          <t>Bella Mirage</t>
        </is>
      </c>
      <c r="B167" s="5" t="inlineStr">
        <is>
          <t>Cascade</t>
        </is>
      </c>
      <c r="C167" s="5" t="inlineStr">
        <is>
          <t>5827</t>
        </is>
      </c>
      <c r="D167" s="5" t="inlineStr"/>
      <c r="E167" s="5" t="n">
        <v>1</v>
      </c>
      <c r="F167" s="5" t="n">
        <v>1</v>
      </c>
      <c r="G167" s="5" t="inlineStr"/>
      <c r="H167" s="5" t="n">
        <v>777</v>
      </c>
      <c r="I167" s="5" t="inlineStr">
        <is>
          <t>1/20/2026</t>
        </is>
      </c>
      <c r="J167" s="5" t="n">
        <v>300</v>
      </c>
      <c r="K167" s="5" t="n">
        <v>12</v>
      </c>
      <c r="L167" s="5" t="inlineStr">
        <is>
          <t>50%</t>
        </is>
      </c>
      <c r="M167" s="5" t="n">
        <v>1098</v>
      </c>
      <c r="N167" s="5" t="n">
        <v>1.41</v>
      </c>
      <c r="O167" s="5" t="n">
        <v>1098</v>
      </c>
      <c r="P167" s="5" t="n">
        <v>1.41</v>
      </c>
      <c r="Q167" s="5" t="inlineStr">
        <is>
          <t>2026-01-06</t>
        </is>
      </c>
      <c r="R167" s="5" t="inlineStr">
        <is>
          <t>2026-03-12</t>
        </is>
      </c>
      <c r="S167" s="5" t="n">
        <v>66</v>
      </c>
      <c r="T167" s="5" t="n">
        <v>52</v>
      </c>
      <c r="U167" s="48" t="inlineStr">
        <is>
          <t>Cascade</t>
        </is>
      </c>
    </row>
    <row r="168">
      <c r="A168" s="5" t="inlineStr">
        <is>
          <t>Bella Mirage</t>
        </is>
      </c>
      <c r="B168" s="5" t="inlineStr">
        <is>
          <t>Cascade</t>
        </is>
      </c>
      <c r="C168" s="5" t="inlineStr">
        <is>
          <t>2732</t>
        </is>
      </c>
      <c r="D168" s="5" t="n">
        <v>3</v>
      </c>
      <c r="E168" s="5" t="n">
        <v>1</v>
      </c>
      <c r="F168" s="5" t="n">
        <v>1</v>
      </c>
      <c r="G168" s="5" t="inlineStr"/>
      <c r="H168" s="5" t="n">
        <v>777</v>
      </c>
      <c r="I168" s="5" t="inlineStr">
        <is>
          <t>1/5/2026</t>
        </is>
      </c>
      <c r="J168" s="5" t="n">
        <v>300</v>
      </c>
      <c r="K168" s="5" t="n">
        <v>12</v>
      </c>
      <c r="L168" s="5" t="inlineStr">
        <is>
          <t>50%</t>
        </is>
      </c>
      <c r="M168" s="5" t="n">
        <v>1109</v>
      </c>
      <c r="N168" s="5" t="n">
        <v>1.43</v>
      </c>
      <c r="O168" s="5" t="n">
        <v>1109</v>
      </c>
      <c r="P168" s="5" t="n">
        <v>1.43</v>
      </c>
      <c r="Q168" s="5" t="inlineStr">
        <is>
          <t>2025-12-05</t>
        </is>
      </c>
      <c r="R168" s="5" t="inlineStr">
        <is>
          <t>2026-01-10</t>
        </is>
      </c>
      <c r="S168" s="5" t="n">
        <v>37</v>
      </c>
      <c r="T168" s="5" t="n">
        <v>6</v>
      </c>
      <c r="U168" s="48" t="inlineStr">
        <is>
          <t>Cascade</t>
        </is>
      </c>
    </row>
    <row r="169">
      <c r="A169" s="5" t="inlineStr">
        <is>
          <t>Bella Mirage</t>
        </is>
      </c>
      <c r="B169" s="5" t="inlineStr">
        <is>
          <t>Cascade</t>
        </is>
      </c>
      <c r="C169" s="5" t="inlineStr">
        <is>
          <t>5837</t>
        </is>
      </c>
      <c r="D169" s="5" t="inlineStr"/>
      <c r="E169" s="5" t="n">
        <v>1</v>
      </c>
      <c r="F169" s="5" t="n">
        <v>1</v>
      </c>
      <c r="G169" s="5" t="inlineStr"/>
      <c r="H169" s="5" t="n">
        <v>777</v>
      </c>
      <c r="I169" s="5" t="inlineStr">
        <is>
          <t>10/27/2023</t>
        </is>
      </c>
      <c r="J169" s="5" t="inlineStr"/>
      <c r="K169" s="5" t="inlineStr"/>
      <c r="L169" s="5" t="inlineStr">
        <is>
          <t>50%</t>
        </is>
      </c>
      <c r="M169" s="5" t="n">
        <v>1241</v>
      </c>
      <c r="N169" s="5" t="n">
        <v>1.6</v>
      </c>
      <c r="O169" s="5" t="n">
        <v>1138</v>
      </c>
      <c r="P169" s="5" t="n">
        <v>1.46</v>
      </c>
      <c r="Q169" s="5" t="inlineStr">
        <is>
          <t>2023-10-27</t>
        </is>
      </c>
      <c r="R169" s="5" t="inlineStr">
        <is>
          <t>2023-12-15</t>
        </is>
      </c>
      <c r="S169" s="5" t="n">
        <v>50</v>
      </c>
      <c r="T169" s="5" t="n">
        <v>50</v>
      </c>
      <c r="U169" s="48" t="inlineStr">
        <is>
          <t>Cascade</t>
        </is>
      </c>
    </row>
    <row r="170">
      <c r="A170" s="5" t="inlineStr">
        <is>
          <t>Bella Mirage</t>
        </is>
      </c>
      <c r="B170" s="5" t="inlineStr">
        <is>
          <t>Cascade</t>
        </is>
      </c>
      <c r="C170" s="5" t="inlineStr">
        <is>
          <t>5837</t>
        </is>
      </c>
      <c r="D170" s="5" t="inlineStr"/>
      <c r="E170" s="5" t="n">
        <v>1</v>
      </c>
      <c r="F170" s="5" t="n">
        <v>1</v>
      </c>
      <c r="G170" s="5" t="inlineStr"/>
      <c r="H170" s="5" t="n">
        <v>777</v>
      </c>
      <c r="I170" s="5" t="inlineStr">
        <is>
          <t>8/18/2024</t>
        </is>
      </c>
      <c r="J170" s="5" t="n">
        <v>200</v>
      </c>
      <c r="K170" s="5" t="n">
        <v>13</v>
      </c>
      <c r="L170" s="5" t="inlineStr">
        <is>
          <t>50%</t>
        </is>
      </c>
      <c r="M170" s="5" t="n">
        <v>1294</v>
      </c>
      <c r="N170" s="5" t="n">
        <v>1.67</v>
      </c>
      <c r="O170" s="5" t="n">
        <v>1294</v>
      </c>
      <c r="P170" s="5" t="n">
        <v>1.67</v>
      </c>
      <c r="Q170" s="5" t="inlineStr">
        <is>
          <t>2024-07-09</t>
        </is>
      </c>
      <c r="R170" s="5" t="inlineStr">
        <is>
          <t>2024-08-24</t>
        </is>
      </c>
      <c r="S170" s="5" t="n">
        <v>47</v>
      </c>
      <c r="T170" s="5" t="n">
        <v>7</v>
      </c>
      <c r="U170" s="48" t="inlineStr">
        <is>
          <t>Cascade</t>
        </is>
      </c>
    </row>
    <row r="171">
      <c r="A171" s="5" t="inlineStr">
        <is>
          <t>Bella Mirage</t>
        </is>
      </c>
      <c r="B171" s="5" t="inlineStr">
        <is>
          <t>Cascade</t>
        </is>
      </c>
      <c r="C171" s="5" t="inlineStr">
        <is>
          <t>5837</t>
        </is>
      </c>
      <c r="D171" s="5" t="inlineStr"/>
      <c r="E171" s="5" t="n">
        <v>1</v>
      </c>
      <c r="F171" s="5" t="n">
        <v>1</v>
      </c>
      <c r="G171" s="5" t="inlineStr"/>
      <c r="H171" s="5" t="n">
        <v>777</v>
      </c>
      <c r="I171" s="5" t="inlineStr">
        <is>
          <t>11/7/2025</t>
        </is>
      </c>
      <c r="J171" s="5" t="n">
        <v>300</v>
      </c>
      <c r="K171" s="5" t="n">
        <v>12</v>
      </c>
      <c r="L171" s="5" t="inlineStr">
        <is>
          <t>50%</t>
        </is>
      </c>
      <c r="M171" s="5" t="n">
        <v>1253</v>
      </c>
      <c r="N171" s="5" t="n">
        <v>1.61</v>
      </c>
      <c r="O171" s="5" t="n">
        <v>1149</v>
      </c>
      <c r="P171" s="5" t="n">
        <v>1.48</v>
      </c>
      <c r="Q171" s="5" t="inlineStr">
        <is>
          <t>2025-10-02</t>
        </is>
      </c>
      <c r="R171" s="5" t="inlineStr">
        <is>
          <t>2025-10-09</t>
        </is>
      </c>
      <c r="S171" s="5" t="n">
        <v>8</v>
      </c>
      <c r="T171" s="5" t="n">
        <v>0</v>
      </c>
      <c r="U171" s="48" t="inlineStr">
        <is>
          <t>Cascade</t>
        </is>
      </c>
    </row>
    <row r="172">
      <c r="A172" s="5" t="inlineStr">
        <is>
          <t>Bella Mirage</t>
        </is>
      </c>
      <c r="B172" s="5" t="inlineStr">
        <is>
          <t>Cascade</t>
        </is>
      </c>
      <c r="C172" s="5" t="inlineStr">
        <is>
          <t>5837</t>
        </is>
      </c>
      <c r="D172" s="5" t="inlineStr"/>
      <c r="E172" s="5" t="n">
        <v>1</v>
      </c>
      <c r="F172" s="5" t="n">
        <v>1</v>
      </c>
      <c r="G172" s="5" t="inlineStr"/>
      <c r="H172" s="5" t="n">
        <v>777</v>
      </c>
      <c r="I172" s="5" t="inlineStr">
        <is>
          <t>7/15/2026</t>
        </is>
      </c>
      <c r="J172" s="5" t="n">
        <v>300</v>
      </c>
      <c r="K172" s="5" t="n">
        <v>12</v>
      </c>
      <c r="L172" s="5" t="inlineStr">
        <is>
          <t>50%</t>
        </is>
      </c>
      <c r="M172" s="5" t="n">
        <v>1112</v>
      </c>
      <c r="N172" s="5" t="n">
        <v>1.43</v>
      </c>
      <c r="O172" s="5" t="n">
        <v>1112</v>
      </c>
      <c r="P172" s="5" t="n">
        <v>1.43</v>
      </c>
      <c r="Q172" s="5" t="inlineStr">
        <is>
          <t>2026-05-14</t>
        </is>
      </c>
      <c r="R172" s="5" t="inlineStr">
        <is>
          <t>2026-05-17</t>
        </is>
      </c>
      <c r="S172" s="5" t="n">
        <v>4</v>
      </c>
      <c r="T172" s="5" t="n">
        <v>0</v>
      </c>
      <c r="U172" s="48" t="inlineStr">
        <is>
          <t>Cascade</t>
        </is>
      </c>
    </row>
    <row r="173">
      <c r="A173" s="5" t="inlineStr">
        <is>
          <t>Bella Mirage</t>
        </is>
      </c>
      <c r="B173" s="5" t="inlineStr">
        <is>
          <t>Cascade</t>
        </is>
      </c>
      <c r="C173" s="5" t="inlineStr">
        <is>
          <t>2832</t>
        </is>
      </c>
      <c r="D173" s="5" t="n">
        <v>3</v>
      </c>
      <c r="E173" s="5" t="n">
        <v>1</v>
      </c>
      <c r="F173" s="5" t="n">
        <v>1</v>
      </c>
      <c r="G173" s="5" t="inlineStr"/>
      <c r="H173" s="5" t="n">
        <v>777</v>
      </c>
      <c r="I173" s="5" t="inlineStr">
        <is>
          <t>4/5/2025</t>
        </is>
      </c>
      <c r="J173" s="5" t="n">
        <v>200</v>
      </c>
      <c r="K173" s="5" t="n">
        <v>12</v>
      </c>
      <c r="L173" s="5" t="inlineStr">
        <is>
          <t>50%</t>
        </is>
      </c>
      <c r="M173" s="5" t="n">
        <v>1283</v>
      </c>
      <c r="N173" s="5" t="n">
        <v>1.65</v>
      </c>
      <c r="O173" s="5" t="n">
        <v>1176</v>
      </c>
      <c r="P173" s="5" t="n">
        <v>1.51</v>
      </c>
      <c r="Q173" s="5" t="inlineStr">
        <is>
          <t>2025-01-17</t>
        </is>
      </c>
      <c r="R173" s="5" t="inlineStr">
        <is>
          <t>2025-02-19</t>
        </is>
      </c>
      <c r="S173" s="5" t="n">
        <v>34</v>
      </c>
      <c r="T173" s="5" t="n">
        <v>0</v>
      </c>
      <c r="U173" s="48" t="inlineStr">
        <is>
          <t>Cascade</t>
        </is>
      </c>
    </row>
    <row r="174">
      <c r="A174" s="5" t="inlineStr">
        <is>
          <t>Bella Mirage</t>
        </is>
      </c>
      <c r="B174" s="5" t="inlineStr">
        <is>
          <t>Cascade</t>
        </is>
      </c>
      <c r="C174" s="5" t="inlineStr">
        <is>
          <t>2832</t>
        </is>
      </c>
      <c r="D174" s="5" t="n">
        <v>3</v>
      </c>
      <c r="E174" s="5" t="n">
        <v>1</v>
      </c>
      <c r="F174" s="5" t="n">
        <v>1</v>
      </c>
      <c r="G174" s="5" t="inlineStr"/>
      <c r="H174" s="5" t="n">
        <v>777</v>
      </c>
      <c r="I174" s="5" t="inlineStr">
        <is>
          <t>11/28/2025</t>
        </is>
      </c>
      <c r="J174" s="5" t="n">
        <v>300</v>
      </c>
      <c r="K174" s="5" t="n">
        <v>12</v>
      </c>
      <c r="L174" s="5" t="inlineStr">
        <is>
          <t>50%</t>
        </is>
      </c>
      <c r="M174" s="5" t="n">
        <v>1119</v>
      </c>
      <c r="N174" s="5" t="n">
        <v>1.44</v>
      </c>
      <c r="O174" s="5" t="n">
        <v>1026</v>
      </c>
      <c r="P174" s="5" t="n">
        <v>1.32</v>
      </c>
      <c r="Q174" s="5" t="inlineStr">
        <is>
          <t>2025-09-14</t>
        </is>
      </c>
      <c r="R174" s="5" t="inlineStr">
        <is>
          <t>2025-09-25</t>
        </is>
      </c>
      <c r="S174" s="5" t="n">
        <v>12</v>
      </c>
      <c r="T174" s="5" t="n">
        <v>0</v>
      </c>
      <c r="U174" s="48" t="inlineStr">
        <is>
          <t>Cascade</t>
        </is>
      </c>
    </row>
    <row r="175">
      <c r="A175" s="5" t="inlineStr">
        <is>
          <t>Bella Mirage</t>
        </is>
      </c>
      <c r="B175" s="5" t="inlineStr">
        <is>
          <t>Cascade</t>
        </is>
      </c>
      <c r="C175" s="5" t="inlineStr">
        <is>
          <t>3836</t>
        </is>
      </c>
      <c r="D175" s="5" t="n">
        <v>3</v>
      </c>
      <c r="E175" s="5" t="n">
        <v>1</v>
      </c>
      <c r="F175" s="5" t="n">
        <v>1</v>
      </c>
      <c r="G175" s="5" t="inlineStr"/>
      <c r="H175" s="5" t="n">
        <v>777</v>
      </c>
      <c r="I175" s="5" t="inlineStr">
        <is>
          <t>6/17/2023</t>
        </is>
      </c>
      <c r="J175" s="5" t="inlineStr"/>
      <c r="K175" s="5" t="inlineStr"/>
      <c r="L175" s="5" t="inlineStr">
        <is>
          <t>60%</t>
        </is>
      </c>
      <c r="M175" s="5" t="n">
        <v>1339</v>
      </c>
      <c r="N175" s="5" t="n">
        <v>1.72</v>
      </c>
      <c r="O175" s="5" t="n">
        <v>1339</v>
      </c>
      <c r="P175" s="5" t="n">
        <v>1.72</v>
      </c>
      <c r="Q175" s="5" t="inlineStr"/>
      <c r="R175" s="5" t="inlineStr">
        <is>
          <t>2023-07-31</t>
        </is>
      </c>
      <c r="S175" s="5" t="inlineStr"/>
      <c r="T175" s="5" t="inlineStr"/>
      <c r="U175" s="48" t="inlineStr">
        <is>
          <t>Cascade</t>
        </is>
      </c>
    </row>
    <row r="176">
      <c r="A176" s="5" t="inlineStr">
        <is>
          <t>Bella Mirage</t>
        </is>
      </c>
      <c r="B176" s="5" t="inlineStr">
        <is>
          <t>Cascade</t>
        </is>
      </c>
      <c r="C176" s="5" t="inlineStr">
        <is>
          <t>3836</t>
        </is>
      </c>
      <c r="D176" s="5" t="n">
        <v>3</v>
      </c>
      <c r="E176" s="5" t="n">
        <v>1</v>
      </c>
      <c r="F176" s="5" t="n">
        <v>1</v>
      </c>
      <c r="G176" s="5" t="inlineStr"/>
      <c r="H176" s="5" t="n">
        <v>777</v>
      </c>
      <c r="I176" s="5" t="inlineStr">
        <is>
          <t>7/30/2025</t>
        </is>
      </c>
      <c r="J176" s="5" t="n">
        <v>300</v>
      </c>
      <c r="K176" s="5" t="n">
        <v>12</v>
      </c>
      <c r="L176" s="5" t="inlineStr">
        <is>
          <t>60%</t>
        </is>
      </c>
      <c r="M176" s="5" t="n">
        <v>1129</v>
      </c>
      <c r="N176" s="5" t="n">
        <v>1.45</v>
      </c>
      <c r="O176" s="5" t="n">
        <v>1129</v>
      </c>
      <c r="P176" s="5" t="n">
        <v>1.45</v>
      </c>
      <c r="Q176" s="5" t="inlineStr">
        <is>
          <t>2025-05-23</t>
        </is>
      </c>
      <c r="R176" s="5" t="inlineStr">
        <is>
          <t>2025-11-19</t>
        </is>
      </c>
      <c r="S176" s="5" t="n">
        <v>181</v>
      </c>
      <c r="T176" s="5" t="n">
        <v>113</v>
      </c>
      <c r="U176" s="48" t="inlineStr">
        <is>
          <t>Cascade</t>
        </is>
      </c>
    </row>
    <row r="177">
      <c r="A177" s="5" t="inlineStr">
        <is>
          <t>Bella Mirage</t>
        </is>
      </c>
      <c r="B177" s="5" t="inlineStr">
        <is>
          <t>Cascade</t>
        </is>
      </c>
      <c r="C177" s="5" t="inlineStr">
        <is>
          <t>1821</t>
        </is>
      </c>
      <c r="D177" s="5" t="n">
        <v>2</v>
      </c>
      <c r="E177" s="5" t="n">
        <v>1</v>
      </c>
      <c r="F177" s="5" t="n">
        <v>1</v>
      </c>
      <c r="G177" s="5" t="inlineStr"/>
      <c r="H177" s="5" t="n">
        <v>777</v>
      </c>
      <c r="I177" s="5" t="inlineStr">
        <is>
          <t>1/14/2025</t>
        </is>
      </c>
      <c r="J177" s="5" t="n">
        <v>200</v>
      </c>
      <c r="K177" s="5" t="n">
        <v>13</v>
      </c>
      <c r="L177" s="5" t="inlineStr">
        <is>
          <t>60%</t>
        </is>
      </c>
      <c r="M177" s="5" t="n">
        <v>1130</v>
      </c>
      <c r="N177" s="5" t="n">
        <v>1.45</v>
      </c>
      <c r="O177" s="5" t="n">
        <v>1043</v>
      </c>
      <c r="P177" s="5" t="n">
        <v>1.34</v>
      </c>
      <c r="Q177" s="5" t="inlineStr">
        <is>
          <t>2024-09-16</t>
        </is>
      </c>
      <c r="R177" s="5" t="inlineStr">
        <is>
          <t>2024-12-29</t>
        </is>
      </c>
      <c r="S177" s="5" t="n">
        <v>105</v>
      </c>
      <c r="T177" s="5" t="n">
        <v>0</v>
      </c>
      <c r="U177" s="48" t="inlineStr">
        <is>
          <t>Cascade</t>
        </is>
      </c>
    </row>
    <row r="178">
      <c r="A178" s="5" t="inlineStr">
        <is>
          <t>Bella Mirage</t>
        </is>
      </c>
      <c r="B178" s="5" t="inlineStr">
        <is>
          <t>Cascade</t>
        </is>
      </c>
      <c r="C178" s="5" t="inlineStr">
        <is>
          <t>1827</t>
        </is>
      </c>
      <c r="D178" s="5" t="inlineStr"/>
      <c r="E178" s="5" t="n">
        <v>1</v>
      </c>
      <c r="F178" s="5" t="n">
        <v>1</v>
      </c>
      <c r="G178" s="5" t="inlineStr"/>
      <c r="H178" s="5" t="n">
        <v>777</v>
      </c>
      <c r="I178" s="5" t="inlineStr">
        <is>
          <t>1/14/2025</t>
        </is>
      </c>
      <c r="J178" s="5" t="n">
        <v>200</v>
      </c>
      <c r="K178" s="5" t="n">
        <v>12</v>
      </c>
      <c r="L178" s="5" t="inlineStr">
        <is>
          <t>60%</t>
        </is>
      </c>
      <c r="M178" s="5" t="n">
        <v>1130</v>
      </c>
      <c r="N178" s="5" t="n">
        <v>1.45</v>
      </c>
      <c r="O178" s="5" t="n">
        <v>1036</v>
      </c>
      <c r="P178" s="5" t="n">
        <v>1.33</v>
      </c>
      <c r="Q178" s="5" t="inlineStr">
        <is>
          <t>2024-12-08</t>
        </is>
      </c>
      <c r="R178" s="5" t="inlineStr">
        <is>
          <t>2025-01-05</t>
        </is>
      </c>
      <c r="S178" s="5" t="n">
        <v>29</v>
      </c>
      <c r="T178" s="5" t="n">
        <v>0</v>
      </c>
      <c r="U178" s="48" t="inlineStr">
        <is>
          <t>Cascade</t>
        </is>
      </c>
    </row>
    <row r="179">
      <c r="A179" s="5" t="inlineStr">
        <is>
          <t>Bella Mirage</t>
        </is>
      </c>
      <c r="B179" s="5" t="inlineStr">
        <is>
          <t>Cascade</t>
        </is>
      </c>
      <c r="C179" s="5" t="inlineStr">
        <is>
          <t>0124</t>
        </is>
      </c>
      <c r="D179" s="5" t="inlineStr"/>
      <c r="E179" s="5" t="n">
        <v>1</v>
      </c>
      <c r="F179" s="5" t="n">
        <v>1</v>
      </c>
      <c r="G179" s="5" t="inlineStr"/>
      <c r="H179" s="5" t="n">
        <v>777</v>
      </c>
      <c r="I179" s="5" t="inlineStr">
        <is>
          <t>5/1/2024</t>
        </is>
      </c>
      <c r="J179" s="5" t="n">
        <v>200</v>
      </c>
      <c r="K179" s="5" t="n">
        <v>14</v>
      </c>
      <c r="L179" s="5" t="inlineStr">
        <is>
          <t>60%</t>
        </is>
      </c>
      <c r="M179" s="5" t="n">
        <v>1296</v>
      </c>
      <c r="N179" s="5" t="n">
        <v>1.67</v>
      </c>
      <c r="O179" s="5" t="n">
        <v>1203</v>
      </c>
      <c r="P179" s="5" t="n">
        <v>1.55</v>
      </c>
      <c r="Q179" s="5" t="inlineStr">
        <is>
          <t>2024-03-13</t>
        </is>
      </c>
      <c r="R179" s="5" t="inlineStr">
        <is>
          <t>2024-04-14</t>
        </is>
      </c>
      <c r="S179" s="5" t="n">
        <v>33</v>
      </c>
      <c r="T179" s="5" t="n">
        <v>0</v>
      </c>
      <c r="U179" s="48" t="inlineStr">
        <is>
          <t>Cascade</t>
        </is>
      </c>
    </row>
    <row r="180">
      <c r="A180" s="5" t="inlineStr">
        <is>
          <t>Bella Mirage</t>
        </is>
      </c>
      <c r="B180" s="5" t="inlineStr">
        <is>
          <t>Cascade</t>
        </is>
      </c>
      <c r="C180" s="5" t="inlineStr">
        <is>
          <t>0124</t>
        </is>
      </c>
      <c r="D180" s="5" t="inlineStr"/>
      <c r="E180" s="5" t="n">
        <v>1</v>
      </c>
      <c r="F180" s="5" t="n">
        <v>1</v>
      </c>
      <c r="G180" s="5" t="inlineStr"/>
      <c r="H180" s="5" t="n">
        <v>777</v>
      </c>
      <c r="I180" s="5" t="inlineStr">
        <is>
          <t>2/15/2025</t>
        </is>
      </c>
      <c r="J180" s="5" t="n">
        <v>200</v>
      </c>
      <c r="K180" s="5" t="n">
        <v>12</v>
      </c>
      <c r="L180" s="5" t="inlineStr">
        <is>
          <t>60%</t>
        </is>
      </c>
      <c r="M180" s="5" t="n">
        <v>1130</v>
      </c>
      <c r="N180" s="5" t="n">
        <v>1.45</v>
      </c>
      <c r="O180" s="5" t="n">
        <v>1036</v>
      </c>
      <c r="P180" s="5" t="n">
        <v>1.33</v>
      </c>
      <c r="Q180" s="5" t="inlineStr">
        <is>
          <t>2024-12-28</t>
        </is>
      </c>
      <c r="R180" s="5" t="inlineStr">
        <is>
          <t>2024-12-30</t>
        </is>
      </c>
      <c r="S180" s="5" t="n">
        <v>3</v>
      </c>
      <c r="T180" s="5" t="n">
        <v>0</v>
      </c>
      <c r="U180" s="48" t="inlineStr">
        <is>
          <t>Cascade</t>
        </is>
      </c>
    </row>
    <row r="181">
      <c r="A181" s="5" t="inlineStr">
        <is>
          <t>Bella Mirage</t>
        </is>
      </c>
      <c r="B181" s="5" t="inlineStr">
        <is>
          <t>Cascade</t>
        </is>
      </c>
      <c r="C181" s="5" t="inlineStr">
        <is>
          <t>3813</t>
        </is>
      </c>
      <c r="D181" s="5" t="n">
        <v>1</v>
      </c>
      <c r="E181" s="5" t="n">
        <v>1</v>
      </c>
      <c r="F181" s="5" t="n">
        <v>1</v>
      </c>
      <c r="G181" s="5" t="inlineStr"/>
      <c r="H181" s="5" t="n">
        <v>777</v>
      </c>
      <c r="I181" s="5" t="inlineStr">
        <is>
          <t>6/15/2026</t>
        </is>
      </c>
      <c r="J181" s="5" t="n">
        <v>300</v>
      </c>
      <c r="K181" s="5" t="n">
        <v>13</v>
      </c>
      <c r="L181" s="5" t="inlineStr">
        <is>
          <t>60%</t>
        </is>
      </c>
      <c r="M181" s="5" t="n">
        <v>1132</v>
      </c>
      <c r="N181" s="5" t="n">
        <v>1.46</v>
      </c>
      <c r="O181" s="5" t="n">
        <v>1132</v>
      </c>
      <c r="P181" s="5" t="n">
        <v>1.46</v>
      </c>
      <c r="Q181" s="5" t="inlineStr">
        <is>
          <t>2026-05-11</t>
        </is>
      </c>
      <c r="R181" s="5" t="inlineStr">
        <is>
          <t>2026-05-17</t>
        </is>
      </c>
      <c r="S181" s="5" t="n">
        <v>7</v>
      </c>
      <c r="T181" s="5" t="n">
        <v>0</v>
      </c>
      <c r="U181" s="48" t="inlineStr">
        <is>
          <t>Cascade</t>
        </is>
      </c>
    </row>
    <row r="182">
      <c r="A182" s="5" t="inlineStr">
        <is>
          <t>Bella Mirage</t>
        </is>
      </c>
      <c r="B182" s="5" t="inlineStr">
        <is>
          <t>Cascade</t>
        </is>
      </c>
      <c r="C182" s="5" t="inlineStr">
        <is>
          <t>3032</t>
        </is>
      </c>
      <c r="D182" s="5" t="n">
        <v>3</v>
      </c>
      <c r="E182" s="5" t="n">
        <v>1</v>
      </c>
      <c r="F182" s="5" t="n">
        <v>1</v>
      </c>
      <c r="G182" s="5" t="inlineStr"/>
      <c r="H182" s="5" t="n">
        <v>777</v>
      </c>
      <c r="I182" s="5" t="inlineStr">
        <is>
          <t>2/3/2026</t>
        </is>
      </c>
      <c r="J182" s="5" t="n">
        <v>300</v>
      </c>
      <c r="K182" s="5" t="n">
        <v>12</v>
      </c>
      <c r="L182" s="5" t="inlineStr">
        <is>
          <t>60%</t>
        </is>
      </c>
      <c r="M182" s="5" t="n">
        <v>1132</v>
      </c>
      <c r="N182" s="5" t="n">
        <v>1.46</v>
      </c>
      <c r="O182" s="5" t="n">
        <v>1132</v>
      </c>
      <c r="P182" s="5" t="n">
        <v>1.46</v>
      </c>
      <c r="Q182" s="5" t="inlineStr">
        <is>
          <t>2025-12-24</t>
        </is>
      </c>
      <c r="R182" s="5" t="inlineStr">
        <is>
          <t>2026-01-25</t>
        </is>
      </c>
      <c r="S182" s="5" t="n">
        <v>33</v>
      </c>
      <c r="T182" s="5" t="n">
        <v>0</v>
      </c>
      <c r="U182" s="48" t="inlineStr">
        <is>
          <t>Cascade</t>
        </is>
      </c>
    </row>
    <row r="183">
      <c r="A183" s="5" t="inlineStr">
        <is>
          <t>Bella Mirage</t>
        </is>
      </c>
      <c r="B183" s="5" t="inlineStr">
        <is>
          <t>Cascade</t>
        </is>
      </c>
      <c r="C183" s="5" t="inlineStr">
        <is>
          <t>4013</t>
        </is>
      </c>
      <c r="D183" s="5" t="n">
        <v>4</v>
      </c>
      <c r="E183" s="5" t="n">
        <v>1</v>
      </c>
      <c r="F183" s="5" t="n">
        <v>1</v>
      </c>
      <c r="G183" s="5" t="inlineStr"/>
      <c r="H183" s="5" t="n">
        <v>777</v>
      </c>
      <c r="I183" s="5" t="inlineStr">
        <is>
          <t>9/26/2025</t>
        </is>
      </c>
      <c r="J183" s="5" t="n">
        <v>300</v>
      </c>
      <c r="K183" s="5" t="n">
        <v>12</v>
      </c>
      <c r="L183" s="5" t="inlineStr">
        <is>
          <t>60%</t>
        </is>
      </c>
      <c r="M183" s="5" t="n">
        <v>1133</v>
      </c>
      <c r="N183" s="5" t="n">
        <v>1.46</v>
      </c>
      <c r="O183" s="5" t="n">
        <v>1133</v>
      </c>
      <c r="P183" s="5" t="n">
        <v>1.46</v>
      </c>
      <c r="Q183" s="5" t="inlineStr">
        <is>
          <t>2025-09-12</t>
        </is>
      </c>
      <c r="R183" s="5" t="inlineStr">
        <is>
          <t>2025-12-19</t>
        </is>
      </c>
      <c r="S183" s="5" t="n">
        <v>99</v>
      </c>
      <c r="T183" s="5" t="n">
        <v>85</v>
      </c>
      <c r="U183" s="48" t="inlineStr">
        <is>
          <t>Cascade</t>
        </is>
      </c>
    </row>
    <row r="184">
      <c r="A184" s="5" t="inlineStr">
        <is>
          <t>Bella Mirage</t>
        </is>
      </c>
      <c r="B184" s="5" t="inlineStr">
        <is>
          <t>Cascade</t>
        </is>
      </c>
      <c r="C184" s="5" t="inlineStr">
        <is>
          <t>5823</t>
        </is>
      </c>
      <c r="D184" s="5" t="inlineStr"/>
      <c r="E184" s="5" t="n">
        <v>1</v>
      </c>
      <c r="F184" s="5" t="n">
        <v>1</v>
      </c>
      <c r="G184" s="5" t="inlineStr"/>
      <c r="H184" s="5" t="n">
        <v>777</v>
      </c>
      <c r="I184" s="5" t="inlineStr">
        <is>
          <t>12/3/2025</t>
        </is>
      </c>
      <c r="J184" s="5" t="n">
        <v>300</v>
      </c>
      <c r="K184" s="5" t="n">
        <v>12</v>
      </c>
      <c r="L184" s="5" t="inlineStr">
        <is>
          <t>60%</t>
        </is>
      </c>
      <c r="M184" s="5" t="n">
        <v>1136</v>
      </c>
      <c r="N184" s="5" t="n">
        <v>1.46</v>
      </c>
      <c r="O184" s="5" t="n">
        <v>1136</v>
      </c>
      <c r="P184" s="5" t="n">
        <v>1.46</v>
      </c>
      <c r="Q184" s="5" t="inlineStr">
        <is>
          <t>2025-10-19</t>
        </is>
      </c>
      <c r="R184" s="5" t="inlineStr">
        <is>
          <t>2026-06-03</t>
        </is>
      </c>
      <c r="S184" s="5" t="n">
        <v>228</v>
      </c>
      <c r="T184" s="5" t="n">
        <v>183</v>
      </c>
      <c r="U184" s="48" t="inlineStr">
        <is>
          <t>Cascade</t>
        </is>
      </c>
    </row>
    <row r="185">
      <c r="A185" s="5" t="inlineStr">
        <is>
          <t>Bella Mirage</t>
        </is>
      </c>
      <c r="B185" s="5" t="inlineStr">
        <is>
          <t>Cascade</t>
        </is>
      </c>
      <c r="C185" s="5" t="inlineStr">
        <is>
          <t>2811</t>
        </is>
      </c>
      <c r="D185" s="5" t="n">
        <v>1</v>
      </c>
      <c r="E185" s="5" t="n">
        <v>1</v>
      </c>
      <c r="F185" s="5" t="n">
        <v>1</v>
      </c>
      <c r="G185" s="5" t="inlineStr"/>
      <c r="H185" s="5" t="n">
        <v>777</v>
      </c>
      <c r="I185" s="5" t="inlineStr">
        <is>
          <t>10/19/2025</t>
        </is>
      </c>
      <c r="J185" s="5" t="n">
        <v>300</v>
      </c>
      <c r="K185" s="5" t="n">
        <v>12</v>
      </c>
      <c r="L185" s="5" t="inlineStr">
        <is>
          <t>60%</t>
        </is>
      </c>
      <c r="M185" s="5" t="n">
        <v>1136</v>
      </c>
      <c r="N185" s="5" t="n">
        <v>1.46</v>
      </c>
      <c r="O185" s="5" t="n">
        <v>1041</v>
      </c>
      <c r="P185" s="5" t="n">
        <v>1.34</v>
      </c>
      <c r="Q185" s="5" t="inlineStr">
        <is>
          <t>2025-09-23</t>
        </is>
      </c>
      <c r="R185" s="5" t="inlineStr">
        <is>
          <t>2025-09-25</t>
        </is>
      </c>
      <c r="S185" s="5" t="n">
        <v>3</v>
      </c>
      <c r="T185" s="5" t="n">
        <v>0</v>
      </c>
      <c r="U185" s="48" t="inlineStr">
        <is>
          <t>Cascade</t>
        </is>
      </c>
    </row>
    <row r="186">
      <c r="A186" s="5" t="inlineStr">
        <is>
          <t>Bella Mirage</t>
        </is>
      </c>
      <c r="B186" s="5" t="inlineStr">
        <is>
          <t>Cascade</t>
        </is>
      </c>
      <c r="C186" s="5" t="inlineStr">
        <is>
          <t>4226</t>
        </is>
      </c>
      <c r="D186" s="5" t="n">
        <v>4</v>
      </c>
      <c r="E186" s="5" t="n">
        <v>1</v>
      </c>
      <c r="F186" s="5" t="n">
        <v>1</v>
      </c>
      <c r="G186" s="5" t="inlineStr"/>
      <c r="H186" s="5" t="n">
        <v>777</v>
      </c>
      <c r="I186" s="5" t="inlineStr">
        <is>
          <t>6/20/2024</t>
        </is>
      </c>
      <c r="J186" s="5" t="n">
        <v>200</v>
      </c>
      <c r="K186" s="5" t="n">
        <v>15</v>
      </c>
      <c r="L186" s="5" t="inlineStr">
        <is>
          <t>60%</t>
        </is>
      </c>
      <c r="M186" s="5" t="n">
        <v>1234</v>
      </c>
      <c r="N186" s="5" t="n">
        <v>1.59</v>
      </c>
      <c r="O186" s="5" t="n">
        <v>1234</v>
      </c>
      <c r="P186" s="5" t="n">
        <v>1.59</v>
      </c>
      <c r="Q186" s="5" t="inlineStr">
        <is>
          <t>2024-04-11</t>
        </is>
      </c>
      <c r="R186" s="5" t="inlineStr">
        <is>
          <t>2024-08-11</t>
        </is>
      </c>
      <c r="S186" s="5" t="n">
        <v>123</v>
      </c>
      <c r="T186" s="5" t="n">
        <v>53</v>
      </c>
      <c r="U186" s="48" t="inlineStr">
        <is>
          <t>Cascade</t>
        </is>
      </c>
    </row>
    <row r="187">
      <c r="A187" s="5" t="inlineStr">
        <is>
          <t>Bella Mirage</t>
        </is>
      </c>
      <c r="B187" s="5" t="inlineStr">
        <is>
          <t>Cascade</t>
        </is>
      </c>
      <c r="C187" s="5" t="inlineStr">
        <is>
          <t>4226</t>
        </is>
      </c>
      <c r="D187" s="5" t="n">
        <v>4</v>
      </c>
      <c r="E187" s="5" t="n">
        <v>1</v>
      </c>
      <c r="F187" s="5" t="n">
        <v>1</v>
      </c>
      <c r="G187" s="5" t="inlineStr"/>
      <c r="H187" s="5" t="n">
        <v>777</v>
      </c>
      <c r="I187" s="5" t="inlineStr">
        <is>
          <t>9/28/2025</t>
        </is>
      </c>
      <c r="J187" s="5" t="n">
        <v>300</v>
      </c>
      <c r="K187" s="5" t="n">
        <v>12</v>
      </c>
      <c r="L187" s="5" t="inlineStr">
        <is>
          <t>60%</t>
        </is>
      </c>
      <c r="M187" s="5" t="n">
        <v>1253</v>
      </c>
      <c r="N187" s="5" t="n">
        <v>1.61</v>
      </c>
      <c r="O187" s="5" t="n">
        <v>1149</v>
      </c>
      <c r="P187" s="5" t="n">
        <v>1.48</v>
      </c>
      <c r="Q187" s="5" t="inlineStr">
        <is>
          <t>2025-07-16</t>
        </is>
      </c>
      <c r="R187" s="5" t="inlineStr">
        <is>
          <t>2025-10-10</t>
        </is>
      </c>
      <c r="S187" s="5" t="n">
        <v>87</v>
      </c>
      <c r="T187" s="5" t="n">
        <v>13</v>
      </c>
      <c r="U187" s="48" t="inlineStr">
        <is>
          <t>Cascade</t>
        </is>
      </c>
    </row>
    <row r="188">
      <c r="A188" s="5" t="inlineStr">
        <is>
          <t>Bella Mirage</t>
        </is>
      </c>
      <c r="B188" s="5" t="inlineStr">
        <is>
          <t>Cascade</t>
        </is>
      </c>
      <c r="C188" s="5" t="inlineStr">
        <is>
          <t>4226</t>
        </is>
      </c>
      <c r="D188" s="5" t="n">
        <v>4</v>
      </c>
      <c r="E188" s="5" t="n">
        <v>1</v>
      </c>
      <c r="F188" s="5" t="n">
        <v>1</v>
      </c>
      <c r="G188" s="5" t="inlineStr"/>
      <c r="H188" s="5" t="n">
        <v>777</v>
      </c>
      <c r="I188" s="5" t="inlineStr">
        <is>
          <t>6/30/2026</t>
        </is>
      </c>
      <c r="J188" s="5" t="n">
        <v>300</v>
      </c>
      <c r="K188" s="5" t="n">
        <v>12</v>
      </c>
      <c r="L188" s="5" t="inlineStr">
        <is>
          <t>60%</t>
        </is>
      </c>
      <c r="M188" s="5" t="n">
        <v>1137</v>
      </c>
      <c r="N188" s="5" t="n">
        <v>1.46</v>
      </c>
      <c r="O188" s="5" t="n">
        <v>1137</v>
      </c>
      <c r="P188" s="5" t="n">
        <v>1.46</v>
      </c>
      <c r="Q188" s="5" t="inlineStr">
        <is>
          <t>2026-05-05</t>
        </is>
      </c>
      <c r="R188" s="5" t="inlineStr">
        <is>
          <t>2026-05-11</t>
        </is>
      </c>
      <c r="S188" s="5" t="n">
        <v>7</v>
      </c>
      <c r="T188" s="5" t="n">
        <v>0</v>
      </c>
      <c r="U188" s="48" t="inlineStr">
        <is>
          <t>Cascade</t>
        </is>
      </c>
    </row>
    <row r="189">
      <c r="A189" s="5" t="inlineStr">
        <is>
          <t>Bella Mirage</t>
        </is>
      </c>
      <c r="B189" s="5" t="inlineStr">
        <is>
          <t>Cascade</t>
        </is>
      </c>
      <c r="C189" s="5" t="inlineStr">
        <is>
          <t>0927</t>
        </is>
      </c>
      <c r="D189" s="5" t="n">
        <v>2</v>
      </c>
      <c r="E189" s="5" t="n">
        <v>1</v>
      </c>
      <c r="F189" s="5" t="n">
        <v>1</v>
      </c>
      <c r="G189" s="5" t="inlineStr"/>
      <c r="H189" s="5" t="n">
        <v>777</v>
      </c>
      <c r="I189" s="5" t="inlineStr">
        <is>
          <t>6/28/2024</t>
        </is>
      </c>
      <c r="J189" s="5" t="n">
        <v>200</v>
      </c>
      <c r="K189" s="5" t="n">
        <v>12</v>
      </c>
      <c r="L189" s="5" t="inlineStr">
        <is>
          <t>60%</t>
        </is>
      </c>
      <c r="M189" s="5" t="n">
        <v>1343</v>
      </c>
      <c r="N189" s="5" t="n">
        <v>1.73</v>
      </c>
      <c r="O189" s="5" t="n">
        <v>1231</v>
      </c>
      <c r="P189" s="5" t="n">
        <v>1.58</v>
      </c>
      <c r="Q189" s="5" t="inlineStr">
        <is>
          <t>2024-05-12</t>
        </is>
      </c>
      <c r="R189" s="5" t="inlineStr">
        <is>
          <t>2024-05-23</t>
        </is>
      </c>
      <c r="S189" s="5" t="n">
        <v>12</v>
      </c>
      <c r="T189" s="5" t="n">
        <v>0</v>
      </c>
      <c r="U189" s="48" t="inlineStr">
        <is>
          <t>Cascade</t>
        </is>
      </c>
    </row>
    <row r="190">
      <c r="A190" s="5" t="inlineStr">
        <is>
          <t>Bella Mirage</t>
        </is>
      </c>
      <c r="B190" s="5" t="inlineStr">
        <is>
          <t>Cascade</t>
        </is>
      </c>
      <c r="C190" s="5" t="inlineStr">
        <is>
          <t>0927</t>
        </is>
      </c>
      <c r="D190" s="5" t="n">
        <v>2</v>
      </c>
      <c r="E190" s="5" t="n">
        <v>1</v>
      </c>
      <c r="F190" s="5" t="n">
        <v>1</v>
      </c>
      <c r="G190" s="5" t="inlineStr"/>
      <c r="H190" s="5" t="n">
        <v>777</v>
      </c>
      <c r="I190" s="5" t="inlineStr">
        <is>
          <t>3/4/2026</t>
        </is>
      </c>
      <c r="J190" s="5" t="n">
        <v>300</v>
      </c>
      <c r="K190" s="5" t="n">
        <v>12</v>
      </c>
      <c r="L190" s="5" t="inlineStr">
        <is>
          <t>60%</t>
        </is>
      </c>
      <c r="M190" s="5" t="n">
        <v>1138</v>
      </c>
      <c r="N190" s="5" t="n">
        <v>1.46</v>
      </c>
      <c r="O190" s="5" t="n">
        <v>1138</v>
      </c>
      <c r="P190" s="5" t="n">
        <v>1.46</v>
      </c>
      <c r="Q190" s="5" t="inlineStr">
        <is>
          <t>2026-01-11</t>
        </is>
      </c>
      <c r="R190" s="5" t="inlineStr">
        <is>
          <t>2026-03-28</t>
        </is>
      </c>
      <c r="S190" s="5" t="n">
        <v>77</v>
      </c>
      <c r="T190" s="5" t="n">
        <v>25</v>
      </c>
      <c r="U190" s="48" t="inlineStr">
        <is>
          <t>Cascade</t>
        </is>
      </c>
    </row>
    <row r="191">
      <c r="A191" s="5" t="inlineStr">
        <is>
          <t>Bella Mirage</t>
        </is>
      </c>
      <c r="B191" s="5" t="inlineStr">
        <is>
          <t>Cascade</t>
        </is>
      </c>
      <c r="C191" s="5" t="inlineStr">
        <is>
          <t>3313</t>
        </is>
      </c>
      <c r="D191" s="5" t="inlineStr"/>
      <c r="E191" s="5" t="n">
        <v>1</v>
      </c>
      <c r="F191" s="5" t="n">
        <v>1</v>
      </c>
      <c r="G191" s="5" t="inlineStr"/>
      <c r="H191" s="5" t="n">
        <v>777</v>
      </c>
      <c r="I191" s="5" t="inlineStr">
        <is>
          <t>8/5/2025</t>
        </is>
      </c>
      <c r="J191" s="5" t="n">
        <v>200</v>
      </c>
      <c r="K191" s="5" t="n">
        <v>12</v>
      </c>
      <c r="L191" s="5" t="inlineStr">
        <is>
          <t>60%</t>
        </is>
      </c>
      <c r="M191" s="5" t="n">
        <v>1301</v>
      </c>
      <c r="N191" s="5" t="n">
        <v>1.67</v>
      </c>
      <c r="O191" s="5" t="n">
        <v>1193</v>
      </c>
      <c r="P191" s="5" t="n">
        <v>1.54</v>
      </c>
      <c r="Q191" s="5" t="inlineStr">
        <is>
          <t>2025-05-28</t>
        </is>
      </c>
      <c r="R191" s="5" t="inlineStr">
        <is>
          <t>2025-06-03</t>
        </is>
      </c>
      <c r="S191" s="5" t="n">
        <v>7</v>
      </c>
      <c r="T191" s="5" t="n">
        <v>0</v>
      </c>
      <c r="U191" s="48" t="inlineStr">
        <is>
          <t>Cascade</t>
        </is>
      </c>
    </row>
    <row r="192">
      <c r="A192" s="5" t="inlineStr">
        <is>
          <t>Bella Mirage</t>
        </is>
      </c>
      <c r="B192" s="5" t="inlineStr">
        <is>
          <t>Cascade</t>
        </is>
      </c>
      <c r="C192" s="5" t="inlineStr">
        <is>
          <t>3313</t>
        </is>
      </c>
      <c r="D192" s="5" t="inlineStr"/>
      <c r="E192" s="5" t="n">
        <v>1</v>
      </c>
      <c r="F192" s="5" t="n">
        <v>1</v>
      </c>
      <c r="G192" s="5" t="inlineStr"/>
      <c r="H192" s="5" t="n">
        <v>777</v>
      </c>
      <c r="I192" s="5" t="inlineStr">
        <is>
          <t>2/16/2026</t>
        </is>
      </c>
      <c r="J192" s="5" t="n">
        <v>300</v>
      </c>
      <c r="K192" s="5" t="n">
        <v>12</v>
      </c>
      <c r="L192" s="5" t="inlineStr">
        <is>
          <t>60%</t>
        </is>
      </c>
      <c r="M192" s="5" t="n">
        <v>1138</v>
      </c>
      <c r="N192" s="5" t="n">
        <v>1.46</v>
      </c>
      <c r="O192" s="5" t="n">
        <v>1138</v>
      </c>
      <c r="P192" s="5" t="n">
        <v>1.46</v>
      </c>
      <c r="Q192" s="5" t="inlineStr">
        <is>
          <t>2026-02-09</t>
        </is>
      </c>
      <c r="R192" s="5" t="inlineStr">
        <is>
          <t>2026-02-21</t>
        </is>
      </c>
      <c r="S192" s="5" t="n">
        <v>13</v>
      </c>
      <c r="T192" s="5" t="n">
        <v>6</v>
      </c>
      <c r="U192" s="48" t="inlineStr">
        <is>
          <t>Cascade</t>
        </is>
      </c>
    </row>
    <row r="193">
      <c r="A193" s="5" t="inlineStr">
        <is>
          <t>Bella Mirage</t>
        </is>
      </c>
      <c r="B193" s="5" t="inlineStr">
        <is>
          <t>Cascade</t>
        </is>
      </c>
      <c r="C193" s="5" t="inlineStr">
        <is>
          <t>1818</t>
        </is>
      </c>
      <c r="D193" s="5" t="inlineStr"/>
      <c r="E193" s="5" t="n">
        <v>1</v>
      </c>
      <c r="F193" s="5" t="n">
        <v>1</v>
      </c>
      <c r="G193" s="5" t="inlineStr"/>
      <c r="H193" s="5" t="n">
        <v>777</v>
      </c>
      <c r="I193" s="5" t="inlineStr">
        <is>
          <t>6/29/2026</t>
        </is>
      </c>
      <c r="J193" s="5" t="n">
        <v>300</v>
      </c>
      <c r="K193" s="5" t="n">
        <v>12</v>
      </c>
      <c r="L193" s="5" t="inlineStr">
        <is>
          <t>60%</t>
        </is>
      </c>
      <c r="M193" s="5" t="n">
        <v>1138</v>
      </c>
      <c r="N193" s="5" t="n">
        <v>1.46</v>
      </c>
      <c r="O193" s="5" t="n">
        <v>1138</v>
      </c>
      <c r="P193" s="5" t="n">
        <v>1.46</v>
      </c>
      <c r="Q193" s="5" t="inlineStr">
        <is>
          <t>2026-04-03</t>
        </is>
      </c>
      <c r="R193" s="5" t="inlineStr">
        <is>
          <t>2026-04-21</t>
        </is>
      </c>
      <c r="S193" s="5" t="n">
        <v>19</v>
      </c>
      <c r="T193" s="5" t="n">
        <v>0</v>
      </c>
      <c r="U193" s="48" t="inlineStr">
        <is>
          <t>Cascade</t>
        </is>
      </c>
    </row>
    <row r="194">
      <c r="A194" s="5" t="inlineStr">
        <is>
          <t>Bella Mirage</t>
        </is>
      </c>
      <c r="B194" s="5" t="inlineStr">
        <is>
          <t>Cascade</t>
        </is>
      </c>
      <c r="C194" s="5" t="inlineStr">
        <is>
          <t>4227</t>
        </is>
      </c>
      <c r="D194" s="5" t="inlineStr"/>
      <c r="E194" s="5" t="n">
        <v>1</v>
      </c>
      <c r="F194" s="5" t="n">
        <v>1</v>
      </c>
      <c r="G194" s="5" t="inlineStr"/>
      <c r="H194" s="5" t="n">
        <v>777</v>
      </c>
      <c r="I194" s="5" t="inlineStr">
        <is>
          <t>9/3/2023</t>
        </is>
      </c>
      <c r="J194" s="5" t="inlineStr"/>
      <c r="K194" s="5" t="inlineStr"/>
      <c r="L194" s="5" t="inlineStr">
        <is>
          <t>60%</t>
        </is>
      </c>
      <c r="M194" s="5" t="n">
        <v>1304</v>
      </c>
      <c r="N194" s="5" t="n">
        <v>1.68</v>
      </c>
      <c r="O194" s="5" t="n">
        <v>1195</v>
      </c>
      <c r="P194" s="5" t="n">
        <v>1.54</v>
      </c>
      <c r="Q194" s="5" t="inlineStr">
        <is>
          <t>2023-09-03</t>
        </is>
      </c>
      <c r="R194" s="5" t="inlineStr">
        <is>
          <t>2023-10-24</t>
        </is>
      </c>
      <c r="S194" s="5" t="n">
        <v>52</v>
      </c>
      <c r="T194" s="5" t="n">
        <v>52</v>
      </c>
      <c r="U194" s="48" t="inlineStr">
        <is>
          <t>Cascade</t>
        </is>
      </c>
    </row>
    <row r="195">
      <c r="A195" s="5" t="inlineStr">
        <is>
          <t>Bella Mirage</t>
        </is>
      </c>
      <c r="B195" s="5" t="inlineStr">
        <is>
          <t>Cascade</t>
        </is>
      </c>
      <c r="C195" s="5" t="inlineStr">
        <is>
          <t>4227</t>
        </is>
      </c>
      <c r="D195" s="5" t="inlineStr"/>
      <c r="E195" s="5" t="n">
        <v>1</v>
      </c>
      <c r="F195" s="5" t="n">
        <v>1</v>
      </c>
      <c r="G195" s="5" t="inlineStr"/>
      <c r="H195" s="5" t="n">
        <v>777</v>
      </c>
      <c r="I195" s="5" t="inlineStr">
        <is>
          <t>6/25/2024</t>
        </is>
      </c>
      <c r="J195" s="5" t="n">
        <v>200</v>
      </c>
      <c r="K195" s="5" t="n">
        <v>15</v>
      </c>
      <c r="L195" s="5" t="inlineStr">
        <is>
          <t>60%</t>
        </is>
      </c>
      <c r="M195" s="5" t="n">
        <v>1401</v>
      </c>
      <c r="N195" s="5" t="n">
        <v>1.8</v>
      </c>
      <c r="O195" s="5" t="n">
        <v>1401</v>
      </c>
      <c r="P195" s="5" t="n">
        <v>1.8</v>
      </c>
      <c r="Q195" s="5" t="inlineStr">
        <is>
          <t>2024-06-01</t>
        </is>
      </c>
      <c r="R195" s="5" t="inlineStr">
        <is>
          <t>2024-07-04</t>
        </is>
      </c>
      <c r="S195" s="5" t="n">
        <v>34</v>
      </c>
      <c r="T195" s="5" t="n">
        <v>10</v>
      </c>
      <c r="U195" s="48" t="inlineStr">
        <is>
          <t>Cascade</t>
        </is>
      </c>
    </row>
    <row r="196">
      <c r="A196" s="5" t="inlineStr">
        <is>
          <t>Bella Mirage</t>
        </is>
      </c>
      <c r="B196" s="5" t="inlineStr">
        <is>
          <t>Cascade</t>
        </is>
      </c>
      <c r="C196" s="5" t="inlineStr">
        <is>
          <t>4224</t>
        </is>
      </c>
      <c r="D196" s="5" t="n">
        <v>4</v>
      </c>
      <c r="E196" s="5" t="n">
        <v>1</v>
      </c>
      <c r="F196" s="5" t="n">
        <v>1</v>
      </c>
      <c r="G196" s="5" t="inlineStr"/>
      <c r="H196" s="5" t="n">
        <v>777</v>
      </c>
      <c r="I196" s="5" t="inlineStr">
        <is>
          <t>5/10/2025</t>
        </is>
      </c>
      <c r="J196" s="5" t="n">
        <v>200</v>
      </c>
      <c r="K196" s="5" t="n">
        <v>12</v>
      </c>
      <c r="L196" s="5" t="inlineStr">
        <is>
          <t>60%</t>
        </is>
      </c>
      <c r="M196" s="5" t="n">
        <v>1282</v>
      </c>
      <c r="N196" s="5" t="n">
        <v>1.65</v>
      </c>
      <c r="O196" s="5" t="n">
        <v>1175</v>
      </c>
      <c r="P196" s="5" t="n">
        <v>1.51</v>
      </c>
      <c r="Q196" s="5" t="inlineStr">
        <is>
          <t>2025-03-01</t>
        </is>
      </c>
      <c r="R196" s="5" t="inlineStr">
        <is>
          <t>2025-03-13</t>
        </is>
      </c>
      <c r="S196" s="5" t="n">
        <v>13</v>
      </c>
      <c r="T196" s="5" t="n">
        <v>0</v>
      </c>
      <c r="U196" s="48" t="inlineStr">
        <is>
          <t>Cascade</t>
        </is>
      </c>
    </row>
    <row r="197">
      <c r="A197" s="5" t="inlineStr">
        <is>
          <t>Bella Mirage</t>
        </is>
      </c>
      <c r="B197" s="5" t="inlineStr">
        <is>
          <t>Cascade</t>
        </is>
      </c>
      <c r="C197" s="5" t="inlineStr">
        <is>
          <t>4224</t>
        </is>
      </c>
      <c r="D197" s="5" t="n">
        <v>4</v>
      </c>
      <c r="E197" s="5" t="n">
        <v>1</v>
      </c>
      <c r="F197" s="5" t="n">
        <v>1</v>
      </c>
      <c r="G197" s="5" t="inlineStr"/>
      <c r="H197" s="5" t="n">
        <v>777</v>
      </c>
      <c r="I197" s="5" t="inlineStr">
        <is>
          <t>3/8/2026</t>
        </is>
      </c>
      <c r="J197" s="5" t="n">
        <v>300</v>
      </c>
      <c r="K197" s="5" t="n">
        <v>13</v>
      </c>
      <c r="L197" s="5" t="inlineStr">
        <is>
          <t>60%</t>
        </is>
      </c>
      <c r="M197" s="5" t="n">
        <v>1139</v>
      </c>
      <c r="N197" s="5" t="n">
        <v>1.47</v>
      </c>
      <c r="O197" s="5" t="n">
        <v>1139</v>
      </c>
      <c r="P197" s="5" t="n">
        <v>1.47</v>
      </c>
      <c r="Q197" s="5" t="inlineStr">
        <is>
          <t>2026-01-18</t>
        </is>
      </c>
      <c r="R197" s="5" t="inlineStr">
        <is>
          <t>2026-03-06</t>
        </is>
      </c>
      <c r="S197" s="5" t="n">
        <v>48</v>
      </c>
      <c r="T197" s="5" t="n">
        <v>0</v>
      </c>
      <c r="U197" s="48" t="inlineStr">
        <is>
          <t>Cascade</t>
        </is>
      </c>
    </row>
    <row r="198">
      <c r="A198" s="5" t="inlineStr">
        <is>
          <t>Bella Mirage</t>
        </is>
      </c>
      <c r="B198" s="5" t="inlineStr">
        <is>
          <t>Cascade</t>
        </is>
      </c>
      <c r="C198" s="5" t="inlineStr">
        <is>
          <t>0136</t>
        </is>
      </c>
      <c r="D198" s="5" t="inlineStr"/>
      <c r="E198" s="5" t="n">
        <v>1</v>
      </c>
      <c r="F198" s="5" t="n">
        <v>1</v>
      </c>
      <c r="G198" s="5" t="inlineStr"/>
      <c r="H198" s="5" t="n">
        <v>777</v>
      </c>
      <c r="I198" s="5" t="inlineStr">
        <is>
          <t>7/17/2025</t>
        </is>
      </c>
      <c r="J198" s="5" t="n">
        <v>300</v>
      </c>
      <c r="K198" s="5" t="n">
        <v>12</v>
      </c>
      <c r="L198" s="5" t="inlineStr">
        <is>
          <t>60%</t>
        </is>
      </c>
      <c r="M198" s="5" t="n">
        <v>1139</v>
      </c>
      <c r="N198" s="5" t="n">
        <v>1.47</v>
      </c>
      <c r="O198" s="5" t="n">
        <v>1139</v>
      </c>
      <c r="P198" s="5" t="n">
        <v>1.47</v>
      </c>
      <c r="Q198" s="5" t="inlineStr">
        <is>
          <t>2025-06-03</t>
        </is>
      </c>
      <c r="R198" s="5" t="inlineStr">
        <is>
          <t>2025-11-18</t>
        </is>
      </c>
      <c r="S198" s="5" t="n">
        <v>169</v>
      </c>
      <c r="T198" s="5" t="n">
        <v>125</v>
      </c>
      <c r="U198" s="48" t="inlineStr">
        <is>
          <t>Cascade</t>
        </is>
      </c>
    </row>
    <row r="199">
      <c r="A199" s="5" t="inlineStr">
        <is>
          <t>Bella Mirage</t>
        </is>
      </c>
      <c r="B199" s="5" t="inlineStr">
        <is>
          <t>Cascade</t>
        </is>
      </c>
      <c r="C199" s="5" t="inlineStr">
        <is>
          <t>1812</t>
        </is>
      </c>
      <c r="D199" s="5" t="n">
        <v>1</v>
      </c>
      <c r="E199" s="5" t="n">
        <v>1</v>
      </c>
      <c r="F199" s="5" t="n">
        <v>1</v>
      </c>
      <c r="G199" s="5" t="inlineStr"/>
      <c r="H199" s="5" t="n">
        <v>777</v>
      </c>
      <c r="I199" s="5" t="inlineStr">
        <is>
          <t>2/7/2025</t>
        </is>
      </c>
      <c r="J199" s="5" t="n">
        <v>200</v>
      </c>
      <c r="K199" s="5" t="n">
        <v>12</v>
      </c>
      <c r="L199" s="5" t="inlineStr">
        <is>
          <t>60%</t>
        </is>
      </c>
      <c r="M199" s="5" t="n">
        <v>1356</v>
      </c>
      <c r="N199" s="5" t="n">
        <v>1.75</v>
      </c>
      <c r="O199" s="5" t="n">
        <v>1243</v>
      </c>
      <c r="P199" s="5" t="n">
        <v>1.6</v>
      </c>
      <c r="Q199" s="5" t="inlineStr">
        <is>
          <t>2024-12-31</t>
        </is>
      </c>
      <c r="R199" s="5" t="inlineStr">
        <is>
          <t>2025-02-11</t>
        </is>
      </c>
      <c r="S199" s="5" t="n">
        <v>43</v>
      </c>
      <c r="T199" s="5" t="n">
        <v>5</v>
      </c>
      <c r="U199" s="48" t="inlineStr">
        <is>
          <t>Cascade</t>
        </is>
      </c>
    </row>
    <row r="200">
      <c r="A200" s="5" t="inlineStr">
        <is>
          <t>Bella Mirage</t>
        </is>
      </c>
      <c r="B200" s="5" t="inlineStr">
        <is>
          <t>Cascade</t>
        </is>
      </c>
      <c r="C200" s="5" t="inlineStr">
        <is>
          <t>1812</t>
        </is>
      </c>
      <c r="D200" s="5" t="n">
        <v>1</v>
      </c>
      <c r="E200" s="5" t="n">
        <v>1</v>
      </c>
      <c r="F200" s="5" t="n">
        <v>1</v>
      </c>
      <c r="G200" s="5" t="inlineStr"/>
      <c r="H200" s="5" t="n">
        <v>777</v>
      </c>
      <c r="I200" s="5" t="inlineStr">
        <is>
          <t>1/31/2026</t>
        </is>
      </c>
      <c r="J200" s="5" t="n">
        <v>300</v>
      </c>
      <c r="K200" s="5" t="n">
        <v>12</v>
      </c>
      <c r="L200" s="5" t="inlineStr">
        <is>
          <t>60%</t>
        </is>
      </c>
      <c r="M200" s="5" t="n">
        <v>1141</v>
      </c>
      <c r="N200" s="5" t="n">
        <v>1.47</v>
      </c>
      <c r="O200" s="5" t="n">
        <v>1141</v>
      </c>
      <c r="P200" s="5" t="n">
        <v>1.47</v>
      </c>
      <c r="Q200" s="5" t="inlineStr">
        <is>
          <t>2025-12-31</t>
        </is>
      </c>
      <c r="R200" s="5" t="inlineStr">
        <is>
          <t>2026-03-16</t>
        </is>
      </c>
      <c r="S200" s="5" t="n">
        <v>76</v>
      </c>
      <c r="T200" s="5" t="n">
        <v>45</v>
      </c>
      <c r="U200" s="48" t="inlineStr">
        <is>
          <t>Cascade</t>
        </is>
      </c>
    </row>
    <row r="201">
      <c r="A201" s="5" t="inlineStr">
        <is>
          <t>Bella Mirage</t>
        </is>
      </c>
      <c r="B201" s="5" t="inlineStr">
        <is>
          <t>Cascade</t>
        </is>
      </c>
      <c r="C201" s="5" t="inlineStr">
        <is>
          <t>3816</t>
        </is>
      </c>
      <c r="D201" s="5" t="n">
        <v>3</v>
      </c>
      <c r="E201" s="5" t="n">
        <v>1</v>
      </c>
      <c r="F201" s="5" t="n">
        <v>1</v>
      </c>
      <c r="G201" s="5" t="inlineStr"/>
      <c r="H201" s="5" t="n">
        <v>777</v>
      </c>
      <c r="I201" s="5" t="inlineStr">
        <is>
          <t>10/29/2024</t>
        </is>
      </c>
      <c r="J201" s="5" t="n">
        <v>200</v>
      </c>
      <c r="K201" s="5" t="n">
        <v>12</v>
      </c>
      <c r="L201" s="5" t="inlineStr">
        <is>
          <t>60%</t>
        </is>
      </c>
      <c r="M201" s="5" t="n">
        <v>1319</v>
      </c>
      <c r="N201" s="5" t="n">
        <v>1.7</v>
      </c>
      <c r="O201" s="5" t="n">
        <v>1209</v>
      </c>
      <c r="P201" s="5" t="n">
        <v>1.56</v>
      </c>
      <c r="Q201" s="5" t="inlineStr">
        <is>
          <t>2024-08-20</t>
        </is>
      </c>
      <c r="R201" s="5" t="inlineStr">
        <is>
          <t>2024-12-03</t>
        </is>
      </c>
      <c r="S201" s="5" t="n">
        <v>106</v>
      </c>
      <c r="T201" s="5" t="n">
        <v>36</v>
      </c>
      <c r="U201" s="48" t="inlineStr">
        <is>
          <t>Cascade</t>
        </is>
      </c>
    </row>
    <row r="202">
      <c r="A202" s="5" t="inlineStr">
        <is>
          <t>Bella Mirage</t>
        </is>
      </c>
      <c r="B202" s="5" t="inlineStr">
        <is>
          <t>Cascade</t>
        </is>
      </c>
      <c r="C202" s="5" t="inlineStr">
        <is>
          <t>3816</t>
        </is>
      </c>
      <c r="D202" s="5" t="n">
        <v>3</v>
      </c>
      <c r="E202" s="5" t="n">
        <v>1</v>
      </c>
      <c r="F202" s="5" t="n">
        <v>1</v>
      </c>
      <c r="G202" s="5" t="inlineStr"/>
      <c r="H202" s="5" t="n">
        <v>777</v>
      </c>
      <c r="I202" s="5" t="inlineStr">
        <is>
          <t>3/27/2026</t>
        </is>
      </c>
      <c r="J202" s="5" t="n">
        <v>300</v>
      </c>
      <c r="K202" s="5" t="n">
        <v>13</v>
      </c>
      <c r="L202" s="5" t="inlineStr">
        <is>
          <t>60%</t>
        </is>
      </c>
      <c r="M202" s="5" t="n">
        <v>1144</v>
      </c>
      <c r="N202" s="5" t="n">
        <v>1.47</v>
      </c>
      <c r="O202" s="5" t="n">
        <v>1144</v>
      </c>
      <c r="P202" s="5" t="n">
        <v>1.47</v>
      </c>
      <c r="Q202" s="5" t="inlineStr">
        <is>
          <t>2026-01-17</t>
        </is>
      </c>
      <c r="R202" s="5" t="inlineStr">
        <is>
          <t>2026-02-23</t>
        </is>
      </c>
      <c r="S202" s="5" t="n">
        <v>38</v>
      </c>
      <c r="T202" s="5" t="n">
        <v>0</v>
      </c>
      <c r="U202" s="48" t="inlineStr">
        <is>
          <t>Cascade</t>
        </is>
      </c>
    </row>
    <row r="203">
      <c r="A203" s="5" t="inlineStr">
        <is>
          <t>Bella Mirage</t>
        </is>
      </c>
      <c r="B203" s="5" t="inlineStr">
        <is>
          <t>Cascade</t>
        </is>
      </c>
      <c r="C203" s="5" t="inlineStr">
        <is>
          <t>2814</t>
        </is>
      </c>
      <c r="D203" s="5" t="inlineStr"/>
      <c r="E203" s="5" t="n">
        <v>1</v>
      </c>
      <c r="F203" s="5" t="n">
        <v>1</v>
      </c>
      <c r="G203" s="5" t="inlineStr"/>
      <c r="H203" s="5" t="n">
        <v>777</v>
      </c>
      <c r="I203" s="5" t="inlineStr">
        <is>
          <t>8/23/2024</t>
        </is>
      </c>
      <c r="J203" s="5" t="n">
        <v>200</v>
      </c>
      <c r="K203" s="5" t="n">
        <v>12</v>
      </c>
      <c r="L203" s="5" t="inlineStr">
        <is>
          <t>60%</t>
        </is>
      </c>
      <c r="M203" s="5" t="n">
        <v>1145</v>
      </c>
      <c r="N203" s="5" t="n">
        <v>1.47</v>
      </c>
      <c r="O203" s="5" t="n">
        <v>1145</v>
      </c>
      <c r="P203" s="5" t="n">
        <v>1.47</v>
      </c>
      <c r="Q203" s="5" t="inlineStr">
        <is>
          <t>2024-06-09</t>
        </is>
      </c>
      <c r="R203" s="5" t="inlineStr">
        <is>
          <t>2024-06-16</t>
        </is>
      </c>
      <c r="S203" s="5" t="n">
        <v>8</v>
      </c>
      <c r="T203" s="5" t="n">
        <v>0</v>
      </c>
      <c r="U203" s="48" t="inlineStr">
        <is>
          <t>Cascade</t>
        </is>
      </c>
    </row>
    <row r="204">
      <c r="A204" s="5" t="inlineStr">
        <is>
          <t>Bella Mirage</t>
        </is>
      </c>
      <c r="B204" s="5" t="inlineStr">
        <is>
          <t>Cascade</t>
        </is>
      </c>
      <c r="C204" s="5" t="inlineStr">
        <is>
          <t>1824</t>
        </is>
      </c>
      <c r="D204" s="5" t="n">
        <v>1</v>
      </c>
      <c r="E204" s="5" t="n">
        <v>1</v>
      </c>
      <c r="F204" s="5" t="n">
        <v>1</v>
      </c>
      <c r="G204" s="5" t="inlineStr"/>
      <c r="H204" s="5" t="n">
        <v>777</v>
      </c>
      <c r="I204" s="5" t="inlineStr">
        <is>
          <t>6/4/2024</t>
        </is>
      </c>
      <c r="J204" s="5" t="n">
        <v>200</v>
      </c>
      <c r="K204" s="5" t="n">
        <v>12</v>
      </c>
      <c r="L204" s="5" t="inlineStr">
        <is>
          <t>60%</t>
        </is>
      </c>
      <c r="M204" s="5" t="n">
        <v>1145</v>
      </c>
      <c r="N204" s="5" t="n">
        <v>1.47</v>
      </c>
      <c r="O204" s="5" t="n">
        <v>1145</v>
      </c>
      <c r="P204" s="5" t="n">
        <v>1.47</v>
      </c>
      <c r="Q204" s="5" t="inlineStr">
        <is>
          <t>2024-03-27</t>
        </is>
      </c>
      <c r="R204" s="5" t="inlineStr">
        <is>
          <t>2024-06-20</t>
        </is>
      </c>
      <c r="S204" s="5" t="n">
        <v>86</v>
      </c>
      <c r="T204" s="5" t="n">
        <v>17</v>
      </c>
      <c r="U204" s="48" t="inlineStr">
        <is>
          <t>Cascade</t>
        </is>
      </c>
    </row>
    <row r="205">
      <c r="A205" s="5" t="inlineStr">
        <is>
          <t>Bella Mirage</t>
        </is>
      </c>
      <c r="B205" s="5" t="inlineStr">
        <is>
          <t>Cascade</t>
        </is>
      </c>
      <c r="C205" s="5" t="inlineStr">
        <is>
          <t>1833</t>
        </is>
      </c>
      <c r="D205" s="5" t="inlineStr"/>
      <c r="E205" s="5" t="n">
        <v>1</v>
      </c>
      <c r="F205" s="5" t="n">
        <v>1</v>
      </c>
      <c r="G205" s="5" t="inlineStr"/>
      <c r="H205" s="5" t="n">
        <v>777</v>
      </c>
      <c r="I205" s="5" t="inlineStr">
        <is>
          <t>7/22/2024</t>
        </is>
      </c>
      <c r="J205" s="5" t="n">
        <v>200</v>
      </c>
      <c r="K205" s="5" t="n">
        <v>12</v>
      </c>
      <c r="L205" s="5" t="inlineStr">
        <is>
          <t>60%</t>
        </is>
      </c>
      <c r="M205" s="5" t="n">
        <v>1145</v>
      </c>
      <c r="N205" s="5" t="n">
        <v>1.47</v>
      </c>
      <c r="O205" s="5" t="n">
        <v>1145</v>
      </c>
      <c r="P205" s="5" t="n">
        <v>1.47</v>
      </c>
      <c r="Q205" s="5" t="inlineStr">
        <is>
          <t>2024-05-08</t>
        </is>
      </c>
      <c r="R205" s="5" t="inlineStr">
        <is>
          <t>2024-06-20</t>
        </is>
      </c>
      <c r="S205" s="5" t="n">
        <v>44</v>
      </c>
      <c r="T205" s="5" t="n">
        <v>0</v>
      </c>
      <c r="U205" s="48" t="inlineStr">
        <is>
          <t>Cascade</t>
        </is>
      </c>
    </row>
    <row r="206">
      <c r="A206" s="5" t="inlineStr">
        <is>
          <t>Bella Mirage</t>
        </is>
      </c>
      <c r="B206" s="5" t="inlineStr">
        <is>
          <t>Cascade</t>
        </is>
      </c>
      <c r="C206" s="5" t="inlineStr">
        <is>
          <t>4232</t>
        </is>
      </c>
      <c r="D206" s="5" t="inlineStr"/>
      <c r="E206" s="5" t="n">
        <v>1</v>
      </c>
      <c r="F206" s="5" t="n">
        <v>1</v>
      </c>
      <c r="G206" s="5" t="inlineStr"/>
      <c r="H206" s="5" t="n">
        <v>777</v>
      </c>
      <c r="I206" s="5" t="inlineStr">
        <is>
          <t>9/3/2024</t>
        </is>
      </c>
      <c r="J206" s="5" t="n">
        <v>200</v>
      </c>
      <c r="K206" s="5" t="n">
        <v>15</v>
      </c>
      <c r="L206" s="5" t="inlineStr">
        <is>
          <t>60%</t>
        </is>
      </c>
      <c r="M206" s="5" t="n">
        <v>1274</v>
      </c>
      <c r="N206" s="5" t="n">
        <v>1.64</v>
      </c>
      <c r="O206" s="5" t="n">
        <v>1274</v>
      </c>
      <c r="P206" s="5" t="n">
        <v>1.64</v>
      </c>
      <c r="Q206" s="5" t="inlineStr">
        <is>
          <t>2024-07-27</t>
        </is>
      </c>
      <c r="R206" s="5" t="inlineStr">
        <is>
          <t>2024-10-26</t>
        </is>
      </c>
      <c r="S206" s="5" t="n">
        <v>92</v>
      </c>
      <c r="T206" s="5" t="n">
        <v>54</v>
      </c>
      <c r="U206" s="48" t="inlineStr">
        <is>
          <t>Cascade</t>
        </is>
      </c>
    </row>
    <row r="207">
      <c r="A207" s="5" t="inlineStr">
        <is>
          <t>Bella Mirage</t>
        </is>
      </c>
      <c r="B207" s="5" t="inlineStr">
        <is>
          <t>Cascade</t>
        </is>
      </c>
      <c r="C207" s="5" t="inlineStr">
        <is>
          <t>4232</t>
        </is>
      </c>
      <c r="D207" s="5" t="inlineStr"/>
      <c r="E207" s="5" t="n">
        <v>1</v>
      </c>
      <c r="F207" s="5" t="n">
        <v>1</v>
      </c>
      <c r="G207" s="5" t="inlineStr"/>
      <c r="H207" s="5" t="n">
        <v>777</v>
      </c>
      <c r="I207" s="5" t="inlineStr">
        <is>
          <t>3/19/2025</t>
        </is>
      </c>
      <c r="J207" s="5" t="n">
        <v>200</v>
      </c>
      <c r="K207" s="5" t="n">
        <v>13</v>
      </c>
      <c r="L207" s="5" t="inlineStr">
        <is>
          <t>60%</t>
        </is>
      </c>
      <c r="M207" s="5" t="n">
        <v>1221</v>
      </c>
      <c r="N207" s="5" t="n">
        <v>1.57</v>
      </c>
      <c r="O207" s="5" t="n">
        <v>1127</v>
      </c>
      <c r="P207" s="5" t="n">
        <v>1.45</v>
      </c>
      <c r="Q207" s="5" t="inlineStr">
        <is>
          <t>2025-02-05</t>
        </is>
      </c>
      <c r="R207" s="5" t="inlineStr">
        <is>
          <t>2025-03-10</t>
        </is>
      </c>
      <c r="S207" s="5" t="n">
        <v>34</v>
      </c>
      <c r="T207" s="5" t="n">
        <v>0</v>
      </c>
      <c r="U207" s="48" t="inlineStr">
        <is>
          <t>Cascade</t>
        </is>
      </c>
    </row>
    <row r="208">
      <c r="A208" s="5" t="inlineStr">
        <is>
          <t>Bella Mirage</t>
        </is>
      </c>
      <c r="B208" s="5" t="inlineStr">
        <is>
          <t>Cascade</t>
        </is>
      </c>
      <c r="C208" s="5" t="inlineStr">
        <is>
          <t>4232</t>
        </is>
      </c>
      <c r="D208" s="5" t="inlineStr"/>
      <c r="E208" s="5" t="n">
        <v>1</v>
      </c>
      <c r="F208" s="5" t="n">
        <v>1</v>
      </c>
      <c r="G208" s="5" t="inlineStr"/>
      <c r="H208" s="5" t="n">
        <v>777</v>
      </c>
      <c r="I208" s="5" t="inlineStr">
        <is>
          <t>7/30/2025</t>
        </is>
      </c>
      <c r="J208" s="5" t="n">
        <v>300</v>
      </c>
      <c r="K208" s="5" t="n">
        <v>12</v>
      </c>
      <c r="L208" s="5" t="inlineStr">
        <is>
          <t>60%</t>
        </is>
      </c>
      <c r="M208" s="5" t="n">
        <v>1216</v>
      </c>
      <c r="N208" s="5" t="n">
        <v>1.56</v>
      </c>
      <c r="O208" s="5" t="n">
        <v>1115</v>
      </c>
      <c r="P208" s="5" t="n">
        <v>1.44</v>
      </c>
      <c r="Q208" s="5" t="inlineStr">
        <is>
          <t>2025-06-28</t>
        </is>
      </c>
      <c r="R208" s="5" t="inlineStr">
        <is>
          <t>2025-09-25</t>
        </is>
      </c>
      <c r="S208" s="5" t="n">
        <v>90</v>
      </c>
      <c r="T208" s="5" t="n">
        <v>58</v>
      </c>
      <c r="U208" s="48" t="inlineStr">
        <is>
          <t>Cascade</t>
        </is>
      </c>
    </row>
    <row r="209">
      <c r="A209" s="5" t="inlineStr">
        <is>
          <t>Bella Mirage</t>
        </is>
      </c>
      <c r="B209" s="5" t="inlineStr">
        <is>
          <t>Cascade</t>
        </is>
      </c>
      <c r="C209" s="5" t="inlineStr">
        <is>
          <t>4232</t>
        </is>
      </c>
      <c r="D209" s="5" t="inlineStr"/>
      <c r="E209" s="5" t="n">
        <v>1</v>
      </c>
      <c r="F209" s="5" t="n">
        <v>1</v>
      </c>
      <c r="G209" s="5" t="inlineStr"/>
      <c r="H209" s="5" t="n">
        <v>777</v>
      </c>
      <c r="I209" s="5" t="inlineStr">
        <is>
          <t>2/16/2026</t>
        </is>
      </c>
      <c r="J209" s="5" t="n">
        <v>300</v>
      </c>
      <c r="K209" s="5" t="n">
        <v>12</v>
      </c>
      <c r="L209" s="5" t="inlineStr">
        <is>
          <t>60%</t>
        </is>
      </c>
      <c r="M209" s="5" t="n">
        <v>1146</v>
      </c>
      <c r="N209" s="5" t="n">
        <v>1.47</v>
      </c>
      <c r="O209" s="5" t="n">
        <v>1146</v>
      </c>
      <c r="P209" s="5" t="n">
        <v>1.47</v>
      </c>
      <c r="Q209" s="5" t="inlineStr">
        <is>
          <t>2026-02-02</t>
        </is>
      </c>
      <c r="R209" s="5" t="inlineStr">
        <is>
          <t>2026-03-10</t>
        </is>
      </c>
      <c r="S209" s="5" t="n">
        <v>37</v>
      </c>
      <c r="T209" s="5" t="n">
        <v>23</v>
      </c>
      <c r="U209" s="48" t="inlineStr">
        <is>
          <t>Cascade</t>
        </is>
      </c>
    </row>
    <row r="210">
      <c r="A210" s="5" t="inlineStr">
        <is>
          <t>Bella Mirage</t>
        </is>
      </c>
      <c r="B210" s="5" t="inlineStr">
        <is>
          <t>Cascade</t>
        </is>
      </c>
      <c r="C210" s="5" t="inlineStr">
        <is>
          <t>4033</t>
        </is>
      </c>
      <c r="D210" s="5" t="inlineStr"/>
      <c r="E210" s="5" t="n">
        <v>1</v>
      </c>
      <c r="F210" s="5" t="n">
        <v>1</v>
      </c>
      <c r="G210" s="5" t="inlineStr"/>
      <c r="H210" s="5" t="n">
        <v>777</v>
      </c>
      <c r="I210" s="5" t="inlineStr">
        <is>
          <t>11/25/2024</t>
        </is>
      </c>
      <c r="J210" s="5" t="n">
        <v>200</v>
      </c>
      <c r="K210" s="5" t="n">
        <v>13</v>
      </c>
      <c r="L210" s="5" t="inlineStr">
        <is>
          <t>60%</t>
        </is>
      </c>
      <c r="M210" s="5" t="n">
        <v>1189</v>
      </c>
      <c r="N210" s="5" t="n">
        <v>1.53</v>
      </c>
      <c r="O210" s="5" t="n">
        <v>1098</v>
      </c>
      <c r="P210" s="5" t="n">
        <v>1.41</v>
      </c>
      <c r="Q210" s="5" t="inlineStr">
        <is>
          <t>2024-11-06</t>
        </is>
      </c>
      <c r="R210" s="5" t="inlineStr">
        <is>
          <t>2025-01-03</t>
        </is>
      </c>
      <c r="S210" s="5" t="n">
        <v>59</v>
      </c>
      <c r="T210" s="5" t="n">
        <v>40</v>
      </c>
      <c r="U210" s="48" t="inlineStr">
        <is>
          <t>Cascade</t>
        </is>
      </c>
    </row>
    <row r="211">
      <c r="A211" s="5" t="inlineStr">
        <is>
          <t>Bella Mirage</t>
        </is>
      </c>
      <c r="B211" s="5" t="inlineStr">
        <is>
          <t>Cascade</t>
        </is>
      </c>
      <c r="C211" s="5" t="inlineStr">
        <is>
          <t>4033</t>
        </is>
      </c>
      <c r="D211" s="5" t="inlineStr"/>
      <c r="E211" s="5" t="n">
        <v>1</v>
      </c>
      <c r="F211" s="5" t="n">
        <v>1</v>
      </c>
      <c r="G211" s="5" t="inlineStr"/>
      <c r="H211" s="5" t="n">
        <v>777</v>
      </c>
      <c r="I211" s="5" t="inlineStr">
        <is>
          <t>5/4/2026</t>
        </is>
      </c>
      <c r="J211" s="5" t="n">
        <v>300</v>
      </c>
      <c r="K211" s="5" t="n">
        <v>12</v>
      </c>
      <c r="L211" s="5" t="inlineStr">
        <is>
          <t>60%</t>
        </is>
      </c>
      <c r="M211" s="5" t="n">
        <v>1146</v>
      </c>
      <c r="N211" s="5" t="n">
        <v>1.47</v>
      </c>
      <c r="O211" s="5" t="n">
        <v>1146</v>
      </c>
      <c r="P211" s="5" t="n">
        <v>1.47</v>
      </c>
      <c r="Q211" s="5" t="inlineStr">
        <is>
          <t>2026-03-05</t>
        </is>
      </c>
      <c r="R211" s="5" t="inlineStr">
        <is>
          <t>2026-03-10</t>
        </is>
      </c>
      <c r="S211" s="5" t="n">
        <v>6</v>
      </c>
      <c r="T211" s="5" t="n">
        <v>0</v>
      </c>
      <c r="U211" s="48" t="inlineStr">
        <is>
          <t>Cascade</t>
        </is>
      </c>
    </row>
    <row r="212">
      <c r="A212" s="5" t="inlineStr">
        <is>
          <t>Bella Mirage</t>
        </is>
      </c>
      <c r="B212" s="5" t="inlineStr">
        <is>
          <t>Cascade</t>
        </is>
      </c>
      <c r="C212" s="5" t="inlineStr">
        <is>
          <t>3825</t>
        </is>
      </c>
      <c r="D212" s="5" t="n">
        <v>3</v>
      </c>
      <c r="E212" s="5" t="n">
        <v>1</v>
      </c>
      <c r="F212" s="5" t="n">
        <v>1</v>
      </c>
      <c r="G212" s="5" t="inlineStr"/>
      <c r="H212" s="5" t="n">
        <v>777</v>
      </c>
      <c r="I212" s="5" t="inlineStr">
        <is>
          <t>6/26/2024</t>
        </is>
      </c>
      <c r="J212" s="5" t="n">
        <v>200</v>
      </c>
      <c r="K212" s="5" t="n">
        <v>12</v>
      </c>
      <c r="L212" s="5" t="inlineStr">
        <is>
          <t>60%</t>
        </is>
      </c>
      <c r="M212" s="5" t="n">
        <v>1288</v>
      </c>
      <c r="N212" s="5" t="n">
        <v>1.66</v>
      </c>
      <c r="O212" s="5" t="n">
        <v>1181</v>
      </c>
      <c r="P212" s="5" t="n">
        <v>1.52</v>
      </c>
      <c r="Q212" s="5" t="inlineStr">
        <is>
          <t>2024-06-01</t>
        </is>
      </c>
      <c r="R212" s="5" t="inlineStr">
        <is>
          <t>2024-11-12</t>
        </is>
      </c>
      <c r="S212" s="5" t="n">
        <v>165</v>
      </c>
      <c r="T212" s="5" t="n">
        <v>140</v>
      </c>
      <c r="U212" s="48" t="inlineStr">
        <is>
          <t>Cascade</t>
        </is>
      </c>
    </row>
    <row r="213">
      <c r="A213" s="5" t="inlineStr">
        <is>
          <t>Bella Mirage</t>
        </is>
      </c>
      <c r="B213" s="5" t="inlineStr">
        <is>
          <t>Cascade</t>
        </is>
      </c>
      <c r="C213" s="5" t="inlineStr">
        <is>
          <t>3825</t>
        </is>
      </c>
      <c r="D213" s="5" t="n">
        <v>3</v>
      </c>
      <c r="E213" s="5" t="n">
        <v>1</v>
      </c>
      <c r="F213" s="5" t="n">
        <v>1</v>
      </c>
      <c r="G213" s="5" t="inlineStr"/>
      <c r="H213" s="5" t="n">
        <v>777</v>
      </c>
      <c r="I213" s="5" t="inlineStr">
        <is>
          <t>4/11/2026</t>
        </is>
      </c>
      <c r="J213" s="5" t="n">
        <v>300</v>
      </c>
      <c r="K213" s="5" t="n">
        <v>12</v>
      </c>
      <c r="L213" s="5" t="inlineStr">
        <is>
          <t>60%</t>
        </is>
      </c>
      <c r="M213" s="5" t="n">
        <v>1147</v>
      </c>
      <c r="N213" s="5" t="n">
        <v>1.48</v>
      </c>
      <c r="O213" s="5" t="n">
        <v>1147</v>
      </c>
      <c r="P213" s="5" t="n">
        <v>1.48</v>
      </c>
      <c r="Q213" s="5" t="inlineStr">
        <is>
          <t>2026-01-21</t>
        </is>
      </c>
      <c r="R213" s="5" t="inlineStr">
        <is>
          <t>2026-05-20</t>
        </is>
      </c>
      <c r="S213" s="5" t="n">
        <v>120</v>
      </c>
      <c r="T213" s="5" t="n">
        <v>40</v>
      </c>
      <c r="U213" s="48" t="inlineStr">
        <is>
          <t>Cascade</t>
        </is>
      </c>
    </row>
    <row r="214">
      <c r="A214" s="5" t="inlineStr">
        <is>
          <t>Bella Mirage</t>
        </is>
      </c>
      <c r="B214" s="5" t="inlineStr">
        <is>
          <t>Cascade</t>
        </is>
      </c>
      <c r="C214" s="5" t="inlineStr">
        <is>
          <t>3336</t>
        </is>
      </c>
      <c r="D214" s="5" t="n">
        <v>3</v>
      </c>
      <c r="E214" s="5" t="n">
        <v>1</v>
      </c>
      <c r="F214" s="5" t="n">
        <v>1</v>
      </c>
      <c r="G214" s="5" t="inlineStr"/>
      <c r="H214" s="5" t="n">
        <v>777</v>
      </c>
      <c r="I214" s="5" t="inlineStr">
        <is>
          <t>4/14/2025</t>
        </is>
      </c>
      <c r="J214" s="5" t="n">
        <v>200</v>
      </c>
      <c r="K214" s="5" t="n">
        <v>13</v>
      </c>
      <c r="L214" s="5" t="inlineStr">
        <is>
          <t>60%</t>
        </is>
      </c>
      <c r="M214" s="5" t="n">
        <v>1282</v>
      </c>
      <c r="N214" s="5" t="n">
        <v>1.65</v>
      </c>
      <c r="O214" s="5" t="n">
        <v>1183</v>
      </c>
      <c r="P214" s="5" t="n">
        <v>1.52</v>
      </c>
      <c r="Q214" s="5" t="inlineStr">
        <is>
          <t>2025-02-13</t>
        </is>
      </c>
      <c r="R214" s="5" t="inlineStr">
        <is>
          <t>2025-03-18</t>
        </is>
      </c>
      <c r="S214" s="5" t="n">
        <v>34</v>
      </c>
      <c r="T214" s="5" t="n">
        <v>0</v>
      </c>
      <c r="U214" s="48" t="inlineStr">
        <is>
          <t>Cascade</t>
        </is>
      </c>
    </row>
    <row r="215">
      <c r="A215" s="5" t="inlineStr">
        <is>
          <t>Bella Mirage</t>
        </is>
      </c>
      <c r="B215" s="5" t="inlineStr">
        <is>
          <t>Cascade</t>
        </is>
      </c>
      <c r="C215" s="5" t="inlineStr">
        <is>
          <t>3336</t>
        </is>
      </c>
      <c r="D215" s="5" t="n">
        <v>3</v>
      </c>
      <c r="E215" s="5" t="n">
        <v>1</v>
      </c>
      <c r="F215" s="5" t="n">
        <v>1</v>
      </c>
      <c r="G215" s="5" t="inlineStr"/>
      <c r="H215" s="5" t="n">
        <v>777</v>
      </c>
      <c r="I215" s="5" t="inlineStr">
        <is>
          <t>4/14/2026</t>
        </is>
      </c>
      <c r="J215" s="5" t="n">
        <v>300</v>
      </c>
      <c r="K215" s="5" t="n">
        <v>12</v>
      </c>
      <c r="L215" s="5" t="inlineStr">
        <is>
          <t>60%</t>
        </is>
      </c>
      <c r="M215" s="5" t="n">
        <v>1148</v>
      </c>
      <c r="N215" s="5" t="n">
        <v>1.48</v>
      </c>
      <c r="O215" s="5" t="n">
        <v>1148</v>
      </c>
      <c r="P215" s="5" t="n">
        <v>1.48</v>
      </c>
      <c r="Q215" s="5" t="inlineStr">
        <is>
          <t>2026-04-02</t>
        </is>
      </c>
      <c r="R215" s="5" t="inlineStr">
        <is>
          <t>2026-05-01</t>
        </is>
      </c>
      <c r="S215" s="5" t="n">
        <v>30</v>
      </c>
      <c r="T215" s="5" t="n">
        <v>18</v>
      </c>
      <c r="U215" s="48" t="inlineStr">
        <is>
          <t>Cascade</t>
        </is>
      </c>
    </row>
    <row r="216">
      <c r="A216" s="5" t="inlineStr">
        <is>
          <t>Bella Mirage</t>
        </is>
      </c>
      <c r="B216" s="5" t="inlineStr">
        <is>
          <t>Cascade</t>
        </is>
      </c>
      <c r="C216" s="5" t="inlineStr">
        <is>
          <t>2715</t>
        </is>
      </c>
      <c r="D216" s="5" t="inlineStr"/>
      <c r="E216" s="5" t="n">
        <v>1</v>
      </c>
      <c r="F216" s="5" t="n">
        <v>1</v>
      </c>
      <c r="G216" s="5" t="inlineStr"/>
      <c r="H216" s="5" t="n">
        <v>777</v>
      </c>
      <c r="I216" s="5" t="inlineStr">
        <is>
          <t>7/15/2024</t>
        </is>
      </c>
      <c r="J216" s="5" t="n">
        <v>200</v>
      </c>
      <c r="K216" s="5" t="n">
        <v>12</v>
      </c>
      <c r="L216" s="5" t="inlineStr">
        <is>
          <t>60%</t>
        </is>
      </c>
      <c r="M216" s="5" t="n">
        <v>1240</v>
      </c>
      <c r="N216" s="5" t="n">
        <v>1.6</v>
      </c>
      <c r="O216" s="5" t="n">
        <v>1240</v>
      </c>
      <c r="P216" s="5" t="n">
        <v>1.6</v>
      </c>
      <c r="Q216" s="5" t="inlineStr">
        <is>
          <t>2024-05-30</t>
        </is>
      </c>
      <c r="R216" s="5" t="inlineStr">
        <is>
          <t>2024-06-18</t>
        </is>
      </c>
      <c r="S216" s="5" t="n">
        <v>20</v>
      </c>
      <c r="T216" s="5" t="n">
        <v>0</v>
      </c>
      <c r="U216" s="48" t="inlineStr">
        <is>
          <t>Cascade</t>
        </is>
      </c>
    </row>
    <row r="217">
      <c r="A217" s="5" t="inlineStr">
        <is>
          <t>Bella Mirage</t>
        </is>
      </c>
      <c r="B217" s="5" t="inlineStr">
        <is>
          <t>Cascade</t>
        </is>
      </c>
      <c r="C217" s="5" t="inlineStr">
        <is>
          <t>2715</t>
        </is>
      </c>
      <c r="D217" s="5" t="inlineStr"/>
      <c r="E217" s="5" t="n">
        <v>1</v>
      </c>
      <c r="F217" s="5" t="n">
        <v>1</v>
      </c>
      <c r="G217" s="5" t="inlineStr"/>
      <c r="H217" s="5" t="n">
        <v>777</v>
      </c>
      <c r="I217" s="5" t="inlineStr">
        <is>
          <t>2/3/2026</t>
        </is>
      </c>
      <c r="J217" s="5" t="n">
        <v>300</v>
      </c>
      <c r="K217" s="5" t="n">
        <v>12</v>
      </c>
      <c r="L217" s="5" t="inlineStr">
        <is>
          <t>60%</t>
        </is>
      </c>
      <c r="M217" s="5" t="n">
        <v>1148</v>
      </c>
      <c r="N217" s="5" t="n">
        <v>1.48</v>
      </c>
      <c r="O217" s="5" t="n">
        <v>1148</v>
      </c>
      <c r="P217" s="5" t="n">
        <v>1.48</v>
      </c>
      <c r="Q217" s="5" t="inlineStr">
        <is>
          <t>2025-11-25</t>
        </is>
      </c>
      <c r="R217" s="5" t="inlineStr">
        <is>
          <t>2026-02-12</t>
        </is>
      </c>
      <c r="S217" s="5" t="n">
        <v>80</v>
      </c>
      <c r="T217" s="5" t="n">
        <v>10</v>
      </c>
      <c r="U217" s="48" t="inlineStr">
        <is>
          <t>Cascade</t>
        </is>
      </c>
    </row>
    <row r="218">
      <c r="A218" s="5" t="inlineStr">
        <is>
          <t>Bella Mirage</t>
        </is>
      </c>
      <c r="B218" s="5" t="inlineStr">
        <is>
          <t>Cascade</t>
        </is>
      </c>
      <c r="C218" s="5" t="inlineStr">
        <is>
          <t>3821</t>
        </is>
      </c>
      <c r="D218" s="5" t="n">
        <v>2</v>
      </c>
      <c r="E218" s="5" t="n">
        <v>1</v>
      </c>
      <c r="F218" s="5" t="n">
        <v>1</v>
      </c>
      <c r="G218" s="5" t="inlineStr"/>
      <c r="H218" s="5" t="n">
        <v>777</v>
      </c>
      <c r="I218" s="5" t="inlineStr">
        <is>
          <t>12/2/2024</t>
        </is>
      </c>
      <c r="J218" s="5" t="n">
        <v>200</v>
      </c>
      <c r="K218" s="5" t="n">
        <v>12</v>
      </c>
      <c r="L218" s="5" t="inlineStr">
        <is>
          <t>60%</t>
        </is>
      </c>
      <c r="M218" s="5" t="n">
        <v>1287</v>
      </c>
      <c r="N218" s="5" t="n">
        <v>1.66</v>
      </c>
      <c r="O218" s="5" t="n">
        <v>1180</v>
      </c>
      <c r="P218" s="5" t="n">
        <v>1.52</v>
      </c>
      <c r="Q218" s="5" t="inlineStr">
        <is>
          <t>2024-09-18</t>
        </is>
      </c>
      <c r="R218" s="5" t="inlineStr">
        <is>
          <t>2025-01-19</t>
        </is>
      </c>
      <c r="S218" s="5" t="n">
        <v>124</v>
      </c>
      <c r="T218" s="5" t="n">
        <v>49</v>
      </c>
      <c r="U218" s="48" t="inlineStr">
        <is>
          <t>Cascade</t>
        </is>
      </c>
    </row>
    <row r="219">
      <c r="A219" s="5" t="inlineStr">
        <is>
          <t>Bella Mirage</t>
        </is>
      </c>
      <c r="B219" s="5" t="inlineStr">
        <is>
          <t>Cascade</t>
        </is>
      </c>
      <c r="C219" s="5" t="inlineStr">
        <is>
          <t>3821</t>
        </is>
      </c>
      <c r="D219" s="5" t="n">
        <v>2</v>
      </c>
      <c r="E219" s="5" t="n">
        <v>1</v>
      </c>
      <c r="F219" s="5" t="n">
        <v>1</v>
      </c>
      <c r="G219" s="5" t="inlineStr"/>
      <c r="H219" s="5" t="n">
        <v>777</v>
      </c>
      <c r="I219" s="5" t="inlineStr">
        <is>
          <t>12/6/2025</t>
        </is>
      </c>
      <c r="J219" s="5" t="n">
        <v>300</v>
      </c>
      <c r="K219" s="5" t="n">
        <v>12</v>
      </c>
      <c r="L219" s="5" t="inlineStr">
        <is>
          <t>60%</t>
        </is>
      </c>
      <c r="M219" s="5" t="n">
        <v>1149</v>
      </c>
      <c r="N219" s="5" t="n">
        <v>1.48</v>
      </c>
      <c r="O219" s="5" t="n">
        <v>1149</v>
      </c>
      <c r="P219" s="5" t="n">
        <v>1.48</v>
      </c>
      <c r="Q219" s="5" t="inlineStr">
        <is>
          <t>2025-11-04</t>
        </is>
      </c>
      <c r="R219" s="5" t="inlineStr">
        <is>
          <t>2026-03-02</t>
        </is>
      </c>
      <c r="S219" s="5" t="n">
        <v>119</v>
      </c>
      <c r="T219" s="5" t="n">
        <v>87</v>
      </c>
      <c r="U219" s="48" t="inlineStr">
        <is>
          <t>Cascade</t>
        </is>
      </c>
    </row>
    <row r="220">
      <c r="A220" s="5" t="inlineStr">
        <is>
          <t>Bella Mirage</t>
        </is>
      </c>
      <c r="B220" s="5" t="inlineStr">
        <is>
          <t>Cascade</t>
        </is>
      </c>
      <c r="C220" s="5" t="inlineStr">
        <is>
          <t>0923</t>
        </is>
      </c>
      <c r="D220" s="5" t="inlineStr"/>
      <c r="E220" s="5" t="n">
        <v>1</v>
      </c>
      <c r="F220" s="5" t="n">
        <v>1</v>
      </c>
      <c r="G220" s="5" t="inlineStr"/>
      <c r="H220" s="5" t="n">
        <v>777</v>
      </c>
      <c r="I220" s="5" t="inlineStr">
        <is>
          <t>12/9/2024</t>
        </is>
      </c>
      <c r="J220" s="5" t="n">
        <v>200</v>
      </c>
      <c r="K220" s="5" t="n">
        <v>12</v>
      </c>
      <c r="L220" s="5" t="inlineStr">
        <is>
          <t>60%</t>
        </is>
      </c>
      <c r="M220" s="5" t="n">
        <v>1295</v>
      </c>
      <c r="N220" s="5" t="n">
        <v>1.67</v>
      </c>
      <c r="O220" s="5" t="n">
        <v>1295</v>
      </c>
      <c r="P220" s="5" t="n">
        <v>1.67</v>
      </c>
      <c r="Q220" s="5" t="inlineStr">
        <is>
          <t>2024-09-25</t>
        </is>
      </c>
      <c r="R220" s="5" t="inlineStr">
        <is>
          <t>2024-10-26</t>
        </is>
      </c>
      <c r="S220" s="5" t="n">
        <v>32</v>
      </c>
      <c r="T220" s="5" t="n">
        <v>0</v>
      </c>
      <c r="U220" s="48" t="inlineStr">
        <is>
          <t>Cascade</t>
        </is>
      </c>
    </row>
    <row r="221">
      <c r="A221" s="5" t="inlineStr">
        <is>
          <t>Bella Mirage</t>
        </is>
      </c>
      <c r="B221" s="5" t="inlineStr">
        <is>
          <t>Cascade</t>
        </is>
      </c>
      <c r="C221" s="5" t="inlineStr">
        <is>
          <t>0923</t>
        </is>
      </c>
      <c r="D221" s="5" t="inlineStr"/>
      <c r="E221" s="5" t="n">
        <v>1</v>
      </c>
      <c r="F221" s="5" t="n">
        <v>1</v>
      </c>
      <c r="G221" s="5" t="inlineStr"/>
      <c r="H221" s="5" t="n">
        <v>777</v>
      </c>
      <c r="I221" s="5" t="inlineStr">
        <is>
          <t>3/21/2026</t>
        </is>
      </c>
      <c r="J221" s="5" t="n">
        <v>300</v>
      </c>
      <c r="K221" s="5" t="n">
        <v>13</v>
      </c>
      <c r="L221" s="5" t="inlineStr">
        <is>
          <t>60%</t>
        </is>
      </c>
      <c r="M221" s="5" t="n">
        <v>1150</v>
      </c>
      <c r="N221" s="5" t="n">
        <v>1.48</v>
      </c>
      <c r="O221" s="5" t="n">
        <v>1150</v>
      </c>
      <c r="P221" s="5" t="n">
        <v>1.48</v>
      </c>
      <c r="Q221" s="5" t="inlineStr">
        <is>
          <t>2026-02-04</t>
        </is>
      </c>
      <c r="R221" s="5" t="inlineStr">
        <is>
          <t>2026-03-31</t>
        </is>
      </c>
      <c r="S221" s="5" t="n">
        <v>56</v>
      </c>
      <c r="T221" s="5" t="n">
        <v>11</v>
      </c>
      <c r="U221" s="48" t="inlineStr">
        <is>
          <t>Cascade</t>
        </is>
      </c>
    </row>
    <row r="222">
      <c r="A222" s="5" t="inlineStr">
        <is>
          <t>Bella Mirage</t>
        </is>
      </c>
      <c r="B222" s="5" t="inlineStr">
        <is>
          <t>Cascade</t>
        </is>
      </c>
      <c r="C222" s="5" t="inlineStr">
        <is>
          <t>3327</t>
        </is>
      </c>
      <c r="D222" s="5" t="n">
        <v>3</v>
      </c>
      <c r="E222" s="5" t="n">
        <v>1</v>
      </c>
      <c r="F222" s="5" t="n">
        <v>1</v>
      </c>
      <c r="G222" s="5" t="inlineStr"/>
      <c r="H222" s="5" t="n">
        <v>777</v>
      </c>
      <c r="I222" s="5" t="inlineStr">
        <is>
          <t>7/29/2024</t>
        </is>
      </c>
      <c r="J222" s="5" t="n">
        <v>200</v>
      </c>
      <c r="K222" s="5" t="n">
        <v>15</v>
      </c>
      <c r="L222" s="5" t="inlineStr">
        <is>
          <t>60%</t>
        </is>
      </c>
      <c r="M222" s="5" t="n">
        <v>1223</v>
      </c>
      <c r="N222" s="5" t="n">
        <v>1.57</v>
      </c>
      <c r="O222" s="5" t="n">
        <v>1223</v>
      </c>
      <c r="P222" s="5" t="n">
        <v>1.57</v>
      </c>
      <c r="Q222" s="5" t="inlineStr">
        <is>
          <t>2024-05-03</t>
        </is>
      </c>
      <c r="R222" s="5" t="inlineStr">
        <is>
          <t>2024-09-12</t>
        </is>
      </c>
      <c r="S222" s="5" t="n">
        <v>133</v>
      </c>
      <c r="T222" s="5" t="n">
        <v>46</v>
      </c>
      <c r="U222" s="48" t="inlineStr">
        <is>
          <t>Cascade</t>
        </is>
      </c>
    </row>
    <row r="223">
      <c r="A223" s="5" t="inlineStr">
        <is>
          <t>Bella Mirage</t>
        </is>
      </c>
      <c r="B223" s="5" t="inlineStr">
        <is>
          <t>Cascade</t>
        </is>
      </c>
      <c r="C223" s="5" t="inlineStr">
        <is>
          <t>3327</t>
        </is>
      </c>
      <c r="D223" s="5" t="n">
        <v>3</v>
      </c>
      <c r="E223" s="5" t="n">
        <v>1</v>
      </c>
      <c r="F223" s="5" t="n">
        <v>1</v>
      </c>
      <c r="G223" s="5" t="inlineStr"/>
      <c r="H223" s="5" t="n">
        <v>777</v>
      </c>
      <c r="I223" s="5" t="inlineStr">
        <is>
          <t>12/31/2025</t>
        </is>
      </c>
      <c r="J223" s="5" t="n">
        <v>300</v>
      </c>
      <c r="K223" s="5" t="n">
        <v>12</v>
      </c>
      <c r="L223" s="5" t="inlineStr">
        <is>
          <t>60%</t>
        </is>
      </c>
      <c r="M223" s="5" t="n">
        <v>1151</v>
      </c>
      <c r="N223" s="5" t="n">
        <v>1.48</v>
      </c>
      <c r="O223" s="5" t="n">
        <v>1151</v>
      </c>
      <c r="P223" s="5" t="n">
        <v>1.48</v>
      </c>
      <c r="Q223" s="5" t="inlineStr">
        <is>
          <t>2025-09-16</t>
        </is>
      </c>
      <c r="R223" s="5" t="inlineStr">
        <is>
          <t>2026-02-01</t>
        </is>
      </c>
      <c r="S223" s="5" t="n">
        <v>139</v>
      </c>
      <c r="T223" s="5" t="n">
        <v>33</v>
      </c>
      <c r="U223" s="48" t="inlineStr">
        <is>
          <t>Cascade</t>
        </is>
      </c>
    </row>
    <row r="224">
      <c r="A224" s="5" t="inlineStr">
        <is>
          <t>Bella Mirage</t>
        </is>
      </c>
      <c r="B224" s="5" t="inlineStr">
        <is>
          <t>Cascade</t>
        </is>
      </c>
      <c r="C224" s="5" t="inlineStr">
        <is>
          <t>3332</t>
        </is>
      </c>
      <c r="D224" s="5" t="n">
        <v>3</v>
      </c>
      <c r="E224" s="5" t="n">
        <v>1</v>
      </c>
      <c r="F224" s="5" t="n">
        <v>1</v>
      </c>
      <c r="G224" s="5" t="inlineStr"/>
      <c r="H224" s="5" t="n">
        <v>777</v>
      </c>
      <c r="I224" s="5" t="inlineStr">
        <is>
          <t>6/10/2024</t>
        </is>
      </c>
      <c r="J224" s="5" t="n">
        <v>200</v>
      </c>
      <c r="K224" s="5" t="n">
        <v>12</v>
      </c>
      <c r="L224" s="5" t="inlineStr">
        <is>
          <t>60%</t>
        </is>
      </c>
      <c r="M224" s="5" t="n">
        <v>1245</v>
      </c>
      <c r="N224" s="5" t="n">
        <v>1.6</v>
      </c>
      <c r="O224" s="5" t="n">
        <v>1245</v>
      </c>
      <c r="P224" s="5" t="n">
        <v>1.6</v>
      </c>
      <c r="Q224" s="5" t="inlineStr">
        <is>
          <t>2024-03-02</t>
        </is>
      </c>
      <c r="R224" s="5" t="inlineStr">
        <is>
          <t>2024-06-20</t>
        </is>
      </c>
      <c r="S224" s="5" t="n">
        <v>111</v>
      </c>
      <c r="T224" s="5" t="n">
        <v>11</v>
      </c>
      <c r="U224" s="48" t="inlineStr">
        <is>
          <t>Cascade</t>
        </is>
      </c>
    </row>
    <row r="225">
      <c r="A225" s="5" t="inlineStr">
        <is>
          <t>Bella Mirage</t>
        </is>
      </c>
      <c r="B225" s="5" t="inlineStr">
        <is>
          <t>Cascade</t>
        </is>
      </c>
      <c r="C225" s="5" t="inlineStr">
        <is>
          <t>3332</t>
        </is>
      </c>
      <c r="D225" s="5" t="n">
        <v>3</v>
      </c>
      <c r="E225" s="5" t="n">
        <v>1</v>
      </c>
      <c r="F225" s="5" t="n">
        <v>1</v>
      </c>
      <c r="G225" s="5" t="inlineStr"/>
      <c r="H225" s="5" t="n">
        <v>777</v>
      </c>
      <c r="I225" s="5" t="inlineStr">
        <is>
          <t>11/9/2025</t>
        </is>
      </c>
      <c r="J225" s="5" t="n">
        <v>300</v>
      </c>
      <c r="K225" s="5" t="n">
        <v>12</v>
      </c>
      <c r="L225" s="5" t="inlineStr">
        <is>
          <t>60%</t>
        </is>
      </c>
      <c r="M225" s="5" t="n">
        <v>1153</v>
      </c>
      <c r="N225" s="5" t="n">
        <v>1.48</v>
      </c>
      <c r="O225" s="5" t="n">
        <v>1153</v>
      </c>
      <c r="P225" s="5" t="n">
        <v>1.48</v>
      </c>
      <c r="Q225" s="5" t="inlineStr">
        <is>
          <t>2025-10-09</t>
        </is>
      </c>
      <c r="R225" s="5" t="inlineStr">
        <is>
          <t>2025-12-20</t>
        </is>
      </c>
      <c r="S225" s="5" t="n">
        <v>73</v>
      </c>
      <c r="T225" s="5" t="n">
        <v>42</v>
      </c>
      <c r="U225" s="48" t="inlineStr">
        <is>
          <t>Cascade</t>
        </is>
      </c>
    </row>
    <row r="226">
      <c r="A226" s="5" t="inlineStr">
        <is>
          <t>Bella Mirage</t>
        </is>
      </c>
      <c r="B226" s="5" t="inlineStr">
        <is>
          <t>Cascade</t>
        </is>
      </c>
      <c r="C226" s="5" t="inlineStr">
        <is>
          <t>3036</t>
        </is>
      </c>
      <c r="D226" s="5" t="n">
        <v>3</v>
      </c>
      <c r="E226" s="5" t="n">
        <v>1</v>
      </c>
      <c r="F226" s="5" t="n">
        <v>1</v>
      </c>
      <c r="G226" s="5" t="inlineStr"/>
      <c r="H226" s="5" t="n">
        <v>777</v>
      </c>
      <c r="I226" s="5" t="inlineStr">
        <is>
          <t>8/14/2025</t>
        </is>
      </c>
      <c r="J226" s="5" t="n">
        <v>200</v>
      </c>
      <c r="K226" s="5" t="n">
        <v>12</v>
      </c>
      <c r="L226" s="5" t="inlineStr">
        <is>
          <t>60%</t>
        </is>
      </c>
      <c r="M226" s="5" t="n">
        <v>1154</v>
      </c>
      <c r="N226" s="5" t="n">
        <v>1.49</v>
      </c>
      <c r="O226" s="5" t="n">
        <v>1058</v>
      </c>
      <c r="P226" s="5" t="n">
        <v>1.36</v>
      </c>
      <c r="Q226" s="5" t="inlineStr">
        <is>
          <t>2025-06-01</t>
        </is>
      </c>
      <c r="R226" s="5" t="inlineStr">
        <is>
          <t>2025-06-21</t>
        </is>
      </c>
      <c r="S226" s="5" t="n">
        <v>21</v>
      </c>
      <c r="T226" s="5" t="n">
        <v>0</v>
      </c>
      <c r="U226" s="48" t="inlineStr">
        <is>
          <t>Cascade</t>
        </is>
      </c>
    </row>
    <row r="227">
      <c r="A227" s="5" t="inlineStr">
        <is>
          <t>Bella Mirage</t>
        </is>
      </c>
      <c r="B227" s="5" t="inlineStr">
        <is>
          <t>Cascade</t>
        </is>
      </c>
      <c r="C227" s="5" t="inlineStr">
        <is>
          <t>4015</t>
        </is>
      </c>
      <c r="D227" s="5" t="n">
        <v>1</v>
      </c>
      <c r="E227" s="5" t="n">
        <v>1</v>
      </c>
      <c r="F227" s="5" t="n">
        <v>1</v>
      </c>
      <c r="G227" s="5" t="inlineStr"/>
      <c r="H227" s="5" t="n">
        <v>777</v>
      </c>
      <c r="I227" s="5" t="inlineStr">
        <is>
          <t>10/15/2024</t>
        </is>
      </c>
      <c r="J227" s="5" t="n">
        <v>200</v>
      </c>
      <c r="K227" s="5" t="n">
        <v>12</v>
      </c>
      <c r="L227" s="5" t="inlineStr">
        <is>
          <t>60%</t>
        </is>
      </c>
      <c r="M227" s="5" t="n">
        <v>1231</v>
      </c>
      <c r="N227" s="5" t="n">
        <v>1.58</v>
      </c>
      <c r="O227" s="5" t="n">
        <v>1128</v>
      </c>
      <c r="P227" s="5" t="n">
        <v>1.45</v>
      </c>
      <c r="Q227" s="5" t="inlineStr">
        <is>
          <t>2024-07-27</t>
        </is>
      </c>
      <c r="R227" s="5" t="inlineStr">
        <is>
          <t>2024-12-17</t>
        </is>
      </c>
      <c r="S227" s="5" t="n">
        <v>144</v>
      </c>
      <c r="T227" s="5" t="n">
        <v>64</v>
      </c>
      <c r="U227" s="48" t="inlineStr">
        <is>
          <t>Cascade</t>
        </is>
      </c>
    </row>
    <row r="228">
      <c r="A228" s="5" t="inlineStr">
        <is>
          <t>Bella Mirage</t>
        </is>
      </c>
      <c r="B228" s="5" t="inlineStr">
        <is>
          <t>Cascade</t>
        </is>
      </c>
      <c r="C228" s="5" t="inlineStr">
        <is>
          <t>4015</t>
        </is>
      </c>
      <c r="D228" s="5" t="n">
        <v>1</v>
      </c>
      <c r="E228" s="5" t="n">
        <v>1</v>
      </c>
      <c r="F228" s="5" t="n">
        <v>1</v>
      </c>
      <c r="G228" s="5" t="inlineStr"/>
      <c r="H228" s="5" t="n">
        <v>777</v>
      </c>
      <c r="I228" s="5" t="inlineStr">
        <is>
          <t>4/14/2026</t>
        </is>
      </c>
      <c r="J228" s="5" t="n">
        <v>300</v>
      </c>
      <c r="K228" s="5" t="n">
        <v>12</v>
      </c>
      <c r="L228" s="5" t="inlineStr">
        <is>
          <t>60%</t>
        </is>
      </c>
      <c r="M228" s="5" t="n">
        <v>1155</v>
      </c>
      <c r="N228" s="5" t="n">
        <v>1.49</v>
      </c>
      <c r="O228" s="5" t="n">
        <v>1155</v>
      </c>
      <c r="P228" s="5" t="n">
        <v>1.49</v>
      </c>
      <c r="Q228" s="5" t="inlineStr">
        <is>
          <t>2026-02-13</t>
        </is>
      </c>
      <c r="R228" s="5" t="inlineStr">
        <is>
          <t>2026-06-03</t>
        </is>
      </c>
      <c r="S228" s="5" t="n">
        <v>111</v>
      </c>
      <c r="T228" s="5" t="n">
        <v>51</v>
      </c>
      <c r="U228" s="48" t="inlineStr">
        <is>
          <t>Cascade</t>
        </is>
      </c>
    </row>
    <row r="229">
      <c r="A229" s="5" t="inlineStr">
        <is>
          <t>Bella Mirage</t>
        </is>
      </c>
      <c r="B229" s="5" t="inlineStr">
        <is>
          <t>Cascade</t>
        </is>
      </c>
      <c r="C229" s="5" t="inlineStr">
        <is>
          <t>4037</t>
        </is>
      </c>
      <c r="D229" s="5" t="n">
        <v>4</v>
      </c>
      <c r="E229" s="5" t="n">
        <v>1</v>
      </c>
      <c r="F229" s="5" t="n">
        <v>1</v>
      </c>
      <c r="G229" s="5" t="inlineStr"/>
      <c r="H229" s="5" t="n">
        <v>777</v>
      </c>
      <c r="I229" s="5" t="inlineStr">
        <is>
          <t>2/13/2024</t>
        </is>
      </c>
      <c r="J229" s="5" t="n">
        <v>200</v>
      </c>
      <c r="K229" s="5" t="n">
        <v>15</v>
      </c>
      <c r="L229" s="5" t="inlineStr">
        <is>
          <t>60%</t>
        </is>
      </c>
      <c r="M229" s="5" t="n">
        <v>1363</v>
      </c>
      <c r="N229" s="5" t="n">
        <v>1.75</v>
      </c>
      <c r="O229" s="5" t="n">
        <v>1272</v>
      </c>
      <c r="P229" s="5" t="n">
        <v>1.64</v>
      </c>
      <c r="Q229" s="5" t="inlineStr">
        <is>
          <t>2024-02-12</t>
        </is>
      </c>
      <c r="R229" s="5" t="inlineStr">
        <is>
          <t>2024-02-21</t>
        </is>
      </c>
      <c r="S229" s="5" t="n">
        <v>10</v>
      </c>
      <c r="T229" s="5" t="n">
        <v>9</v>
      </c>
      <c r="U229" s="48" t="inlineStr">
        <is>
          <t>Cascade</t>
        </is>
      </c>
    </row>
    <row r="230">
      <c r="A230" s="5" t="inlineStr">
        <is>
          <t>Bella Mirage</t>
        </is>
      </c>
      <c r="B230" s="5" t="inlineStr">
        <is>
          <t>Cascade</t>
        </is>
      </c>
      <c r="C230" s="5" t="inlineStr">
        <is>
          <t>4037</t>
        </is>
      </c>
      <c r="D230" s="5" t="n">
        <v>4</v>
      </c>
      <c r="E230" s="5" t="n">
        <v>1</v>
      </c>
      <c r="F230" s="5" t="n">
        <v>1</v>
      </c>
      <c r="G230" s="5" t="inlineStr"/>
      <c r="H230" s="5" t="n">
        <v>777</v>
      </c>
      <c r="I230" s="5" t="inlineStr">
        <is>
          <t>5/28/2025</t>
        </is>
      </c>
      <c r="J230" s="5" t="n">
        <v>200</v>
      </c>
      <c r="K230" s="5" t="n">
        <v>12</v>
      </c>
      <c r="L230" s="5" t="inlineStr">
        <is>
          <t>60%</t>
        </is>
      </c>
      <c r="M230" s="5" t="n">
        <v>1247</v>
      </c>
      <c r="N230" s="5" t="n">
        <v>1.6</v>
      </c>
      <c r="O230" s="5" t="n">
        <v>1143</v>
      </c>
      <c r="P230" s="5" t="n">
        <v>1.47</v>
      </c>
      <c r="Q230" s="5" t="inlineStr">
        <is>
          <t>2025-05-10</t>
        </is>
      </c>
      <c r="R230" s="5" t="inlineStr">
        <is>
          <t>2025-06-16</t>
        </is>
      </c>
      <c r="S230" s="5" t="n">
        <v>38</v>
      </c>
      <c r="T230" s="5" t="n">
        <v>20</v>
      </c>
      <c r="U230" s="48" t="inlineStr">
        <is>
          <t>Cascade</t>
        </is>
      </c>
    </row>
    <row r="231">
      <c r="A231" s="5" t="inlineStr">
        <is>
          <t>Bella Mirage</t>
        </is>
      </c>
      <c r="B231" s="5" t="inlineStr">
        <is>
          <t>Cascade</t>
        </is>
      </c>
      <c r="C231" s="5" t="inlineStr">
        <is>
          <t>5828</t>
        </is>
      </c>
      <c r="D231" s="5" t="n">
        <v>2</v>
      </c>
      <c r="E231" s="5" t="n">
        <v>1</v>
      </c>
      <c r="F231" s="5" t="n">
        <v>1</v>
      </c>
      <c r="G231" s="5" t="inlineStr"/>
      <c r="H231" s="5" t="n">
        <v>777</v>
      </c>
      <c r="I231" s="5" t="inlineStr">
        <is>
          <t>5/2/2024</t>
        </is>
      </c>
      <c r="J231" s="5" t="n">
        <v>200</v>
      </c>
      <c r="K231" s="5" t="n">
        <v>13</v>
      </c>
      <c r="L231" s="5" t="inlineStr">
        <is>
          <t>60%</t>
        </is>
      </c>
      <c r="M231" s="5" t="n">
        <v>1394</v>
      </c>
      <c r="N231" s="5" t="n">
        <v>1.79</v>
      </c>
      <c r="O231" s="5" t="n">
        <v>1287</v>
      </c>
      <c r="P231" s="5" t="n">
        <v>1.66</v>
      </c>
      <c r="Q231" s="5" t="inlineStr">
        <is>
          <t>2024-02-14</t>
        </is>
      </c>
      <c r="R231" s="5" t="inlineStr">
        <is>
          <t>2024-03-18</t>
        </is>
      </c>
      <c r="S231" s="5" t="n">
        <v>34</v>
      </c>
      <c r="T231" s="5" t="n">
        <v>0</v>
      </c>
      <c r="U231" s="48" t="inlineStr">
        <is>
          <t>Cascade</t>
        </is>
      </c>
    </row>
    <row r="232">
      <c r="A232" s="5" t="inlineStr">
        <is>
          <t>Bella Mirage</t>
        </is>
      </c>
      <c r="B232" s="5" t="inlineStr">
        <is>
          <t>Cascade</t>
        </is>
      </c>
      <c r="C232" s="5" t="inlineStr">
        <is>
          <t>5828</t>
        </is>
      </c>
      <c r="D232" s="5" t="n">
        <v>2</v>
      </c>
      <c r="E232" s="5" t="n">
        <v>1</v>
      </c>
      <c r="F232" s="5" t="n">
        <v>1</v>
      </c>
      <c r="G232" s="5" t="inlineStr"/>
      <c r="H232" s="5" t="n">
        <v>777</v>
      </c>
      <c r="I232" s="5" t="inlineStr">
        <is>
          <t>11/23/2025</t>
        </is>
      </c>
      <c r="J232" s="5" t="n">
        <v>300</v>
      </c>
      <c r="K232" s="5" t="n">
        <v>12</v>
      </c>
      <c r="L232" s="5" t="inlineStr">
        <is>
          <t>60%</t>
        </is>
      </c>
      <c r="M232" s="5" t="n">
        <v>1159</v>
      </c>
      <c r="N232" s="5" t="n">
        <v>1.49</v>
      </c>
      <c r="O232" s="5" t="n">
        <v>1159</v>
      </c>
      <c r="P232" s="5" t="n">
        <v>1.49</v>
      </c>
      <c r="Q232" s="5" t="inlineStr">
        <is>
          <t>2025-11-05</t>
        </is>
      </c>
      <c r="R232" s="5" t="inlineStr">
        <is>
          <t>2026-01-08</t>
        </is>
      </c>
      <c r="S232" s="5" t="n">
        <v>65</v>
      </c>
      <c r="T232" s="5" t="n">
        <v>47</v>
      </c>
      <c r="U232" s="48" t="inlineStr">
        <is>
          <t>Cascade</t>
        </is>
      </c>
    </row>
    <row r="233">
      <c r="A233" s="5" t="inlineStr">
        <is>
          <t>Bella Mirage</t>
        </is>
      </c>
      <c r="B233" s="5" t="inlineStr">
        <is>
          <t>Cascade</t>
        </is>
      </c>
      <c r="C233" s="5" t="inlineStr">
        <is>
          <t>5832</t>
        </is>
      </c>
      <c r="D233" s="5" t="inlineStr"/>
      <c r="E233" s="5" t="n">
        <v>1</v>
      </c>
      <c r="F233" s="5" t="n">
        <v>1</v>
      </c>
      <c r="G233" s="5" t="inlineStr"/>
      <c r="H233" s="5" t="n">
        <v>777</v>
      </c>
      <c r="I233" s="5" t="inlineStr">
        <is>
          <t>11/15/2023</t>
        </is>
      </c>
      <c r="J233" s="5" t="inlineStr"/>
      <c r="K233" s="5" t="inlineStr"/>
      <c r="L233" s="5" t="inlineStr">
        <is>
          <t>60%</t>
        </is>
      </c>
      <c r="M233" s="5" t="n">
        <v>1246</v>
      </c>
      <c r="N233" s="5" t="n">
        <v>1.6</v>
      </c>
      <c r="O233" s="5" t="n">
        <v>1142</v>
      </c>
      <c r="P233" s="5" t="n">
        <v>1.47</v>
      </c>
      <c r="Q233" s="5" t="inlineStr">
        <is>
          <t>2023-11-15</t>
        </is>
      </c>
      <c r="R233" s="5" t="inlineStr">
        <is>
          <t>2023-12-06</t>
        </is>
      </c>
      <c r="S233" s="5" t="n">
        <v>22</v>
      </c>
      <c r="T233" s="5" t="n">
        <v>22</v>
      </c>
      <c r="U233" s="48" t="inlineStr">
        <is>
          <t>Cascade</t>
        </is>
      </c>
    </row>
    <row r="234">
      <c r="A234" s="5" t="inlineStr">
        <is>
          <t>Bella Mirage</t>
        </is>
      </c>
      <c r="B234" s="5" t="inlineStr">
        <is>
          <t>Cascade</t>
        </is>
      </c>
      <c r="C234" s="5" t="inlineStr">
        <is>
          <t>5832</t>
        </is>
      </c>
      <c r="D234" s="5" t="inlineStr"/>
      <c r="E234" s="5" t="n">
        <v>1</v>
      </c>
      <c r="F234" s="5" t="n">
        <v>1</v>
      </c>
      <c r="G234" s="5" t="inlineStr"/>
      <c r="H234" s="5" t="n">
        <v>777</v>
      </c>
      <c r="I234" s="5" t="inlineStr">
        <is>
          <t>12/15/2025</t>
        </is>
      </c>
      <c r="J234" s="5" t="n">
        <v>300</v>
      </c>
      <c r="K234" s="5" t="n">
        <v>12</v>
      </c>
      <c r="L234" s="5" t="inlineStr">
        <is>
          <t>60%</t>
        </is>
      </c>
      <c r="M234" s="5" t="n">
        <v>1161</v>
      </c>
      <c r="N234" s="5" t="n">
        <v>1.49</v>
      </c>
      <c r="O234" s="5" t="n">
        <v>1161</v>
      </c>
      <c r="P234" s="5" t="n">
        <v>1.49</v>
      </c>
      <c r="Q234" s="5" t="inlineStr">
        <is>
          <t>2025-11-19</t>
        </is>
      </c>
      <c r="R234" s="5" t="inlineStr">
        <is>
          <t>2026-03-14</t>
        </is>
      </c>
      <c r="S234" s="5" t="n">
        <v>116</v>
      </c>
      <c r="T234" s="5" t="n">
        <v>90</v>
      </c>
      <c r="U234" s="48" t="inlineStr">
        <is>
          <t>Cascade</t>
        </is>
      </c>
    </row>
    <row r="235">
      <c r="A235" s="5" t="inlineStr">
        <is>
          <t>Bella Mirage</t>
        </is>
      </c>
      <c r="B235" s="5" t="inlineStr">
        <is>
          <t>Cascade</t>
        </is>
      </c>
      <c r="C235" s="5" t="inlineStr">
        <is>
          <t>3832</t>
        </is>
      </c>
      <c r="D235" s="5" t="n">
        <v>3</v>
      </c>
      <c r="E235" s="5" t="n">
        <v>1</v>
      </c>
      <c r="F235" s="5" t="n">
        <v>1</v>
      </c>
      <c r="G235" s="5" t="inlineStr"/>
      <c r="H235" s="5" t="n">
        <v>777</v>
      </c>
      <c r="I235" s="5" t="inlineStr">
        <is>
          <t>11/13/2024</t>
        </is>
      </c>
      <c r="J235" s="5" t="n">
        <v>200</v>
      </c>
      <c r="K235" s="5" t="n">
        <v>12</v>
      </c>
      <c r="L235" s="5" t="inlineStr">
        <is>
          <t>60%</t>
        </is>
      </c>
      <c r="M235" s="5" t="n">
        <v>1175</v>
      </c>
      <c r="N235" s="5" t="n">
        <v>1.51</v>
      </c>
      <c r="O235" s="5" t="n">
        <v>1077</v>
      </c>
      <c r="P235" s="5" t="n">
        <v>1.39</v>
      </c>
      <c r="Q235" s="5" t="inlineStr">
        <is>
          <t>2024-10-14</t>
        </is>
      </c>
      <c r="R235" s="5" t="inlineStr">
        <is>
          <t>2024-12-28</t>
        </is>
      </c>
      <c r="S235" s="5" t="n">
        <v>76</v>
      </c>
      <c r="T235" s="5" t="n">
        <v>46</v>
      </c>
      <c r="U235" s="48" t="inlineStr">
        <is>
          <t>Cascade</t>
        </is>
      </c>
    </row>
    <row r="236">
      <c r="A236" s="5" t="inlineStr">
        <is>
          <t>Bella Mirage</t>
        </is>
      </c>
      <c r="B236" s="5" t="inlineStr">
        <is>
          <t>Cascade</t>
        </is>
      </c>
      <c r="C236" s="5" t="inlineStr">
        <is>
          <t>2716</t>
        </is>
      </c>
      <c r="D236" s="5" t="n">
        <v>1</v>
      </c>
      <c r="E236" s="5" t="n">
        <v>1</v>
      </c>
      <c r="F236" s="5" t="n">
        <v>1</v>
      </c>
      <c r="G236" s="5" t="inlineStr"/>
      <c r="H236" s="5" t="n">
        <v>777</v>
      </c>
      <c r="I236" s="5" t="inlineStr">
        <is>
          <t>3/12/2025</t>
        </is>
      </c>
      <c r="J236" s="5" t="n">
        <v>200</v>
      </c>
      <c r="K236" s="5" t="n">
        <v>13</v>
      </c>
      <c r="L236" s="5" t="inlineStr">
        <is>
          <t>60%</t>
        </is>
      </c>
      <c r="M236" s="5" t="n">
        <v>1163</v>
      </c>
      <c r="N236" s="5" t="n">
        <v>1.5</v>
      </c>
      <c r="O236" s="5" t="n">
        <v>1074</v>
      </c>
      <c r="P236" s="5" t="n">
        <v>1.38</v>
      </c>
      <c r="Q236" s="5" t="inlineStr">
        <is>
          <t>2025-01-07</t>
        </is>
      </c>
      <c r="R236" s="5" t="inlineStr">
        <is>
          <t>2025-01-14</t>
        </is>
      </c>
      <c r="S236" s="5" t="n">
        <v>8</v>
      </c>
      <c r="T236" s="5" t="n">
        <v>0</v>
      </c>
      <c r="U236" s="48" t="inlineStr">
        <is>
          <t>Cascade</t>
        </is>
      </c>
    </row>
    <row r="237">
      <c r="A237" s="5" t="inlineStr">
        <is>
          <t>Bella Mirage</t>
        </is>
      </c>
      <c r="B237" s="5" t="inlineStr">
        <is>
          <t>Cascade</t>
        </is>
      </c>
      <c r="C237" s="5" t="inlineStr">
        <is>
          <t>4228</t>
        </is>
      </c>
      <c r="D237" s="5" t="inlineStr"/>
      <c r="E237" s="5" t="n">
        <v>1</v>
      </c>
      <c r="F237" s="5" t="n">
        <v>1</v>
      </c>
      <c r="G237" s="5" t="inlineStr"/>
      <c r="H237" s="5" t="n">
        <v>777</v>
      </c>
      <c r="I237" s="5" t="inlineStr">
        <is>
          <t>10/5/2023</t>
        </is>
      </c>
      <c r="J237" s="5" t="inlineStr"/>
      <c r="K237" s="5" t="inlineStr"/>
      <c r="L237" s="5" t="inlineStr">
        <is>
          <t>60%</t>
        </is>
      </c>
      <c r="M237" s="5" t="n">
        <v>1222</v>
      </c>
      <c r="N237" s="5" t="n">
        <v>1.57</v>
      </c>
      <c r="O237" s="5" t="n">
        <v>1120</v>
      </c>
      <c r="P237" s="5" t="n">
        <v>1.44</v>
      </c>
      <c r="Q237" s="5" t="inlineStr">
        <is>
          <t>2023-10-05</t>
        </is>
      </c>
      <c r="R237" s="5" t="inlineStr">
        <is>
          <t>2023-10-19</t>
        </is>
      </c>
      <c r="S237" s="5" t="n">
        <v>15</v>
      </c>
      <c r="T237" s="5" t="n">
        <v>15</v>
      </c>
      <c r="U237" s="48" t="inlineStr">
        <is>
          <t>Cascade</t>
        </is>
      </c>
    </row>
    <row r="238">
      <c r="A238" s="5" t="inlineStr">
        <is>
          <t>Bella Mirage</t>
        </is>
      </c>
      <c r="B238" s="5" t="inlineStr">
        <is>
          <t>Cascade</t>
        </is>
      </c>
      <c r="C238" s="5" t="inlineStr">
        <is>
          <t>4228</t>
        </is>
      </c>
      <c r="D238" s="5" t="inlineStr"/>
      <c r="E238" s="5" t="n">
        <v>1</v>
      </c>
      <c r="F238" s="5" t="n">
        <v>1</v>
      </c>
      <c r="G238" s="5" t="inlineStr"/>
      <c r="H238" s="5" t="n">
        <v>777</v>
      </c>
      <c r="I238" s="5" t="inlineStr">
        <is>
          <t>5/8/2026</t>
        </is>
      </c>
      <c r="J238" s="5" t="n">
        <v>300</v>
      </c>
      <c r="K238" s="5" t="n">
        <v>12</v>
      </c>
      <c r="L238" s="5" t="inlineStr">
        <is>
          <t>60%</t>
        </is>
      </c>
      <c r="M238" s="5" t="n">
        <v>1163</v>
      </c>
      <c r="N238" s="5" t="n">
        <v>1.5</v>
      </c>
      <c r="O238" s="5" t="n">
        <v>1163</v>
      </c>
      <c r="P238" s="5" t="n">
        <v>1.5</v>
      </c>
      <c r="Q238" s="5" t="inlineStr">
        <is>
          <t>2026-03-09</t>
        </is>
      </c>
      <c r="R238" s="5" t="inlineStr">
        <is>
          <t>2026-04-30</t>
        </is>
      </c>
      <c r="S238" s="5" t="n">
        <v>53</v>
      </c>
      <c r="T238" s="5" t="n">
        <v>0</v>
      </c>
      <c r="U238" s="48" t="inlineStr">
        <is>
          <t>Cascade</t>
        </is>
      </c>
    </row>
    <row r="239">
      <c r="A239" s="5" t="inlineStr">
        <is>
          <t>Bella Mirage</t>
        </is>
      </c>
      <c r="B239" s="5" t="inlineStr">
        <is>
          <t>Cascade</t>
        </is>
      </c>
      <c r="C239" s="5" t="inlineStr">
        <is>
          <t>0533</t>
        </is>
      </c>
      <c r="D239" s="5" t="inlineStr"/>
      <c r="E239" s="5" t="n">
        <v>1</v>
      </c>
      <c r="F239" s="5" t="n">
        <v>1</v>
      </c>
      <c r="G239" s="5" t="inlineStr"/>
      <c r="H239" s="5" t="n">
        <v>777</v>
      </c>
      <c r="I239" s="5" t="inlineStr">
        <is>
          <t>1/21/2025</t>
        </is>
      </c>
      <c r="J239" s="5" t="n">
        <v>200</v>
      </c>
      <c r="K239" s="5" t="n">
        <v>12</v>
      </c>
      <c r="L239" s="5" t="inlineStr">
        <is>
          <t>60%</t>
        </is>
      </c>
      <c r="M239" s="5" t="n">
        <v>1171</v>
      </c>
      <c r="N239" s="5" t="n">
        <v>1.51</v>
      </c>
      <c r="O239" s="5" t="n">
        <v>1073</v>
      </c>
      <c r="P239" s="5" t="n">
        <v>1.38</v>
      </c>
      <c r="Q239" s="5" t="inlineStr">
        <is>
          <t>2024-10-29</t>
        </is>
      </c>
      <c r="R239" s="5" t="inlineStr">
        <is>
          <t>2025-03-14</t>
        </is>
      </c>
      <c r="S239" s="5" t="n">
        <v>137</v>
      </c>
      <c r="T239" s="5" t="n">
        <v>53</v>
      </c>
      <c r="U239" s="48" t="inlineStr">
        <is>
          <t>Cascade</t>
        </is>
      </c>
    </row>
    <row r="240">
      <c r="A240" s="5" t="inlineStr">
        <is>
          <t>Bella Mirage</t>
        </is>
      </c>
      <c r="B240" s="5" t="inlineStr">
        <is>
          <t>Cascade</t>
        </is>
      </c>
      <c r="C240" s="5" t="inlineStr">
        <is>
          <t>3811</t>
        </is>
      </c>
      <c r="D240" s="5" t="n">
        <v>1</v>
      </c>
      <c r="E240" s="5" t="n">
        <v>1</v>
      </c>
      <c r="F240" s="5" t="n">
        <v>1</v>
      </c>
      <c r="G240" s="5" t="inlineStr"/>
      <c r="H240" s="5" t="n">
        <v>777</v>
      </c>
      <c r="I240" s="5" t="inlineStr">
        <is>
          <t>4/11/2024</t>
        </is>
      </c>
      <c r="J240" s="5" t="n">
        <v>200</v>
      </c>
      <c r="K240" s="5" t="n">
        <v>12</v>
      </c>
      <c r="L240" s="5" t="inlineStr">
        <is>
          <t>60%</t>
        </is>
      </c>
      <c r="M240" s="5" t="n">
        <v>1166</v>
      </c>
      <c r="N240" s="5" t="n">
        <v>1.5</v>
      </c>
      <c r="O240" s="5" t="n">
        <v>1069</v>
      </c>
      <c r="P240" s="5" t="n">
        <v>1.38</v>
      </c>
      <c r="Q240" s="5" t="inlineStr">
        <is>
          <t>2024-02-12</t>
        </is>
      </c>
      <c r="R240" s="5" t="inlineStr">
        <is>
          <t>2024-06-12</t>
        </is>
      </c>
      <c r="S240" s="5" t="n">
        <v>122</v>
      </c>
      <c r="T240" s="5" t="n">
        <v>63</v>
      </c>
      <c r="U240" s="48" t="inlineStr">
        <is>
          <t>Cascade</t>
        </is>
      </c>
    </row>
    <row r="241">
      <c r="A241" s="5" t="inlineStr">
        <is>
          <t>Bella Mirage</t>
        </is>
      </c>
      <c r="B241" s="5" t="inlineStr">
        <is>
          <t>Cascade</t>
        </is>
      </c>
      <c r="C241" s="5" t="inlineStr">
        <is>
          <t>3014</t>
        </is>
      </c>
      <c r="D241" s="5" t="n">
        <v>3</v>
      </c>
      <c r="E241" s="5" t="n">
        <v>1</v>
      </c>
      <c r="F241" s="5" t="n">
        <v>1</v>
      </c>
      <c r="G241" s="5" t="inlineStr"/>
      <c r="H241" s="5" t="n">
        <v>777</v>
      </c>
      <c r="I241" s="5" t="inlineStr">
        <is>
          <t>6/7/2024</t>
        </is>
      </c>
      <c r="J241" s="5" t="n">
        <v>200</v>
      </c>
      <c r="K241" s="5" t="n">
        <v>13</v>
      </c>
      <c r="L241" s="5" t="inlineStr">
        <is>
          <t>60%</t>
        </is>
      </c>
      <c r="M241" s="5" t="n">
        <v>1450</v>
      </c>
      <c r="N241" s="5" t="n">
        <v>1.87</v>
      </c>
      <c r="O241" s="5" t="n">
        <v>1450</v>
      </c>
      <c r="P241" s="5" t="n">
        <v>1.87</v>
      </c>
      <c r="Q241" s="5" t="inlineStr">
        <is>
          <t>2024-03-08</t>
        </is>
      </c>
      <c r="R241" s="5" t="inlineStr">
        <is>
          <t>2024-08-20</t>
        </is>
      </c>
      <c r="S241" s="5" t="n">
        <v>166</v>
      </c>
      <c r="T241" s="5" t="n">
        <v>75</v>
      </c>
      <c r="U241" s="48" t="inlineStr">
        <is>
          <t>Cascade</t>
        </is>
      </c>
    </row>
    <row r="242">
      <c r="A242" s="5" t="inlineStr">
        <is>
          <t>Bella Mirage</t>
        </is>
      </c>
      <c r="B242" s="5" t="inlineStr">
        <is>
          <t>Cascade</t>
        </is>
      </c>
      <c r="C242" s="5" t="inlineStr">
        <is>
          <t>3014</t>
        </is>
      </c>
      <c r="D242" s="5" t="n">
        <v>3</v>
      </c>
      <c r="E242" s="5" t="n">
        <v>1</v>
      </c>
      <c r="F242" s="5" t="n">
        <v>1</v>
      </c>
      <c r="G242" s="5" t="inlineStr"/>
      <c r="H242" s="5" t="n">
        <v>777</v>
      </c>
      <c r="I242" s="5" t="inlineStr">
        <is>
          <t>9/30/2025</t>
        </is>
      </c>
      <c r="J242" s="5" t="n">
        <v>300</v>
      </c>
      <c r="K242" s="5" t="n">
        <v>12</v>
      </c>
      <c r="L242" s="5" t="inlineStr">
        <is>
          <t>60%</t>
        </is>
      </c>
      <c r="M242" s="5" t="n">
        <v>1170</v>
      </c>
      <c r="N242" s="5" t="n">
        <v>1.51</v>
      </c>
      <c r="O242" s="5" t="n">
        <v>1170</v>
      </c>
      <c r="P242" s="5" t="n">
        <v>1.51</v>
      </c>
      <c r="Q242" s="5" t="inlineStr">
        <is>
          <t>2025-07-25</t>
        </is>
      </c>
      <c r="R242" s="5" t="inlineStr">
        <is>
          <t>2025-12-18</t>
        </is>
      </c>
      <c r="S242" s="5" t="n">
        <v>147</v>
      </c>
      <c r="T242" s="5" t="n">
        <v>80</v>
      </c>
      <c r="U242" s="48" t="inlineStr">
        <is>
          <t>Cascade</t>
        </is>
      </c>
    </row>
    <row r="243">
      <c r="A243" s="5" t="inlineStr">
        <is>
          <t>Bella Mirage</t>
        </is>
      </c>
      <c r="B243" s="5" t="inlineStr">
        <is>
          <t>Cascade</t>
        </is>
      </c>
      <c r="C243" s="5" t="inlineStr">
        <is>
          <t>5333</t>
        </is>
      </c>
      <c r="D243" s="5" t="inlineStr"/>
      <c r="E243" s="5" t="n">
        <v>1</v>
      </c>
      <c r="F243" s="5" t="n">
        <v>1</v>
      </c>
      <c r="G243" s="5" t="inlineStr"/>
      <c r="H243" s="5" t="n">
        <v>777</v>
      </c>
      <c r="I243" s="5" t="inlineStr">
        <is>
          <t>12/29/2024</t>
        </is>
      </c>
      <c r="J243" s="5" t="n">
        <v>200</v>
      </c>
      <c r="K243" s="5" t="n">
        <v>12</v>
      </c>
      <c r="L243" s="5" t="inlineStr">
        <is>
          <t>60%</t>
        </is>
      </c>
      <c r="M243" s="5" t="n">
        <v>1182</v>
      </c>
      <c r="N243" s="5" t="n">
        <v>1.52</v>
      </c>
      <c r="O243" s="5" t="n">
        <v>1084</v>
      </c>
      <c r="P243" s="5" t="n">
        <v>1.4</v>
      </c>
      <c r="Q243" s="5" t="inlineStr">
        <is>
          <t>2024-12-08</t>
        </is>
      </c>
      <c r="R243" s="5" t="inlineStr">
        <is>
          <t>2025-03-08</t>
        </is>
      </c>
      <c r="S243" s="5" t="n">
        <v>91</v>
      </c>
      <c r="T243" s="5" t="n">
        <v>70</v>
      </c>
      <c r="U243" s="48" t="inlineStr">
        <is>
          <t>Cascade</t>
        </is>
      </c>
    </row>
    <row r="244">
      <c r="A244" s="5" t="inlineStr">
        <is>
          <t>Bella Mirage</t>
        </is>
      </c>
      <c r="B244" s="5" t="inlineStr">
        <is>
          <t>Cascade</t>
        </is>
      </c>
      <c r="C244" s="5" t="inlineStr">
        <is>
          <t>3013</t>
        </is>
      </c>
      <c r="D244" s="5" t="inlineStr"/>
      <c r="E244" s="5" t="n">
        <v>1</v>
      </c>
      <c r="F244" s="5" t="n">
        <v>1</v>
      </c>
      <c r="G244" s="5" t="inlineStr"/>
      <c r="H244" s="5" t="n">
        <v>777</v>
      </c>
      <c r="I244" s="5" t="inlineStr">
        <is>
          <t>8/5/2024</t>
        </is>
      </c>
      <c r="J244" s="5" t="n">
        <v>200</v>
      </c>
      <c r="K244" s="5" t="n">
        <v>12</v>
      </c>
      <c r="L244" s="5" t="inlineStr">
        <is>
          <t>60%</t>
        </is>
      </c>
      <c r="M244" s="5" t="n">
        <v>1465</v>
      </c>
      <c r="N244" s="5" t="n">
        <v>1.89</v>
      </c>
      <c r="O244" s="5" t="n">
        <v>1465</v>
      </c>
      <c r="P244" s="5" t="n">
        <v>1.89</v>
      </c>
      <c r="Q244" s="5" t="inlineStr">
        <is>
          <t>2024-05-25</t>
        </is>
      </c>
      <c r="R244" s="5" t="inlineStr">
        <is>
          <t>2024-07-06</t>
        </is>
      </c>
      <c r="S244" s="5" t="n">
        <v>43</v>
      </c>
      <c r="T244" s="5" t="n">
        <v>0</v>
      </c>
      <c r="U244" s="48" t="inlineStr">
        <is>
          <t>Cascade</t>
        </is>
      </c>
    </row>
    <row r="245">
      <c r="A245" s="5" t="inlineStr">
        <is>
          <t>Bella Mirage</t>
        </is>
      </c>
      <c r="B245" s="5" t="inlineStr">
        <is>
          <t>Cascade</t>
        </is>
      </c>
      <c r="C245" s="5" t="inlineStr">
        <is>
          <t>3013</t>
        </is>
      </c>
      <c r="D245" s="5" t="inlineStr"/>
      <c r="E245" s="5" t="n">
        <v>1</v>
      </c>
      <c r="F245" s="5" t="n">
        <v>1</v>
      </c>
      <c r="G245" s="5" t="inlineStr"/>
      <c r="H245" s="5" t="n">
        <v>777</v>
      </c>
      <c r="I245" s="5" t="inlineStr">
        <is>
          <t>8/6/2025</t>
        </is>
      </c>
      <c r="J245" s="5" t="n">
        <v>300</v>
      </c>
      <c r="K245" s="5" t="n">
        <v>12</v>
      </c>
      <c r="L245" s="5" t="inlineStr">
        <is>
          <t>60%</t>
        </is>
      </c>
      <c r="M245" s="5" t="n">
        <v>1171</v>
      </c>
      <c r="N245" s="5" t="n">
        <v>1.51</v>
      </c>
      <c r="O245" s="5" t="n">
        <v>1171</v>
      </c>
      <c r="P245" s="5" t="n">
        <v>1.51</v>
      </c>
      <c r="Q245" s="5" t="inlineStr">
        <is>
          <t>2025-04-28</t>
        </is>
      </c>
      <c r="R245" s="5" t="inlineStr">
        <is>
          <t>2025-11-20</t>
        </is>
      </c>
      <c r="S245" s="5" t="n">
        <v>207</v>
      </c>
      <c r="T245" s="5" t="n">
        <v>107</v>
      </c>
      <c r="U245" s="48" t="inlineStr">
        <is>
          <t>Cascade</t>
        </is>
      </c>
    </row>
    <row r="246">
      <c r="A246" s="5" t="inlineStr">
        <is>
          <t>Bella Mirage</t>
        </is>
      </c>
      <c r="B246" s="5" t="inlineStr">
        <is>
          <t>Cascade</t>
        </is>
      </c>
      <c r="C246" s="5" t="inlineStr">
        <is>
          <t>4215</t>
        </is>
      </c>
      <c r="D246" s="5" t="n">
        <v>4</v>
      </c>
      <c r="E246" s="5" t="n">
        <v>1</v>
      </c>
      <c r="F246" s="5" t="n">
        <v>1</v>
      </c>
      <c r="G246" s="5" t="inlineStr"/>
      <c r="H246" s="5" t="n">
        <v>777</v>
      </c>
      <c r="I246" s="5" t="inlineStr">
        <is>
          <t>6/17/2023</t>
        </is>
      </c>
      <c r="J246" s="5" t="inlineStr"/>
      <c r="K246" s="5" t="inlineStr"/>
      <c r="L246" s="5" t="inlineStr">
        <is>
          <t>60%</t>
        </is>
      </c>
      <c r="M246" s="5" t="n">
        <v>1374</v>
      </c>
      <c r="N246" s="5" t="n">
        <v>1.77</v>
      </c>
      <c r="O246" s="5" t="n">
        <v>1312</v>
      </c>
      <c r="P246" s="5" t="n">
        <v>1.69</v>
      </c>
      <c r="Q246" s="5" t="inlineStr"/>
      <c r="R246" s="5" t="inlineStr">
        <is>
          <t>2023-09-24</t>
        </is>
      </c>
      <c r="S246" s="5" t="inlineStr"/>
      <c r="T246" s="5" t="inlineStr"/>
      <c r="U246" s="48" t="inlineStr">
        <is>
          <t>Cascade</t>
        </is>
      </c>
    </row>
    <row r="247">
      <c r="A247" s="5" t="inlineStr">
        <is>
          <t>Bella Mirage</t>
        </is>
      </c>
      <c r="B247" s="5" t="inlineStr">
        <is>
          <t>Cascade</t>
        </is>
      </c>
      <c r="C247" s="5" t="inlineStr">
        <is>
          <t>4215</t>
        </is>
      </c>
      <c r="D247" s="5" t="n">
        <v>4</v>
      </c>
      <c r="E247" s="5" t="n">
        <v>1</v>
      </c>
      <c r="F247" s="5" t="n">
        <v>1</v>
      </c>
      <c r="G247" s="5" t="inlineStr"/>
      <c r="H247" s="5" t="n">
        <v>777</v>
      </c>
      <c r="I247" s="5" t="inlineStr">
        <is>
          <t>4/29/2025</t>
        </is>
      </c>
      <c r="J247" s="5" t="n">
        <v>200</v>
      </c>
      <c r="K247" s="5" t="n">
        <v>13</v>
      </c>
      <c r="L247" s="5" t="inlineStr">
        <is>
          <t>60%</t>
        </is>
      </c>
      <c r="M247" s="5" t="n">
        <v>1336</v>
      </c>
      <c r="N247" s="5" t="n">
        <v>1.72</v>
      </c>
      <c r="O247" s="5" t="n">
        <v>1233</v>
      </c>
      <c r="P247" s="5" t="n">
        <v>1.59</v>
      </c>
      <c r="Q247" s="5" t="inlineStr">
        <is>
          <t>2025-03-01</t>
        </is>
      </c>
      <c r="R247" s="5" t="inlineStr">
        <is>
          <t>2025-06-04</t>
        </is>
      </c>
      <c r="S247" s="5" t="n">
        <v>96</v>
      </c>
      <c r="T247" s="5" t="n">
        <v>37</v>
      </c>
      <c r="U247" s="48" t="inlineStr">
        <is>
          <t>Cascade</t>
        </is>
      </c>
    </row>
    <row r="248">
      <c r="A248" s="5" t="inlineStr">
        <is>
          <t>Bella Mirage</t>
        </is>
      </c>
      <c r="B248" s="5" t="inlineStr">
        <is>
          <t>Cascade</t>
        </is>
      </c>
      <c r="C248" s="5" t="inlineStr">
        <is>
          <t>4215</t>
        </is>
      </c>
      <c r="D248" s="5" t="n">
        <v>4</v>
      </c>
      <c r="E248" s="5" t="n">
        <v>1</v>
      </c>
      <c r="F248" s="5" t="n">
        <v>1</v>
      </c>
      <c r="G248" s="5" t="inlineStr"/>
      <c r="H248" s="5" t="n">
        <v>777</v>
      </c>
      <c r="I248" s="5" t="inlineStr">
        <is>
          <t>7/22/2026</t>
        </is>
      </c>
      <c r="J248" s="5" t="n">
        <v>300</v>
      </c>
      <c r="K248" s="5" t="n">
        <v>12</v>
      </c>
      <c r="L248" s="5" t="inlineStr">
        <is>
          <t>60%</t>
        </is>
      </c>
      <c r="M248" s="5" t="n">
        <v>1172</v>
      </c>
      <c r="N248" s="5" t="n">
        <v>1.51</v>
      </c>
      <c r="O248" s="5" t="n">
        <v>1172</v>
      </c>
      <c r="P248" s="5" t="n">
        <v>1.51</v>
      </c>
      <c r="Q248" s="5" t="inlineStr">
        <is>
          <t>2026-03-24</t>
        </is>
      </c>
      <c r="R248" s="5" t="inlineStr">
        <is>
          <t>2026-05-20</t>
        </is>
      </c>
      <c r="S248" s="5" t="n">
        <v>58</v>
      </c>
      <c r="T248" s="5" t="n">
        <v>0</v>
      </c>
      <c r="U248" s="48" t="inlineStr">
        <is>
          <t>Cascade</t>
        </is>
      </c>
    </row>
    <row r="249">
      <c r="A249" s="5" t="inlineStr">
        <is>
          <t>Bella Mirage</t>
        </is>
      </c>
      <c r="B249" s="5" t="inlineStr">
        <is>
          <t>Cascade</t>
        </is>
      </c>
      <c r="C249" s="5" t="inlineStr">
        <is>
          <t>4017</t>
        </is>
      </c>
      <c r="D249" s="5" t="n">
        <v>4</v>
      </c>
      <c r="E249" s="5" t="n">
        <v>1</v>
      </c>
      <c r="F249" s="5" t="n">
        <v>1</v>
      </c>
      <c r="G249" s="5" t="inlineStr"/>
      <c r="H249" s="5" t="n">
        <v>777</v>
      </c>
      <c r="I249" s="5" t="inlineStr">
        <is>
          <t>3/12/2025</t>
        </is>
      </c>
      <c r="J249" s="5" t="n">
        <v>200</v>
      </c>
      <c r="K249" s="5" t="n">
        <v>14</v>
      </c>
      <c r="L249" s="5" t="inlineStr">
        <is>
          <t>60%</t>
        </is>
      </c>
      <c r="M249" s="5" t="n">
        <v>1397</v>
      </c>
      <c r="N249" s="5" t="n">
        <v>1.8</v>
      </c>
      <c r="O249" s="5" t="n">
        <v>1297</v>
      </c>
      <c r="P249" s="5" t="n">
        <v>1.67</v>
      </c>
      <c r="Q249" s="5" t="inlineStr">
        <is>
          <t>2024-12-30</t>
        </is>
      </c>
      <c r="R249" s="5" t="inlineStr">
        <is>
          <t>2025-04-08</t>
        </is>
      </c>
      <c r="S249" s="5" t="n">
        <v>100</v>
      </c>
      <c r="T249" s="5" t="n">
        <v>28</v>
      </c>
      <c r="U249" s="48" t="inlineStr">
        <is>
          <t>Cascade</t>
        </is>
      </c>
    </row>
    <row r="250">
      <c r="A250" s="5" t="inlineStr">
        <is>
          <t>Bella Mirage</t>
        </is>
      </c>
      <c r="B250" s="5" t="inlineStr">
        <is>
          <t>Cascade</t>
        </is>
      </c>
      <c r="C250" s="5" t="inlineStr">
        <is>
          <t>4017</t>
        </is>
      </c>
      <c r="D250" s="5" t="n">
        <v>4</v>
      </c>
      <c r="E250" s="5" t="n">
        <v>1</v>
      </c>
      <c r="F250" s="5" t="n">
        <v>1</v>
      </c>
      <c r="G250" s="5" t="inlineStr"/>
      <c r="H250" s="5" t="n">
        <v>777</v>
      </c>
      <c r="I250" s="5" t="inlineStr">
        <is>
          <t>7/31/2026</t>
        </is>
      </c>
      <c r="J250" s="5" t="n">
        <v>300</v>
      </c>
      <c r="K250" s="5" t="n">
        <v>12</v>
      </c>
      <c r="L250" s="5" t="inlineStr">
        <is>
          <t>60%</t>
        </is>
      </c>
      <c r="M250" s="5" t="n">
        <v>1172</v>
      </c>
      <c r="N250" s="5" t="n">
        <v>1.51</v>
      </c>
      <c r="O250" s="5" t="n">
        <v>1172</v>
      </c>
      <c r="P250" s="5" t="n">
        <v>1.51</v>
      </c>
      <c r="Q250" s="5" t="inlineStr">
        <is>
          <t>2026-04-28</t>
        </is>
      </c>
      <c r="R250" s="5" t="inlineStr">
        <is>
          <t>2026-05-20</t>
        </is>
      </c>
      <c r="S250" s="5" t="n">
        <v>23</v>
      </c>
      <c r="T250" s="5" t="n">
        <v>0</v>
      </c>
      <c r="U250" s="48" t="inlineStr">
        <is>
          <t>Cascade</t>
        </is>
      </c>
    </row>
    <row r="251">
      <c r="A251" s="5" t="inlineStr">
        <is>
          <t>Bella Mirage</t>
        </is>
      </c>
      <c r="B251" s="5" t="inlineStr">
        <is>
          <t>Cascade</t>
        </is>
      </c>
      <c r="C251" s="5" t="inlineStr">
        <is>
          <t>3012</t>
        </is>
      </c>
      <c r="D251" s="5" t="n">
        <v>3</v>
      </c>
      <c r="E251" s="5" t="n">
        <v>1</v>
      </c>
      <c r="F251" s="5" t="n">
        <v>1</v>
      </c>
      <c r="G251" s="5" t="inlineStr"/>
      <c r="H251" s="5" t="n">
        <v>777</v>
      </c>
      <c r="I251" s="5" t="inlineStr">
        <is>
          <t>10/31/2024</t>
        </is>
      </c>
      <c r="J251" s="5" t="n">
        <v>200</v>
      </c>
      <c r="K251" s="5" t="n">
        <v>12</v>
      </c>
      <c r="L251" s="5" t="inlineStr">
        <is>
          <t>60%</t>
        </is>
      </c>
      <c r="M251" s="5" t="n">
        <v>1202</v>
      </c>
      <c r="N251" s="5" t="n">
        <v>1.55</v>
      </c>
      <c r="O251" s="5" t="n">
        <v>1102</v>
      </c>
      <c r="P251" s="5" t="n">
        <v>1.42</v>
      </c>
      <c r="Q251" s="5" t="inlineStr">
        <is>
          <t>2024-08-20</t>
        </is>
      </c>
      <c r="R251" s="5" t="inlineStr">
        <is>
          <t>2024-12-11</t>
        </is>
      </c>
      <c r="S251" s="5" t="n">
        <v>114</v>
      </c>
      <c r="T251" s="5" t="n">
        <v>42</v>
      </c>
      <c r="U251" s="48" t="inlineStr">
        <is>
          <t>Cascade</t>
        </is>
      </c>
    </row>
    <row r="252">
      <c r="A252" s="5" t="inlineStr">
        <is>
          <t>Bella Mirage</t>
        </is>
      </c>
      <c r="B252" s="5" t="inlineStr">
        <is>
          <t>Cascade</t>
        </is>
      </c>
      <c r="C252" s="5" t="inlineStr">
        <is>
          <t>3012</t>
        </is>
      </c>
      <c r="D252" s="5" t="n">
        <v>3</v>
      </c>
      <c r="E252" s="5" t="n">
        <v>1</v>
      </c>
      <c r="F252" s="5" t="n">
        <v>1</v>
      </c>
      <c r="G252" s="5" t="inlineStr"/>
      <c r="H252" s="5" t="n">
        <v>777</v>
      </c>
      <c r="I252" s="5" t="inlineStr">
        <is>
          <t>9/15/2025</t>
        </is>
      </c>
      <c r="J252" s="5" t="n">
        <v>200</v>
      </c>
      <c r="K252" s="5" t="n">
        <v>12</v>
      </c>
      <c r="L252" s="5" t="inlineStr">
        <is>
          <t>60%</t>
        </is>
      </c>
      <c r="M252" s="5" t="n">
        <v>1172</v>
      </c>
      <c r="N252" s="5" t="n">
        <v>1.51</v>
      </c>
      <c r="O252" s="5" t="n">
        <v>1074</v>
      </c>
      <c r="P252" s="5" t="n">
        <v>1.38</v>
      </c>
      <c r="Q252" s="5" t="inlineStr">
        <is>
          <t>2025-07-30</t>
        </is>
      </c>
      <c r="R252" s="5" t="inlineStr">
        <is>
          <t>2025-08-05</t>
        </is>
      </c>
      <c r="S252" s="5" t="n">
        <v>7</v>
      </c>
      <c r="T252" s="5" t="n">
        <v>0</v>
      </c>
      <c r="U252" s="48" t="inlineStr">
        <is>
          <t>Cascade</t>
        </is>
      </c>
    </row>
    <row r="253">
      <c r="A253" s="5" t="inlineStr">
        <is>
          <t>Bella Mirage</t>
        </is>
      </c>
      <c r="B253" s="5" t="inlineStr">
        <is>
          <t>Cascade</t>
        </is>
      </c>
      <c r="C253" s="5" t="inlineStr">
        <is>
          <t>1836</t>
        </is>
      </c>
      <c r="D253" s="5" t="n">
        <v>1</v>
      </c>
      <c r="E253" s="5" t="n">
        <v>1</v>
      </c>
      <c r="F253" s="5" t="n">
        <v>1</v>
      </c>
      <c r="G253" s="5" t="inlineStr"/>
      <c r="H253" s="5" t="n">
        <v>777</v>
      </c>
      <c r="I253" s="5" t="inlineStr">
        <is>
          <t>11/12/2025</t>
        </is>
      </c>
      <c r="J253" s="5" t="n">
        <v>300</v>
      </c>
      <c r="K253" s="5" t="n">
        <v>12</v>
      </c>
      <c r="L253" s="5" t="inlineStr">
        <is>
          <t>60%</t>
        </is>
      </c>
      <c r="M253" s="5" t="n">
        <v>1173</v>
      </c>
      <c r="N253" s="5" t="n">
        <v>1.51</v>
      </c>
      <c r="O253" s="5" t="n">
        <v>1173</v>
      </c>
      <c r="P253" s="5" t="n">
        <v>1.51</v>
      </c>
      <c r="Q253" s="5" t="inlineStr">
        <is>
          <t>2025-09-09</t>
        </is>
      </c>
      <c r="R253" s="5" t="inlineStr">
        <is>
          <t>2026-03-04</t>
        </is>
      </c>
      <c r="S253" s="5" t="n">
        <v>177</v>
      </c>
      <c r="T253" s="5" t="n">
        <v>113</v>
      </c>
      <c r="U253" s="48" t="inlineStr">
        <is>
          <t>Cascade</t>
        </is>
      </c>
    </row>
    <row r="254">
      <c r="A254" s="5" t="inlineStr">
        <is>
          <t>Bella Mirage</t>
        </is>
      </c>
      <c r="B254" s="5" t="inlineStr">
        <is>
          <t>Cascade</t>
        </is>
      </c>
      <c r="C254" s="5" t="inlineStr">
        <is>
          <t>4212</t>
        </is>
      </c>
      <c r="D254" s="5" t="inlineStr"/>
      <c r="E254" s="5" t="n">
        <v>1</v>
      </c>
      <c r="F254" s="5" t="n">
        <v>1</v>
      </c>
      <c r="G254" s="5" t="inlineStr"/>
      <c r="H254" s="5" t="n">
        <v>777</v>
      </c>
      <c r="I254" s="5" t="inlineStr">
        <is>
          <t>4/24/2024</t>
        </is>
      </c>
      <c r="J254" s="5" t="n">
        <v>200</v>
      </c>
      <c r="K254" s="5" t="n">
        <v>14</v>
      </c>
      <c r="L254" s="5" t="inlineStr">
        <is>
          <t>60%</t>
        </is>
      </c>
      <c r="M254" s="5" t="n">
        <v>1383</v>
      </c>
      <c r="N254" s="5" t="n">
        <v>1.78</v>
      </c>
      <c r="O254" s="5" t="n">
        <v>1284</v>
      </c>
      <c r="P254" s="5" t="n">
        <v>1.65</v>
      </c>
      <c r="Q254" s="5" t="inlineStr">
        <is>
          <t>2024-02-12</t>
        </is>
      </c>
      <c r="R254" s="5" t="inlineStr">
        <is>
          <t>2024-02-27</t>
        </is>
      </c>
      <c r="S254" s="5" t="n">
        <v>16</v>
      </c>
      <c r="T254" s="5" t="n">
        <v>0</v>
      </c>
      <c r="U254" s="48" t="inlineStr">
        <is>
          <t>Cascade</t>
        </is>
      </c>
    </row>
    <row r="255">
      <c r="A255" s="5" t="inlineStr">
        <is>
          <t>Bella Mirage</t>
        </is>
      </c>
      <c r="B255" s="5" t="inlineStr">
        <is>
          <t>Cascade</t>
        </is>
      </c>
      <c r="C255" s="5" t="inlineStr">
        <is>
          <t>4212</t>
        </is>
      </c>
      <c r="D255" s="5" t="inlineStr"/>
      <c r="E255" s="5" t="n">
        <v>1</v>
      </c>
      <c r="F255" s="5" t="n">
        <v>1</v>
      </c>
      <c r="G255" s="5" t="inlineStr"/>
      <c r="H255" s="5" t="n">
        <v>777</v>
      </c>
      <c r="I255" s="5" t="inlineStr">
        <is>
          <t>6/24/2025</t>
        </is>
      </c>
      <c r="J255" s="5" t="n">
        <v>200</v>
      </c>
      <c r="K255" s="5" t="n">
        <v>12</v>
      </c>
      <c r="L255" s="5" t="inlineStr">
        <is>
          <t>60%</t>
        </is>
      </c>
      <c r="M255" s="5" t="n">
        <v>1267</v>
      </c>
      <c r="N255" s="5" t="n">
        <v>1.63</v>
      </c>
      <c r="O255" s="5" t="n">
        <v>1161</v>
      </c>
      <c r="P255" s="5" t="n">
        <v>1.49</v>
      </c>
      <c r="Q255" s="5" t="inlineStr">
        <is>
          <t>2025-05-02</t>
        </is>
      </c>
      <c r="R255" s="5" t="inlineStr">
        <is>
          <t>2025-06-16</t>
        </is>
      </c>
      <c r="S255" s="5" t="n">
        <v>46</v>
      </c>
      <c r="T255" s="5" t="n">
        <v>0</v>
      </c>
      <c r="U255" s="48" t="inlineStr">
        <is>
          <t>Cascade</t>
        </is>
      </c>
    </row>
    <row r="256">
      <c r="A256" s="5" t="inlineStr">
        <is>
          <t>Bella Mirage</t>
        </is>
      </c>
      <c r="B256" s="5" t="inlineStr">
        <is>
          <t>Cascade</t>
        </is>
      </c>
      <c r="C256" s="5" t="inlineStr">
        <is>
          <t>4212</t>
        </is>
      </c>
      <c r="D256" s="5" t="inlineStr"/>
      <c r="E256" s="5" t="n">
        <v>1</v>
      </c>
      <c r="F256" s="5" t="n">
        <v>1</v>
      </c>
      <c r="G256" s="5" t="inlineStr"/>
      <c r="H256" s="5" t="n">
        <v>777</v>
      </c>
      <c r="I256" s="5" t="inlineStr">
        <is>
          <t>2/28/2026</t>
        </is>
      </c>
      <c r="J256" s="5" t="n">
        <v>300</v>
      </c>
      <c r="K256" s="5" t="n">
        <v>12</v>
      </c>
      <c r="L256" s="5" t="inlineStr">
        <is>
          <t>60%</t>
        </is>
      </c>
      <c r="M256" s="5" t="n">
        <v>1176</v>
      </c>
      <c r="N256" s="5" t="n">
        <v>1.51</v>
      </c>
      <c r="O256" s="5" t="n">
        <v>1176</v>
      </c>
      <c r="P256" s="5" t="n">
        <v>1.51</v>
      </c>
      <c r="Q256" s="5" t="inlineStr">
        <is>
          <t>2026-02-14</t>
        </is>
      </c>
      <c r="R256" s="5" t="inlineStr">
        <is>
          <t>2026-04-08</t>
        </is>
      </c>
      <c r="S256" s="5" t="n">
        <v>54</v>
      </c>
      <c r="T256" s="5" t="n">
        <v>40</v>
      </c>
      <c r="U256" s="48" t="inlineStr">
        <is>
          <t>Cascade</t>
        </is>
      </c>
    </row>
    <row r="257">
      <c r="A257" s="5" t="inlineStr">
        <is>
          <t>Bella Mirage</t>
        </is>
      </c>
      <c r="B257" s="5" t="inlineStr">
        <is>
          <t>Cascade</t>
        </is>
      </c>
      <c r="C257" s="5" t="inlineStr">
        <is>
          <t>3037</t>
        </is>
      </c>
      <c r="D257" s="5" t="n">
        <v>3</v>
      </c>
      <c r="E257" s="5" t="n">
        <v>1</v>
      </c>
      <c r="F257" s="5" t="n">
        <v>1</v>
      </c>
      <c r="G257" s="5" t="inlineStr"/>
      <c r="H257" s="5" t="n">
        <v>777</v>
      </c>
      <c r="I257" s="5" t="inlineStr">
        <is>
          <t>3/2/2024</t>
        </is>
      </c>
      <c r="J257" s="5" t="n">
        <v>200</v>
      </c>
      <c r="K257" s="5" t="n">
        <v>14</v>
      </c>
      <c r="L257" s="5" t="inlineStr">
        <is>
          <t>60%</t>
        </is>
      </c>
      <c r="M257" s="5" t="n">
        <v>1460</v>
      </c>
      <c r="N257" s="5" t="n">
        <v>1.88</v>
      </c>
      <c r="O257" s="5" t="n">
        <v>1356</v>
      </c>
      <c r="P257" s="5" t="n">
        <v>1.75</v>
      </c>
      <c r="Q257" s="5" t="inlineStr">
        <is>
          <t>2024-02-12</t>
        </is>
      </c>
      <c r="R257" s="5" t="inlineStr">
        <is>
          <t>2024-02-20</t>
        </is>
      </c>
      <c r="S257" s="5" t="n">
        <v>9</v>
      </c>
      <c r="T257" s="5" t="n">
        <v>0</v>
      </c>
      <c r="U257" s="48" t="inlineStr">
        <is>
          <t>Cascade</t>
        </is>
      </c>
    </row>
    <row r="258">
      <c r="A258" s="5" t="inlineStr">
        <is>
          <t>Bella Mirage</t>
        </is>
      </c>
      <c r="B258" s="5" t="inlineStr">
        <is>
          <t>Cascade</t>
        </is>
      </c>
      <c r="C258" s="5" t="inlineStr">
        <is>
          <t>3037</t>
        </is>
      </c>
      <c r="D258" s="5" t="n">
        <v>3</v>
      </c>
      <c r="E258" s="5" t="n">
        <v>1</v>
      </c>
      <c r="F258" s="5" t="n">
        <v>1</v>
      </c>
      <c r="G258" s="5" t="inlineStr"/>
      <c r="H258" s="5" t="n">
        <v>777</v>
      </c>
      <c r="I258" s="5" t="inlineStr">
        <is>
          <t>5/16/2025</t>
        </is>
      </c>
      <c r="J258" s="5" t="n">
        <v>200</v>
      </c>
      <c r="K258" s="5" t="n">
        <v>12</v>
      </c>
      <c r="L258" s="5" t="inlineStr">
        <is>
          <t>60%</t>
        </is>
      </c>
      <c r="M258" s="5" t="n">
        <v>1178</v>
      </c>
      <c r="N258" s="5" t="n">
        <v>1.52</v>
      </c>
      <c r="O258" s="5" t="n">
        <v>1080</v>
      </c>
      <c r="P258" s="5" t="n">
        <v>1.39</v>
      </c>
      <c r="Q258" s="5" t="inlineStr">
        <is>
          <t>2025-03-30</t>
        </is>
      </c>
      <c r="R258" s="5" t="inlineStr">
        <is>
          <t>2025-07-29</t>
        </is>
      </c>
      <c r="S258" s="5" t="n">
        <v>122</v>
      </c>
      <c r="T258" s="5" t="n">
        <v>75</v>
      </c>
      <c r="U258" s="48" t="inlineStr">
        <is>
          <t>Cascade</t>
        </is>
      </c>
    </row>
    <row r="259">
      <c r="A259" s="5" t="inlineStr">
        <is>
          <t>Bella Mirage</t>
        </is>
      </c>
      <c r="B259" s="5" t="inlineStr">
        <is>
          <t>Cascade</t>
        </is>
      </c>
      <c r="C259" s="5" t="inlineStr">
        <is>
          <t>3326</t>
        </is>
      </c>
      <c r="D259" s="5" t="n">
        <v>3</v>
      </c>
      <c r="E259" s="5" t="n">
        <v>1</v>
      </c>
      <c r="F259" s="5" t="n">
        <v>1</v>
      </c>
      <c r="G259" s="5" t="inlineStr"/>
      <c r="H259" s="5" t="n">
        <v>777</v>
      </c>
      <c r="I259" s="5" t="inlineStr">
        <is>
          <t>6/29/2024</t>
        </is>
      </c>
      <c r="J259" s="5" t="n">
        <v>200</v>
      </c>
      <c r="K259" s="5" t="n">
        <v>12</v>
      </c>
      <c r="L259" s="5" t="inlineStr">
        <is>
          <t>60%</t>
        </is>
      </c>
      <c r="M259" s="5" t="n">
        <v>1308</v>
      </c>
      <c r="N259" s="5" t="n">
        <v>1.68</v>
      </c>
      <c r="O259" s="5" t="n">
        <v>1308</v>
      </c>
      <c r="P259" s="5" t="n">
        <v>1.68</v>
      </c>
      <c r="Q259" s="5" t="inlineStr">
        <is>
          <t>2024-05-10</t>
        </is>
      </c>
      <c r="R259" s="5" t="inlineStr">
        <is>
          <t>2024-06-25</t>
        </is>
      </c>
      <c r="S259" s="5" t="n">
        <v>47</v>
      </c>
      <c r="T259" s="5" t="n">
        <v>0</v>
      </c>
      <c r="U259" s="48" t="inlineStr">
        <is>
          <t>Cascade</t>
        </is>
      </c>
    </row>
    <row r="260">
      <c r="A260" s="5" t="inlineStr">
        <is>
          <t>Bella Mirage</t>
        </is>
      </c>
      <c r="B260" s="5" t="inlineStr">
        <is>
          <t>Cascade</t>
        </is>
      </c>
      <c r="C260" s="5" t="inlineStr">
        <is>
          <t>3326</t>
        </is>
      </c>
      <c r="D260" s="5" t="n">
        <v>3</v>
      </c>
      <c r="E260" s="5" t="n">
        <v>1</v>
      </c>
      <c r="F260" s="5" t="n">
        <v>1</v>
      </c>
      <c r="G260" s="5" t="inlineStr"/>
      <c r="H260" s="5" t="n">
        <v>777</v>
      </c>
      <c r="I260" s="5" t="inlineStr">
        <is>
          <t>3/9/2025</t>
        </is>
      </c>
      <c r="J260" s="5" t="n">
        <v>200</v>
      </c>
      <c r="K260" s="5" t="n">
        <v>13</v>
      </c>
      <c r="L260" s="5" t="inlineStr">
        <is>
          <t>60%</t>
        </is>
      </c>
      <c r="M260" s="5" t="n">
        <v>1282</v>
      </c>
      <c r="N260" s="5" t="n">
        <v>1.65</v>
      </c>
      <c r="O260" s="5" t="n">
        <v>1183</v>
      </c>
      <c r="P260" s="5" t="n">
        <v>1.52</v>
      </c>
      <c r="Q260" s="5" t="inlineStr">
        <is>
          <t>2025-03-01</t>
        </is>
      </c>
      <c r="R260" s="5" t="inlineStr">
        <is>
          <t>2025-03-12</t>
        </is>
      </c>
      <c r="S260" s="5" t="n">
        <v>12</v>
      </c>
      <c r="T260" s="5" t="n">
        <v>4</v>
      </c>
      <c r="U260" s="48" t="inlineStr">
        <is>
          <t>Cascade</t>
        </is>
      </c>
    </row>
    <row r="261">
      <c r="A261" s="5" t="inlineStr">
        <is>
          <t>Bella Mirage</t>
        </is>
      </c>
      <c r="B261" s="5" t="inlineStr">
        <is>
          <t>Cascade</t>
        </is>
      </c>
      <c r="C261" s="5" t="inlineStr">
        <is>
          <t>3326</t>
        </is>
      </c>
      <c r="D261" s="5" t="n">
        <v>3</v>
      </c>
      <c r="E261" s="5" t="n">
        <v>1</v>
      </c>
      <c r="F261" s="5" t="n">
        <v>1</v>
      </c>
      <c r="G261" s="5" t="inlineStr"/>
      <c r="H261" s="5" t="n">
        <v>777</v>
      </c>
      <c r="I261" s="5" t="inlineStr">
        <is>
          <t>5/13/2026</t>
        </is>
      </c>
      <c r="J261" s="5" t="n">
        <v>300</v>
      </c>
      <c r="K261" s="5" t="n">
        <v>12</v>
      </c>
      <c r="L261" s="5" t="inlineStr">
        <is>
          <t>60%</t>
        </is>
      </c>
      <c r="M261" s="5" t="n">
        <v>1180</v>
      </c>
      <c r="N261" s="5" t="n">
        <v>1.52</v>
      </c>
      <c r="O261" s="5" t="n">
        <v>1180</v>
      </c>
      <c r="P261" s="5" t="n">
        <v>1.52</v>
      </c>
      <c r="Q261" s="5" t="inlineStr">
        <is>
          <t>2026-03-14</t>
        </is>
      </c>
      <c r="R261" s="5" t="inlineStr">
        <is>
          <t>2026-03-24</t>
        </is>
      </c>
      <c r="S261" s="5" t="n">
        <v>11</v>
      </c>
      <c r="T261" s="5" t="n">
        <v>0</v>
      </c>
      <c r="U261" s="48" t="inlineStr">
        <is>
          <t>Cascade</t>
        </is>
      </c>
    </row>
    <row r="262">
      <c r="A262" s="5" t="inlineStr">
        <is>
          <t>Bella Mirage</t>
        </is>
      </c>
      <c r="B262" s="5" t="inlineStr">
        <is>
          <t>Cascade</t>
        </is>
      </c>
      <c r="C262" s="5" t="inlineStr">
        <is>
          <t>0921</t>
        </is>
      </c>
      <c r="D262" s="5" t="n">
        <v>2</v>
      </c>
      <c r="E262" s="5" t="n">
        <v>1</v>
      </c>
      <c r="F262" s="5" t="n">
        <v>1</v>
      </c>
      <c r="G262" s="5" t="inlineStr"/>
      <c r="H262" s="5" t="n">
        <v>777</v>
      </c>
      <c r="I262" s="5" t="inlineStr">
        <is>
          <t>8/16/2025</t>
        </is>
      </c>
      <c r="J262" s="5" t="n">
        <v>200</v>
      </c>
      <c r="K262" s="5" t="n">
        <v>12</v>
      </c>
      <c r="L262" s="5" t="inlineStr">
        <is>
          <t>60%</t>
        </is>
      </c>
      <c r="M262" s="5" t="n">
        <v>1181</v>
      </c>
      <c r="N262" s="5" t="n">
        <v>1.52</v>
      </c>
      <c r="O262" s="5" t="n">
        <v>1083</v>
      </c>
      <c r="P262" s="5" t="n">
        <v>1.39</v>
      </c>
      <c r="Q262" s="5" t="inlineStr">
        <is>
          <t>2025-06-02</t>
        </is>
      </c>
      <c r="R262" s="5" t="inlineStr">
        <is>
          <t>2025-06-03</t>
        </is>
      </c>
      <c r="S262" s="5" t="n">
        <v>2</v>
      </c>
      <c r="T262" s="5" t="n">
        <v>0</v>
      </c>
      <c r="U262" s="48" t="inlineStr">
        <is>
          <t>Cascade</t>
        </is>
      </c>
    </row>
    <row r="263">
      <c r="A263" s="5" t="inlineStr">
        <is>
          <t>Bella Mirage</t>
        </is>
      </c>
      <c r="B263" s="5" t="inlineStr">
        <is>
          <t>Cascade</t>
        </is>
      </c>
      <c r="C263" s="5" t="inlineStr">
        <is>
          <t>5325</t>
        </is>
      </c>
      <c r="D263" s="5" t="inlineStr"/>
      <c r="E263" s="5" t="n">
        <v>1</v>
      </c>
      <c r="F263" s="5" t="n">
        <v>1</v>
      </c>
      <c r="G263" s="5" t="inlineStr"/>
      <c r="H263" s="5" t="n">
        <v>777</v>
      </c>
      <c r="I263" s="5" t="inlineStr">
        <is>
          <t>2/25/2024</t>
        </is>
      </c>
      <c r="J263" s="5" t="n">
        <v>200</v>
      </c>
      <c r="K263" s="5" t="n">
        <v>14</v>
      </c>
      <c r="L263" s="5" t="inlineStr">
        <is>
          <t>60%</t>
        </is>
      </c>
      <c r="M263" s="5" t="n">
        <v>1402</v>
      </c>
      <c r="N263" s="5" t="n">
        <v>1.8</v>
      </c>
      <c r="O263" s="5" t="n">
        <v>1302</v>
      </c>
      <c r="P263" s="5" t="n">
        <v>1.68</v>
      </c>
      <c r="Q263" s="5" t="inlineStr">
        <is>
          <t>2024-02-12</t>
        </is>
      </c>
      <c r="R263" s="5" t="inlineStr">
        <is>
          <t>2024-04-23</t>
        </is>
      </c>
      <c r="S263" s="5" t="n">
        <v>72</v>
      </c>
      <c r="T263" s="5" t="n">
        <v>59</v>
      </c>
      <c r="U263" s="48" t="inlineStr">
        <is>
          <t>Cascade</t>
        </is>
      </c>
    </row>
    <row r="264">
      <c r="A264" s="5" t="inlineStr">
        <is>
          <t>Bella Mirage</t>
        </is>
      </c>
      <c r="B264" s="5" t="inlineStr">
        <is>
          <t>Cascade</t>
        </is>
      </c>
      <c r="C264" s="5" t="inlineStr">
        <is>
          <t>5325</t>
        </is>
      </c>
      <c r="D264" s="5" t="inlineStr"/>
      <c r="E264" s="5" t="n">
        <v>1</v>
      </c>
      <c r="F264" s="5" t="n">
        <v>1</v>
      </c>
      <c r="G264" s="5" t="inlineStr"/>
      <c r="H264" s="5" t="n">
        <v>777</v>
      </c>
      <c r="I264" s="5" t="inlineStr">
        <is>
          <t>7/16/2025</t>
        </is>
      </c>
      <c r="J264" s="5" t="n">
        <v>200</v>
      </c>
      <c r="K264" s="5" t="n">
        <v>12</v>
      </c>
      <c r="L264" s="5" t="inlineStr">
        <is>
          <t>60%</t>
        </is>
      </c>
      <c r="M264" s="5" t="n">
        <v>1245</v>
      </c>
      <c r="N264" s="5" t="n">
        <v>1.6</v>
      </c>
      <c r="O264" s="5" t="n">
        <v>1141</v>
      </c>
      <c r="P264" s="5" t="n">
        <v>1.47</v>
      </c>
      <c r="Q264" s="5" t="inlineStr">
        <is>
          <t>2025-05-07</t>
        </is>
      </c>
      <c r="R264" s="5" t="inlineStr">
        <is>
          <t>2025-06-09</t>
        </is>
      </c>
      <c r="S264" s="5" t="n">
        <v>34</v>
      </c>
      <c r="T264" s="5" t="n">
        <v>0</v>
      </c>
      <c r="U264" s="48" t="inlineStr">
        <is>
          <t>Cascade</t>
        </is>
      </c>
    </row>
    <row r="265">
      <c r="A265" s="5" t="inlineStr">
        <is>
          <t>Bella Mirage</t>
        </is>
      </c>
      <c r="B265" s="5" t="inlineStr">
        <is>
          <t>Cascade</t>
        </is>
      </c>
      <c r="C265" s="5" t="inlineStr">
        <is>
          <t>5325</t>
        </is>
      </c>
      <c r="D265" s="5" t="inlineStr"/>
      <c r="E265" s="5" t="n">
        <v>1</v>
      </c>
      <c r="F265" s="5" t="n">
        <v>1</v>
      </c>
      <c r="G265" s="5" t="inlineStr"/>
      <c r="H265" s="5" t="n">
        <v>777</v>
      </c>
      <c r="I265" s="5" t="inlineStr">
        <is>
          <t>4/22/2026</t>
        </is>
      </c>
      <c r="J265" s="5" t="n">
        <v>300</v>
      </c>
      <c r="K265" s="5" t="n">
        <v>12</v>
      </c>
      <c r="L265" s="5" t="inlineStr">
        <is>
          <t>60%</t>
        </is>
      </c>
      <c r="M265" s="5" t="n">
        <v>1182</v>
      </c>
      <c r="N265" s="5" t="n">
        <v>1.52</v>
      </c>
      <c r="O265" s="5" t="n">
        <v>1182</v>
      </c>
      <c r="P265" s="5" t="n">
        <v>1.52</v>
      </c>
      <c r="Q265" s="5" t="inlineStr">
        <is>
          <t>2026-02-21</t>
        </is>
      </c>
      <c r="R265" s="5" t="inlineStr">
        <is>
          <t>2026-04-11</t>
        </is>
      </c>
      <c r="S265" s="5" t="n">
        <v>50</v>
      </c>
      <c r="T265" s="5" t="n">
        <v>0</v>
      </c>
      <c r="U265" s="48" t="inlineStr">
        <is>
          <t>Cascade</t>
        </is>
      </c>
    </row>
    <row r="266">
      <c r="A266" s="5" t="inlineStr">
        <is>
          <t>Bella Mirage</t>
        </is>
      </c>
      <c r="B266" s="5" t="inlineStr">
        <is>
          <t>Cascade</t>
        </is>
      </c>
      <c r="C266" s="5" t="inlineStr">
        <is>
          <t>4022</t>
        </is>
      </c>
      <c r="D266" s="5" t="n">
        <v>2</v>
      </c>
      <c r="E266" s="5" t="n">
        <v>1</v>
      </c>
      <c r="F266" s="5" t="n">
        <v>1</v>
      </c>
      <c r="G266" s="5" t="inlineStr"/>
      <c r="H266" s="5" t="n">
        <v>777</v>
      </c>
      <c r="I266" s="5" t="inlineStr">
        <is>
          <t>4/1/2025</t>
        </is>
      </c>
      <c r="J266" s="5" t="n">
        <v>200</v>
      </c>
      <c r="K266" s="5" t="n">
        <v>12</v>
      </c>
      <c r="L266" s="5" t="inlineStr">
        <is>
          <t>60%</t>
        </is>
      </c>
      <c r="M266" s="5" t="n">
        <v>1221</v>
      </c>
      <c r="N266" s="5" t="n">
        <v>1.57</v>
      </c>
      <c r="O266" s="5" t="n">
        <v>1119</v>
      </c>
      <c r="P266" s="5" t="n">
        <v>1.44</v>
      </c>
      <c r="Q266" s="5" t="inlineStr">
        <is>
          <t>2025-01-18</t>
        </is>
      </c>
      <c r="R266" s="5" t="inlineStr">
        <is>
          <t>2025-03-10</t>
        </is>
      </c>
      <c r="S266" s="5" t="n">
        <v>52</v>
      </c>
      <c r="T266" s="5" t="n">
        <v>0</v>
      </c>
      <c r="U266" s="48" t="inlineStr">
        <is>
          <t>Cascade</t>
        </is>
      </c>
    </row>
    <row r="267">
      <c r="A267" s="5" t="inlineStr">
        <is>
          <t>Bella Mirage</t>
        </is>
      </c>
      <c r="B267" s="5" t="inlineStr">
        <is>
          <t>Cascade</t>
        </is>
      </c>
      <c r="C267" s="5" t="inlineStr">
        <is>
          <t>4022</t>
        </is>
      </c>
      <c r="D267" s="5" t="n">
        <v>2</v>
      </c>
      <c r="E267" s="5" t="n">
        <v>1</v>
      </c>
      <c r="F267" s="5" t="n">
        <v>1</v>
      </c>
      <c r="G267" s="5" t="inlineStr"/>
      <c r="H267" s="5" t="n">
        <v>777</v>
      </c>
      <c r="I267" s="5" t="inlineStr">
        <is>
          <t>5/4/2026</t>
        </is>
      </c>
      <c r="J267" s="5" t="n">
        <v>300</v>
      </c>
      <c r="K267" s="5" t="n">
        <v>15</v>
      </c>
      <c r="L267" s="5" t="inlineStr">
        <is>
          <t>60%</t>
        </is>
      </c>
      <c r="M267" s="5" t="n">
        <v>1182</v>
      </c>
      <c r="N267" s="5" t="n">
        <v>1.52</v>
      </c>
      <c r="O267" s="5" t="n">
        <v>1182</v>
      </c>
      <c r="P267" s="5" t="n">
        <v>1.52</v>
      </c>
      <c r="Q267" s="5" t="inlineStr">
        <is>
          <t>2026-04-20</t>
        </is>
      </c>
      <c r="R267" s="5" t="inlineStr">
        <is>
          <t>2026-06-08</t>
        </is>
      </c>
      <c r="S267" s="5" t="n">
        <v>50</v>
      </c>
      <c r="T267" s="5" t="n">
        <v>36</v>
      </c>
      <c r="U267" s="48" t="inlineStr">
        <is>
          <t>Cascade</t>
        </is>
      </c>
    </row>
    <row r="268">
      <c r="A268" s="5" t="inlineStr">
        <is>
          <t>Bella Mirage</t>
        </is>
      </c>
      <c r="B268" s="5" t="inlineStr">
        <is>
          <t>Cascade</t>
        </is>
      </c>
      <c r="C268" s="5" t="inlineStr">
        <is>
          <t>4222</t>
        </is>
      </c>
      <c r="D268" s="5" t="inlineStr"/>
      <c r="E268" s="5" t="n">
        <v>1</v>
      </c>
      <c r="F268" s="5" t="n">
        <v>1</v>
      </c>
      <c r="G268" s="5" t="inlineStr"/>
      <c r="H268" s="5" t="n">
        <v>777</v>
      </c>
      <c r="I268" s="5" t="inlineStr">
        <is>
          <t>10/25/2023</t>
        </is>
      </c>
      <c r="J268" s="5" t="inlineStr"/>
      <c r="K268" s="5" t="inlineStr"/>
      <c r="L268" s="5" t="inlineStr">
        <is>
          <t>60%</t>
        </is>
      </c>
      <c r="M268" s="5" t="n">
        <v>1223</v>
      </c>
      <c r="N268" s="5" t="n">
        <v>1.57</v>
      </c>
      <c r="O268" s="5" t="n">
        <v>1121</v>
      </c>
      <c r="P268" s="5" t="n">
        <v>1.44</v>
      </c>
      <c r="Q268" s="5" t="inlineStr">
        <is>
          <t>2023-10-25</t>
        </is>
      </c>
      <c r="R268" s="5" t="inlineStr">
        <is>
          <t>2023-12-22</t>
        </is>
      </c>
      <c r="S268" s="5" t="n">
        <v>59</v>
      </c>
      <c r="T268" s="5" t="n">
        <v>59</v>
      </c>
      <c r="U268" s="48" t="inlineStr">
        <is>
          <t>Cascade</t>
        </is>
      </c>
    </row>
    <row r="269">
      <c r="A269" s="5" t="inlineStr">
        <is>
          <t>Bella Mirage</t>
        </is>
      </c>
      <c r="B269" s="5" t="inlineStr">
        <is>
          <t>Cascade</t>
        </is>
      </c>
      <c r="C269" s="5" t="inlineStr">
        <is>
          <t>4222</t>
        </is>
      </c>
      <c r="D269" s="5" t="inlineStr"/>
      <c r="E269" s="5" t="n">
        <v>1</v>
      </c>
      <c r="F269" s="5" t="n">
        <v>1</v>
      </c>
      <c r="G269" s="5" t="inlineStr"/>
      <c r="H269" s="5" t="n">
        <v>777</v>
      </c>
      <c r="I269" s="5" t="inlineStr">
        <is>
          <t>6/15/2026</t>
        </is>
      </c>
      <c r="J269" s="5" t="n">
        <v>300</v>
      </c>
      <c r="K269" s="5" t="n">
        <v>12</v>
      </c>
      <c r="L269" s="5" t="inlineStr">
        <is>
          <t>60%</t>
        </is>
      </c>
      <c r="M269" s="5" t="n">
        <v>1182</v>
      </c>
      <c r="N269" s="5" t="n">
        <v>1.52</v>
      </c>
      <c r="O269" s="5" t="n">
        <v>1182</v>
      </c>
      <c r="P269" s="5" t="n">
        <v>1.52</v>
      </c>
      <c r="Q269" s="5" t="inlineStr">
        <is>
          <t>2026-04-02</t>
        </is>
      </c>
      <c r="R269" s="5" t="inlineStr">
        <is>
          <t>2026-04-13</t>
        </is>
      </c>
      <c r="S269" s="5" t="n">
        <v>12</v>
      </c>
      <c r="T269" s="5" t="n">
        <v>0</v>
      </c>
      <c r="U269" s="48" t="inlineStr">
        <is>
          <t>Cascade</t>
        </is>
      </c>
    </row>
    <row r="270">
      <c r="A270" s="5" t="inlineStr">
        <is>
          <t>Bella Mirage</t>
        </is>
      </c>
      <c r="B270" s="5" t="inlineStr">
        <is>
          <t>Cascade</t>
        </is>
      </c>
      <c r="C270" s="5" t="inlineStr">
        <is>
          <t>3026</t>
        </is>
      </c>
      <c r="D270" s="5" t="inlineStr"/>
      <c r="E270" s="5" t="n">
        <v>1</v>
      </c>
      <c r="F270" s="5" t="n">
        <v>1</v>
      </c>
      <c r="G270" s="5" t="inlineStr"/>
      <c r="H270" s="5" t="n">
        <v>777</v>
      </c>
      <c r="I270" s="5" t="inlineStr">
        <is>
          <t>4/8/2024</t>
        </is>
      </c>
      <c r="J270" s="5" t="n">
        <v>200</v>
      </c>
      <c r="K270" s="5" t="n">
        <v>12</v>
      </c>
      <c r="L270" s="5" t="inlineStr">
        <is>
          <t>60%</t>
        </is>
      </c>
      <c r="M270" s="5" t="n">
        <v>1302</v>
      </c>
      <c r="N270" s="5" t="n">
        <v>1.68</v>
      </c>
      <c r="O270" s="5" t="n">
        <v>1302</v>
      </c>
      <c r="P270" s="5" t="n">
        <v>1.68</v>
      </c>
      <c r="Q270" s="5" t="inlineStr">
        <is>
          <t>2024-03-16</t>
        </is>
      </c>
      <c r="R270" s="5" t="inlineStr">
        <is>
          <t>2024-07-02</t>
        </is>
      </c>
      <c r="S270" s="5" t="n">
        <v>109</v>
      </c>
      <c r="T270" s="5" t="n">
        <v>86</v>
      </c>
      <c r="U270" s="48" t="inlineStr">
        <is>
          <t>Cascade</t>
        </is>
      </c>
    </row>
    <row r="271">
      <c r="A271" s="5" t="inlineStr">
        <is>
          <t>Bella Mirage</t>
        </is>
      </c>
      <c r="B271" s="5" t="inlineStr">
        <is>
          <t>Cascade</t>
        </is>
      </c>
      <c r="C271" s="5" t="inlineStr">
        <is>
          <t>1832</t>
        </is>
      </c>
      <c r="D271" s="5" t="n">
        <v>3</v>
      </c>
      <c r="E271" s="5" t="n">
        <v>1</v>
      </c>
      <c r="F271" s="5" t="n">
        <v>1</v>
      </c>
      <c r="G271" s="5" t="inlineStr"/>
      <c r="H271" s="5" t="n">
        <v>777</v>
      </c>
      <c r="I271" s="5" t="inlineStr">
        <is>
          <t>10/10/2024</t>
        </is>
      </c>
      <c r="J271" s="5" t="n">
        <v>200</v>
      </c>
      <c r="K271" s="5" t="n">
        <v>12</v>
      </c>
      <c r="L271" s="5" t="inlineStr">
        <is>
          <t>60%</t>
        </is>
      </c>
      <c r="M271" s="5" t="n">
        <v>1266</v>
      </c>
      <c r="N271" s="5" t="n">
        <v>1.63</v>
      </c>
      <c r="O271" s="5" t="n">
        <v>1160</v>
      </c>
      <c r="P271" s="5" t="n">
        <v>1.49</v>
      </c>
      <c r="Q271" s="5" t="inlineStr">
        <is>
          <t>2024-07-27</t>
        </is>
      </c>
      <c r="R271" s="5" t="inlineStr">
        <is>
          <t>2024-12-12</t>
        </is>
      </c>
      <c r="S271" s="5" t="n">
        <v>139</v>
      </c>
      <c r="T271" s="5" t="n">
        <v>64</v>
      </c>
      <c r="U271" s="48" t="inlineStr">
        <is>
          <t>Cascade</t>
        </is>
      </c>
    </row>
    <row r="272">
      <c r="A272" s="5" t="inlineStr">
        <is>
          <t>Bella Mirage</t>
        </is>
      </c>
      <c r="B272" s="5" t="inlineStr">
        <is>
          <t>Cascade</t>
        </is>
      </c>
      <c r="C272" s="5" t="inlineStr">
        <is>
          <t>2827</t>
        </is>
      </c>
      <c r="D272" s="5" t="n">
        <v>2</v>
      </c>
      <c r="E272" s="5" t="n">
        <v>1</v>
      </c>
      <c r="F272" s="5" t="n">
        <v>1</v>
      </c>
      <c r="G272" s="5" t="inlineStr"/>
      <c r="H272" s="5" t="n">
        <v>777</v>
      </c>
      <c r="I272" s="5" t="inlineStr">
        <is>
          <t>2/21/2025</t>
        </is>
      </c>
      <c r="J272" s="5" t="n">
        <v>200</v>
      </c>
      <c r="K272" s="5" t="n">
        <v>13</v>
      </c>
      <c r="L272" s="5" t="inlineStr">
        <is>
          <t>60%</t>
        </is>
      </c>
      <c r="M272" s="5" t="n">
        <v>1185</v>
      </c>
      <c r="N272" s="5" t="n">
        <v>1.53</v>
      </c>
      <c r="O272" s="5" t="n">
        <v>1094</v>
      </c>
      <c r="P272" s="5" t="n">
        <v>1.41</v>
      </c>
      <c r="Q272" s="5" t="inlineStr">
        <is>
          <t>2025-01-17</t>
        </is>
      </c>
      <c r="R272" s="5" t="inlineStr">
        <is>
          <t>2025-05-25</t>
        </is>
      </c>
      <c r="S272" s="5" t="n">
        <v>129</v>
      </c>
      <c r="T272" s="5" t="n">
        <v>94</v>
      </c>
      <c r="U272" s="48" t="inlineStr">
        <is>
          <t>Cascade</t>
        </is>
      </c>
    </row>
    <row r="273">
      <c r="A273" s="5" t="inlineStr">
        <is>
          <t>Bella Mirage</t>
        </is>
      </c>
      <c r="B273" s="5" t="inlineStr">
        <is>
          <t>Cascade</t>
        </is>
      </c>
      <c r="C273" s="5" t="inlineStr">
        <is>
          <t>1816</t>
        </is>
      </c>
      <c r="D273" s="5" t="n">
        <v>1</v>
      </c>
      <c r="E273" s="5" t="n">
        <v>1</v>
      </c>
      <c r="F273" s="5" t="n">
        <v>1</v>
      </c>
      <c r="G273" s="5" t="inlineStr"/>
      <c r="H273" s="5" t="n">
        <v>777</v>
      </c>
      <c r="I273" s="5" t="inlineStr">
        <is>
          <t>4/29/2024</t>
        </is>
      </c>
      <c r="J273" s="5" t="n">
        <v>200</v>
      </c>
      <c r="K273" s="5" t="n">
        <v>13</v>
      </c>
      <c r="L273" s="5" t="inlineStr">
        <is>
          <t>60%</t>
        </is>
      </c>
      <c r="M273" s="5" t="n">
        <v>1459</v>
      </c>
      <c r="N273" s="5" t="n">
        <v>1.88</v>
      </c>
      <c r="O273" s="5" t="n">
        <v>1347</v>
      </c>
      <c r="P273" s="5" t="n">
        <v>1.73</v>
      </c>
      <c r="Q273" s="5" t="inlineStr">
        <is>
          <t>2024-02-12</t>
        </is>
      </c>
      <c r="R273" s="5" t="inlineStr">
        <is>
          <t>2024-03-12</t>
        </is>
      </c>
      <c r="S273" s="5" t="n">
        <v>30</v>
      </c>
      <c r="T273" s="5" t="n">
        <v>0</v>
      </c>
      <c r="U273" s="48" t="inlineStr">
        <is>
          <t>Cascade</t>
        </is>
      </c>
    </row>
    <row r="274">
      <c r="A274" s="5" t="inlineStr">
        <is>
          <t>Bella Mirage</t>
        </is>
      </c>
      <c r="B274" s="5" t="inlineStr">
        <is>
          <t>Cascade</t>
        </is>
      </c>
      <c r="C274" s="5" t="inlineStr">
        <is>
          <t>1816</t>
        </is>
      </c>
      <c r="D274" s="5" t="n">
        <v>1</v>
      </c>
      <c r="E274" s="5" t="n">
        <v>1</v>
      </c>
      <c r="F274" s="5" t="n">
        <v>1</v>
      </c>
      <c r="G274" s="5" t="inlineStr"/>
      <c r="H274" s="5" t="n">
        <v>777</v>
      </c>
      <c r="I274" s="5" t="inlineStr">
        <is>
          <t>4/10/2025</t>
        </is>
      </c>
      <c r="J274" s="5" t="n">
        <v>200</v>
      </c>
      <c r="K274" s="5" t="n">
        <v>15</v>
      </c>
      <c r="L274" s="5" t="inlineStr">
        <is>
          <t>60%</t>
        </is>
      </c>
      <c r="M274" s="5" t="n">
        <v>1183</v>
      </c>
      <c r="N274" s="5" t="n">
        <v>1.52</v>
      </c>
      <c r="O274" s="5" t="n">
        <v>1104</v>
      </c>
      <c r="P274" s="5" t="n">
        <v>1.42</v>
      </c>
      <c r="Q274" s="5" t="inlineStr">
        <is>
          <t>2025-02-28</t>
        </is>
      </c>
      <c r="R274" s="5" t="inlineStr">
        <is>
          <t>2025-05-26</t>
        </is>
      </c>
      <c r="S274" s="5" t="n">
        <v>88</v>
      </c>
      <c r="T274" s="5" t="n">
        <v>47</v>
      </c>
      <c r="U274" s="48" t="inlineStr">
        <is>
          <t>Cascade</t>
        </is>
      </c>
    </row>
    <row r="275">
      <c r="A275" s="5" t="inlineStr">
        <is>
          <t>Bella Mirage</t>
        </is>
      </c>
      <c r="B275" s="5" t="inlineStr">
        <is>
          <t>Cascade</t>
        </is>
      </c>
      <c r="C275" s="5" t="inlineStr">
        <is>
          <t>2813</t>
        </is>
      </c>
      <c r="D275" s="5" t="n">
        <v>2</v>
      </c>
      <c r="E275" s="5" t="n">
        <v>1</v>
      </c>
      <c r="F275" s="5" t="n">
        <v>1</v>
      </c>
      <c r="G275" s="5" t="inlineStr"/>
      <c r="H275" s="5" t="n">
        <v>777</v>
      </c>
      <c r="I275" s="5" t="inlineStr">
        <is>
          <t>12/28/2024</t>
        </is>
      </c>
      <c r="J275" s="5" t="n">
        <v>200</v>
      </c>
      <c r="K275" s="5" t="n">
        <v>12</v>
      </c>
      <c r="L275" s="5" t="inlineStr">
        <is>
          <t>60%</t>
        </is>
      </c>
      <c r="M275" s="5" t="n">
        <v>1241</v>
      </c>
      <c r="N275" s="5" t="n">
        <v>1.6</v>
      </c>
      <c r="O275" s="5" t="n">
        <v>1138</v>
      </c>
      <c r="P275" s="5" t="n">
        <v>1.46</v>
      </c>
      <c r="Q275" s="5" t="inlineStr">
        <is>
          <t>2024-12-03</t>
        </is>
      </c>
      <c r="R275" s="5" t="inlineStr">
        <is>
          <t>2024-12-04</t>
        </is>
      </c>
      <c r="S275" s="5" t="n">
        <v>2</v>
      </c>
      <c r="T275" s="5" t="n">
        <v>0</v>
      </c>
      <c r="U275" s="48" t="inlineStr">
        <is>
          <t>Cascade</t>
        </is>
      </c>
    </row>
    <row r="276">
      <c r="A276" s="5" t="inlineStr">
        <is>
          <t>Bella Mirage</t>
        </is>
      </c>
      <c r="B276" s="5" t="inlineStr">
        <is>
          <t>Cascade</t>
        </is>
      </c>
      <c r="C276" s="5" t="inlineStr">
        <is>
          <t>2813</t>
        </is>
      </c>
      <c r="D276" s="5" t="n">
        <v>2</v>
      </c>
      <c r="E276" s="5" t="n">
        <v>1</v>
      </c>
      <c r="F276" s="5" t="n">
        <v>1</v>
      </c>
      <c r="G276" s="5" t="inlineStr"/>
      <c r="H276" s="5" t="n">
        <v>777</v>
      </c>
      <c r="I276" s="5" t="inlineStr">
        <is>
          <t>8/13/2025</t>
        </is>
      </c>
      <c r="J276" s="5" t="n">
        <v>200</v>
      </c>
      <c r="K276" s="5" t="n">
        <v>12</v>
      </c>
      <c r="L276" s="5" t="inlineStr">
        <is>
          <t>60%</t>
        </is>
      </c>
      <c r="M276" s="5" t="n">
        <v>1185</v>
      </c>
      <c r="N276" s="5" t="n">
        <v>1.53</v>
      </c>
      <c r="O276" s="5" t="n">
        <v>1086</v>
      </c>
      <c r="P276" s="5" t="n">
        <v>1.4</v>
      </c>
      <c r="Q276" s="5" t="inlineStr">
        <is>
          <t>2025-05-31</t>
        </is>
      </c>
      <c r="R276" s="5" t="inlineStr">
        <is>
          <t>2025-07-12</t>
        </is>
      </c>
      <c r="S276" s="5" t="n">
        <v>43</v>
      </c>
      <c r="T276" s="5" t="n">
        <v>0</v>
      </c>
      <c r="U276" s="48" t="inlineStr">
        <is>
          <t>Cascade</t>
        </is>
      </c>
    </row>
    <row r="277">
      <c r="A277" s="5" t="inlineStr">
        <is>
          <t>Bella Mirage</t>
        </is>
      </c>
      <c r="B277" s="5" t="inlineStr">
        <is>
          <t>Cascade</t>
        </is>
      </c>
      <c r="C277" s="5" t="inlineStr">
        <is>
          <t>0137</t>
        </is>
      </c>
      <c r="D277" s="5" t="n">
        <v>3</v>
      </c>
      <c r="E277" s="5" t="n">
        <v>1</v>
      </c>
      <c r="F277" s="5" t="n">
        <v>1</v>
      </c>
      <c r="G277" s="5" t="inlineStr"/>
      <c r="H277" s="5" t="n">
        <v>777</v>
      </c>
      <c r="I277" s="5" t="inlineStr">
        <is>
          <t>4/19/2024</t>
        </is>
      </c>
      <c r="J277" s="5" t="n">
        <v>200</v>
      </c>
      <c r="K277" s="5" t="n">
        <v>12</v>
      </c>
      <c r="L277" s="5" t="inlineStr">
        <is>
          <t>60%</t>
        </is>
      </c>
      <c r="M277" s="5" t="n">
        <v>1360</v>
      </c>
      <c r="N277" s="5" t="n">
        <v>1.75</v>
      </c>
      <c r="O277" s="5" t="n">
        <v>1247</v>
      </c>
      <c r="P277" s="5" t="n">
        <v>1.6</v>
      </c>
      <c r="Q277" s="5" t="inlineStr">
        <is>
          <t>2024-02-12</t>
        </is>
      </c>
      <c r="R277" s="5" t="inlineStr">
        <is>
          <t>2024-04-30</t>
        </is>
      </c>
      <c r="S277" s="5" t="n">
        <v>79</v>
      </c>
      <c r="T277" s="5" t="n">
        <v>12</v>
      </c>
      <c r="U277" s="48" t="inlineStr">
        <is>
          <t>Cascade</t>
        </is>
      </c>
    </row>
    <row r="278">
      <c r="A278" s="5" t="inlineStr">
        <is>
          <t>Bella Mirage</t>
        </is>
      </c>
      <c r="B278" s="5" t="inlineStr">
        <is>
          <t>Cascade</t>
        </is>
      </c>
      <c r="C278" s="5" t="inlineStr">
        <is>
          <t>0137</t>
        </is>
      </c>
      <c r="D278" s="5" t="n">
        <v>3</v>
      </c>
      <c r="E278" s="5" t="n">
        <v>1</v>
      </c>
      <c r="F278" s="5" t="n">
        <v>1</v>
      </c>
      <c r="G278" s="5" t="inlineStr"/>
      <c r="H278" s="5" t="n">
        <v>777</v>
      </c>
      <c r="I278" s="5" t="inlineStr">
        <is>
          <t>10/22/2024</t>
        </is>
      </c>
      <c r="J278" s="5" t="n">
        <v>200</v>
      </c>
      <c r="K278" s="5" t="n">
        <v>12</v>
      </c>
      <c r="L278" s="5" t="inlineStr">
        <is>
          <t>60%</t>
        </is>
      </c>
      <c r="M278" s="5" t="n">
        <v>1240</v>
      </c>
      <c r="N278" s="5" t="n">
        <v>1.6</v>
      </c>
      <c r="O278" s="5" t="n">
        <v>1137</v>
      </c>
      <c r="P278" s="5" t="n">
        <v>1.46</v>
      </c>
      <c r="Q278" s="5" t="inlineStr">
        <is>
          <t>2024-10-15</t>
        </is>
      </c>
      <c r="R278" s="5" t="inlineStr">
        <is>
          <t>2024-11-14</t>
        </is>
      </c>
      <c r="S278" s="5" t="n">
        <v>31</v>
      </c>
      <c r="T278" s="5" t="n">
        <v>24</v>
      </c>
      <c r="U278" s="48" t="inlineStr">
        <is>
          <t>Cascade</t>
        </is>
      </c>
    </row>
    <row r="279">
      <c r="A279" s="5" t="inlineStr">
        <is>
          <t>Bella Mirage</t>
        </is>
      </c>
      <c r="B279" s="5" t="inlineStr">
        <is>
          <t>Cascade</t>
        </is>
      </c>
      <c r="C279" s="5" t="inlineStr">
        <is>
          <t>0137</t>
        </is>
      </c>
      <c r="D279" s="5" t="n">
        <v>3</v>
      </c>
      <c r="E279" s="5" t="n">
        <v>1</v>
      </c>
      <c r="F279" s="5" t="n">
        <v>1</v>
      </c>
      <c r="G279" s="5" t="inlineStr"/>
      <c r="H279" s="5" t="n">
        <v>777</v>
      </c>
      <c r="I279" s="5" t="inlineStr">
        <is>
          <t>6/15/2025</t>
        </is>
      </c>
      <c r="J279" s="5" t="n">
        <v>200</v>
      </c>
      <c r="K279" s="5" t="n">
        <v>12</v>
      </c>
      <c r="L279" s="5" t="inlineStr">
        <is>
          <t>60%</t>
        </is>
      </c>
      <c r="M279" s="5" t="n">
        <v>1186</v>
      </c>
      <c r="N279" s="5" t="n">
        <v>1.53</v>
      </c>
      <c r="O279" s="5" t="n">
        <v>1087</v>
      </c>
      <c r="P279" s="5" t="n">
        <v>1.4</v>
      </c>
      <c r="Q279" s="5" t="inlineStr">
        <is>
          <t>2025-05-04</t>
        </is>
      </c>
      <c r="R279" s="5" t="inlineStr">
        <is>
          <t>2025-05-14</t>
        </is>
      </c>
      <c r="S279" s="5" t="n">
        <v>11</v>
      </c>
      <c r="T279" s="5" t="n">
        <v>0</v>
      </c>
      <c r="U279" s="48" t="inlineStr">
        <is>
          <t>Cascade</t>
        </is>
      </c>
    </row>
    <row r="280">
      <c r="A280" s="5" t="inlineStr">
        <is>
          <t>Bella Mirage</t>
        </is>
      </c>
      <c r="B280" s="5" t="inlineStr">
        <is>
          <t>Cascade</t>
        </is>
      </c>
      <c r="C280" s="5" t="inlineStr">
        <is>
          <t>3817</t>
        </is>
      </c>
      <c r="D280" s="5" t="n">
        <v>3</v>
      </c>
      <c r="E280" s="5" t="n">
        <v>1</v>
      </c>
      <c r="F280" s="5" t="n">
        <v>1</v>
      </c>
      <c r="G280" s="5" t="inlineStr"/>
      <c r="H280" s="5" t="n">
        <v>777</v>
      </c>
      <c r="I280" s="5" t="inlineStr">
        <is>
          <t>6/25/2024</t>
        </is>
      </c>
      <c r="J280" s="5" t="n">
        <v>200</v>
      </c>
      <c r="K280" s="5" t="n">
        <v>15</v>
      </c>
      <c r="L280" s="5" t="inlineStr">
        <is>
          <t>60%</t>
        </is>
      </c>
      <c r="M280" s="5" t="n">
        <v>1355</v>
      </c>
      <c r="N280" s="5" t="n">
        <v>1.74</v>
      </c>
      <c r="O280" s="5" t="n">
        <v>1355</v>
      </c>
      <c r="P280" s="5" t="n">
        <v>1.74</v>
      </c>
      <c r="Q280" s="5" t="inlineStr">
        <is>
          <t>2024-04-17</t>
        </is>
      </c>
      <c r="R280" s="5" t="inlineStr">
        <is>
          <t>2024-07-26</t>
        </is>
      </c>
      <c r="S280" s="5" t="n">
        <v>101</v>
      </c>
      <c r="T280" s="5" t="n">
        <v>32</v>
      </c>
      <c r="U280" s="48" t="inlineStr">
        <is>
          <t>Cascade</t>
        </is>
      </c>
    </row>
    <row r="281">
      <c r="A281" s="5" t="inlineStr">
        <is>
          <t>Bella Mirage</t>
        </is>
      </c>
      <c r="B281" s="5" t="inlineStr">
        <is>
          <t>Cascade</t>
        </is>
      </c>
      <c r="C281" s="5" t="inlineStr">
        <is>
          <t>3817</t>
        </is>
      </c>
      <c r="D281" s="5" t="n">
        <v>3</v>
      </c>
      <c r="E281" s="5" t="n">
        <v>1</v>
      </c>
      <c r="F281" s="5" t="n">
        <v>1</v>
      </c>
      <c r="G281" s="5" t="inlineStr"/>
      <c r="H281" s="5" t="n">
        <v>777</v>
      </c>
      <c r="I281" s="5" t="inlineStr">
        <is>
          <t>2/19/2025</t>
        </is>
      </c>
      <c r="J281" s="5" t="n">
        <v>200</v>
      </c>
      <c r="K281" s="5" t="n">
        <v>12</v>
      </c>
      <c r="L281" s="5" t="inlineStr">
        <is>
          <t>60%</t>
        </is>
      </c>
      <c r="M281" s="5" t="n">
        <v>1241</v>
      </c>
      <c r="N281" s="5" t="n">
        <v>1.6</v>
      </c>
      <c r="O281" s="5" t="n">
        <v>1138</v>
      </c>
      <c r="P281" s="5" t="n">
        <v>1.46</v>
      </c>
      <c r="Q281" s="5" t="inlineStr">
        <is>
          <t>2025-02-08</t>
        </is>
      </c>
      <c r="R281" s="5" t="inlineStr">
        <is>
          <t>2025-03-09</t>
        </is>
      </c>
      <c r="S281" s="5" t="n">
        <v>30</v>
      </c>
      <c r="T281" s="5" t="n">
        <v>19</v>
      </c>
      <c r="U281" s="48" t="inlineStr">
        <is>
          <t>Cascade</t>
        </is>
      </c>
    </row>
    <row r="282">
      <c r="A282" s="5" t="inlineStr">
        <is>
          <t>Bella Mirage</t>
        </is>
      </c>
      <c r="B282" s="5" t="inlineStr">
        <is>
          <t>Cascade</t>
        </is>
      </c>
      <c r="C282" s="5" t="inlineStr">
        <is>
          <t>3817</t>
        </is>
      </c>
      <c r="D282" s="5" t="n">
        <v>3</v>
      </c>
      <c r="E282" s="5" t="n">
        <v>1</v>
      </c>
      <c r="F282" s="5" t="n">
        <v>1</v>
      </c>
      <c r="G282" s="5" t="inlineStr"/>
      <c r="H282" s="5" t="n">
        <v>777</v>
      </c>
      <c r="I282" s="5" t="inlineStr">
        <is>
          <t>11/7/2025</t>
        </is>
      </c>
      <c r="J282" s="5" t="n">
        <v>300</v>
      </c>
      <c r="K282" s="5" t="n">
        <v>12</v>
      </c>
      <c r="L282" s="5" t="inlineStr">
        <is>
          <t>60%</t>
        </is>
      </c>
      <c r="M282" s="5" t="n">
        <v>1162</v>
      </c>
      <c r="N282" s="5" t="n">
        <v>1.5</v>
      </c>
      <c r="O282" s="5" t="n">
        <v>1162</v>
      </c>
      <c r="P282" s="5" t="n">
        <v>1.5</v>
      </c>
      <c r="Q282" s="5" t="inlineStr">
        <is>
          <t>2025-10-31</t>
        </is>
      </c>
      <c r="R282" s="5" t="inlineStr">
        <is>
          <t>2025-12-05</t>
        </is>
      </c>
      <c r="S282" s="5" t="n">
        <v>36</v>
      </c>
      <c r="T282" s="5" t="n">
        <v>29</v>
      </c>
      <c r="U282" s="48" t="inlineStr">
        <is>
          <t>Cascade</t>
        </is>
      </c>
    </row>
    <row r="283">
      <c r="A283" s="5" t="inlineStr">
        <is>
          <t>Bella Mirage</t>
        </is>
      </c>
      <c r="B283" s="5" t="inlineStr">
        <is>
          <t>Cascade</t>
        </is>
      </c>
      <c r="C283" s="5" t="inlineStr">
        <is>
          <t>3817</t>
        </is>
      </c>
      <c r="D283" s="5" t="n">
        <v>3</v>
      </c>
      <c r="E283" s="5" t="n">
        <v>1</v>
      </c>
      <c r="F283" s="5" t="n">
        <v>1</v>
      </c>
      <c r="G283" s="5" t="inlineStr"/>
      <c r="H283" s="5" t="n">
        <v>777</v>
      </c>
      <c r="I283" s="5" t="inlineStr">
        <is>
          <t>7/15/2026</t>
        </is>
      </c>
      <c r="J283" s="5" t="n">
        <v>300</v>
      </c>
      <c r="K283" s="5" t="n">
        <v>14</v>
      </c>
      <c r="L283" s="5" t="inlineStr">
        <is>
          <t>60%</t>
        </is>
      </c>
      <c r="M283" s="5" t="n">
        <v>1188</v>
      </c>
      <c r="N283" s="5" t="n">
        <v>1.53</v>
      </c>
      <c r="O283" s="5" t="n">
        <v>1188</v>
      </c>
      <c r="P283" s="5" t="n">
        <v>1.53</v>
      </c>
      <c r="Q283" s="5" t="inlineStr">
        <is>
          <t>2026-05-30</t>
        </is>
      </c>
      <c r="R283" s="5" t="inlineStr">
        <is>
          <t>2026-06-13</t>
        </is>
      </c>
      <c r="S283" s="5" t="n">
        <v>15</v>
      </c>
      <c r="T283" s="5" t="n">
        <v>0</v>
      </c>
      <c r="U283" s="48" t="inlineStr">
        <is>
          <t>Cascade</t>
        </is>
      </c>
    </row>
    <row r="284">
      <c r="A284" s="5" t="inlineStr">
        <is>
          <t>Bella Mirage</t>
        </is>
      </c>
      <c r="B284" s="5" t="inlineStr">
        <is>
          <t>Cascade</t>
        </is>
      </c>
      <c r="C284" s="5" t="inlineStr">
        <is>
          <t>0918</t>
        </is>
      </c>
      <c r="D284" s="5" t="inlineStr"/>
      <c r="E284" s="5" t="n">
        <v>1</v>
      </c>
      <c r="F284" s="5" t="n">
        <v>1</v>
      </c>
      <c r="G284" s="5" t="inlineStr"/>
      <c r="H284" s="5" t="n">
        <v>777</v>
      </c>
      <c r="I284" s="5" t="inlineStr">
        <is>
          <t>5/22/2024</t>
        </is>
      </c>
      <c r="J284" s="5" t="n">
        <v>200</v>
      </c>
      <c r="K284" s="5" t="n">
        <v>13</v>
      </c>
      <c r="L284" s="5" t="inlineStr">
        <is>
          <t>60%</t>
        </is>
      </c>
      <c r="M284" s="5" t="n">
        <v>1315</v>
      </c>
      <c r="N284" s="5" t="n">
        <v>1.69</v>
      </c>
      <c r="O284" s="5" t="n">
        <v>1214</v>
      </c>
      <c r="P284" s="5" t="n">
        <v>1.56</v>
      </c>
      <c r="Q284" s="5" t="inlineStr">
        <is>
          <t>2024-03-01</t>
        </is>
      </c>
      <c r="R284" s="5" t="inlineStr">
        <is>
          <t>2024-04-13</t>
        </is>
      </c>
      <c r="S284" s="5" t="n">
        <v>44</v>
      </c>
      <c r="T284" s="5" t="n">
        <v>0</v>
      </c>
      <c r="U284" s="48" t="inlineStr">
        <is>
          <t>Cascade</t>
        </is>
      </c>
    </row>
    <row r="285">
      <c r="A285" s="5" t="inlineStr">
        <is>
          <t>Bella Mirage</t>
        </is>
      </c>
      <c r="B285" s="5" t="inlineStr">
        <is>
          <t>Cascade</t>
        </is>
      </c>
      <c r="C285" s="5" t="inlineStr">
        <is>
          <t>0918</t>
        </is>
      </c>
      <c r="D285" s="5" t="inlineStr"/>
      <c r="E285" s="5" t="n">
        <v>1</v>
      </c>
      <c r="F285" s="5" t="n">
        <v>1</v>
      </c>
      <c r="G285" s="5" t="inlineStr"/>
      <c r="H285" s="5" t="n">
        <v>777</v>
      </c>
      <c r="I285" s="5" t="inlineStr">
        <is>
          <t>10/9/2024</t>
        </is>
      </c>
      <c r="J285" s="5" t="n">
        <v>200</v>
      </c>
      <c r="K285" s="5" t="n">
        <v>12</v>
      </c>
      <c r="L285" s="5" t="inlineStr">
        <is>
          <t>60%</t>
        </is>
      </c>
      <c r="M285" s="5" t="n">
        <v>1229</v>
      </c>
      <c r="N285" s="5" t="n">
        <v>1.58</v>
      </c>
      <c r="O285" s="5" t="n">
        <v>1229</v>
      </c>
      <c r="P285" s="5" t="n">
        <v>1.58</v>
      </c>
      <c r="Q285" s="5" t="inlineStr">
        <is>
          <t>2024-08-19</t>
        </is>
      </c>
      <c r="R285" s="5" t="inlineStr">
        <is>
          <t>2024-09-04</t>
        </is>
      </c>
      <c r="S285" s="5" t="n">
        <v>17</v>
      </c>
      <c r="T285" s="5" t="n">
        <v>0</v>
      </c>
      <c r="U285" s="48" t="inlineStr">
        <is>
          <t>Cascade</t>
        </is>
      </c>
    </row>
    <row r="286">
      <c r="A286" s="5" t="inlineStr">
        <is>
          <t>Bella Mirage</t>
        </is>
      </c>
      <c r="B286" s="5" t="inlineStr">
        <is>
          <t>Cascade</t>
        </is>
      </c>
      <c r="C286" s="5" t="inlineStr">
        <is>
          <t>0918</t>
        </is>
      </c>
      <c r="D286" s="5" t="inlineStr"/>
      <c r="E286" s="5" t="n">
        <v>1</v>
      </c>
      <c r="F286" s="5" t="n">
        <v>1</v>
      </c>
      <c r="G286" s="5" t="inlineStr"/>
      <c r="H286" s="5" t="n">
        <v>777</v>
      </c>
      <c r="I286" s="5" t="inlineStr">
        <is>
          <t>1/13/2026</t>
        </is>
      </c>
      <c r="J286" s="5" t="n">
        <v>300</v>
      </c>
      <c r="K286" s="5" t="n">
        <v>13</v>
      </c>
      <c r="L286" s="5" t="inlineStr">
        <is>
          <t>60%</t>
        </is>
      </c>
      <c r="M286" s="5" t="n">
        <v>1188</v>
      </c>
      <c r="N286" s="5" t="n">
        <v>1.53</v>
      </c>
      <c r="O286" s="5" t="n">
        <v>1188</v>
      </c>
      <c r="P286" s="5" t="n">
        <v>1.53</v>
      </c>
      <c r="Q286" s="5" t="inlineStr">
        <is>
          <t>2025-06-20</t>
        </is>
      </c>
      <c r="R286" s="5" t="inlineStr">
        <is>
          <t>2026-01-15</t>
        </is>
      </c>
      <c r="S286" s="5" t="n">
        <v>210</v>
      </c>
      <c r="T286" s="5" t="n">
        <v>3</v>
      </c>
      <c r="U286" s="48" t="inlineStr">
        <is>
          <t>Cascade</t>
        </is>
      </c>
    </row>
    <row r="287">
      <c r="A287" s="5" t="inlineStr">
        <is>
          <t>Bella Mirage</t>
        </is>
      </c>
      <c r="B287" s="5" t="inlineStr">
        <is>
          <t>Cascade</t>
        </is>
      </c>
      <c r="C287" s="5" t="inlineStr">
        <is>
          <t>2728</t>
        </is>
      </c>
      <c r="D287" s="5" t="n">
        <v>2</v>
      </c>
      <c r="E287" s="5" t="n">
        <v>1</v>
      </c>
      <c r="F287" s="5" t="n">
        <v>1</v>
      </c>
      <c r="G287" s="5" t="inlineStr"/>
      <c r="H287" s="5" t="n">
        <v>777</v>
      </c>
      <c r="I287" s="5" t="inlineStr">
        <is>
          <t>9/24/2023</t>
        </is>
      </c>
      <c r="J287" s="5" t="inlineStr"/>
      <c r="K287" s="5" t="inlineStr"/>
      <c r="L287" s="5" t="inlineStr">
        <is>
          <t>60%</t>
        </is>
      </c>
      <c r="M287" s="5" t="n">
        <v>1328</v>
      </c>
      <c r="N287" s="5" t="n">
        <v>1.71</v>
      </c>
      <c r="O287" s="5" t="n">
        <v>1217</v>
      </c>
      <c r="P287" s="5" t="n">
        <v>1.57</v>
      </c>
      <c r="Q287" s="5" t="inlineStr">
        <is>
          <t>2023-09-24</t>
        </is>
      </c>
      <c r="R287" s="5" t="inlineStr">
        <is>
          <t>2023-10-25</t>
        </is>
      </c>
      <c r="S287" s="5" t="n">
        <v>32</v>
      </c>
      <c r="T287" s="5" t="n">
        <v>32</v>
      </c>
      <c r="U287" s="48" t="inlineStr">
        <is>
          <t>Cascade</t>
        </is>
      </c>
    </row>
    <row r="288">
      <c r="A288" s="5" t="inlineStr">
        <is>
          <t>Bella Mirage</t>
        </is>
      </c>
      <c r="B288" s="5" t="inlineStr">
        <is>
          <t>Cascade</t>
        </is>
      </c>
      <c r="C288" s="5" t="inlineStr">
        <is>
          <t>2728</t>
        </is>
      </c>
      <c r="D288" s="5" t="n">
        <v>2</v>
      </c>
      <c r="E288" s="5" t="n">
        <v>1</v>
      </c>
      <c r="F288" s="5" t="n">
        <v>1</v>
      </c>
      <c r="G288" s="5" t="inlineStr"/>
      <c r="H288" s="5" t="n">
        <v>777</v>
      </c>
      <c r="I288" s="5" t="inlineStr">
        <is>
          <t>11/12/2024</t>
        </is>
      </c>
      <c r="J288" s="5" t="n">
        <v>200</v>
      </c>
      <c r="K288" s="5" t="n">
        <v>13</v>
      </c>
      <c r="L288" s="5" t="inlineStr">
        <is>
          <t>60%</t>
        </is>
      </c>
      <c r="M288" s="5" t="n">
        <v>1222</v>
      </c>
      <c r="N288" s="5" t="n">
        <v>1.57</v>
      </c>
      <c r="O288" s="5" t="n">
        <v>1128</v>
      </c>
      <c r="P288" s="5" t="n">
        <v>1.45</v>
      </c>
      <c r="Q288" s="5" t="inlineStr">
        <is>
          <t>2024-10-02</t>
        </is>
      </c>
      <c r="R288" s="5" t="inlineStr">
        <is>
          <t>2025-01-06</t>
        </is>
      </c>
      <c r="S288" s="5" t="n">
        <v>97</v>
      </c>
      <c r="T288" s="5" t="n">
        <v>56</v>
      </c>
      <c r="U288" s="48" t="inlineStr">
        <is>
          <t>Cascade</t>
        </is>
      </c>
    </row>
    <row r="289">
      <c r="A289" s="5" t="inlineStr">
        <is>
          <t>Bella Mirage</t>
        </is>
      </c>
      <c r="B289" s="5" t="inlineStr">
        <is>
          <t>Cascade</t>
        </is>
      </c>
      <c r="C289" s="5" t="inlineStr">
        <is>
          <t>2728</t>
        </is>
      </c>
      <c r="D289" s="5" t="n">
        <v>2</v>
      </c>
      <c r="E289" s="5" t="n">
        <v>1</v>
      </c>
      <c r="F289" s="5" t="n">
        <v>1</v>
      </c>
      <c r="G289" s="5" t="inlineStr"/>
      <c r="H289" s="5" t="n">
        <v>777</v>
      </c>
      <c r="I289" s="5" t="inlineStr">
        <is>
          <t>4/14/2026</t>
        </is>
      </c>
      <c r="J289" s="5" t="n">
        <v>300</v>
      </c>
      <c r="K289" s="5" t="n">
        <v>14</v>
      </c>
      <c r="L289" s="5" t="inlineStr">
        <is>
          <t>60%</t>
        </is>
      </c>
      <c r="M289" s="5" t="n">
        <v>1189</v>
      </c>
      <c r="N289" s="5" t="n">
        <v>1.53</v>
      </c>
      <c r="O289" s="5" t="n">
        <v>1189</v>
      </c>
      <c r="P289" s="5" t="n">
        <v>1.53</v>
      </c>
      <c r="Q289" s="5" t="inlineStr">
        <is>
          <t>2026-02-23</t>
        </is>
      </c>
      <c r="R289" s="5" t="inlineStr">
        <is>
          <t>2026-06-01</t>
        </is>
      </c>
      <c r="S289" s="5" t="n">
        <v>99</v>
      </c>
      <c r="T289" s="5" t="n">
        <v>49</v>
      </c>
      <c r="U289" s="48" t="inlineStr">
        <is>
          <t>Cascade</t>
        </is>
      </c>
    </row>
    <row r="290">
      <c r="A290" s="5" t="inlineStr">
        <is>
          <t>Bella Mirage</t>
        </is>
      </c>
      <c r="B290" s="5" t="inlineStr">
        <is>
          <t>Cascade</t>
        </is>
      </c>
      <c r="C290" s="5" t="inlineStr">
        <is>
          <t>2825</t>
        </is>
      </c>
      <c r="D290" s="5" t="n">
        <v>2</v>
      </c>
      <c r="E290" s="5" t="n">
        <v>1</v>
      </c>
      <c r="F290" s="5" t="n">
        <v>1</v>
      </c>
      <c r="G290" s="5" t="inlineStr"/>
      <c r="H290" s="5" t="n">
        <v>777</v>
      </c>
      <c r="I290" s="5" t="inlineStr">
        <is>
          <t>10/31/2025</t>
        </is>
      </c>
      <c r="J290" s="5" t="n">
        <v>300</v>
      </c>
      <c r="K290" s="5" t="n">
        <v>12</v>
      </c>
      <c r="L290" s="5" t="inlineStr">
        <is>
          <t>60%</t>
        </is>
      </c>
      <c r="M290" s="5" t="n">
        <v>1189</v>
      </c>
      <c r="N290" s="5" t="n">
        <v>1.53</v>
      </c>
      <c r="O290" s="5" t="n">
        <v>1090</v>
      </c>
      <c r="P290" s="5" t="n">
        <v>1.4</v>
      </c>
      <c r="Q290" s="5" t="inlineStr">
        <is>
          <t>2025-09-30</t>
        </is>
      </c>
      <c r="R290" s="5" t="inlineStr">
        <is>
          <t>2025-10-19</t>
        </is>
      </c>
      <c r="S290" s="5" t="n">
        <v>20</v>
      </c>
      <c r="T290" s="5" t="n">
        <v>0</v>
      </c>
      <c r="U290" s="48" t="inlineStr">
        <is>
          <t>Cascade</t>
        </is>
      </c>
    </row>
    <row r="291">
      <c r="A291" s="5" t="inlineStr">
        <is>
          <t>Bella Mirage</t>
        </is>
      </c>
      <c r="B291" s="5" t="inlineStr">
        <is>
          <t>Cascade</t>
        </is>
      </c>
      <c r="C291" s="5" t="inlineStr">
        <is>
          <t>0916</t>
        </is>
      </c>
      <c r="D291" s="5" t="n">
        <v>1</v>
      </c>
      <c r="E291" s="5" t="n">
        <v>1</v>
      </c>
      <c r="F291" s="5" t="n">
        <v>1</v>
      </c>
      <c r="G291" s="5" t="inlineStr"/>
      <c r="H291" s="5" t="n">
        <v>777</v>
      </c>
      <c r="I291" s="5" t="inlineStr">
        <is>
          <t>3/30/2026</t>
        </is>
      </c>
      <c r="J291" s="5" t="n">
        <v>300</v>
      </c>
      <c r="K291" s="5" t="n">
        <v>12</v>
      </c>
      <c r="L291" s="5" t="inlineStr">
        <is>
          <t>60%</t>
        </is>
      </c>
      <c r="M291" s="5" t="n">
        <v>1192</v>
      </c>
      <c r="N291" s="5" t="n">
        <v>1.53</v>
      </c>
      <c r="O291" s="5" t="n">
        <v>1192</v>
      </c>
      <c r="P291" s="5" t="n">
        <v>1.53</v>
      </c>
      <c r="Q291" s="5" t="inlineStr">
        <is>
          <t>2026-02-17</t>
        </is>
      </c>
      <c r="R291" s="5" t="inlineStr">
        <is>
          <t>2026-05-15</t>
        </is>
      </c>
      <c r="S291" s="5" t="n">
        <v>88</v>
      </c>
      <c r="T291" s="5" t="n">
        <v>47</v>
      </c>
      <c r="U291" s="48" t="inlineStr">
        <is>
          <t>Cascade</t>
        </is>
      </c>
    </row>
    <row r="292">
      <c r="A292" s="5" t="inlineStr">
        <is>
          <t>Bella Mirage</t>
        </is>
      </c>
      <c r="B292" s="5" t="inlineStr">
        <is>
          <t>Cascade</t>
        </is>
      </c>
      <c r="C292" s="5" t="inlineStr">
        <is>
          <t>5315</t>
        </is>
      </c>
      <c r="D292" s="5" t="inlineStr"/>
      <c r="E292" s="5" t="n">
        <v>1</v>
      </c>
      <c r="F292" s="5" t="n">
        <v>1</v>
      </c>
      <c r="G292" s="5" t="inlineStr"/>
      <c r="H292" s="5" t="n">
        <v>777</v>
      </c>
      <c r="I292" s="5" t="inlineStr">
        <is>
          <t>11/16/2023</t>
        </is>
      </c>
      <c r="J292" s="5" t="inlineStr"/>
      <c r="K292" s="5" t="inlineStr"/>
      <c r="L292" s="5" t="inlineStr">
        <is>
          <t>60%</t>
        </is>
      </c>
      <c r="M292" s="5" t="n">
        <v>1241</v>
      </c>
      <c r="N292" s="5" t="n">
        <v>1.6</v>
      </c>
      <c r="O292" s="5" t="n">
        <v>1138</v>
      </c>
      <c r="P292" s="5" t="n">
        <v>1.46</v>
      </c>
      <c r="Q292" s="5" t="inlineStr">
        <is>
          <t>2023-11-16</t>
        </is>
      </c>
      <c r="R292" s="5" t="inlineStr">
        <is>
          <t>2023-12-31</t>
        </is>
      </c>
      <c r="S292" s="5" t="n">
        <v>46</v>
      </c>
      <c r="T292" s="5" t="n">
        <v>46</v>
      </c>
      <c r="U292" s="48" t="inlineStr">
        <is>
          <t>Cascade</t>
        </is>
      </c>
    </row>
    <row r="293">
      <c r="A293" s="5" t="inlineStr">
        <is>
          <t>Bella Mirage</t>
        </is>
      </c>
      <c r="B293" s="5" t="inlineStr">
        <is>
          <t>Cascade</t>
        </is>
      </c>
      <c r="C293" s="5" t="inlineStr">
        <is>
          <t>5315</t>
        </is>
      </c>
      <c r="D293" s="5" t="inlineStr"/>
      <c r="E293" s="5" t="n">
        <v>1</v>
      </c>
      <c r="F293" s="5" t="n">
        <v>1</v>
      </c>
      <c r="G293" s="5" t="inlineStr"/>
      <c r="H293" s="5" t="n">
        <v>777</v>
      </c>
      <c r="I293" s="5" t="inlineStr">
        <is>
          <t>1/16/2025</t>
        </is>
      </c>
      <c r="J293" s="5" t="n">
        <v>200</v>
      </c>
      <c r="K293" s="5" t="n">
        <v>12</v>
      </c>
      <c r="L293" s="5" t="inlineStr">
        <is>
          <t>60%</t>
        </is>
      </c>
      <c r="M293" s="5" t="n">
        <v>1300</v>
      </c>
      <c r="N293" s="5" t="n">
        <v>1.67</v>
      </c>
      <c r="O293" s="5" t="n">
        <v>1192</v>
      </c>
      <c r="P293" s="5" t="n">
        <v>1.53</v>
      </c>
      <c r="Q293" s="5" t="inlineStr">
        <is>
          <t>2024-12-23</t>
        </is>
      </c>
      <c r="R293" s="5" t="inlineStr">
        <is>
          <t>2025-01-18</t>
        </is>
      </c>
      <c r="S293" s="5" t="n">
        <v>27</v>
      </c>
      <c r="T293" s="5" t="n">
        <v>3</v>
      </c>
      <c r="U293" s="48" t="inlineStr">
        <is>
          <t>Cascade</t>
        </is>
      </c>
    </row>
    <row r="294">
      <c r="A294" s="5" t="inlineStr">
        <is>
          <t>Bella Mirage</t>
        </is>
      </c>
      <c r="B294" s="5" t="inlineStr">
        <is>
          <t>Cascade</t>
        </is>
      </c>
      <c r="C294" s="5" t="inlineStr">
        <is>
          <t>5315</t>
        </is>
      </c>
      <c r="D294" s="5" t="inlineStr"/>
      <c r="E294" s="5" t="n">
        <v>1</v>
      </c>
      <c r="F294" s="5" t="n">
        <v>1</v>
      </c>
      <c r="G294" s="5" t="inlineStr"/>
      <c r="H294" s="5" t="n">
        <v>777</v>
      </c>
      <c r="I294" s="5" t="inlineStr">
        <is>
          <t>4/17/2026</t>
        </is>
      </c>
      <c r="J294" s="5" t="n">
        <v>300</v>
      </c>
      <c r="K294" s="5" t="n">
        <v>12</v>
      </c>
      <c r="L294" s="5" t="inlineStr">
        <is>
          <t>60%</t>
        </is>
      </c>
      <c r="M294" s="5" t="n">
        <v>1192</v>
      </c>
      <c r="N294" s="5" t="n">
        <v>1.53</v>
      </c>
      <c r="O294" s="5" t="n">
        <v>1192</v>
      </c>
      <c r="P294" s="5" t="n">
        <v>1.53</v>
      </c>
      <c r="Q294" s="5" t="inlineStr">
        <is>
          <t>2026-01-19</t>
        </is>
      </c>
      <c r="R294" s="5" t="inlineStr">
        <is>
          <t>2026-05-20</t>
        </is>
      </c>
      <c r="S294" s="5" t="n">
        <v>122</v>
      </c>
      <c r="T294" s="5" t="n">
        <v>34</v>
      </c>
      <c r="U294" s="48" t="inlineStr">
        <is>
          <t>Cascade</t>
        </is>
      </c>
    </row>
    <row r="295">
      <c r="A295" s="5" t="inlineStr">
        <is>
          <t>Bella Mirage</t>
        </is>
      </c>
      <c r="B295" s="5" t="inlineStr">
        <is>
          <t>Cascade</t>
        </is>
      </c>
      <c r="C295" s="5" t="inlineStr">
        <is>
          <t>3016</t>
        </is>
      </c>
      <c r="D295" s="5" t="n">
        <v>3</v>
      </c>
      <c r="E295" s="5" t="n">
        <v>1</v>
      </c>
      <c r="F295" s="5" t="n">
        <v>1</v>
      </c>
      <c r="G295" s="5" t="inlineStr"/>
      <c r="H295" s="5" t="n">
        <v>777</v>
      </c>
      <c r="I295" s="5" t="inlineStr">
        <is>
          <t>3/15/2024</t>
        </is>
      </c>
      <c r="J295" s="5" t="n">
        <v>200</v>
      </c>
      <c r="K295" s="5" t="n">
        <v>14</v>
      </c>
      <c r="L295" s="5" t="inlineStr">
        <is>
          <t>60%</t>
        </is>
      </c>
      <c r="M295" s="5" t="n">
        <v>1514</v>
      </c>
      <c r="N295" s="5" t="n">
        <v>1.95</v>
      </c>
      <c r="O295" s="5" t="n">
        <v>1406</v>
      </c>
      <c r="P295" s="5" t="n">
        <v>1.81</v>
      </c>
      <c r="Q295" s="5" t="inlineStr">
        <is>
          <t>2024-02-12</t>
        </is>
      </c>
      <c r="R295" s="5" t="inlineStr">
        <is>
          <t>2024-03-20</t>
        </is>
      </c>
      <c r="S295" s="5" t="n">
        <v>38</v>
      </c>
      <c r="T295" s="5" t="n">
        <v>6</v>
      </c>
      <c r="U295" s="48" t="inlineStr">
        <is>
          <t>Cascade</t>
        </is>
      </c>
    </row>
    <row r="296">
      <c r="A296" s="5" t="inlineStr">
        <is>
          <t>Bella Mirage</t>
        </is>
      </c>
      <c r="B296" s="5" t="inlineStr">
        <is>
          <t>Cascade</t>
        </is>
      </c>
      <c r="C296" s="5" t="inlineStr">
        <is>
          <t>3016</t>
        </is>
      </c>
      <c r="D296" s="5" t="n">
        <v>3</v>
      </c>
      <c r="E296" s="5" t="n">
        <v>1</v>
      </c>
      <c r="F296" s="5" t="n">
        <v>1</v>
      </c>
      <c r="G296" s="5" t="inlineStr"/>
      <c r="H296" s="5" t="n">
        <v>777</v>
      </c>
      <c r="I296" s="5" t="inlineStr">
        <is>
          <t>10/1/2024</t>
        </is>
      </c>
      <c r="J296" s="5" t="n">
        <v>200</v>
      </c>
      <c r="K296" s="5" t="n">
        <v>12</v>
      </c>
      <c r="L296" s="5" t="inlineStr">
        <is>
          <t>60%</t>
        </is>
      </c>
      <c r="M296" s="5" t="n">
        <v>1495</v>
      </c>
      <c r="N296" s="5" t="n">
        <v>1.92</v>
      </c>
      <c r="O296" s="5" t="n">
        <v>1495</v>
      </c>
      <c r="P296" s="5" t="n">
        <v>1.92</v>
      </c>
      <c r="Q296" s="5" t="inlineStr">
        <is>
          <t>2024-09-24</t>
        </is>
      </c>
      <c r="R296" s="5" t="inlineStr">
        <is>
          <t>2024-10-19</t>
        </is>
      </c>
      <c r="S296" s="5" t="n">
        <v>26</v>
      </c>
      <c r="T296" s="5" t="n">
        <v>19</v>
      </c>
      <c r="U296" s="48" t="inlineStr">
        <is>
          <t>Cascade</t>
        </is>
      </c>
    </row>
    <row r="297">
      <c r="A297" s="5" t="inlineStr">
        <is>
          <t>Bella Mirage</t>
        </is>
      </c>
      <c r="B297" s="5" t="inlineStr">
        <is>
          <t>Cascade</t>
        </is>
      </c>
      <c r="C297" s="5" t="inlineStr">
        <is>
          <t>3016</t>
        </is>
      </c>
      <c r="D297" s="5" t="n">
        <v>3</v>
      </c>
      <c r="E297" s="5" t="n">
        <v>1</v>
      </c>
      <c r="F297" s="5" t="n">
        <v>1</v>
      </c>
      <c r="G297" s="5" t="inlineStr"/>
      <c r="H297" s="5" t="n">
        <v>777</v>
      </c>
      <c r="I297" s="5" t="inlineStr">
        <is>
          <t>1/25/2026</t>
        </is>
      </c>
      <c r="J297" s="5" t="n">
        <v>300</v>
      </c>
      <c r="K297" s="5" t="n">
        <v>12</v>
      </c>
      <c r="L297" s="5" t="inlineStr">
        <is>
          <t>60%</t>
        </is>
      </c>
      <c r="M297" s="5" t="n">
        <v>1192</v>
      </c>
      <c r="N297" s="5" t="n">
        <v>1.53</v>
      </c>
      <c r="O297" s="5" t="n">
        <v>1192</v>
      </c>
      <c r="P297" s="5" t="n">
        <v>1.53</v>
      </c>
      <c r="Q297" s="5" t="inlineStr">
        <is>
          <t>2025-11-16</t>
        </is>
      </c>
      <c r="R297" s="5" t="inlineStr">
        <is>
          <t>2026-03-02</t>
        </is>
      </c>
      <c r="S297" s="5" t="n">
        <v>107</v>
      </c>
      <c r="T297" s="5" t="n">
        <v>37</v>
      </c>
      <c r="U297" s="48" t="inlineStr">
        <is>
          <t>Cascade</t>
        </is>
      </c>
    </row>
    <row r="298">
      <c r="A298" s="5" t="inlineStr">
        <is>
          <t>Bella Mirage</t>
        </is>
      </c>
      <c r="B298" s="5" t="inlineStr">
        <is>
          <t>Cascade</t>
        </is>
      </c>
      <c r="C298" s="5" t="inlineStr">
        <is>
          <t>0912</t>
        </is>
      </c>
      <c r="D298" s="5" t="n">
        <v>1</v>
      </c>
      <c r="E298" s="5" t="n">
        <v>1</v>
      </c>
      <c r="F298" s="5" t="n">
        <v>1</v>
      </c>
      <c r="G298" s="5" t="inlineStr"/>
      <c r="H298" s="5" t="n">
        <v>777</v>
      </c>
      <c r="I298" s="5" t="inlineStr">
        <is>
          <t>11/22/2025</t>
        </is>
      </c>
      <c r="J298" s="5" t="n">
        <v>300</v>
      </c>
      <c r="K298" s="5" t="n">
        <v>12</v>
      </c>
      <c r="L298" s="5" t="inlineStr">
        <is>
          <t>60%</t>
        </is>
      </c>
      <c r="M298" s="5" t="n">
        <v>1192</v>
      </c>
      <c r="N298" s="5" t="n">
        <v>1.53</v>
      </c>
      <c r="O298" s="5" t="n">
        <v>1192</v>
      </c>
      <c r="P298" s="5" t="n">
        <v>1.53</v>
      </c>
      <c r="Q298" s="5" t="inlineStr">
        <is>
          <t>2025-11-04</t>
        </is>
      </c>
      <c r="R298" s="5" t="inlineStr">
        <is>
          <t>2026-02-26</t>
        </is>
      </c>
      <c r="S298" s="5" t="n">
        <v>115</v>
      </c>
      <c r="T298" s="5" t="n">
        <v>97</v>
      </c>
      <c r="U298" s="48" t="inlineStr">
        <is>
          <t>Cascade</t>
        </is>
      </c>
    </row>
    <row r="299">
      <c r="A299" s="5" t="inlineStr">
        <is>
          <t>Bella Mirage</t>
        </is>
      </c>
      <c r="B299" s="5" t="inlineStr">
        <is>
          <t>Cascade</t>
        </is>
      </c>
      <c r="C299" s="5" t="inlineStr">
        <is>
          <t>4014</t>
        </is>
      </c>
      <c r="D299" s="5" t="n">
        <v>4</v>
      </c>
      <c r="E299" s="5" t="n">
        <v>1</v>
      </c>
      <c r="F299" s="5" t="n">
        <v>1</v>
      </c>
      <c r="G299" s="5" t="inlineStr"/>
      <c r="H299" s="5" t="n">
        <v>777</v>
      </c>
      <c r="I299" s="5" t="inlineStr">
        <is>
          <t>8/26/2023</t>
        </is>
      </c>
      <c r="J299" s="5" t="inlineStr"/>
      <c r="K299" s="5" t="inlineStr"/>
      <c r="L299" s="5" t="inlineStr">
        <is>
          <t>60%</t>
        </is>
      </c>
      <c r="M299" s="5" t="n">
        <v>1330</v>
      </c>
      <c r="N299" s="5" t="n">
        <v>1.71</v>
      </c>
      <c r="O299" s="5" t="n">
        <v>1268</v>
      </c>
      <c r="P299" s="5" t="n">
        <v>1.63</v>
      </c>
      <c r="Q299" s="5" t="inlineStr">
        <is>
          <t>2023-08-26</t>
        </is>
      </c>
      <c r="R299" s="5" t="inlineStr">
        <is>
          <t>2023-08-28</t>
        </is>
      </c>
      <c r="S299" s="5" t="n">
        <v>3</v>
      </c>
      <c r="T299" s="5" t="n">
        <v>3</v>
      </c>
      <c r="U299" s="48" t="inlineStr">
        <is>
          <t>Cascade</t>
        </is>
      </c>
    </row>
    <row r="300">
      <c r="A300" s="5" t="inlineStr">
        <is>
          <t>Bella Mirage</t>
        </is>
      </c>
      <c r="B300" s="5" t="inlineStr">
        <is>
          <t>Cascade</t>
        </is>
      </c>
      <c r="C300" s="5" t="inlineStr">
        <is>
          <t>4014</t>
        </is>
      </c>
      <c r="D300" s="5" t="n">
        <v>4</v>
      </c>
      <c r="E300" s="5" t="n">
        <v>1</v>
      </c>
      <c r="F300" s="5" t="n">
        <v>1</v>
      </c>
      <c r="G300" s="5" t="inlineStr"/>
      <c r="H300" s="5" t="n">
        <v>777</v>
      </c>
      <c r="I300" s="5" t="inlineStr">
        <is>
          <t>4/2/2024</t>
        </is>
      </c>
      <c r="J300" s="5" t="n">
        <v>200</v>
      </c>
      <c r="K300" s="5" t="n">
        <v>12</v>
      </c>
      <c r="L300" s="5" t="inlineStr">
        <is>
          <t>60%</t>
        </is>
      </c>
      <c r="M300" s="5" t="n">
        <v>1237</v>
      </c>
      <c r="N300" s="5" t="n">
        <v>1.59</v>
      </c>
      <c r="O300" s="5" t="n">
        <v>1237</v>
      </c>
      <c r="P300" s="5" t="n">
        <v>1.59</v>
      </c>
      <c r="Q300" s="5" t="inlineStr">
        <is>
          <t>2024-03-12</t>
        </is>
      </c>
      <c r="R300" s="5" t="inlineStr">
        <is>
          <t>2024-06-14</t>
        </is>
      </c>
      <c r="S300" s="5" t="n">
        <v>95</v>
      </c>
      <c r="T300" s="5" t="n">
        <v>74</v>
      </c>
      <c r="U300" s="48" t="inlineStr">
        <is>
          <t>Cascade</t>
        </is>
      </c>
    </row>
    <row r="301">
      <c r="A301" s="5" t="inlineStr">
        <is>
          <t>Bella Mirage</t>
        </is>
      </c>
      <c r="B301" s="5" t="inlineStr">
        <is>
          <t>Cascade</t>
        </is>
      </c>
      <c r="C301" s="5" t="inlineStr">
        <is>
          <t>4014</t>
        </is>
      </c>
      <c r="D301" s="5" t="n">
        <v>4</v>
      </c>
      <c r="E301" s="5" t="n">
        <v>1</v>
      </c>
      <c r="F301" s="5" t="n">
        <v>1</v>
      </c>
      <c r="G301" s="5" t="inlineStr"/>
      <c r="H301" s="5" t="n">
        <v>777</v>
      </c>
      <c r="I301" s="5" t="inlineStr">
        <is>
          <t>4/1/2025</t>
        </is>
      </c>
      <c r="J301" s="5" t="n">
        <v>200</v>
      </c>
      <c r="K301" s="5" t="n">
        <v>14</v>
      </c>
      <c r="L301" s="5" t="inlineStr">
        <is>
          <t>60%</t>
        </is>
      </c>
      <c r="M301" s="5" t="n">
        <v>1402</v>
      </c>
      <c r="N301" s="5" t="n">
        <v>1.8</v>
      </c>
      <c r="O301" s="5" t="n">
        <v>1302</v>
      </c>
      <c r="P301" s="5" t="n">
        <v>1.68</v>
      </c>
      <c r="Q301" s="5" t="inlineStr">
        <is>
          <t>2024-12-30</t>
        </is>
      </c>
      <c r="R301" s="5" t="inlineStr">
        <is>
          <t>2025-05-04</t>
        </is>
      </c>
      <c r="S301" s="5" t="n">
        <v>126</v>
      </c>
      <c r="T301" s="5" t="n">
        <v>34</v>
      </c>
      <c r="U301" s="48" t="inlineStr">
        <is>
          <t>Cascade</t>
        </is>
      </c>
    </row>
    <row r="302">
      <c r="A302" s="5" t="inlineStr">
        <is>
          <t>Bella Mirage</t>
        </is>
      </c>
      <c r="B302" s="5" t="inlineStr">
        <is>
          <t>Cascade</t>
        </is>
      </c>
      <c r="C302" s="5" t="inlineStr">
        <is>
          <t>4014</t>
        </is>
      </c>
      <c r="D302" s="5" t="n">
        <v>4</v>
      </c>
      <c r="E302" s="5" t="n">
        <v>1</v>
      </c>
      <c r="F302" s="5" t="n">
        <v>1</v>
      </c>
      <c r="G302" s="5" t="inlineStr"/>
      <c r="H302" s="5" t="n">
        <v>777</v>
      </c>
      <c r="I302" s="5" t="inlineStr">
        <is>
          <t>8/30/2026</t>
        </is>
      </c>
      <c r="J302" s="5" t="n">
        <v>300</v>
      </c>
      <c r="K302" s="5" t="n">
        <v>12</v>
      </c>
      <c r="L302" s="5" t="inlineStr">
        <is>
          <t>60%</t>
        </is>
      </c>
      <c r="M302" s="5" t="n">
        <v>1194</v>
      </c>
      <c r="N302" s="5" t="n">
        <v>1.54</v>
      </c>
      <c r="O302" s="5" t="n">
        <v>1194</v>
      </c>
      <c r="P302" s="5" t="n">
        <v>1.54</v>
      </c>
      <c r="Q302" s="5" t="inlineStr">
        <is>
          <t>2026-05-02</t>
        </is>
      </c>
      <c r="R302" s="5" t="inlineStr">
        <is>
          <t>2026-05-31</t>
        </is>
      </c>
      <c r="S302" s="5" t="n">
        <v>30</v>
      </c>
      <c r="T302" s="5" t="n">
        <v>0</v>
      </c>
      <c r="U302" s="48" t="inlineStr">
        <is>
          <t>Cascade</t>
        </is>
      </c>
    </row>
    <row r="303">
      <c r="A303" s="5" t="inlineStr">
        <is>
          <t>Bella Mirage</t>
        </is>
      </c>
      <c r="B303" s="5" t="inlineStr">
        <is>
          <t>Cascade</t>
        </is>
      </c>
      <c r="C303" s="5" t="inlineStr">
        <is>
          <t>2721</t>
        </is>
      </c>
      <c r="D303" s="5" t="n">
        <v>2</v>
      </c>
      <c r="E303" s="5" t="n">
        <v>1</v>
      </c>
      <c r="F303" s="5" t="n">
        <v>1</v>
      </c>
      <c r="G303" s="5" t="inlineStr"/>
      <c r="H303" s="5" t="n">
        <v>777</v>
      </c>
      <c r="I303" s="5" t="inlineStr">
        <is>
          <t>1/26/2026</t>
        </is>
      </c>
      <c r="J303" s="5" t="n">
        <v>300</v>
      </c>
      <c r="K303" s="5" t="n">
        <v>15</v>
      </c>
      <c r="L303" s="5" t="inlineStr">
        <is>
          <t>60%</t>
        </is>
      </c>
      <c r="M303" s="5" t="n">
        <v>1195</v>
      </c>
      <c r="N303" s="5" t="n">
        <v>1.54</v>
      </c>
      <c r="O303" s="5" t="n">
        <v>1195</v>
      </c>
      <c r="P303" s="5" t="n">
        <v>1.54</v>
      </c>
      <c r="Q303" s="5" t="inlineStr">
        <is>
          <t>2026-01-08</t>
        </is>
      </c>
      <c r="R303" s="5" t="inlineStr">
        <is>
          <t>2026-06-17</t>
        </is>
      </c>
      <c r="S303" s="5" t="n">
        <v>161</v>
      </c>
      <c r="T303" s="5" t="n">
        <v>143</v>
      </c>
      <c r="U303" s="48" t="inlineStr">
        <is>
          <t>Cascade</t>
        </is>
      </c>
    </row>
    <row r="304">
      <c r="A304" s="5" t="inlineStr">
        <is>
          <t>Bella Mirage</t>
        </is>
      </c>
      <c r="B304" s="5" t="inlineStr">
        <is>
          <t>Cascade</t>
        </is>
      </c>
      <c r="C304" s="5" t="inlineStr">
        <is>
          <t>3321</t>
        </is>
      </c>
      <c r="D304" s="5" t="inlineStr"/>
      <c r="E304" s="5" t="n">
        <v>1</v>
      </c>
      <c r="F304" s="5" t="n">
        <v>1</v>
      </c>
      <c r="G304" s="5" t="inlineStr"/>
      <c r="H304" s="5" t="n">
        <v>777</v>
      </c>
      <c r="I304" s="5" t="inlineStr">
        <is>
          <t>8/25/2023</t>
        </is>
      </c>
      <c r="J304" s="5" t="inlineStr"/>
      <c r="K304" s="5" t="inlineStr"/>
      <c r="L304" s="5" t="inlineStr">
        <is>
          <t>60%</t>
        </is>
      </c>
      <c r="M304" s="5" t="n">
        <v>1384</v>
      </c>
      <c r="N304" s="5" t="n">
        <v>1.78</v>
      </c>
      <c r="O304" s="5" t="n">
        <v>1384</v>
      </c>
      <c r="P304" s="5" t="n">
        <v>1.78</v>
      </c>
      <c r="Q304" s="5" t="inlineStr">
        <is>
          <t>2023-08-25</t>
        </is>
      </c>
      <c r="R304" s="5" t="inlineStr">
        <is>
          <t>2023-09-03</t>
        </is>
      </c>
      <c r="S304" s="5" t="n">
        <v>10</v>
      </c>
      <c r="T304" s="5" t="n">
        <v>10</v>
      </c>
      <c r="U304" s="48" t="inlineStr">
        <is>
          <t>Cascade</t>
        </is>
      </c>
    </row>
    <row r="305">
      <c r="A305" s="5" t="inlineStr">
        <is>
          <t>Bella Mirage</t>
        </is>
      </c>
      <c r="B305" s="5" t="inlineStr">
        <is>
          <t>Cascade</t>
        </is>
      </c>
      <c r="C305" s="5" t="inlineStr">
        <is>
          <t>3321</t>
        </is>
      </c>
      <c r="D305" s="5" t="inlineStr"/>
      <c r="E305" s="5" t="n">
        <v>1</v>
      </c>
      <c r="F305" s="5" t="n">
        <v>1</v>
      </c>
      <c r="G305" s="5" t="inlineStr"/>
      <c r="H305" s="5" t="n">
        <v>777</v>
      </c>
      <c r="I305" s="5" t="inlineStr">
        <is>
          <t>3/12/2024</t>
        </is>
      </c>
      <c r="J305" s="5" t="n">
        <v>200</v>
      </c>
      <c r="K305" s="5" t="n">
        <v>12</v>
      </c>
      <c r="L305" s="5" t="inlineStr">
        <is>
          <t>60%</t>
        </is>
      </c>
      <c r="M305" s="5" t="n">
        <v>1219</v>
      </c>
      <c r="N305" s="5" t="n">
        <v>1.57</v>
      </c>
      <c r="O305" s="5" t="n">
        <v>1219</v>
      </c>
      <c r="P305" s="5" t="n">
        <v>1.57</v>
      </c>
      <c r="Q305" s="5" t="inlineStr">
        <is>
          <t>2024-02-28</t>
        </is>
      </c>
      <c r="R305" s="5" t="inlineStr">
        <is>
          <t>2024-06-15</t>
        </is>
      </c>
      <c r="S305" s="5" t="n">
        <v>109</v>
      </c>
      <c r="T305" s="5" t="n">
        <v>96</v>
      </c>
      <c r="U305" s="48" t="inlineStr">
        <is>
          <t>Cascade</t>
        </is>
      </c>
    </row>
    <row r="306">
      <c r="A306" s="5" t="inlineStr">
        <is>
          <t>Bella Mirage</t>
        </is>
      </c>
      <c r="B306" s="5" t="inlineStr">
        <is>
          <t>Cascade</t>
        </is>
      </c>
      <c r="C306" s="5" t="inlineStr">
        <is>
          <t>3321</t>
        </is>
      </c>
      <c r="D306" s="5" t="inlineStr"/>
      <c r="E306" s="5" t="n">
        <v>1</v>
      </c>
      <c r="F306" s="5" t="n">
        <v>1</v>
      </c>
      <c r="G306" s="5" t="inlineStr"/>
      <c r="H306" s="5" t="n">
        <v>777</v>
      </c>
      <c r="I306" s="5" t="inlineStr">
        <is>
          <t>11/7/2024</t>
        </is>
      </c>
      <c r="J306" s="5" t="n">
        <v>200</v>
      </c>
      <c r="K306" s="5" t="n">
        <v>13</v>
      </c>
      <c r="L306" s="5" t="inlineStr">
        <is>
          <t>60%</t>
        </is>
      </c>
      <c r="M306" s="5" t="n">
        <v>1196</v>
      </c>
      <c r="N306" s="5" t="n">
        <v>1.54</v>
      </c>
      <c r="O306" s="5" t="n">
        <v>1104</v>
      </c>
      <c r="P306" s="5" t="n">
        <v>1.42</v>
      </c>
      <c r="Q306" s="5" t="inlineStr">
        <is>
          <t>2024-09-27</t>
        </is>
      </c>
      <c r="R306" s="5" t="inlineStr">
        <is>
          <t>2025-01-04</t>
        </is>
      </c>
      <c r="S306" s="5" t="n">
        <v>100</v>
      </c>
      <c r="T306" s="5" t="n">
        <v>59</v>
      </c>
      <c r="U306" s="48" t="inlineStr">
        <is>
          <t>Cascade</t>
        </is>
      </c>
    </row>
    <row r="307">
      <c r="A307" s="5" t="inlineStr">
        <is>
          <t>Bella Mirage</t>
        </is>
      </c>
      <c r="B307" s="5" t="inlineStr">
        <is>
          <t>Cascade</t>
        </is>
      </c>
      <c r="C307" s="5" t="inlineStr">
        <is>
          <t>3027</t>
        </is>
      </c>
      <c r="D307" s="5" t="n">
        <v>3</v>
      </c>
      <c r="E307" s="5" t="n">
        <v>1</v>
      </c>
      <c r="F307" s="5" t="n">
        <v>1</v>
      </c>
      <c r="G307" s="5" t="inlineStr"/>
      <c r="H307" s="5" t="n">
        <v>777</v>
      </c>
      <c r="I307" s="5" t="inlineStr">
        <is>
          <t>9/27/2024</t>
        </is>
      </c>
      <c r="J307" s="5" t="n">
        <v>200</v>
      </c>
      <c r="K307" s="5" t="n">
        <v>12</v>
      </c>
      <c r="L307" s="5" t="inlineStr">
        <is>
          <t>60%</t>
        </is>
      </c>
      <c r="M307" s="5" t="n">
        <v>1348</v>
      </c>
      <c r="N307" s="5" t="n">
        <v>1.73</v>
      </c>
      <c r="O307" s="5" t="n">
        <v>1236</v>
      </c>
      <c r="P307" s="5" t="n">
        <v>1.59</v>
      </c>
      <c r="Q307" s="5" t="inlineStr">
        <is>
          <t>2024-07-23</t>
        </is>
      </c>
      <c r="R307" s="5" t="inlineStr">
        <is>
          <t>2024-11-16</t>
        </is>
      </c>
      <c r="S307" s="5" t="n">
        <v>117</v>
      </c>
      <c r="T307" s="5" t="n">
        <v>51</v>
      </c>
      <c r="U307" s="48" t="inlineStr">
        <is>
          <t>Cascade</t>
        </is>
      </c>
    </row>
    <row r="308">
      <c r="A308" s="5" t="inlineStr">
        <is>
          <t>Bella Mirage</t>
        </is>
      </c>
      <c r="B308" s="5" t="inlineStr">
        <is>
          <t>Cascade</t>
        </is>
      </c>
      <c r="C308" s="5" t="inlineStr">
        <is>
          <t>4211</t>
        </is>
      </c>
      <c r="D308" s="5" t="inlineStr"/>
      <c r="E308" s="5" t="n">
        <v>1</v>
      </c>
      <c r="F308" s="5" t="n">
        <v>1</v>
      </c>
      <c r="G308" s="5" t="inlineStr"/>
      <c r="H308" s="5" t="n">
        <v>777</v>
      </c>
      <c r="I308" s="5" t="inlineStr">
        <is>
          <t>8/14/2025</t>
        </is>
      </c>
      <c r="J308" s="5" t="n">
        <v>200</v>
      </c>
      <c r="K308" s="5" t="n">
        <v>13</v>
      </c>
      <c r="L308" s="5" t="inlineStr">
        <is>
          <t>60%</t>
        </is>
      </c>
      <c r="M308" s="5" t="n">
        <v>1322</v>
      </c>
      <c r="N308" s="5" t="n">
        <v>1.7</v>
      </c>
      <c r="O308" s="5" t="n">
        <v>1322</v>
      </c>
      <c r="P308" s="5" t="n">
        <v>1.7</v>
      </c>
      <c r="Q308" s="5" t="inlineStr">
        <is>
          <t>2025-08-07</t>
        </is>
      </c>
      <c r="R308" s="5" t="inlineStr">
        <is>
          <t>2025-08-23</t>
        </is>
      </c>
      <c r="S308" s="5" t="n">
        <v>17</v>
      </c>
      <c r="T308" s="5" t="n">
        <v>10</v>
      </c>
      <c r="U308" s="48" t="inlineStr">
        <is>
          <t>Cascade</t>
        </is>
      </c>
    </row>
    <row r="309">
      <c r="A309" s="5" t="inlineStr">
        <is>
          <t>Bella Mirage</t>
        </is>
      </c>
      <c r="B309" s="5" t="inlineStr">
        <is>
          <t>Cascade</t>
        </is>
      </c>
      <c r="C309" s="5" t="inlineStr">
        <is>
          <t>4211</t>
        </is>
      </c>
      <c r="D309" s="5" t="inlineStr"/>
      <c r="E309" s="5" t="n">
        <v>1</v>
      </c>
      <c r="F309" s="5" t="n">
        <v>1</v>
      </c>
      <c r="G309" s="5" t="inlineStr"/>
      <c r="H309" s="5" t="n">
        <v>777</v>
      </c>
      <c r="I309" s="5" t="inlineStr">
        <is>
          <t>8/22/2026</t>
        </is>
      </c>
      <c r="J309" s="5" t="n">
        <v>300</v>
      </c>
      <c r="K309" s="5" t="n">
        <v>13</v>
      </c>
      <c r="L309" s="5" t="inlineStr">
        <is>
          <t>60%</t>
        </is>
      </c>
      <c r="M309" s="5" t="n">
        <v>1199</v>
      </c>
      <c r="N309" s="5" t="n">
        <v>1.54</v>
      </c>
      <c r="O309" s="5" t="n">
        <v>1199</v>
      </c>
      <c r="P309" s="5" t="n">
        <v>1.54</v>
      </c>
      <c r="Q309" s="5" t="inlineStr">
        <is>
          <t>2026-06-16</t>
        </is>
      </c>
      <c r="R309" s="5" t="inlineStr">
        <is>
          <t>2026-06-18</t>
        </is>
      </c>
      <c r="S309" s="5" t="n">
        <v>3</v>
      </c>
      <c r="T309" s="5" t="n">
        <v>0</v>
      </c>
      <c r="U309" s="48" t="inlineStr">
        <is>
          <t>Cascade</t>
        </is>
      </c>
    </row>
    <row r="310">
      <c r="A310" s="5" t="inlineStr">
        <is>
          <t>Bella Mirage</t>
        </is>
      </c>
      <c r="B310" s="5" t="inlineStr">
        <is>
          <t>Cascade</t>
        </is>
      </c>
      <c r="C310" s="5" t="inlineStr">
        <is>
          <t>0128</t>
        </is>
      </c>
      <c r="D310" s="5" t="inlineStr"/>
      <c r="E310" s="5" t="n">
        <v>1</v>
      </c>
      <c r="F310" s="5" t="n">
        <v>1</v>
      </c>
      <c r="G310" s="5" t="inlineStr"/>
      <c r="H310" s="5" t="n">
        <v>777</v>
      </c>
      <c r="I310" s="5" t="inlineStr">
        <is>
          <t>6/28/2024</t>
        </is>
      </c>
      <c r="J310" s="5" t="n">
        <v>200</v>
      </c>
      <c r="K310" s="5" t="n">
        <v>15</v>
      </c>
      <c r="L310" s="5" t="inlineStr">
        <is>
          <t>60%</t>
        </is>
      </c>
      <c r="M310" s="5" t="n">
        <v>1239</v>
      </c>
      <c r="N310" s="5" t="n">
        <v>1.59</v>
      </c>
      <c r="O310" s="5" t="n">
        <v>1239</v>
      </c>
      <c r="P310" s="5" t="n">
        <v>1.59</v>
      </c>
      <c r="Q310" s="5" t="inlineStr">
        <is>
          <t>2024-05-16</t>
        </is>
      </c>
      <c r="R310" s="5" t="inlineStr">
        <is>
          <t>2024-07-30</t>
        </is>
      </c>
      <c r="S310" s="5" t="n">
        <v>76</v>
      </c>
      <c r="T310" s="5" t="n">
        <v>33</v>
      </c>
      <c r="U310" s="48" t="inlineStr">
        <is>
          <t>Cascade</t>
        </is>
      </c>
    </row>
    <row r="311">
      <c r="A311" s="5" t="inlineStr">
        <is>
          <t>Bella Mirage</t>
        </is>
      </c>
      <c r="B311" s="5" t="inlineStr">
        <is>
          <t>Cascade</t>
        </is>
      </c>
      <c r="C311" s="5" t="inlineStr">
        <is>
          <t>0128</t>
        </is>
      </c>
      <c r="D311" s="5" t="inlineStr"/>
      <c r="E311" s="5" t="n">
        <v>1</v>
      </c>
      <c r="F311" s="5" t="n">
        <v>1</v>
      </c>
      <c r="G311" s="5" t="inlineStr"/>
      <c r="H311" s="5" t="n">
        <v>777</v>
      </c>
      <c r="I311" s="5" t="inlineStr">
        <is>
          <t>11/17/2025</t>
        </is>
      </c>
      <c r="J311" s="5" t="n">
        <v>300</v>
      </c>
      <c r="K311" s="5" t="n">
        <v>13</v>
      </c>
      <c r="L311" s="5" t="inlineStr">
        <is>
          <t>60%</t>
        </is>
      </c>
      <c r="M311" s="5" t="n">
        <v>1200</v>
      </c>
      <c r="N311" s="5" t="n">
        <v>1.54</v>
      </c>
      <c r="O311" s="5" t="n">
        <v>1200</v>
      </c>
      <c r="P311" s="5" t="n">
        <v>1.54</v>
      </c>
      <c r="Q311" s="5" t="inlineStr">
        <is>
          <t>2025-10-23</t>
        </is>
      </c>
      <c r="R311" s="5" t="inlineStr">
        <is>
          <t>2025-10-26</t>
        </is>
      </c>
      <c r="S311" s="5" t="n">
        <v>4</v>
      </c>
      <c r="T311" s="5" t="n">
        <v>0</v>
      </c>
      <c r="U311" s="48" t="inlineStr">
        <is>
          <t>Cascade</t>
        </is>
      </c>
    </row>
    <row r="312">
      <c r="A312" s="5" t="inlineStr">
        <is>
          <t>Bella Mirage</t>
        </is>
      </c>
      <c r="B312" s="5" t="inlineStr">
        <is>
          <t>Cascade</t>
        </is>
      </c>
      <c r="C312" s="5" t="inlineStr">
        <is>
          <t>0116</t>
        </is>
      </c>
      <c r="D312" s="5" t="inlineStr"/>
      <c r="E312" s="5" t="n">
        <v>1</v>
      </c>
      <c r="F312" s="5" t="n">
        <v>1</v>
      </c>
      <c r="G312" s="5" t="inlineStr"/>
      <c r="H312" s="5" t="n">
        <v>777</v>
      </c>
      <c r="I312" s="5" t="inlineStr">
        <is>
          <t>4/6/2025</t>
        </is>
      </c>
      <c r="J312" s="5" t="n">
        <v>200</v>
      </c>
      <c r="K312" s="5" t="n">
        <v>13</v>
      </c>
      <c r="L312" s="5" t="inlineStr">
        <is>
          <t>60%</t>
        </is>
      </c>
      <c r="M312" s="5" t="n">
        <v>1202</v>
      </c>
      <c r="N312" s="5" t="n">
        <v>1.55</v>
      </c>
      <c r="O312" s="5" t="n">
        <v>1110</v>
      </c>
      <c r="P312" s="5" t="n">
        <v>1.43</v>
      </c>
      <c r="Q312" s="5" t="inlineStr">
        <is>
          <t>2025-01-22</t>
        </is>
      </c>
      <c r="R312" s="5" t="inlineStr">
        <is>
          <t>2025-03-21</t>
        </is>
      </c>
      <c r="S312" s="5" t="n">
        <v>59</v>
      </c>
      <c r="T312" s="5" t="n">
        <v>0</v>
      </c>
      <c r="U312" s="48" t="inlineStr">
        <is>
          <t>Cascade</t>
        </is>
      </c>
    </row>
    <row r="313">
      <c r="A313" s="5" t="inlineStr">
        <is>
          <t>Bella Mirage</t>
        </is>
      </c>
      <c r="B313" s="5" t="inlineStr">
        <is>
          <t>Cascade</t>
        </is>
      </c>
      <c r="C313" s="5" t="inlineStr">
        <is>
          <t>2723</t>
        </is>
      </c>
      <c r="D313" s="5" t="n">
        <v>2</v>
      </c>
      <c r="E313" s="5" t="n">
        <v>1</v>
      </c>
      <c r="F313" s="5" t="n">
        <v>1</v>
      </c>
      <c r="G313" s="5" t="inlineStr"/>
      <c r="H313" s="5" t="n">
        <v>777</v>
      </c>
      <c r="I313" s="5" t="inlineStr">
        <is>
          <t>9/2/2025</t>
        </is>
      </c>
      <c r="J313" s="5" t="n">
        <v>200</v>
      </c>
      <c r="K313" s="5" t="n">
        <v>12</v>
      </c>
      <c r="L313" s="5" t="inlineStr">
        <is>
          <t>60%</t>
        </is>
      </c>
      <c r="M313" s="5" t="n">
        <v>1202</v>
      </c>
      <c r="N313" s="5" t="n">
        <v>1.55</v>
      </c>
      <c r="O313" s="5" t="n">
        <v>1202</v>
      </c>
      <c r="P313" s="5" t="n">
        <v>1.55</v>
      </c>
      <c r="Q313" s="5" t="inlineStr">
        <is>
          <t>2025-08-03</t>
        </is>
      </c>
      <c r="R313" s="5" t="inlineStr">
        <is>
          <t>2025-08-19</t>
        </is>
      </c>
      <c r="S313" s="5" t="n">
        <v>17</v>
      </c>
      <c r="T313" s="5" t="n">
        <v>0</v>
      </c>
      <c r="U313" s="48" t="inlineStr">
        <is>
          <t>Cascade</t>
        </is>
      </c>
    </row>
    <row r="314">
      <c r="A314" s="5" t="inlineStr">
        <is>
          <t>Bella Mirage</t>
        </is>
      </c>
      <c r="B314" s="5" t="inlineStr">
        <is>
          <t>Cascade</t>
        </is>
      </c>
      <c r="C314" s="5" t="inlineStr">
        <is>
          <t>4027</t>
        </is>
      </c>
      <c r="D314" s="5" t="n">
        <v>4</v>
      </c>
      <c r="E314" s="5" t="n">
        <v>1</v>
      </c>
      <c r="F314" s="5" t="n">
        <v>1</v>
      </c>
      <c r="G314" s="5" t="inlineStr"/>
      <c r="H314" s="5" t="n">
        <v>777</v>
      </c>
      <c r="I314" s="5" t="inlineStr">
        <is>
          <t>2/27/2024</t>
        </is>
      </c>
      <c r="J314" s="5" t="n">
        <v>200</v>
      </c>
      <c r="K314" s="5" t="n">
        <v>13</v>
      </c>
      <c r="L314" s="5" t="inlineStr">
        <is>
          <t>60%</t>
        </is>
      </c>
      <c r="M314" s="5" t="n">
        <v>1335</v>
      </c>
      <c r="N314" s="5" t="n">
        <v>1.72</v>
      </c>
      <c r="O314" s="5" t="n">
        <v>1335</v>
      </c>
      <c r="P314" s="5" t="n">
        <v>1.72</v>
      </c>
      <c r="Q314" s="5" t="inlineStr">
        <is>
          <t>2024-02-12</t>
        </is>
      </c>
      <c r="R314" s="5" t="inlineStr">
        <is>
          <t>2024-06-19</t>
        </is>
      </c>
      <c r="S314" s="5" t="n">
        <v>129</v>
      </c>
      <c r="T314" s="5" t="n">
        <v>114</v>
      </c>
      <c r="U314" s="48" t="inlineStr">
        <is>
          <t>Cascade</t>
        </is>
      </c>
    </row>
    <row r="315">
      <c r="A315" s="5" t="inlineStr">
        <is>
          <t>Bella Mirage</t>
        </is>
      </c>
      <c r="B315" s="5" t="inlineStr">
        <is>
          <t>Cascade</t>
        </is>
      </c>
      <c r="C315" s="5" t="inlineStr">
        <is>
          <t>2837</t>
        </is>
      </c>
      <c r="D315" s="5" t="n">
        <v>2</v>
      </c>
      <c r="E315" s="5" t="n">
        <v>1</v>
      </c>
      <c r="F315" s="5" t="n">
        <v>1</v>
      </c>
      <c r="G315" s="5" t="inlineStr"/>
      <c r="H315" s="5" t="n">
        <v>777</v>
      </c>
      <c r="I315" s="5" t="inlineStr">
        <is>
          <t>6/14/2025</t>
        </is>
      </c>
      <c r="J315" s="5" t="n">
        <v>200</v>
      </c>
      <c r="K315" s="5" t="n">
        <v>12</v>
      </c>
      <c r="L315" s="5" t="inlineStr">
        <is>
          <t>60%</t>
        </is>
      </c>
      <c r="M315" s="5" t="n">
        <v>1209</v>
      </c>
      <c r="N315" s="5" t="n">
        <v>1.56</v>
      </c>
      <c r="O315" s="5" t="n">
        <v>1108</v>
      </c>
      <c r="P315" s="5" t="n">
        <v>1.43</v>
      </c>
      <c r="Q315" s="5" t="inlineStr">
        <is>
          <t>2025-04-05</t>
        </is>
      </c>
      <c r="R315" s="5" t="inlineStr">
        <is>
          <t>2025-04-15</t>
        </is>
      </c>
      <c r="S315" s="5" t="n">
        <v>11</v>
      </c>
      <c r="T315" s="5" t="n">
        <v>0</v>
      </c>
      <c r="U315" s="48" t="inlineStr">
        <is>
          <t>Cascade</t>
        </is>
      </c>
    </row>
    <row r="316">
      <c r="A316" s="5" t="inlineStr">
        <is>
          <t>Bella Mirage</t>
        </is>
      </c>
      <c r="B316" s="5" t="inlineStr">
        <is>
          <t>Cascade</t>
        </is>
      </c>
      <c r="C316" s="5" t="inlineStr">
        <is>
          <t>0925</t>
        </is>
      </c>
      <c r="D316" s="5" t="n">
        <v>2</v>
      </c>
      <c r="E316" s="5" t="n">
        <v>1</v>
      </c>
      <c r="F316" s="5" t="n">
        <v>1</v>
      </c>
      <c r="G316" s="5" t="inlineStr"/>
      <c r="H316" s="5" t="n">
        <v>777</v>
      </c>
      <c r="I316" s="5" t="inlineStr">
        <is>
          <t>1/5/2024</t>
        </is>
      </c>
      <c r="J316" s="5" t="inlineStr"/>
      <c r="K316" s="5" t="inlineStr"/>
      <c r="L316" s="5" t="inlineStr">
        <is>
          <t>60%</t>
        </is>
      </c>
      <c r="M316" s="5" t="n">
        <v>1317</v>
      </c>
      <c r="N316" s="5" t="n">
        <v>1.69</v>
      </c>
      <c r="O316" s="5" t="n">
        <v>1207</v>
      </c>
      <c r="P316" s="5" t="n">
        <v>1.55</v>
      </c>
      <c r="Q316" s="5" t="inlineStr">
        <is>
          <t>2024-01-05</t>
        </is>
      </c>
      <c r="R316" s="5" t="inlineStr">
        <is>
          <t>2024-02-07</t>
        </is>
      </c>
      <c r="S316" s="5" t="n">
        <v>34</v>
      </c>
      <c r="T316" s="5" t="n">
        <v>34</v>
      </c>
      <c r="U316" s="48" t="inlineStr">
        <is>
          <t>Cascade</t>
        </is>
      </c>
    </row>
    <row r="317">
      <c r="A317" s="5" t="inlineStr">
        <is>
          <t>Bella Mirage</t>
        </is>
      </c>
      <c r="B317" s="5" t="inlineStr">
        <is>
          <t>Cascade</t>
        </is>
      </c>
      <c r="C317" s="5" t="inlineStr">
        <is>
          <t>0925</t>
        </is>
      </c>
      <c r="D317" s="5" t="n">
        <v>2</v>
      </c>
      <c r="E317" s="5" t="n">
        <v>1</v>
      </c>
      <c r="F317" s="5" t="n">
        <v>1</v>
      </c>
      <c r="G317" s="5" t="inlineStr"/>
      <c r="H317" s="5" t="n">
        <v>777</v>
      </c>
      <c r="I317" s="5" t="inlineStr">
        <is>
          <t>3/28/2026</t>
        </is>
      </c>
      <c r="J317" s="5" t="n">
        <v>300</v>
      </c>
      <c r="K317" s="5" t="n">
        <v>12</v>
      </c>
      <c r="L317" s="5" t="inlineStr">
        <is>
          <t>60%</t>
        </is>
      </c>
      <c r="M317" s="5" t="n">
        <v>1212</v>
      </c>
      <c r="N317" s="5" t="n">
        <v>1.56</v>
      </c>
      <c r="O317" s="5" t="n">
        <v>1212</v>
      </c>
      <c r="P317" s="5" t="n">
        <v>1.56</v>
      </c>
      <c r="Q317" s="5" t="inlineStr">
        <is>
          <t>2026-01-30</t>
        </is>
      </c>
      <c r="R317" s="5" t="inlineStr">
        <is>
          <t>2026-05-20</t>
        </is>
      </c>
      <c r="S317" s="5" t="n">
        <v>111</v>
      </c>
      <c r="T317" s="5" t="n">
        <v>54</v>
      </c>
      <c r="U317" s="48" t="inlineStr">
        <is>
          <t>Cascade</t>
        </is>
      </c>
    </row>
    <row r="318">
      <c r="A318" s="5" t="inlineStr">
        <is>
          <t>Bella Mirage</t>
        </is>
      </c>
      <c r="B318" s="5" t="inlineStr">
        <is>
          <t>Cascade</t>
        </is>
      </c>
      <c r="C318" s="5" t="inlineStr">
        <is>
          <t>1826</t>
        </is>
      </c>
      <c r="D318" s="5" t="inlineStr"/>
      <c r="E318" s="5" t="n">
        <v>1</v>
      </c>
      <c r="F318" s="5" t="n">
        <v>1</v>
      </c>
      <c r="G318" s="5" t="inlineStr"/>
      <c r="H318" s="5" t="n">
        <v>777</v>
      </c>
      <c r="I318" s="5" t="inlineStr">
        <is>
          <t>11/2/2023</t>
        </is>
      </c>
      <c r="J318" s="5" t="inlineStr"/>
      <c r="K318" s="5" t="inlineStr"/>
      <c r="L318" s="5" t="inlineStr">
        <is>
          <t>60%</t>
        </is>
      </c>
      <c r="M318" s="5" t="n">
        <v>1394</v>
      </c>
      <c r="N318" s="5" t="n">
        <v>1.79</v>
      </c>
      <c r="O318" s="5" t="n">
        <v>1278</v>
      </c>
      <c r="P318" s="5" t="n">
        <v>1.64</v>
      </c>
      <c r="Q318" s="5" t="inlineStr">
        <is>
          <t>2023-11-02</t>
        </is>
      </c>
      <c r="R318" s="5" t="inlineStr">
        <is>
          <t>2023-11-03</t>
        </is>
      </c>
      <c r="S318" s="5" t="n">
        <v>2</v>
      </c>
      <c r="T318" s="5" t="n">
        <v>2</v>
      </c>
      <c r="U318" s="48" t="inlineStr">
        <is>
          <t>Cascade</t>
        </is>
      </c>
    </row>
    <row r="319">
      <c r="A319" s="5" t="inlineStr">
        <is>
          <t>Bella Mirage</t>
        </is>
      </c>
      <c r="B319" s="5" t="inlineStr">
        <is>
          <t>Cascade</t>
        </is>
      </c>
      <c r="C319" s="5" t="inlineStr">
        <is>
          <t>1826</t>
        </is>
      </c>
      <c r="D319" s="5" t="inlineStr"/>
      <c r="E319" s="5" t="n">
        <v>1</v>
      </c>
      <c r="F319" s="5" t="n">
        <v>1</v>
      </c>
      <c r="G319" s="5" t="inlineStr"/>
      <c r="H319" s="5" t="n">
        <v>777</v>
      </c>
      <c r="I319" s="5" t="inlineStr">
        <is>
          <t>1/24/2025</t>
        </is>
      </c>
      <c r="J319" s="5" t="n">
        <v>200</v>
      </c>
      <c r="K319" s="5" t="n">
        <v>12</v>
      </c>
      <c r="L319" s="5" t="inlineStr">
        <is>
          <t>60%</t>
        </is>
      </c>
      <c r="M319" s="5" t="n">
        <v>1282</v>
      </c>
      <c r="N319" s="5" t="n">
        <v>1.65</v>
      </c>
      <c r="O319" s="5" t="n">
        <v>1175</v>
      </c>
      <c r="P319" s="5" t="n">
        <v>1.51</v>
      </c>
      <c r="Q319" s="5" t="inlineStr">
        <is>
          <t>2024-12-30</t>
        </is>
      </c>
      <c r="R319" s="5" t="inlineStr">
        <is>
          <t>2025-03-25</t>
        </is>
      </c>
      <c r="S319" s="5" t="n">
        <v>86</v>
      </c>
      <c r="T319" s="5" t="n">
        <v>61</v>
      </c>
      <c r="U319" s="48" t="inlineStr">
        <is>
          <t>Cascade</t>
        </is>
      </c>
    </row>
    <row r="320">
      <c r="A320" s="5" t="inlineStr">
        <is>
          <t>Bella Mirage</t>
        </is>
      </c>
      <c r="B320" s="5" t="inlineStr">
        <is>
          <t>Cascade</t>
        </is>
      </c>
      <c r="C320" s="5" t="inlineStr">
        <is>
          <t>1826</t>
        </is>
      </c>
      <c r="D320" s="5" t="inlineStr"/>
      <c r="E320" s="5" t="n">
        <v>1</v>
      </c>
      <c r="F320" s="5" t="n">
        <v>1</v>
      </c>
      <c r="G320" s="5" t="inlineStr"/>
      <c r="H320" s="5" t="n">
        <v>777</v>
      </c>
      <c r="I320" s="5" t="inlineStr">
        <is>
          <t>7/25/2026</t>
        </is>
      </c>
      <c r="J320" s="5" t="n">
        <v>300</v>
      </c>
      <c r="K320" s="5" t="n">
        <v>12</v>
      </c>
      <c r="L320" s="5" t="inlineStr">
        <is>
          <t>60%</t>
        </is>
      </c>
      <c r="M320" s="5" t="n">
        <v>1212</v>
      </c>
      <c r="N320" s="5" t="n">
        <v>1.56</v>
      </c>
      <c r="O320" s="5" t="n">
        <v>1212</v>
      </c>
      <c r="P320" s="5" t="n">
        <v>1.56</v>
      </c>
      <c r="Q320" s="5" t="inlineStr">
        <is>
          <t>2026-05-14</t>
        </is>
      </c>
      <c r="R320" s="5" t="inlineStr">
        <is>
          <t>2026-05-17</t>
        </is>
      </c>
      <c r="S320" s="5" t="n">
        <v>4</v>
      </c>
      <c r="T320" s="5" t="n">
        <v>0</v>
      </c>
      <c r="U320" s="48" t="inlineStr">
        <is>
          <t>Cascade</t>
        </is>
      </c>
    </row>
    <row r="321">
      <c r="A321" s="5" t="inlineStr">
        <is>
          <t>Bella Mirage</t>
        </is>
      </c>
      <c r="B321" s="5" t="inlineStr">
        <is>
          <t>Cascade</t>
        </is>
      </c>
      <c r="C321" s="5" t="inlineStr">
        <is>
          <t>2821</t>
        </is>
      </c>
      <c r="D321" s="5" t="n">
        <v>2</v>
      </c>
      <c r="E321" s="5" t="n">
        <v>1</v>
      </c>
      <c r="F321" s="5" t="n">
        <v>1</v>
      </c>
      <c r="G321" s="5" t="inlineStr"/>
      <c r="H321" s="5" t="n">
        <v>777</v>
      </c>
      <c r="I321" s="5" t="inlineStr">
        <is>
          <t>4/8/2024</t>
        </is>
      </c>
      <c r="J321" s="5" t="n">
        <v>200</v>
      </c>
      <c r="K321" s="5" t="n">
        <v>12</v>
      </c>
      <c r="L321" s="5" t="inlineStr">
        <is>
          <t>60%</t>
        </is>
      </c>
      <c r="M321" s="5" t="n">
        <v>1124</v>
      </c>
      <c r="N321" s="5" t="n">
        <v>1.45</v>
      </c>
      <c r="O321" s="5" t="n">
        <v>1124</v>
      </c>
      <c r="P321" s="5" t="n">
        <v>1.45</v>
      </c>
      <c r="Q321" s="5" t="inlineStr">
        <is>
          <t>2024-03-26</t>
        </is>
      </c>
      <c r="R321" s="5" t="inlineStr">
        <is>
          <t>2024-06-14</t>
        </is>
      </c>
      <c r="S321" s="5" t="n">
        <v>81</v>
      </c>
      <c r="T321" s="5" t="n">
        <v>68</v>
      </c>
      <c r="U321" s="48" t="inlineStr">
        <is>
          <t>Cascade</t>
        </is>
      </c>
    </row>
    <row r="322">
      <c r="A322" s="5" t="inlineStr">
        <is>
          <t>Bella Mirage</t>
        </is>
      </c>
      <c r="B322" s="5" t="inlineStr">
        <is>
          <t>Cascade</t>
        </is>
      </c>
      <c r="C322" s="5" t="inlineStr">
        <is>
          <t>2821</t>
        </is>
      </c>
      <c r="D322" s="5" t="n">
        <v>2</v>
      </c>
      <c r="E322" s="5" t="n">
        <v>1</v>
      </c>
      <c r="F322" s="5" t="n">
        <v>1</v>
      </c>
      <c r="G322" s="5" t="inlineStr"/>
      <c r="H322" s="5" t="n">
        <v>777</v>
      </c>
      <c r="I322" s="5" t="inlineStr">
        <is>
          <t>11/17/2025</t>
        </is>
      </c>
      <c r="J322" s="5" t="n">
        <v>300</v>
      </c>
      <c r="K322" s="5" t="n">
        <v>12</v>
      </c>
      <c r="L322" s="5" t="inlineStr">
        <is>
          <t>60%</t>
        </is>
      </c>
      <c r="M322" s="5" t="n">
        <v>1218</v>
      </c>
      <c r="N322" s="5" t="n">
        <v>1.57</v>
      </c>
      <c r="O322" s="5" t="n">
        <v>1116</v>
      </c>
      <c r="P322" s="5" t="n">
        <v>1.44</v>
      </c>
      <c r="Q322" s="5" t="inlineStr">
        <is>
          <t>2025-10-02</t>
        </is>
      </c>
      <c r="R322" s="5" t="inlineStr">
        <is>
          <t>2025-10-23</t>
        </is>
      </c>
      <c r="S322" s="5" t="n">
        <v>22</v>
      </c>
      <c r="T322" s="5" t="n">
        <v>0</v>
      </c>
      <c r="U322" s="48" t="inlineStr">
        <is>
          <t>Cascade</t>
        </is>
      </c>
    </row>
    <row r="323">
      <c r="A323" s="5" t="inlineStr">
        <is>
          <t>Bella Mirage</t>
        </is>
      </c>
      <c r="B323" s="5" t="inlineStr">
        <is>
          <t>Cascade</t>
        </is>
      </c>
      <c r="C323" s="5" t="inlineStr">
        <is>
          <t>1811</t>
        </is>
      </c>
      <c r="D323" s="5" t="n">
        <v>1</v>
      </c>
      <c r="E323" s="5" t="n">
        <v>1</v>
      </c>
      <c r="F323" s="5" t="n">
        <v>1</v>
      </c>
      <c r="G323" s="5" t="inlineStr"/>
      <c r="H323" s="5" t="n">
        <v>777</v>
      </c>
      <c r="I323" s="5" t="inlineStr">
        <is>
          <t>2/15/2025</t>
        </is>
      </c>
      <c r="J323" s="5" t="n">
        <v>200</v>
      </c>
      <c r="K323" s="5" t="n">
        <v>12</v>
      </c>
      <c r="L323" s="5" t="inlineStr">
        <is>
          <t>60%</t>
        </is>
      </c>
      <c r="M323" s="5" t="n">
        <v>1216</v>
      </c>
      <c r="N323" s="5" t="n">
        <v>1.56</v>
      </c>
      <c r="O323" s="5" t="n">
        <v>1115</v>
      </c>
      <c r="P323" s="5" t="n">
        <v>1.44</v>
      </c>
      <c r="Q323" s="5" t="inlineStr">
        <is>
          <t>2024-12-17</t>
        </is>
      </c>
      <c r="R323" s="5" t="inlineStr">
        <is>
          <t>2025-03-09</t>
        </is>
      </c>
      <c r="S323" s="5" t="n">
        <v>83</v>
      </c>
      <c r="T323" s="5" t="n">
        <v>23</v>
      </c>
      <c r="U323" s="48" t="inlineStr">
        <is>
          <t>Cascade</t>
        </is>
      </c>
    </row>
    <row r="324">
      <c r="A324" s="5" t="inlineStr">
        <is>
          <t>Bella Mirage</t>
        </is>
      </c>
      <c r="B324" s="5" t="inlineStr">
        <is>
          <t>Cascade</t>
        </is>
      </c>
      <c r="C324" s="5" t="inlineStr">
        <is>
          <t>5317</t>
        </is>
      </c>
      <c r="D324" s="5" t="inlineStr"/>
      <c r="E324" s="5" t="n">
        <v>1</v>
      </c>
      <c r="F324" s="5" t="n">
        <v>1</v>
      </c>
      <c r="G324" s="5" t="inlineStr"/>
      <c r="H324" s="5" t="n">
        <v>777</v>
      </c>
      <c r="I324" s="5" t="inlineStr">
        <is>
          <t>10/18/2024</t>
        </is>
      </c>
      <c r="J324" s="5" t="n">
        <v>200</v>
      </c>
      <c r="K324" s="5" t="n">
        <v>12</v>
      </c>
      <c r="L324" s="5" t="inlineStr">
        <is>
          <t>60%</t>
        </is>
      </c>
      <c r="M324" s="5" t="n">
        <v>1227</v>
      </c>
      <c r="N324" s="5" t="n">
        <v>1.58</v>
      </c>
      <c r="O324" s="5" t="n">
        <v>1125</v>
      </c>
      <c r="P324" s="5" t="n">
        <v>1.45</v>
      </c>
      <c r="Q324" s="5" t="inlineStr">
        <is>
          <t>2024-07-01</t>
        </is>
      </c>
      <c r="R324" s="5" t="inlineStr">
        <is>
          <t>2024-12-12</t>
        </is>
      </c>
      <c r="S324" s="5" t="n">
        <v>165</v>
      </c>
      <c r="T324" s="5" t="n">
        <v>56</v>
      </c>
      <c r="U324" s="48" t="inlineStr">
        <is>
          <t>Cascade</t>
        </is>
      </c>
    </row>
    <row r="325">
      <c r="A325" s="5" t="inlineStr">
        <is>
          <t>Bella Mirage</t>
        </is>
      </c>
      <c r="B325" s="5" t="inlineStr">
        <is>
          <t>Cascade</t>
        </is>
      </c>
      <c r="C325" s="5" t="inlineStr">
        <is>
          <t>5324</t>
        </is>
      </c>
      <c r="D325" s="5" t="inlineStr"/>
      <c r="E325" s="5" t="n">
        <v>1</v>
      </c>
      <c r="F325" s="5" t="n">
        <v>1</v>
      </c>
      <c r="G325" s="5" t="inlineStr"/>
      <c r="H325" s="5" t="n">
        <v>777</v>
      </c>
      <c r="I325" s="5" t="inlineStr">
        <is>
          <t>2/9/2024</t>
        </is>
      </c>
      <c r="J325" s="5" t="n">
        <v>200</v>
      </c>
      <c r="K325" s="5" t="n">
        <v>12</v>
      </c>
      <c r="L325" s="5" t="inlineStr">
        <is>
          <t>60%</t>
        </is>
      </c>
      <c r="M325" s="5" t="n">
        <v>1370</v>
      </c>
      <c r="N325" s="5" t="n">
        <v>1.76</v>
      </c>
      <c r="O325" s="5" t="n">
        <v>1256</v>
      </c>
      <c r="P325" s="5" t="n">
        <v>1.62</v>
      </c>
      <c r="Q325" s="5" t="inlineStr">
        <is>
          <t>2024-02-08</t>
        </is>
      </c>
      <c r="R325" s="5" t="inlineStr">
        <is>
          <t>2024-04-07</t>
        </is>
      </c>
      <c r="S325" s="5" t="n">
        <v>60</v>
      </c>
      <c r="T325" s="5" t="n">
        <v>59</v>
      </c>
      <c r="U325" s="48" t="inlineStr">
        <is>
          <t>Cascade</t>
        </is>
      </c>
    </row>
    <row r="326">
      <c r="A326" s="5" t="inlineStr">
        <is>
          <t>Bella Mirage</t>
        </is>
      </c>
      <c r="B326" s="5" t="inlineStr">
        <is>
          <t>Cascade</t>
        </is>
      </c>
      <c r="C326" s="5" t="inlineStr">
        <is>
          <t>5324</t>
        </is>
      </c>
      <c r="D326" s="5" t="inlineStr"/>
      <c r="E326" s="5" t="n">
        <v>1</v>
      </c>
      <c r="F326" s="5" t="n">
        <v>1</v>
      </c>
      <c r="G326" s="5" t="inlineStr"/>
      <c r="H326" s="5" t="n">
        <v>777</v>
      </c>
      <c r="I326" s="5" t="inlineStr">
        <is>
          <t>12/13/2024</t>
        </is>
      </c>
      <c r="J326" s="5" t="n">
        <v>200</v>
      </c>
      <c r="K326" s="5" t="n">
        <v>12</v>
      </c>
      <c r="L326" s="5" t="inlineStr">
        <is>
          <t>60%</t>
        </is>
      </c>
      <c r="M326" s="5" t="n">
        <v>1335</v>
      </c>
      <c r="N326" s="5" t="n">
        <v>1.72</v>
      </c>
      <c r="O326" s="5" t="n">
        <v>1224</v>
      </c>
      <c r="P326" s="5" t="n">
        <v>1.58</v>
      </c>
      <c r="Q326" s="5" t="inlineStr">
        <is>
          <t>2024-10-31</t>
        </is>
      </c>
      <c r="R326" s="5" t="inlineStr">
        <is>
          <t>2025-01-22</t>
        </is>
      </c>
      <c r="S326" s="5" t="n">
        <v>84</v>
      </c>
      <c r="T326" s="5" t="n">
        <v>41</v>
      </c>
      <c r="U326" s="48" t="inlineStr">
        <is>
          <t>Cascade</t>
        </is>
      </c>
    </row>
    <row r="327">
      <c r="A327" s="5" t="inlineStr">
        <is>
          <t>Bella Mirage</t>
        </is>
      </c>
      <c r="B327" s="5" t="inlineStr">
        <is>
          <t>Cascade</t>
        </is>
      </c>
      <c r="C327" s="5" t="inlineStr">
        <is>
          <t>5324</t>
        </is>
      </c>
      <c r="D327" s="5" t="inlineStr"/>
      <c r="E327" s="5" t="n">
        <v>1</v>
      </c>
      <c r="F327" s="5" t="n">
        <v>1</v>
      </c>
      <c r="G327" s="5" t="inlineStr"/>
      <c r="H327" s="5" t="n">
        <v>777</v>
      </c>
      <c r="I327" s="5" t="inlineStr">
        <is>
          <t>5/15/2026</t>
        </is>
      </c>
      <c r="J327" s="5" t="n">
        <v>300</v>
      </c>
      <c r="K327" s="5" t="n">
        <v>12</v>
      </c>
      <c r="L327" s="5" t="inlineStr">
        <is>
          <t>60%</t>
        </is>
      </c>
      <c r="M327" s="5" t="n">
        <v>1217</v>
      </c>
      <c r="N327" s="5" t="n">
        <v>1.57</v>
      </c>
      <c r="O327" s="5" t="n">
        <v>1217</v>
      </c>
      <c r="P327" s="5" t="n">
        <v>1.57</v>
      </c>
      <c r="Q327" s="5" t="inlineStr">
        <is>
          <t>2026-03-16</t>
        </is>
      </c>
      <c r="R327" s="5" t="inlineStr">
        <is>
          <t>2026-05-20</t>
        </is>
      </c>
      <c r="S327" s="5" t="n">
        <v>66</v>
      </c>
      <c r="T327" s="5" t="n">
        <v>6</v>
      </c>
      <c r="U327" s="48" t="inlineStr">
        <is>
          <t>Cascade</t>
        </is>
      </c>
    </row>
    <row r="328">
      <c r="A328" s="5" t="inlineStr">
        <is>
          <t>Bella Mirage</t>
        </is>
      </c>
      <c r="B328" s="5" t="inlineStr">
        <is>
          <t>Cascade</t>
        </is>
      </c>
      <c r="C328" s="5" t="inlineStr">
        <is>
          <t>2712</t>
        </is>
      </c>
      <c r="D328" s="5" t="n">
        <v>2</v>
      </c>
      <c r="E328" s="5" t="n">
        <v>1</v>
      </c>
      <c r="F328" s="5" t="n">
        <v>1</v>
      </c>
      <c r="G328" s="5" t="inlineStr"/>
      <c r="H328" s="5" t="n">
        <v>777</v>
      </c>
      <c r="I328" s="5" t="inlineStr">
        <is>
          <t>10/15/2024</t>
        </is>
      </c>
      <c r="J328" s="5" t="n">
        <v>200</v>
      </c>
      <c r="K328" s="5" t="n">
        <v>13</v>
      </c>
      <c r="L328" s="5" t="inlineStr">
        <is>
          <t>60%</t>
        </is>
      </c>
      <c r="M328" s="5" t="n">
        <v>1334</v>
      </c>
      <c r="N328" s="5" t="n">
        <v>1.72</v>
      </c>
      <c r="O328" s="5" t="n">
        <v>1334</v>
      </c>
      <c r="P328" s="5" t="n">
        <v>1.72</v>
      </c>
      <c r="Q328" s="5" t="inlineStr">
        <is>
          <t>2024-07-22</t>
        </is>
      </c>
      <c r="R328" s="5" t="inlineStr">
        <is>
          <t>2024-09-08</t>
        </is>
      </c>
      <c r="S328" s="5" t="n">
        <v>49</v>
      </c>
      <c r="T328" s="5" t="n">
        <v>0</v>
      </c>
      <c r="U328" s="48" t="inlineStr">
        <is>
          <t>Cascade</t>
        </is>
      </c>
    </row>
    <row r="329">
      <c r="A329" s="5" t="inlineStr">
        <is>
          <t>Bella Mirage</t>
        </is>
      </c>
      <c r="B329" s="5" t="inlineStr">
        <is>
          <t>Cascade</t>
        </is>
      </c>
      <c r="C329" s="5" t="inlineStr">
        <is>
          <t>2712</t>
        </is>
      </c>
      <c r="D329" s="5" t="n">
        <v>2</v>
      </c>
      <c r="E329" s="5" t="n">
        <v>1</v>
      </c>
      <c r="F329" s="5" t="n">
        <v>1</v>
      </c>
      <c r="G329" s="5" t="inlineStr"/>
      <c r="H329" s="5" t="n">
        <v>777</v>
      </c>
      <c r="I329" s="5" t="inlineStr">
        <is>
          <t>2/25/2026</t>
        </is>
      </c>
      <c r="J329" s="5" t="n">
        <v>300</v>
      </c>
      <c r="K329" s="5" t="n">
        <v>12</v>
      </c>
      <c r="L329" s="5" t="inlineStr">
        <is>
          <t>60%</t>
        </is>
      </c>
      <c r="M329" s="5" t="n">
        <v>1220</v>
      </c>
      <c r="N329" s="5" t="n">
        <v>1.57</v>
      </c>
      <c r="O329" s="5" t="n">
        <v>1220</v>
      </c>
      <c r="P329" s="5" t="n">
        <v>1.57</v>
      </c>
      <c r="Q329" s="5" t="inlineStr">
        <is>
          <t>2026-01-18</t>
        </is>
      </c>
      <c r="R329" s="5" t="inlineStr">
        <is>
          <t>2026-03-29</t>
        </is>
      </c>
      <c r="S329" s="5" t="n">
        <v>71</v>
      </c>
      <c r="T329" s="5" t="n">
        <v>33</v>
      </c>
      <c r="U329" s="48" t="inlineStr">
        <is>
          <t>Cascade</t>
        </is>
      </c>
    </row>
    <row r="330">
      <c r="A330" s="5" t="inlineStr">
        <is>
          <t>Bella Mirage</t>
        </is>
      </c>
      <c r="B330" s="5" t="inlineStr">
        <is>
          <t>Cascade</t>
        </is>
      </c>
      <c r="C330" s="5" t="inlineStr">
        <is>
          <t>5312</t>
        </is>
      </c>
      <c r="D330" s="5" t="inlineStr"/>
      <c r="E330" s="5" t="n">
        <v>1</v>
      </c>
      <c r="F330" s="5" t="n">
        <v>1</v>
      </c>
      <c r="G330" s="5" t="inlineStr"/>
      <c r="H330" s="5" t="n">
        <v>777</v>
      </c>
      <c r="I330" s="5" t="inlineStr">
        <is>
          <t>1/22/2026</t>
        </is>
      </c>
      <c r="J330" s="5" t="n">
        <v>300</v>
      </c>
      <c r="K330" s="5" t="n">
        <v>12</v>
      </c>
      <c r="L330" s="5" t="inlineStr">
        <is>
          <t>60%</t>
        </is>
      </c>
      <c r="M330" s="5" t="n">
        <v>1221</v>
      </c>
      <c r="N330" s="5" t="n">
        <v>1.57</v>
      </c>
      <c r="O330" s="5" t="n">
        <v>1221</v>
      </c>
      <c r="P330" s="5" t="n">
        <v>1.57</v>
      </c>
      <c r="Q330" s="5" t="inlineStr">
        <is>
          <t>2025-11-17</t>
        </is>
      </c>
      <c r="R330" s="5" t="inlineStr">
        <is>
          <t>2026-01-31</t>
        </is>
      </c>
      <c r="S330" s="5" t="n">
        <v>76</v>
      </c>
      <c r="T330" s="5" t="n">
        <v>10</v>
      </c>
      <c r="U330" s="48" t="inlineStr">
        <is>
          <t>Cascade</t>
        </is>
      </c>
    </row>
    <row r="331">
      <c r="A331" s="5" t="inlineStr">
        <is>
          <t>Bella Mirage</t>
        </is>
      </c>
      <c r="B331" s="5" t="inlineStr">
        <is>
          <t>Cascade</t>
        </is>
      </c>
      <c r="C331" s="5" t="inlineStr">
        <is>
          <t>0114</t>
        </is>
      </c>
      <c r="D331" s="5" t="n">
        <v>1</v>
      </c>
      <c r="E331" s="5" t="n">
        <v>1</v>
      </c>
      <c r="F331" s="5" t="n">
        <v>1</v>
      </c>
      <c r="G331" s="5" t="inlineStr"/>
      <c r="H331" s="5" t="n">
        <v>777</v>
      </c>
      <c r="I331" s="5" t="inlineStr">
        <is>
          <t>8/28/2025</t>
        </is>
      </c>
      <c r="J331" s="5" t="n">
        <v>200</v>
      </c>
      <c r="K331" s="5" t="n">
        <v>13</v>
      </c>
      <c r="L331" s="5" t="inlineStr">
        <is>
          <t>60%</t>
        </is>
      </c>
      <c r="M331" s="5" t="n">
        <v>1222</v>
      </c>
      <c r="N331" s="5" t="n">
        <v>1.57</v>
      </c>
      <c r="O331" s="5" t="n">
        <v>1222</v>
      </c>
      <c r="P331" s="5" t="n">
        <v>1.57</v>
      </c>
      <c r="Q331" s="5" t="inlineStr">
        <is>
          <t>2025-08-21</t>
        </is>
      </c>
      <c r="R331" s="5" t="inlineStr">
        <is>
          <t>2025-08-22</t>
        </is>
      </c>
      <c r="S331" s="5" t="n">
        <v>2</v>
      </c>
      <c r="T331" s="5" t="n">
        <v>0</v>
      </c>
      <c r="U331" s="48" t="inlineStr">
        <is>
          <t>Cascade</t>
        </is>
      </c>
    </row>
    <row r="332">
      <c r="A332" s="5" t="inlineStr">
        <is>
          <t>Bella Mirage</t>
        </is>
      </c>
      <c r="B332" s="5" t="inlineStr">
        <is>
          <t>Cascade</t>
        </is>
      </c>
      <c r="C332" s="5" t="inlineStr">
        <is>
          <t>5836</t>
        </is>
      </c>
      <c r="D332" s="5" t="n">
        <v>3</v>
      </c>
      <c r="E332" s="5" t="n">
        <v>1</v>
      </c>
      <c r="F332" s="5" t="n">
        <v>1</v>
      </c>
      <c r="G332" s="5" t="inlineStr"/>
      <c r="H332" s="5" t="n">
        <v>777</v>
      </c>
      <c r="I332" s="5" t="inlineStr">
        <is>
          <t>10/10/2023</t>
        </is>
      </c>
      <c r="J332" s="5" t="inlineStr"/>
      <c r="K332" s="5" t="inlineStr"/>
      <c r="L332" s="5" t="inlineStr">
        <is>
          <t>60%</t>
        </is>
      </c>
      <c r="M332" s="5" t="n">
        <v>1315</v>
      </c>
      <c r="N332" s="5" t="n">
        <v>1.69</v>
      </c>
      <c r="O332" s="5" t="n">
        <v>1205</v>
      </c>
      <c r="P332" s="5" t="n">
        <v>1.55</v>
      </c>
      <c r="Q332" s="5" t="inlineStr">
        <is>
          <t>2023-10-10</t>
        </is>
      </c>
      <c r="R332" s="5" t="inlineStr">
        <is>
          <t>2023-12-24</t>
        </is>
      </c>
      <c r="S332" s="5" t="n">
        <v>76</v>
      </c>
      <c r="T332" s="5" t="n">
        <v>76</v>
      </c>
      <c r="U332" s="48" t="inlineStr">
        <is>
          <t>Cascade</t>
        </is>
      </c>
    </row>
    <row r="333">
      <c r="A333" s="5" t="inlineStr">
        <is>
          <t>Bella Mirage</t>
        </is>
      </c>
      <c r="B333" s="5" t="inlineStr">
        <is>
          <t>Cascade</t>
        </is>
      </c>
      <c r="C333" s="5" t="inlineStr">
        <is>
          <t>5836</t>
        </is>
      </c>
      <c r="D333" s="5" t="n">
        <v>3</v>
      </c>
      <c r="E333" s="5" t="n">
        <v>1</v>
      </c>
      <c r="F333" s="5" t="n">
        <v>1</v>
      </c>
      <c r="G333" s="5" t="inlineStr"/>
      <c r="H333" s="5" t="n">
        <v>777</v>
      </c>
      <c r="I333" s="5" t="inlineStr">
        <is>
          <t>4/15/2025</t>
        </is>
      </c>
      <c r="J333" s="5" t="n">
        <v>200</v>
      </c>
      <c r="K333" s="5" t="n">
        <v>12</v>
      </c>
      <c r="L333" s="5" t="inlineStr">
        <is>
          <t>60%</t>
        </is>
      </c>
      <c r="M333" s="5" t="n">
        <v>1235</v>
      </c>
      <c r="N333" s="5" t="n">
        <v>1.59</v>
      </c>
      <c r="O333" s="5" t="n">
        <v>1132</v>
      </c>
      <c r="P333" s="5" t="n">
        <v>1.46</v>
      </c>
      <c r="Q333" s="5" t="inlineStr">
        <is>
          <t>2025-01-30</t>
        </is>
      </c>
      <c r="R333" s="5" t="inlineStr">
        <is>
          <t>2025-06-16</t>
        </is>
      </c>
      <c r="S333" s="5" t="n">
        <v>138</v>
      </c>
      <c r="T333" s="5" t="n">
        <v>63</v>
      </c>
      <c r="U333" s="48" t="inlineStr">
        <is>
          <t>Cascade</t>
        </is>
      </c>
    </row>
    <row r="334">
      <c r="A334" s="5" t="inlineStr">
        <is>
          <t>Bella Mirage</t>
        </is>
      </c>
      <c r="B334" s="5" t="inlineStr">
        <is>
          <t>Cascade</t>
        </is>
      </c>
      <c r="C334" s="5" t="inlineStr">
        <is>
          <t>3018</t>
        </is>
      </c>
      <c r="D334" s="5" t="n">
        <v>3</v>
      </c>
      <c r="E334" s="5" t="n">
        <v>1</v>
      </c>
      <c r="F334" s="5" t="n">
        <v>1</v>
      </c>
      <c r="G334" s="5" t="inlineStr"/>
      <c r="H334" s="5" t="n">
        <v>777</v>
      </c>
      <c r="I334" s="5" t="inlineStr">
        <is>
          <t>1/2/2024</t>
        </is>
      </c>
      <c r="J334" s="5" t="inlineStr"/>
      <c r="K334" s="5" t="inlineStr"/>
      <c r="L334" s="5" t="inlineStr">
        <is>
          <t>60%</t>
        </is>
      </c>
      <c r="M334" s="5" t="n">
        <v>1323</v>
      </c>
      <c r="N334" s="5" t="n">
        <v>1.7</v>
      </c>
      <c r="O334" s="5" t="n">
        <v>1213</v>
      </c>
      <c r="P334" s="5" t="n">
        <v>1.56</v>
      </c>
      <c r="Q334" s="5" t="inlineStr">
        <is>
          <t>2024-01-02</t>
        </is>
      </c>
      <c r="R334" s="5" t="inlineStr">
        <is>
          <t>2024-02-11</t>
        </is>
      </c>
      <c r="S334" s="5" t="n">
        <v>41</v>
      </c>
      <c r="T334" s="5" t="n">
        <v>41</v>
      </c>
      <c r="U334" s="48" t="inlineStr">
        <is>
          <t>Cascade</t>
        </is>
      </c>
    </row>
    <row r="335">
      <c r="A335" s="5" t="inlineStr">
        <is>
          <t>Bella Mirage</t>
        </is>
      </c>
      <c r="B335" s="5" t="inlineStr">
        <is>
          <t>Cascade</t>
        </is>
      </c>
      <c r="C335" s="5" t="inlineStr">
        <is>
          <t>3018</t>
        </is>
      </c>
      <c r="D335" s="5" t="n">
        <v>3</v>
      </c>
      <c r="E335" s="5" t="n">
        <v>1</v>
      </c>
      <c r="F335" s="5" t="n">
        <v>1</v>
      </c>
      <c r="G335" s="5" t="inlineStr"/>
      <c r="H335" s="5" t="n">
        <v>777</v>
      </c>
      <c r="I335" s="5" t="inlineStr">
        <is>
          <t>11/13/2025</t>
        </is>
      </c>
      <c r="J335" s="5" t="n">
        <v>300</v>
      </c>
      <c r="K335" s="5" t="n">
        <v>12</v>
      </c>
      <c r="L335" s="5" t="inlineStr">
        <is>
          <t>60%</t>
        </is>
      </c>
      <c r="M335" s="5" t="n">
        <v>1232</v>
      </c>
      <c r="N335" s="5" t="n">
        <v>1.59</v>
      </c>
      <c r="O335" s="5" t="n">
        <v>1232</v>
      </c>
      <c r="P335" s="5" t="n">
        <v>1.59</v>
      </c>
      <c r="Q335" s="5" t="inlineStr">
        <is>
          <t>2025-10-28</t>
        </is>
      </c>
      <c r="R335" s="5" t="inlineStr">
        <is>
          <t>2026-04-19</t>
        </is>
      </c>
      <c r="S335" s="5" t="n">
        <v>174</v>
      </c>
      <c r="T335" s="5" t="n">
        <v>158</v>
      </c>
      <c r="U335" s="48" t="inlineStr">
        <is>
          <t>Cascade</t>
        </is>
      </c>
    </row>
    <row r="336">
      <c r="A336" s="5" t="inlineStr">
        <is>
          <t>Bella Mirage</t>
        </is>
      </c>
      <c r="B336" s="5" t="inlineStr">
        <is>
          <t>Cascade</t>
        </is>
      </c>
      <c r="C336" s="5" t="inlineStr">
        <is>
          <t>5332</t>
        </is>
      </c>
      <c r="D336" s="5" t="inlineStr"/>
      <c r="E336" s="5" t="n">
        <v>1</v>
      </c>
      <c r="F336" s="5" t="n">
        <v>1</v>
      </c>
      <c r="G336" s="5" t="inlineStr"/>
      <c r="H336" s="5" t="n">
        <v>777</v>
      </c>
      <c r="I336" s="5" t="inlineStr">
        <is>
          <t>10/5/2023</t>
        </is>
      </c>
      <c r="J336" s="5" t="inlineStr"/>
      <c r="K336" s="5" t="inlineStr"/>
      <c r="L336" s="5" t="inlineStr">
        <is>
          <t>60%</t>
        </is>
      </c>
      <c r="M336" s="5" t="n">
        <v>1307</v>
      </c>
      <c r="N336" s="5" t="n">
        <v>1.68</v>
      </c>
      <c r="O336" s="5" t="n">
        <v>1198</v>
      </c>
      <c r="P336" s="5" t="n">
        <v>1.54</v>
      </c>
      <c r="Q336" s="5" t="inlineStr">
        <is>
          <t>2023-10-05</t>
        </is>
      </c>
      <c r="R336" s="5" t="inlineStr">
        <is>
          <t>2023-11-01</t>
        </is>
      </c>
      <c r="S336" s="5" t="n">
        <v>28</v>
      </c>
      <c r="T336" s="5" t="n">
        <v>28</v>
      </c>
      <c r="U336" s="48" t="inlineStr">
        <is>
          <t>Cascade</t>
        </is>
      </c>
    </row>
    <row r="337">
      <c r="A337" s="5" t="inlineStr">
        <is>
          <t>Bella Mirage</t>
        </is>
      </c>
      <c r="B337" s="5" t="inlineStr">
        <is>
          <t>Cascade</t>
        </is>
      </c>
      <c r="C337" s="5" t="inlineStr">
        <is>
          <t>5332</t>
        </is>
      </c>
      <c r="D337" s="5" t="inlineStr"/>
      <c r="E337" s="5" t="n">
        <v>1</v>
      </c>
      <c r="F337" s="5" t="n">
        <v>1</v>
      </c>
      <c r="G337" s="5" t="inlineStr"/>
      <c r="H337" s="5" t="n">
        <v>777</v>
      </c>
      <c r="I337" s="5" t="inlineStr">
        <is>
          <t>4/14/2025</t>
        </is>
      </c>
      <c r="J337" s="5" t="n">
        <v>200</v>
      </c>
      <c r="K337" s="5" t="n">
        <v>12</v>
      </c>
      <c r="L337" s="5" t="inlineStr">
        <is>
          <t>60%</t>
        </is>
      </c>
      <c r="M337" s="5" t="n">
        <v>1237</v>
      </c>
      <c r="N337" s="5" t="n">
        <v>1.59</v>
      </c>
      <c r="O337" s="5" t="n">
        <v>1134</v>
      </c>
      <c r="P337" s="5" t="n">
        <v>1.46</v>
      </c>
      <c r="Q337" s="5" t="inlineStr">
        <is>
          <t>2025-01-17</t>
        </is>
      </c>
      <c r="R337" s="5" t="inlineStr">
        <is>
          <t>2025-06-09</t>
        </is>
      </c>
      <c r="S337" s="5" t="n">
        <v>144</v>
      </c>
      <c r="T337" s="5" t="n">
        <v>57</v>
      </c>
      <c r="U337" s="48" t="inlineStr">
        <is>
          <t>Cascade</t>
        </is>
      </c>
    </row>
    <row r="338">
      <c r="A338" s="5" t="inlineStr">
        <is>
          <t>Bella Mirage</t>
        </is>
      </c>
      <c r="B338" s="5" t="inlineStr">
        <is>
          <t>Cascade</t>
        </is>
      </c>
      <c r="C338" s="5" t="inlineStr">
        <is>
          <t>0936</t>
        </is>
      </c>
      <c r="D338" s="5" t="n">
        <v>3</v>
      </c>
      <c r="E338" s="5" t="n">
        <v>1</v>
      </c>
      <c r="F338" s="5" t="n">
        <v>1</v>
      </c>
      <c r="G338" s="5" t="inlineStr"/>
      <c r="H338" s="5" t="n">
        <v>777</v>
      </c>
      <c r="I338" s="5" t="inlineStr">
        <is>
          <t>10/27/2024</t>
        </is>
      </c>
      <c r="J338" s="5" t="n">
        <v>200</v>
      </c>
      <c r="K338" s="5" t="n">
        <v>13</v>
      </c>
      <c r="L338" s="5" t="inlineStr">
        <is>
          <t>60%</t>
        </is>
      </c>
      <c r="M338" s="5" t="n">
        <v>1242</v>
      </c>
      <c r="N338" s="5" t="n">
        <v>1.6</v>
      </c>
      <c r="O338" s="5" t="n">
        <v>1146</v>
      </c>
      <c r="P338" s="5" t="n">
        <v>1.47</v>
      </c>
      <c r="Q338" s="5" t="inlineStr">
        <is>
          <t>2024-08-24</t>
        </is>
      </c>
      <c r="R338" s="5" t="inlineStr">
        <is>
          <t>2025-01-07</t>
        </is>
      </c>
      <c r="S338" s="5" t="n">
        <v>137</v>
      </c>
      <c r="T338" s="5" t="n">
        <v>73</v>
      </c>
      <c r="U338" s="48" t="inlineStr">
        <is>
          <t>Cascade</t>
        </is>
      </c>
    </row>
    <row r="339">
      <c r="A339" s="5" t="inlineStr">
        <is>
          <t>Bella Mirage</t>
        </is>
      </c>
      <c r="B339" s="5" t="inlineStr">
        <is>
          <t>Cascade</t>
        </is>
      </c>
      <c r="C339" s="5" t="inlineStr">
        <is>
          <t>0936</t>
        </is>
      </c>
      <c r="D339" s="5" t="n">
        <v>3</v>
      </c>
      <c r="E339" s="5" t="n">
        <v>1</v>
      </c>
      <c r="F339" s="5" t="n">
        <v>1</v>
      </c>
      <c r="G339" s="5" t="inlineStr"/>
      <c r="H339" s="5" t="n">
        <v>777</v>
      </c>
      <c r="I339" s="5" t="inlineStr">
        <is>
          <t>7/9/2025</t>
        </is>
      </c>
      <c r="J339" s="5" t="n">
        <v>200</v>
      </c>
      <c r="K339" s="5" t="n">
        <v>12</v>
      </c>
      <c r="L339" s="5" t="inlineStr">
        <is>
          <t>60%</t>
        </is>
      </c>
      <c r="M339" s="5" t="n">
        <v>1210</v>
      </c>
      <c r="N339" s="5" t="n">
        <v>1.56</v>
      </c>
      <c r="O339" s="5" t="n">
        <v>1109</v>
      </c>
      <c r="P339" s="5" t="n">
        <v>1.43</v>
      </c>
      <c r="Q339" s="5" t="inlineStr">
        <is>
          <t>2025-07-01</t>
        </is>
      </c>
      <c r="R339" s="5" t="inlineStr">
        <is>
          <t>2025-07-30</t>
        </is>
      </c>
      <c r="S339" s="5" t="n">
        <v>30</v>
      </c>
      <c r="T339" s="5" t="n">
        <v>22</v>
      </c>
      <c r="U339" s="48" t="inlineStr">
        <is>
          <t>Cascade</t>
        </is>
      </c>
    </row>
    <row r="340">
      <c r="A340" s="5" t="inlineStr">
        <is>
          <t>Bella Mirage</t>
        </is>
      </c>
      <c r="B340" s="5" t="inlineStr">
        <is>
          <t>Cascade</t>
        </is>
      </c>
      <c r="C340" s="5" t="inlineStr">
        <is>
          <t>0936</t>
        </is>
      </c>
      <c r="D340" s="5" t="n">
        <v>3</v>
      </c>
      <c r="E340" s="5" t="n">
        <v>1</v>
      </c>
      <c r="F340" s="5" t="n">
        <v>1</v>
      </c>
      <c r="G340" s="5" t="inlineStr"/>
      <c r="H340" s="5" t="n">
        <v>777</v>
      </c>
      <c r="I340" s="5" t="inlineStr">
        <is>
          <t>6/10/2026</t>
        </is>
      </c>
      <c r="J340" s="5" t="n">
        <v>300</v>
      </c>
      <c r="K340" s="5" t="n">
        <v>13</v>
      </c>
      <c r="L340" s="5" t="inlineStr">
        <is>
          <t>60%</t>
        </is>
      </c>
      <c r="M340" s="5" t="n">
        <v>1234</v>
      </c>
      <c r="N340" s="5" t="n">
        <v>1.59</v>
      </c>
      <c r="O340" s="5" t="n">
        <v>1234</v>
      </c>
      <c r="P340" s="5" t="n">
        <v>1.59</v>
      </c>
      <c r="Q340" s="5" t="inlineStr">
        <is>
          <t>2026-05-03</t>
        </is>
      </c>
      <c r="R340" s="5" t="inlineStr">
        <is>
          <t>2026-06-01</t>
        </is>
      </c>
      <c r="S340" s="5" t="n">
        <v>30</v>
      </c>
      <c r="T340" s="5" t="n">
        <v>0</v>
      </c>
      <c r="U340" s="48" t="inlineStr">
        <is>
          <t>Cascade</t>
        </is>
      </c>
    </row>
    <row r="341">
      <c r="A341" s="5" t="inlineStr">
        <is>
          <t>Bella Mirage</t>
        </is>
      </c>
      <c r="B341" s="5" t="inlineStr">
        <is>
          <t>Cascade</t>
        </is>
      </c>
      <c r="C341" s="5" t="inlineStr">
        <is>
          <t>3314</t>
        </is>
      </c>
      <c r="D341" s="5" t="n">
        <v>3</v>
      </c>
      <c r="E341" s="5" t="n">
        <v>1</v>
      </c>
      <c r="F341" s="5" t="n">
        <v>1</v>
      </c>
      <c r="G341" s="5" t="inlineStr"/>
      <c r="H341" s="5" t="n">
        <v>777</v>
      </c>
      <c r="I341" s="5" t="inlineStr">
        <is>
          <t>5/13/2025</t>
        </is>
      </c>
      <c r="J341" s="5" t="n">
        <v>200</v>
      </c>
      <c r="K341" s="5" t="n">
        <v>12</v>
      </c>
      <c r="L341" s="5" t="inlineStr">
        <is>
          <t>60%</t>
        </is>
      </c>
      <c r="M341" s="5" t="n">
        <v>1239</v>
      </c>
      <c r="N341" s="5" t="n">
        <v>1.59</v>
      </c>
      <c r="O341" s="5" t="n">
        <v>1136</v>
      </c>
      <c r="P341" s="5" t="n">
        <v>1.46</v>
      </c>
      <c r="Q341" s="5" t="inlineStr">
        <is>
          <t>2025-04-17</t>
        </is>
      </c>
      <c r="R341" s="5" t="inlineStr">
        <is>
          <t>2025-06-12</t>
        </is>
      </c>
      <c r="S341" s="5" t="n">
        <v>57</v>
      </c>
      <c r="T341" s="5" t="n">
        <v>31</v>
      </c>
      <c r="U341" s="48" t="inlineStr">
        <is>
          <t>Cascade</t>
        </is>
      </c>
    </row>
    <row r="342">
      <c r="A342" s="5" t="inlineStr">
        <is>
          <t>Bella Mirage</t>
        </is>
      </c>
      <c r="B342" s="5" t="inlineStr">
        <is>
          <t>Cascade</t>
        </is>
      </c>
      <c r="C342" s="5" t="inlineStr">
        <is>
          <t>4217</t>
        </is>
      </c>
      <c r="D342" s="5" t="inlineStr"/>
      <c r="E342" s="5" t="n">
        <v>1</v>
      </c>
      <c r="F342" s="5" t="n">
        <v>1</v>
      </c>
      <c r="G342" s="5" t="inlineStr"/>
      <c r="H342" s="5" t="n">
        <v>777</v>
      </c>
      <c r="I342" s="5" t="inlineStr">
        <is>
          <t>1/18/2024</t>
        </is>
      </c>
      <c r="J342" s="5" t="n">
        <v>200</v>
      </c>
      <c r="K342" s="5" t="n">
        <v>15</v>
      </c>
      <c r="L342" s="5" t="inlineStr">
        <is>
          <t>60%</t>
        </is>
      </c>
      <c r="M342" s="5" t="n">
        <v>1402</v>
      </c>
      <c r="N342" s="5" t="n">
        <v>1.8</v>
      </c>
      <c r="O342" s="5" t="n">
        <v>1309</v>
      </c>
      <c r="P342" s="5" t="n">
        <v>1.68</v>
      </c>
      <c r="Q342" s="5" t="inlineStr">
        <is>
          <t>2024-01-21</t>
        </is>
      </c>
      <c r="R342" s="5" t="inlineStr">
        <is>
          <t>2024-02-20</t>
        </is>
      </c>
      <c r="S342" s="5" t="n">
        <v>31</v>
      </c>
      <c r="T342" s="5" t="n">
        <v>31</v>
      </c>
      <c r="U342" s="48" t="inlineStr">
        <is>
          <t>Cascade</t>
        </is>
      </c>
    </row>
    <row r="343">
      <c r="A343" s="5" t="inlineStr">
        <is>
          <t>Bella Mirage</t>
        </is>
      </c>
      <c r="B343" s="5" t="inlineStr">
        <is>
          <t>Cascade</t>
        </is>
      </c>
      <c r="C343" s="5" t="inlineStr">
        <is>
          <t>5323</t>
        </is>
      </c>
      <c r="D343" s="5" t="inlineStr"/>
      <c r="E343" s="5" t="n">
        <v>1</v>
      </c>
      <c r="F343" s="5" t="n">
        <v>1</v>
      </c>
      <c r="G343" s="5" t="inlineStr"/>
      <c r="H343" s="5" t="n">
        <v>777</v>
      </c>
      <c r="I343" s="5" t="inlineStr">
        <is>
          <t>10/5/2024</t>
        </is>
      </c>
      <c r="J343" s="5" t="n">
        <v>200</v>
      </c>
      <c r="K343" s="5" t="n">
        <v>12</v>
      </c>
      <c r="L343" s="5" t="inlineStr">
        <is>
          <t>60%</t>
        </is>
      </c>
      <c r="M343" s="5" t="n">
        <v>1350</v>
      </c>
      <c r="N343" s="5" t="n">
        <v>1.74</v>
      </c>
      <c r="O343" s="5" t="n">
        <v>1350</v>
      </c>
      <c r="P343" s="5" t="n">
        <v>1.74</v>
      </c>
      <c r="Q343" s="5" t="inlineStr">
        <is>
          <t>2024-06-07</t>
        </is>
      </c>
      <c r="R343" s="5" t="inlineStr">
        <is>
          <t>2024-06-19</t>
        </is>
      </c>
      <c r="S343" s="5" t="n">
        <v>13</v>
      </c>
      <c r="T343" s="5" t="n">
        <v>0</v>
      </c>
      <c r="U343" s="48" t="inlineStr">
        <is>
          <t>Cascade</t>
        </is>
      </c>
    </row>
    <row r="344">
      <c r="A344" s="5" t="inlineStr">
        <is>
          <t>Bella Mirage</t>
        </is>
      </c>
      <c r="B344" s="5" t="inlineStr">
        <is>
          <t>Cascade</t>
        </is>
      </c>
      <c r="C344" s="5" t="inlineStr">
        <is>
          <t>5323</t>
        </is>
      </c>
      <c r="D344" s="5" t="inlineStr"/>
      <c r="E344" s="5" t="n">
        <v>1</v>
      </c>
      <c r="F344" s="5" t="n">
        <v>1</v>
      </c>
      <c r="G344" s="5" t="inlineStr"/>
      <c r="H344" s="5" t="n">
        <v>777</v>
      </c>
      <c r="I344" s="5" t="inlineStr">
        <is>
          <t>10/1/2024</t>
        </is>
      </c>
      <c r="J344" s="5" t="n">
        <v>200</v>
      </c>
      <c r="K344" s="5" t="n">
        <v>13</v>
      </c>
      <c r="L344" s="5" t="inlineStr">
        <is>
          <t>60%</t>
        </is>
      </c>
      <c r="M344" s="5" t="n">
        <v>1236</v>
      </c>
      <c r="N344" s="5" t="n">
        <v>1.59</v>
      </c>
      <c r="O344" s="5" t="n">
        <v>1141</v>
      </c>
      <c r="P344" s="5" t="n">
        <v>1.47</v>
      </c>
      <c r="Q344" s="5" t="inlineStr">
        <is>
          <t>2024-10-08</t>
        </is>
      </c>
      <c r="R344" s="5" t="inlineStr">
        <is>
          <t>2025-01-12</t>
        </is>
      </c>
      <c r="S344" s="5" t="n">
        <v>97</v>
      </c>
      <c r="T344" s="5" t="n">
        <v>97</v>
      </c>
      <c r="U344" s="48" t="inlineStr">
        <is>
          <t>Cascade</t>
        </is>
      </c>
    </row>
    <row r="345">
      <c r="A345" s="5" t="inlineStr">
        <is>
          <t>Bella Mirage</t>
        </is>
      </c>
      <c r="B345" s="5" t="inlineStr">
        <is>
          <t>Cascade</t>
        </is>
      </c>
      <c r="C345" s="5" t="inlineStr">
        <is>
          <t>3333</t>
        </is>
      </c>
      <c r="D345" s="5" t="n">
        <v>3</v>
      </c>
      <c r="E345" s="5" t="n">
        <v>1</v>
      </c>
      <c r="F345" s="5" t="n">
        <v>1</v>
      </c>
      <c r="G345" s="5" t="inlineStr"/>
      <c r="H345" s="5" t="n">
        <v>777</v>
      </c>
      <c r="I345" s="5" t="inlineStr">
        <is>
          <t>5/25/2024</t>
        </is>
      </c>
      <c r="J345" s="5" t="n">
        <v>200</v>
      </c>
      <c r="K345" s="5" t="n">
        <v>15</v>
      </c>
      <c r="L345" s="5" t="inlineStr">
        <is>
          <t>60%</t>
        </is>
      </c>
      <c r="M345" s="5" t="n">
        <v>1317</v>
      </c>
      <c r="N345" s="5" t="n">
        <v>1.69</v>
      </c>
      <c r="O345" s="5" t="n">
        <v>1317</v>
      </c>
      <c r="P345" s="5" t="n">
        <v>1.69</v>
      </c>
      <c r="Q345" s="5" t="inlineStr">
        <is>
          <t>2024-03-07</t>
        </is>
      </c>
      <c r="R345" s="5" t="inlineStr">
        <is>
          <t>2024-06-26</t>
        </is>
      </c>
      <c r="S345" s="5" t="n">
        <v>112</v>
      </c>
      <c r="T345" s="5" t="n">
        <v>33</v>
      </c>
      <c r="U345" s="48" t="inlineStr">
        <is>
          <t>Cascade</t>
        </is>
      </c>
    </row>
    <row r="346">
      <c r="A346" s="5" t="inlineStr">
        <is>
          <t>Bella Mirage</t>
        </is>
      </c>
      <c r="B346" s="5" t="inlineStr">
        <is>
          <t>Cascade</t>
        </is>
      </c>
      <c r="C346" s="5" t="inlineStr">
        <is>
          <t>3333</t>
        </is>
      </c>
      <c r="D346" s="5" t="n">
        <v>3</v>
      </c>
      <c r="E346" s="5" t="n">
        <v>1</v>
      </c>
      <c r="F346" s="5" t="n">
        <v>1</v>
      </c>
      <c r="G346" s="5" t="inlineStr"/>
      <c r="H346" s="5" t="n">
        <v>777</v>
      </c>
      <c r="I346" s="5" t="inlineStr">
        <is>
          <t>8/26/2025</t>
        </is>
      </c>
      <c r="J346" s="5" t="n">
        <v>300</v>
      </c>
      <c r="K346" s="5" t="n">
        <v>12</v>
      </c>
      <c r="L346" s="5" t="inlineStr">
        <is>
          <t>60%</t>
        </is>
      </c>
      <c r="M346" s="5" t="n">
        <v>1238</v>
      </c>
      <c r="N346" s="5" t="n">
        <v>1.59</v>
      </c>
      <c r="O346" s="5" t="n">
        <v>1135</v>
      </c>
      <c r="P346" s="5" t="n">
        <v>1.46</v>
      </c>
      <c r="Q346" s="5" t="inlineStr">
        <is>
          <t>2025-07-10</t>
        </is>
      </c>
      <c r="R346" s="5" t="inlineStr">
        <is>
          <t>2025-10-03</t>
        </is>
      </c>
      <c r="S346" s="5" t="n">
        <v>86</v>
      </c>
      <c r="T346" s="5" t="n">
        <v>39</v>
      </c>
      <c r="U346" s="48" t="inlineStr">
        <is>
          <t>Cascade</t>
        </is>
      </c>
    </row>
    <row r="347">
      <c r="A347" s="5" t="inlineStr">
        <is>
          <t>Bella Mirage</t>
        </is>
      </c>
      <c r="B347" s="5" t="inlineStr">
        <is>
          <t>Cascade</t>
        </is>
      </c>
      <c r="C347" s="5" t="inlineStr">
        <is>
          <t>5825</t>
        </is>
      </c>
      <c r="D347" s="5" t="inlineStr"/>
      <c r="E347" s="5" t="n">
        <v>1</v>
      </c>
      <c r="F347" s="5" t="n">
        <v>1</v>
      </c>
      <c r="G347" s="5" t="inlineStr"/>
      <c r="H347" s="5" t="n">
        <v>777</v>
      </c>
      <c r="I347" s="5" t="inlineStr">
        <is>
          <t>7/31/2023</t>
        </is>
      </c>
      <c r="J347" s="5" t="inlineStr"/>
      <c r="K347" s="5" t="inlineStr"/>
      <c r="L347" s="5" t="inlineStr">
        <is>
          <t>60%</t>
        </is>
      </c>
      <c r="M347" s="5" t="n">
        <v>1310</v>
      </c>
      <c r="N347" s="5" t="n">
        <v>1.69</v>
      </c>
      <c r="O347" s="5" t="n">
        <v>1201</v>
      </c>
      <c r="P347" s="5" t="n">
        <v>1.55</v>
      </c>
      <c r="Q347" s="5" t="inlineStr">
        <is>
          <t>2023-07-31</t>
        </is>
      </c>
      <c r="R347" s="5" t="inlineStr">
        <is>
          <t>2023-10-23</t>
        </is>
      </c>
      <c r="S347" s="5" t="n">
        <v>85</v>
      </c>
      <c r="T347" s="5" t="n">
        <v>85</v>
      </c>
      <c r="U347" s="48" t="inlineStr">
        <is>
          <t>Cascade</t>
        </is>
      </c>
    </row>
    <row r="348">
      <c r="A348" s="5" t="inlineStr">
        <is>
          <t>Bella Mirage</t>
        </is>
      </c>
      <c r="B348" s="5" t="inlineStr">
        <is>
          <t>Cascade</t>
        </is>
      </c>
      <c r="C348" s="5" t="inlineStr">
        <is>
          <t>5825</t>
        </is>
      </c>
      <c r="D348" s="5" t="inlineStr"/>
      <c r="E348" s="5" t="n">
        <v>1</v>
      </c>
      <c r="F348" s="5" t="n">
        <v>1</v>
      </c>
      <c r="G348" s="5" t="inlineStr"/>
      <c r="H348" s="5" t="n">
        <v>777</v>
      </c>
      <c r="I348" s="5" t="inlineStr">
        <is>
          <t>1/15/2025</t>
        </is>
      </c>
      <c r="J348" s="5" t="n">
        <v>200</v>
      </c>
      <c r="K348" s="5" t="n">
        <v>12</v>
      </c>
      <c r="L348" s="5" t="inlineStr">
        <is>
          <t>60%</t>
        </is>
      </c>
      <c r="M348" s="5" t="n">
        <v>1294</v>
      </c>
      <c r="N348" s="5" t="n">
        <v>1.67</v>
      </c>
      <c r="O348" s="5" t="n">
        <v>1186</v>
      </c>
      <c r="P348" s="5" t="n">
        <v>1.53</v>
      </c>
      <c r="Q348" s="5" t="inlineStr">
        <is>
          <t>2025-01-08</t>
        </is>
      </c>
      <c r="R348" s="5" t="inlineStr">
        <is>
          <t>2025-03-18</t>
        </is>
      </c>
      <c r="S348" s="5" t="n">
        <v>70</v>
      </c>
      <c r="T348" s="5" t="n">
        <v>63</v>
      </c>
      <c r="U348" s="48" t="inlineStr">
        <is>
          <t>Cascade</t>
        </is>
      </c>
    </row>
    <row r="349">
      <c r="A349" s="5" t="inlineStr">
        <is>
          <t>Bella Mirage</t>
        </is>
      </c>
      <c r="B349" s="5" t="inlineStr">
        <is>
          <t>Cascade</t>
        </is>
      </c>
      <c r="C349" s="5" t="inlineStr">
        <is>
          <t>3826</t>
        </is>
      </c>
      <c r="D349" s="5" t="n">
        <v>3</v>
      </c>
      <c r="E349" s="5" t="n">
        <v>1</v>
      </c>
      <c r="F349" s="5" t="n">
        <v>1</v>
      </c>
      <c r="G349" s="5" t="inlineStr"/>
      <c r="H349" s="5" t="n">
        <v>777</v>
      </c>
      <c r="I349" s="5" t="inlineStr">
        <is>
          <t>1/27/2024</t>
        </is>
      </c>
      <c r="J349" s="5" t="n">
        <v>200</v>
      </c>
      <c r="K349" s="5" t="n">
        <v>12</v>
      </c>
      <c r="L349" s="5" t="inlineStr">
        <is>
          <t>60%</t>
        </is>
      </c>
      <c r="M349" s="5" t="n">
        <v>1242</v>
      </c>
      <c r="N349" s="5" t="n">
        <v>1.6</v>
      </c>
      <c r="O349" s="5" t="n">
        <v>1242</v>
      </c>
      <c r="P349" s="5" t="n">
        <v>1.6</v>
      </c>
      <c r="Q349" s="5" t="inlineStr">
        <is>
          <t>2024-01-15</t>
        </is>
      </c>
      <c r="R349" s="5" t="inlineStr">
        <is>
          <t>2024-06-17</t>
        </is>
      </c>
      <c r="S349" s="5" t="n">
        <v>155</v>
      </c>
      <c r="T349" s="5" t="n">
        <v>143</v>
      </c>
      <c r="U349" s="48" t="inlineStr">
        <is>
          <t>Cascade</t>
        </is>
      </c>
    </row>
    <row r="350">
      <c r="A350" s="5" t="inlineStr">
        <is>
          <t>Bella Mirage</t>
        </is>
      </c>
      <c r="B350" s="5" t="inlineStr">
        <is>
          <t>Cascade</t>
        </is>
      </c>
      <c r="C350" s="5" t="inlineStr">
        <is>
          <t>4214</t>
        </is>
      </c>
      <c r="D350" s="5" t="n">
        <v>4</v>
      </c>
      <c r="E350" s="5" t="n">
        <v>1</v>
      </c>
      <c r="F350" s="5" t="n">
        <v>1</v>
      </c>
      <c r="G350" s="5" t="inlineStr"/>
      <c r="H350" s="5" t="n">
        <v>777</v>
      </c>
      <c r="I350" s="5" t="inlineStr">
        <is>
          <t>3/31/2024</t>
        </is>
      </c>
      <c r="J350" s="5" t="n">
        <v>200</v>
      </c>
      <c r="K350" s="5" t="n">
        <v>12</v>
      </c>
      <c r="L350" s="5" t="inlineStr">
        <is>
          <t>60%</t>
        </is>
      </c>
      <c r="M350" s="5" t="n">
        <v>1238</v>
      </c>
      <c r="N350" s="5" t="n">
        <v>1.59</v>
      </c>
      <c r="O350" s="5" t="n">
        <v>1238</v>
      </c>
      <c r="P350" s="5" t="n">
        <v>1.59</v>
      </c>
      <c r="Q350" s="5" t="inlineStr">
        <is>
          <t>2024-02-12</t>
        </is>
      </c>
      <c r="R350" s="5" t="inlineStr">
        <is>
          <t>2024-06-16</t>
        </is>
      </c>
      <c r="S350" s="5" t="n">
        <v>126</v>
      </c>
      <c r="T350" s="5" t="n">
        <v>78</v>
      </c>
      <c r="U350" s="48" t="inlineStr">
        <is>
          <t>Cascade</t>
        </is>
      </c>
    </row>
    <row r="351">
      <c r="A351" s="5" t="inlineStr">
        <is>
          <t>Bella Mirage</t>
        </is>
      </c>
      <c r="B351" s="5" t="inlineStr">
        <is>
          <t>Cascade</t>
        </is>
      </c>
      <c r="C351" s="5" t="inlineStr">
        <is>
          <t>4214</t>
        </is>
      </c>
      <c r="D351" s="5" t="n">
        <v>4</v>
      </c>
      <c r="E351" s="5" t="n">
        <v>1</v>
      </c>
      <c r="F351" s="5" t="n">
        <v>1</v>
      </c>
      <c r="G351" s="5" t="inlineStr"/>
      <c r="H351" s="5" t="n">
        <v>777</v>
      </c>
      <c r="I351" s="5" t="inlineStr">
        <is>
          <t>9/4/2026</t>
        </is>
      </c>
      <c r="J351" s="5" t="n">
        <v>300</v>
      </c>
      <c r="K351" s="5" t="n">
        <v>13</v>
      </c>
      <c r="L351" s="5" t="inlineStr">
        <is>
          <t>60%</t>
        </is>
      </c>
      <c r="M351" s="5" t="n">
        <v>1243</v>
      </c>
      <c r="N351" s="5" t="n">
        <v>1.6</v>
      </c>
      <c r="O351" s="5" t="n">
        <v>1243</v>
      </c>
      <c r="P351" s="5" t="n">
        <v>1.6</v>
      </c>
      <c r="Q351" s="5" t="inlineStr">
        <is>
          <t>2026-05-08</t>
        </is>
      </c>
      <c r="R351" s="5" t="inlineStr">
        <is>
          <t>2026-06-17</t>
        </is>
      </c>
      <c r="S351" s="5" t="n">
        <v>41</v>
      </c>
      <c r="T351" s="5" t="n">
        <v>0</v>
      </c>
      <c r="U351" s="48" t="inlineStr">
        <is>
          <t>Cascade</t>
        </is>
      </c>
    </row>
    <row r="352">
      <c r="A352" s="5" t="inlineStr">
        <is>
          <t>Bella Mirage</t>
        </is>
      </c>
      <c r="B352" s="5" t="inlineStr">
        <is>
          <t>Cascade</t>
        </is>
      </c>
      <c r="C352" s="5" t="inlineStr">
        <is>
          <t>0123</t>
        </is>
      </c>
      <c r="D352" s="5" t="inlineStr"/>
      <c r="E352" s="5" t="n">
        <v>1</v>
      </c>
      <c r="F352" s="5" t="n">
        <v>1</v>
      </c>
      <c r="G352" s="5" t="inlineStr"/>
      <c r="H352" s="5" t="n">
        <v>777</v>
      </c>
      <c r="I352" s="5" t="inlineStr">
        <is>
          <t>4/30/2026</t>
        </is>
      </c>
      <c r="J352" s="5" t="n">
        <v>300</v>
      </c>
      <c r="K352" s="5" t="n">
        <v>12</v>
      </c>
      <c r="L352" s="5" t="inlineStr">
        <is>
          <t>60%</t>
        </is>
      </c>
      <c r="M352" s="5" t="n">
        <v>1248</v>
      </c>
      <c r="N352" s="5" t="n">
        <v>1.61</v>
      </c>
      <c r="O352" s="5" t="n">
        <v>1248</v>
      </c>
      <c r="P352" s="5" t="n">
        <v>1.61</v>
      </c>
      <c r="Q352" s="5" t="inlineStr">
        <is>
          <t>2026-03-01</t>
        </is>
      </c>
      <c r="R352" s="5" t="inlineStr">
        <is>
          <t>2026-05-14</t>
        </is>
      </c>
      <c r="S352" s="5" t="n">
        <v>75</v>
      </c>
      <c r="T352" s="5" t="n">
        <v>15</v>
      </c>
      <c r="U352" s="48" t="inlineStr">
        <is>
          <t>Cascade</t>
        </is>
      </c>
    </row>
    <row r="353">
      <c r="A353" s="5" t="inlineStr">
        <is>
          <t>Bella Mirage</t>
        </is>
      </c>
      <c r="B353" s="5" t="inlineStr">
        <is>
          <t>Cascade</t>
        </is>
      </c>
      <c r="C353" s="5" t="inlineStr">
        <is>
          <t>2727</t>
        </is>
      </c>
      <c r="D353" s="5" t="n">
        <v>2</v>
      </c>
      <c r="E353" s="5" t="n">
        <v>1</v>
      </c>
      <c r="F353" s="5" t="n">
        <v>1</v>
      </c>
      <c r="G353" s="5" t="inlineStr"/>
      <c r="H353" s="5" t="n">
        <v>777</v>
      </c>
      <c r="I353" s="5" t="inlineStr">
        <is>
          <t>12/31/2023</t>
        </is>
      </c>
      <c r="J353" s="5" t="inlineStr"/>
      <c r="K353" s="5" t="inlineStr"/>
      <c r="L353" s="5" t="inlineStr">
        <is>
          <t>60%</t>
        </is>
      </c>
      <c r="M353" s="5" t="n">
        <v>1383</v>
      </c>
      <c r="N353" s="5" t="n">
        <v>1.78</v>
      </c>
      <c r="O353" s="5" t="n">
        <v>1268</v>
      </c>
      <c r="P353" s="5" t="n">
        <v>1.63</v>
      </c>
      <c r="Q353" s="5" t="inlineStr">
        <is>
          <t>2023-12-31</t>
        </is>
      </c>
      <c r="R353" s="5" t="inlineStr">
        <is>
          <t>2024-01-31</t>
        </is>
      </c>
      <c r="S353" s="5" t="n">
        <v>32</v>
      </c>
      <c r="T353" s="5" t="n">
        <v>32</v>
      </c>
      <c r="U353" s="48" t="inlineStr">
        <is>
          <t>Cascade</t>
        </is>
      </c>
    </row>
    <row r="354">
      <c r="A354" s="5" t="inlineStr">
        <is>
          <t>Bella Mirage</t>
        </is>
      </c>
      <c r="B354" s="5" t="inlineStr">
        <is>
          <t>Cascade</t>
        </is>
      </c>
      <c r="C354" s="5" t="inlineStr">
        <is>
          <t>2727</t>
        </is>
      </c>
      <c r="D354" s="5" t="n">
        <v>2</v>
      </c>
      <c r="E354" s="5" t="n">
        <v>1</v>
      </c>
      <c r="F354" s="5" t="n">
        <v>1</v>
      </c>
      <c r="G354" s="5" t="inlineStr"/>
      <c r="H354" s="5" t="n">
        <v>777</v>
      </c>
      <c r="I354" s="5" t="inlineStr">
        <is>
          <t>12/15/2025</t>
        </is>
      </c>
      <c r="J354" s="5" t="n">
        <v>300</v>
      </c>
      <c r="K354" s="5" t="n">
        <v>12</v>
      </c>
      <c r="L354" s="5" t="inlineStr">
        <is>
          <t>60%</t>
        </is>
      </c>
      <c r="M354" s="5" t="n">
        <v>1249</v>
      </c>
      <c r="N354" s="5" t="n">
        <v>1.61</v>
      </c>
      <c r="O354" s="5" t="n">
        <v>1249</v>
      </c>
      <c r="P354" s="5" t="n">
        <v>1.61</v>
      </c>
      <c r="Q354" s="5" t="inlineStr">
        <is>
          <t>2025-11-14</t>
        </is>
      </c>
      <c r="R354" s="5" t="inlineStr">
        <is>
          <t>2026-03-28</t>
        </is>
      </c>
      <c r="S354" s="5" t="n">
        <v>135</v>
      </c>
      <c r="T354" s="5" t="n">
        <v>104</v>
      </c>
      <c r="U354" s="48" t="inlineStr">
        <is>
          <t>Cascade</t>
        </is>
      </c>
    </row>
    <row r="355">
      <c r="A355" s="5" t="inlineStr">
        <is>
          <t>Bella Mirage</t>
        </is>
      </c>
      <c r="B355" s="5" t="inlineStr">
        <is>
          <t>Cascade</t>
        </is>
      </c>
      <c r="C355" s="5" t="inlineStr">
        <is>
          <t>3827</t>
        </is>
      </c>
      <c r="D355" s="5" t="inlineStr"/>
      <c r="E355" s="5" t="n">
        <v>1</v>
      </c>
      <c r="F355" s="5" t="n">
        <v>1</v>
      </c>
      <c r="G355" s="5" t="inlineStr"/>
      <c r="H355" s="5" t="n">
        <v>777</v>
      </c>
      <c r="I355" s="5" t="inlineStr">
        <is>
          <t>7/27/2025</t>
        </is>
      </c>
      <c r="J355" s="5" t="n">
        <v>200</v>
      </c>
      <c r="K355" s="5" t="n">
        <v>12</v>
      </c>
      <c r="L355" s="5" t="inlineStr">
        <is>
          <t>60%</t>
        </is>
      </c>
      <c r="M355" s="5" t="n">
        <v>1254</v>
      </c>
      <c r="N355" s="5" t="n">
        <v>1.61</v>
      </c>
      <c r="O355" s="5" t="n">
        <v>1150</v>
      </c>
      <c r="P355" s="5" t="n">
        <v>1.48</v>
      </c>
      <c r="Q355" s="5" t="inlineStr">
        <is>
          <t>2025-05-14</t>
        </is>
      </c>
      <c r="R355" s="5" t="inlineStr">
        <is>
          <t>2025-06-22</t>
        </is>
      </c>
      <c r="S355" s="5" t="n">
        <v>40</v>
      </c>
      <c r="T355" s="5" t="n">
        <v>0</v>
      </c>
      <c r="U355" s="48" t="inlineStr">
        <is>
          <t>Cascade</t>
        </is>
      </c>
    </row>
    <row r="356">
      <c r="A356" s="5" t="inlineStr">
        <is>
          <t>Bella Mirage</t>
        </is>
      </c>
      <c r="B356" s="5" t="inlineStr">
        <is>
          <t>Cascade</t>
        </is>
      </c>
      <c r="C356" s="5" t="inlineStr">
        <is>
          <t>3328</t>
        </is>
      </c>
      <c r="D356" s="5" t="n">
        <v>3</v>
      </c>
      <c r="E356" s="5" t="n">
        <v>1</v>
      </c>
      <c r="F356" s="5" t="n">
        <v>1</v>
      </c>
      <c r="G356" s="5" t="inlineStr"/>
      <c r="H356" s="5" t="n">
        <v>777</v>
      </c>
      <c r="I356" s="5" t="inlineStr">
        <is>
          <t>12/22/2023</t>
        </is>
      </c>
      <c r="J356" s="5" t="inlineStr"/>
      <c r="K356" s="5" t="inlineStr"/>
      <c r="L356" s="5" t="inlineStr">
        <is>
          <t>60%</t>
        </is>
      </c>
      <c r="M356" s="5" t="n">
        <v>1241</v>
      </c>
      <c r="N356" s="5" t="n">
        <v>1.6</v>
      </c>
      <c r="O356" s="5" t="n">
        <v>1138</v>
      </c>
      <c r="P356" s="5" t="n">
        <v>1.46</v>
      </c>
      <c r="Q356" s="5" t="inlineStr">
        <is>
          <t>2023-12-22</t>
        </is>
      </c>
      <c r="R356" s="5" t="inlineStr">
        <is>
          <t>2024-01-03</t>
        </is>
      </c>
      <c r="S356" s="5" t="n">
        <v>13</v>
      </c>
      <c r="T356" s="5" t="n">
        <v>13</v>
      </c>
      <c r="U356" s="48" t="inlineStr">
        <is>
          <t>Cascade</t>
        </is>
      </c>
    </row>
    <row r="357">
      <c r="A357" s="5" t="inlineStr">
        <is>
          <t>Bella Mirage</t>
        </is>
      </c>
      <c r="B357" s="5" t="inlineStr">
        <is>
          <t>Cascade</t>
        </is>
      </c>
      <c r="C357" s="5" t="inlineStr">
        <is>
          <t>3328</t>
        </is>
      </c>
      <c r="D357" s="5" t="n">
        <v>3</v>
      </c>
      <c r="E357" s="5" t="n">
        <v>1</v>
      </c>
      <c r="F357" s="5" t="n">
        <v>1</v>
      </c>
      <c r="G357" s="5" t="inlineStr"/>
      <c r="H357" s="5" t="n">
        <v>777</v>
      </c>
      <c r="I357" s="5" t="inlineStr">
        <is>
          <t>12/12/2024</t>
        </is>
      </c>
      <c r="J357" s="5" t="n">
        <v>200</v>
      </c>
      <c r="K357" s="5" t="n">
        <v>13</v>
      </c>
      <c r="L357" s="5" t="inlineStr">
        <is>
          <t>60%</t>
        </is>
      </c>
      <c r="M357" s="5" t="n">
        <v>1255</v>
      </c>
      <c r="N357" s="5" t="n">
        <v>1.62</v>
      </c>
      <c r="O357" s="5" t="n">
        <v>1158</v>
      </c>
      <c r="P357" s="5" t="n">
        <v>1.49</v>
      </c>
      <c r="Q357" s="5" t="inlineStr">
        <is>
          <t>2024-10-24</t>
        </is>
      </c>
      <c r="R357" s="5" t="inlineStr">
        <is>
          <t>2025-01-07</t>
        </is>
      </c>
      <c r="S357" s="5" t="n">
        <v>76</v>
      </c>
      <c r="T357" s="5" t="n">
        <v>27</v>
      </c>
      <c r="U357" s="48" t="inlineStr">
        <is>
          <t>Cascade</t>
        </is>
      </c>
    </row>
    <row r="358">
      <c r="A358" s="5" t="inlineStr">
        <is>
          <t>Bella Mirage</t>
        </is>
      </c>
      <c r="B358" s="5" t="inlineStr">
        <is>
          <t>Cascade</t>
        </is>
      </c>
      <c r="C358" s="5" t="inlineStr">
        <is>
          <t>3028</t>
        </is>
      </c>
      <c r="D358" s="5" t="n">
        <v>3</v>
      </c>
      <c r="E358" s="5" t="n">
        <v>1</v>
      </c>
      <c r="F358" s="5" t="n">
        <v>1</v>
      </c>
      <c r="G358" s="5" t="inlineStr"/>
      <c r="H358" s="5" t="n">
        <v>777</v>
      </c>
      <c r="I358" s="5" t="inlineStr">
        <is>
          <t>4/22/2024</t>
        </is>
      </c>
      <c r="J358" s="5" t="n">
        <v>200</v>
      </c>
      <c r="K358" s="5" t="n">
        <v>12</v>
      </c>
      <c r="L358" s="5" t="inlineStr">
        <is>
          <t>60%</t>
        </is>
      </c>
      <c r="M358" s="5" t="n">
        <v>1413</v>
      </c>
      <c r="N358" s="5" t="n">
        <v>1.82</v>
      </c>
      <c r="O358" s="5" t="n">
        <v>1295</v>
      </c>
      <c r="P358" s="5" t="n">
        <v>1.67</v>
      </c>
      <c r="Q358" s="5" t="inlineStr">
        <is>
          <t>2024-02-16</t>
        </is>
      </c>
      <c r="R358" s="5" t="inlineStr">
        <is>
          <t>2024-05-18</t>
        </is>
      </c>
      <c r="S358" s="5" t="n">
        <v>93</v>
      </c>
      <c r="T358" s="5" t="n">
        <v>27</v>
      </c>
      <c r="U358" s="48" t="inlineStr">
        <is>
          <t>Cascade</t>
        </is>
      </c>
    </row>
    <row r="359">
      <c r="A359" s="5" t="inlineStr">
        <is>
          <t>Bella Mirage</t>
        </is>
      </c>
      <c r="B359" s="5" t="inlineStr">
        <is>
          <t>Cascade</t>
        </is>
      </c>
      <c r="C359" s="5" t="inlineStr">
        <is>
          <t>3028</t>
        </is>
      </c>
      <c r="D359" s="5" t="n">
        <v>3</v>
      </c>
      <c r="E359" s="5" t="n">
        <v>1</v>
      </c>
      <c r="F359" s="5" t="n">
        <v>1</v>
      </c>
      <c r="G359" s="5" t="inlineStr"/>
      <c r="H359" s="5" t="n">
        <v>777</v>
      </c>
      <c r="I359" s="5" t="inlineStr">
        <is>
          <t>3/30/2025</t>
        </is>
      </c>
      <c r="J359" s="5" t="n">
        <v>200</v>
      </c>
      <c r="K359" s="5" t="n">
        <v>12</v>
      </c>
      <c r="L359" s="5" t="inlineStr">
        <is>
          <t>60%</t>
        </is>
      </c>
      <c r="M359" s="5" t="n">
        <v>1255</v>
      </c>
      <c r="N359" s="5" t="n">
        <v>1.62</v>
      </c>
      <c r="O359" s="5" t="n">
        <v>1150</v>
      </c>
      <c r="P359" s="5" t="n">
        <v>1.48</v>
      </c>
      <c r="Q359" s="5" t="inlineStr">
        <is>
          <t>2025-03-22</t>
        </is>
      </c>
      <c r="R359" s="5" t="inlineStr">
        <is>
          <t>2025-07-12</t>
        </is>
      </c>
      <c r="S359" s="5" t="n">
        <v>113</v>
      </c>
      <c r="T359" s="5" t="n">
        <v>105</v>
      </c>
      <c r="U359" s="48" t="inlineStr">
        <is>
          <t>Cascade</t>
        </is>
      </c>
    </row>
    <row r="360">
      <c r="A360" s="5" t="inlineStr">
        <is>
          <t>Bella Mirage</t>
        </is>
      </c>
      <c r="B360" s="5" t="inlineStr">
        <is>
          <t>Cascade</t>
        </is>
      </c>
      <c r="C360" s="5" t="inlineStr">
        <is>
          <t>0112</t>
        </is>
      </c>
      <c r="D360" s="5" t="inlineStr"/>
      <c r="E360" s="5" t="n">
        <v>1</v>
      </c>
      <c r="F360" s="5" t="n">
        <v>1</v>
      </c>
      <c r="G360" s="5" t="inlineStr"/>
      <c r="H360" s="5" t="n">
        <v>777</v>
      </c>
      <c r="I360" s="5" t="inlineStr">
        <is>
          <t>1/19/2025</t>
        </is>
      </c>
      <c r="J360" s="5" t="n">
        <v>200</v>
      </c>
      <c r="K360" s="5" t="n">
        <v>12</v>
      </c>
      <c r="L360" s="5" t="inlineStr">
        <is>
          <t>60%</t>
        </is>
      </c>
      <c r="M360" s="5" t="n">
        <v>1258</v>
      </c>
      <c r="N360" s="5" t="n">
        <v>1.62</v>
      </c>
      <c r="O360" s="5" t="n">
        <v>1153</v>
      </c>
      <c r="P360" s="5" t="n">
        <v>1.48</v>
      </c>
      <c r="Q360" s="5" t="inlineStr">
        <is>
          <t>2024-11-04</t>
        </is>
      </c>
      <c r="R360" s="5" t="inlineStr">
        <is>
          <t>2025-06-10</t>
        </is>
      </c>
      <c r="S360" s="5" t="n">
        <v>219</v>
      </c>
      <c r="T360" s="5" t="n">
        <v>143</v>
      </c>
      <c r="U360" s="48" t="inlineStr">
        <is>
          <t>Cascade</t>
        </is>
      </c>
    </row>
    <row r="361">
      <c r="A361" s="5" t="inlineStr">
        <is>
          <t>Bella Mirage</t>
        </is>
      </c>
      <c r="B361" s="5" t="inlineStr">
        <is>
          <t>Cascade</t>
        </is>
      </c>
      <c r="C361" s="5" t="inlineStr">
        <is>
          <t>0121</t>
        </is>
      </c>
      <c r="D361" s="5" t="inlineStr"/>
      <c r="E361" s="5" t="n">
        <v>1</v>
      </c>
      <c r="F361" s="5" t="n">
        <v>1</v>
      </c>
      <c r="G361" s="5" t="inlineStr"/>
      <c r="H361" s="5" t="n">
        <v>777</v>
      </c>
      <c r="I361" s="5" t="inlineStr">
        <is>
          <t>5/31/2024</t>
        </is>
      </c>
      <c r="J361" s="5" t="n">
        <v>200</v>
      </c>
      <c r="K361" s="5" t="n">
        <v>12</v>
      </c>
      <c r="L361" s="5" t="inlineStr">
        <is>
          <t>60%</t>
        </is>
      </c>
      <c r="M361" s="5" t="n">
        <v>1260</v>
      </c>
      <c r="N361" s="5" t="n">
        <v>1.62</v>
      </c>
      <c r="O361" s="5" t="n">
        <v>1155</v>
      </c>
      <c r="P361" s="5" t="n">
        <v>1.49</v>
      </c>
      <c r="Q361" s="5" t="inlineStr">
        <is>
          <t>2024-02-22</t>
        </is>
      </c>
      <c r="R361" s="5" t="inlineStr">
        <is>
          <t>2024-03-10</t>
        </is>
      </c>
      <c r="S361" s="5" t="n">
        <v>18</v>
      </c>
      <c r="T361" s="5" t="n">
        <v>0</v>
      </c>
      <c r="U361" s="48" t="inlineStr">
        <is>
          <t>Cascade</t>
        </is>
      </c>
    </row>
    <row r="362">
      <c r="A362" s="5" t="inlineStr">
        <is>
          <t>Bella Mirage</t>
        </is>
      </c>
      <c r="B362" s="5" t="inlineStr">
        <is>
          <t>Cascade</t>
        </is>
      </c>
      <c r="C362" s="5" t="inlineStr">
        <is>
          <t>0117</t>
        </is>
      </c>
      <c r="D362" s="5" t="inlineStr"/>
      <c r="E362" s="5" t="n">
        <v>1</v>
      </c>
      <c r="F362" s="5" t="n">
        <v>1</v>
      </c>
      <c r="G362" s="5" t="inlineStr"/>
      <c r="H362" s="5" t="n">
        <v>777</v>
      </c>
      <c r="I362" s="5" t="inlineStr">
        <is>
          <t>6/30/2024</t>
        </is>
      </c>
      <c r="J362" s="5" t="n">
        <v>200</v>
      </c>
      <c r="K362" s="5" t="n">
        <v>12</v>
      </c>
      <c r="L362" s="5" t="inlineStr">
        <is>
          <t>60%</t>
        </is>
      </c>
      <c r="M362" s="5" t="n">
        <v>1428</v>
      </c>
      <c r="N362" s="5" t="n">
        <v>1.84</v>
      </c>
      <c r="O362" s="5" t="n">
        <v>1428</v>
      </c>
      <c r="P362" s="5" t="n">
        <v>1.84</v>
      </c>
      <c r="Q362" s="5" t="inlineStr">
        <is>
          <t>2024-04-27</t>
        </is>
      </c>
      <c r="R362" s="5" t="inlineStr">
        <is>
          <t>2024-06-24</t>
        </is>
      </c>
      <c r="S362" s="5" t="n">
        <v>59</v>
      </c>
      <c r="T362" s="5" t="n">
        <v>0</v>
      </c>
      <c r="U362" s="48" t="inlineStr">
        <is>
          <t>Cascade</t>
        </is>
      </c>
    </row>
    <row r="363">
      <c r="A363" s="5" t="inlineStr">
        <is>
          <t>Bella Mirage</t>
        </is>
      </c>
      <c r="B363" s="5" t="inlineStr">
        <is>
          <t>Cascade</t>
        </is>
      </c>
      <c r="C363" s="5" t="inlineStr">
        <is>
          <t>0117</t>
        </is>
      </c>
      <c r="D363" s="5" t="inlineStr"/>
      <c r="E363" s="5" t="n">
        <v>1</v>
      </c>
      <c r="F363" s="5" t="n">
        <v>1</v>
      </c>
      <c r="G363" s="5" t="inlineStr"/>
      <c r="H363" s="5" t="n">
        <v>777</v>
      </c>
      <c r="I363" s="5" t="inlineStr">
        <is>
          <t>7/19/2025</t>
        </is>
      </c>
      <c r="J363" s="5" t="n">
        <v>200</v>
      </c>
      <c r="K363" s="5" t="n">
        <v>12</v>
      </c>
      <c r="L363" s="5" t="inlineStr">
        <is>
          <t>60%</t>
        </is>
      </c>
      <c r="M363" s="5" t="n">
        <v>1361</v>
      </c>
      <c r="N363" s="5" t="n">
        <v>1.75</v>
      </c>
      <c r="O363" s="5" t="n">
        <v>1248</v>
      </c>
      <c r="P363" s="5" t="n">
        <v>1.61</v>
      </c>
      <c r="Q363" s="5" t="inlineStr">
        <is>
          <t>2025-05-20</t>
        </is>
      </c>
      <c r="R363" s="5" t="inlineStr">
        <is>
          <t>2025-05-24</t>
        </is>
      </c>
      <c r="S363" s="5" t="n">
        <v>5</v>
      </c>
      <c r="T363" s="5" t="n">
        <v>0</v>
      </c>
      <c r="U363" s="48" t="inlineStr">
        <is>
          <t>Cascade</t>
        </is>
      </c>
    </row>
    <row r="364">
      <c r="A364" s="5" t="inlineStr">
        <is>
          <t>Bella Mirage</t>
        </is>
      </c>
      <c r="B364" s="5" t="inlineStr">
        <is>
          <t>Cascade</t>
        </is>
      </c>
      <c r="C364" s="5" t="inlineStr">
        <is>
          <t>0117</t>
        </is>
      </c>
      <c r="D364" s="5" t="inlineStr"/>
      <c r="E364" s="5" t="n">
        <v>1</v>
      </c>
      <c r="F364" s="5" t="n">
        <v>1</v>
      </c>
      <c r="G364" s="5" t="inlineStr"/>
      <c r="H364" s="5" t="n">
        <v>777</v>
      </c>
      <c r="I364" s="5" t="inlineStr">
        <is>
          <t>12/8/2025</t>
        </is>
      </c>
      <c r="J364" s="5" t="n">
        <v>300</v>
      </c>
      <c r="K364" s="5" t="n">
        <v>12</v>
      </c>
      <c r="L364" s="5" t="inlineStr">
        <is>
          <t>60%</t>
        </is>
      </c>
      <c r="M364" s="5" t="n">
        <v>1260</v>
      </c>
      <c r="N364" s="5" t="n">
        <v>1.62</v>
      </c>
      <c r="O364" s="5" t="n">
        <v>1260</v>
      </c>
      <c r="P364" s="5" t="n">
        <v>1.62</v>
      </c>
      <c r="Q364" s="5" t="inlineStr">
        <is>
          <t>2025-10-02</t>
        </is>
      </c>
      <c r="R364" s="5" t="inlineStr">
        <is>
          <t>2026-02-03</t>
        </is>
      </c>
      <c r="S364" s="5" t="n">
        <v>125</v>
      </c>
      <c r="T364" s="5" t="n">
        <v>58</v>
      </c>
      <c r="U364" s="48" t="inlineStr">
        <is>
          <t>Cascade</t>
        </is>
      </c>
    </row>
    <row r="365">
      <c r="A365" s="5" t="inlineStr">
        <is>
          <t>Bella Mirage</t>
        </is>
      </c>
      <c r="B365" s="5" t="inlineStr">
        <is>
          <t>Cascade</t>
        </is>
      </c>
      <c r="C365" s="5" t="inlineStr">
        <is>
          <t>1822</t>
        </is>
      </c>
      <c r="D365" s="5" t="n">
        <v>2</v>
      </c>
      <c r="E365" s="5" t="n">
        <v>1</v>
      </c>
      <c r="F365" s="5" t="n">
        <v>1</v>
      </c>
      <c r="G365" s="5" t="inlineStr"/>
      <c r="H365" s="5" t="n">
        <v>777</v>
      </c>
      <c r="I365" s="5" t="inlineStr">
        <is>
          <t>3/22/2024</t>
        </is>
      </c>
      <c r="J365" s="5" t="n">
        <v>200</v>
      </c>
      <c r="K365" s="5" t="n">
        <v>13</v>
      </c>
      <c r="L365" s="5" t="inlineStr">
        <is>
          <t>60%</t>
        </is>
      </c>
      <c r="M365" s="5" t="n">
        <v>1267</v>
      </c>
      <c r="N365" s="5" t="n">
        <v>1.63</v>
      </c>
      <c r="O365" s="5" t="n">
        <v>1267</v>
      </c>
      <c r="P365" s="5" t="n">
        <v>1.63</v>
      </c>
      <c r="Q365" s="5" t="inlineStr">
        <is>
          <t>2024-02-12</t>
        </is>
      </c>
      <c r="R365" s="5" t="inlineStr">
        <is>
          <t>2024-06-18</t>
        </is>
      </c>
      <c r="S365" s="5" t="n">
        <v>128</v>
      </c>
      <c r="T365" s="5" t="n">
        <v>89</v>
      </c>
      <c r="U365" s="48" t="inlineStr">
        <is>
          <t>Cascade</t>
        </is>
      </c>
    </row>
    <row r="366">
      <c r="A366" s="5" t="inlineStr">
        <is>
          <t>Bella Mirage</t>
        </is>
      </c>
      <c r="B366" s="5" t="inlineStr">
        <is>
          <t>Cascade</t>
        </is>
      </c>
      <c r="C366" s="5" t="inlineStr">
        <is>
          <t>1822</t>
        </is>
      </c>
      <c r="D366" s="5" t="n">
        <v>2</v>
      </c>
      <c r="E366" s="5" t="n">
        <v>1</v>
      </c>
      <c r="F366" s="5" t="n">
        <v>1</v>
      </c>
      <c r="G366" s="5" t="inlineStr"/>
      <c r="H366" s="5" t="n">
        <v>777</v>
      </c>
      <c r="I366" s="5" t="inlineStr">
        <is>
          <t>12/14/2024</t>
        </is>
      </c>
      <c r="J366" s="5" t="n">
        <v>200</v>
      </c>
      <c r="K366" s="5" t="n">
        <v>13</v>
      </c>
      <c r="L366" s="5" t="inlineStr">
        <is>
          <t>60%</t>
        </is>
      </c>
      <c r="M366" s="5" t="n">
        <v>1361</v>
      </c>
      <c r="N366" s="5" t="n">
        <v>1.75</v>
      </c>
      <c r="O366" s="5" t="n">
        <v>1256</v>
      </c>
      <c r="P366" s="5" t="n">
        <v>1.62</v>
      </c>
      <c r="Q366" s="5" t="inlineStr">
        <is>
          <t>2024-12-06</t>
        </is>
      </c>
      <c r="R366" s="5" t="inlineStr">
        <is>
          <t>2025-01-28</t>
        </is>
      </c>
      <c r="S366" s="5" t="n">
        <v>54</v>
      </c>
      <c r="T366" s="5" t="n">
        <v>46</v>
      </c>
      <c r="U366" s="48" t="inlineStr">
        <is>
          <t>Cascade</t>
        </is>
      </c>
    </row>
    <row r="367">
      <c r="A367" s="5" t="inlineStr">
        <is>
          <t>Bella Mirage</t>
        </is>
      </c>
      <c r="B367" s="5" t="inlineStr">
        <is>
          <t>Cascade</t>
        </is>
      </c>
      <c r="C367" s="5" t="inlineStr">
        <is>
          <t>0132</t>
        </is>
      </c>
      <c r="D367" s="5" t="inlineStr"/>
      <c r="E367" s="5" t="n">
        <v>1</v>
      </c>
      <c r="F367" s="5" t="n">
        <v>1</v>
      </c>
      <c r="G367" s="5" t="inlineStr"/>
      <c r="H367" s="5" t="n">
        <v>777</v>
      </c>
      <c r="I367" s="5" t="inlineStr">
        <is>
          <t>6/17/2023</t>
        </is>
      </c>
      <c r="J367" s="5" t="inlineStr"/>
      <c r="K367" s="5" t="inlineStr"/>
      <c r="L367" s="5" t="inlineStr">
        <is>
          <t>60%</t>
        </is>
      </c>
      <c r="M367" s="5" t="n">
        <v>1335</v>
      </c>
      <c r="N367" s="5" t="n">
        <v>1.72</v>
      </c>
      <c r="O367" s="5" t="n">
        <v>1272</v>
      </c>
      <c r="P367" s="5" t="n">
        <v>1.64</v>
      </c>
      <c r="Q367" s="5" t="inlineStr"/>
      <c r="R367" s="5" t="inlineStr">
        <is>
          <t>2023-07-26</t>
        </is>
      </c>
      <c r="S367" s="5" t="inlineStr"/>
      <c r="T367" s="5" t="inlineStr"/>
      <c r="U367" s="48" t="inlineStr">
        <is>
          <t>Cascade</t>
        </is>
      </c>
    </row>
    <row r="368">
      <c r="A368" s="5" t="inlineStr">
        <is>
          <t>Bella Mirage</t>
        </is>
      </c>
      <c r="B368" s="5" t="inlineStr">
        <is>
          <t>Cascade</t>
        </is>
      </c>
      <c r="C368" s="5" t="inlineStr">
        <is>
          <t>0132</t>
        </is>
      </c>
      <c r="D368" s="5" t="inlineStr"/>
      <c r="E368" s="5" t="n">
        <v>1</v>
      </c>
      <c r="F368" s="5" t="n">
        <v>1</v>
      </c>
      <c r="G368" s="5" t="inlineStr"/>
      <c r="H368" s="5" t="n">
        <v>777</v>
      </c>
      <c r="I368" s="5" t="inlineStr">
        <is>
          <t>7/6/2024</t>
        </is>
      </c>
      <c r="J368" s="5" t="n">
        <v>200</v>
      </c>
      <c r="K368" s="5" t="n">
        <v>12</v>
      </c>
      <c r="L368" s="5" t="inlineStr">
        <is>
          <t>60%</t>
        </is>
      </c>
      <c r="M368" s="5" t="n">
        <v>1538</v>
      </c>
      <c r="N368" s="5" t="n">
        <v>1.98</v>
      </c>
      <c r="O368" s="5" t="n">
        <v>1410</v>
      </c>
      <c r="P368" s="5" t="n">
        <v>1.81</v>
      </c>
      <c r="Q368" s="5" t="inlineStr">
        <is>
          <t>2024-01-10</t>
        </is>
      </c>
      <c r="R368" s="5" t="inlineStr">
        <is>
          <t>2024-05-08</t>
        </is>
      </c>
      <c r="S368" s="5" t="n">
        <v>120</v>
      </c>
      <c r="T368" s="5" t="n">
        <v>0</v>
      </c>
      <c r="U368" s="48" t="inlineStr">
        <is>
          <t>Cascade</t>
        </is>
      </c>
    </row>
    <row r="369">
      <c r="A369" s="5" t="inlineStr">
        <is>
          <t>Bella Mirage</t>
        </is>
      </c>
      <c r="B369" s="5" t="inlineStr">
        <is>
          <t>Cascade</t>
        </is>
      </c>
      <c r="C369" s="5" t="inlineStr">
        <is>
          <t>0132</t>
        </is>
      </c>
      <c r="D369" s="5" t="inlineStr"/>
      <c r="E369" s="5" t="n">
        <v>1</v>
      </c>
      <c r="F369" s="5" t="n">
        <v>1</v>
      </c>
      <c r="G369" s="5" t="inlineStr"/>
      <c r="H369" s="5" t="n">
        <v>777</v>
      </c>
      <c r="I369" s="5" t="inlineStr">
        <is>
          <t>2/8/2025</t>
        </is>
      </c>
      <c r="J369" s="5" t="n">
        <v>200</v>
      </c>
      <c r="K369" s="5" t="n">
        <v>12</v>
      </c>
      <c r="L369" s="5" t="inlineStr">
        <is>
          <t>60%</t>
        </is>
      </c>
      <c r="M369" s="5" t="n">
        <v>1336</v>
      </c>
      <c r="N369" s="5" t="n">
        <v>1.72</v>
      </c>
      <c r="O369" s="5" t="n">
        <v>1225</v>
      </c>
      <c r="P369" s="5" t="n">
        <v>1.58</v>
      </c>
      <c r="Q369" s="5" t="inlineStr">
        <is>
          <t>2024-12-12</t>
        </is>
      </c>
      <c r="R369" s="5" t="inlineStr">
        <is>
          <t>2025-03-21</t>
        </is>
      </c>
      <c r="S369" s="5" t="n">
        <v>100</v>
      </c>
      <c r="T369" s="5" t="n">
        <v>42</v>
      </c>
      <c r="U369" s="48" t="inlineStr">
        <is>
          <t>Cascade</t>
        </is>
      </c>
    </row>
    <row r="370">
      <c r="A370" s="5" t="inlineStr">
        <is>
          <t>Bella Mirage</t>
        </is>
      </c>
      <c r="B370" s="5" t="inlineStr">
        <is>
          <t>Cascade</t>
        </is>
      </c>
      <c r="C370" s="5" t="inlineStr">
        <is>
          <t>0523</t>
        </is>
      </c>
      <c r="D370" s="5" t="inlineStr"/>
      <c r="E370" s="5" t="n">
        <v>1</v>
      </c>
      <c r="F370" s="5" t="n">
        <v>1</v>
      </c>
      <c r="G370" s="5" t="inlineStr"/>
      <c r="H370" s="5" t="n">
        <v>777</v>
      </c>
      <c r="I370" s="5" t="inlineStr">
        <is>
          <t>1/6/2026</t>
        </is>
      </c>
      <c r="J370" s="5" t="n">
        <v>300</v>
      </c>
      <c r="K370" s="5" t="n">
        <v>12</v>
      </c>
      <c r="L370" s="5" t="inlineStr">
        <is>
          <t>60%</t>
        </is>
      </c>
      <c r="M370" s="5" t="n">
        <v>1262</v>
      </c>
      <c r="N370" s="5" t="n">
        <v>1.62</v>
      </c>
      <c r="O370" s="5" t="n">
        <v>1262</v>
      </c>
      <c r="P370" s="5" t="n">
        <v>1.62</v>
      </c>
      <c r="Q370" s="5" t="inlineStr">
        <is>
          <t>2025-10-03</t>
        </is>
      </c>
      <c r="R370" s="5" t="inlineStr">
        <is>
          <t>2025-11-13</t>
        </is>
      </c>
      <c r="S370" s="5" t="n">
        <v>42</v>
      </c>
      <c r="T370" s="5" t="n">
        <v>0</v>
      </c>
      <c r="U370" s="48" t="inlineStr">
        <is>
          <t>Cascade</t>
        </is>
      </c>
    </row>
    <row r="371">
      <c r="A371" s="5" t="inlineStr">
        <is>
          <t>Bella Mirage</t>
        </is>
      </c>
      <c r="B371" s="5" t="inlineStr">
        <is>
          <t>Cascade</t>
        </is>
      </c>
      <c r="C371" s="5" t="inlineStr">
        <is>
          <t>5816</t>
        </is>
      </c>
      <c r="D371" s="5" t="inlineStr"/>
      <c r="E371" s="5" t="n">
        <v>1</v>
      </c>
      <c r="F371" s="5" t="n">
        <v>1</v>
      </c>
      <c r="G371" s="5" t="inlineStr"/>
      <c r="H371" s="5" t="n">
        <v>777</v>
      </c>
      <c r="I371" s="5" t="inlineStr">
        <is>
          <t>7/10/2024</t>
        </is>
      </c>
      <c r="J371" s="5" t="n">
        <v>200</v>
      </c>
      <c r="K371" s="5" t="n">
        <v>12</v>
      </c>
      <c r="L371" s="5" t="inlineStr">
        <is>
          <t>60%</t>
        </is>
      </c>
      <c r="M371" s="5" t="n">
        <v>1265</v>
      </c>
      <c r="N371" s="5" t="n">
        <v>1.63</v>
      </c>
      <c r="O371" s="5" t="n">
        <v>1265</v>
      </c>
      <c r="P371" s="5" t="n">
        <v>1.63</v>
      </c>
      <c r="Q371" s="5" t="inlineStr">
        <is>
          <t>2024-06-02</t>
        </is>
      </c>
      <c r="R371" s="5" t="inlineStr">
        <is>
          <t>2024-06-20</t>
        </is>
      </c>
      <c r="S371" s="5" t="n">
        <v>19</v>
      </c>
      <c r="T371" s="5" t="n">
        <v>0</v>
      </c>
      <c r="U371" s="48" t="inlineStr">
        <is>
          <t>Cascade</t>
        </is>
      </c>
    </row>
    <row r="372">
      <c r="A372" s="5" t="inlineStr">
        <is>
          <t>Bella Mirage</t>
        </is>
      </c>
      <c r="B372" s="5" t="inlineStr">
        <is>
          <t>Cascade</t>
        </is>
      </c>
      <c r="C372" s="5" t="inlineStr">
        <is>
          <t>4221</t>
        </is>
      </c>
      <c r="D372" s="5" t="inlineStr"/>
      <c r="E372" s="5" t="n">
        <v>1</v>
      </c>
      <c r="F372" s="5" t="n">
        <v>1</v>
      </c>
      <c r="G372" s="5" t="inlineStr"/>
      <c r="H372" s="5" t="n">
        <v>777</v>
      </c>
      <c r="I372" s="5" t="inlineStr">
        <is>
          <t>11/2/2023</t>
        </is>
      </c>
      <c r="J372" s="5" t="inlineStr"/>
      <c r="K372" s="5" t="inlineStr"/>
      <c r="L372" s="5" t="inlineStr">
        <is>
          <t>60%</t>
        </is>
      </c>
      <c r="M372" s="5" t="n">
        <v>1241</v>
      </c>
      <c r="N372" s="5" t="n">
        <v>1.6</v>
      </c>
      <c r="O372" s="5" t="n">
        <v>1138</v>
      </c>
      <c r="P372" s="5" t="n">
        <v>1.46</v>
      </c>
      <c r="Q372" s="5" t="inlineStr">
        <is>
          <t>2023-11-02</t>
        </is>
      </c>
      <c r="R372" s="5" t="inlineStr">
        <is>
          <t>2023-12-05</t>
        </is>
      </c>
      <c r="S372" s="5" t="n">
        <v>34</v>
      </c>
      <c r="T372" s="5" t="n">
        <v>34</v>
      </c>
      <c r="U372" s="48" t="inlineStr">
        <is>
          <t>Cascade</t>
        </is>
      </c>
    </row>
    <row r="373">
      <c r="A373" s="5" t="inlineStr">
        <is>
          <t>Bella Mirage</t>
        </is>
      </c>
      <c r="B373" s="5" t="inlineStr">
        <is>
          <t>Cascade</t>
        </is>
      </c>
      <c r="C373" s="5" t="inlineStr">
        <is>
          <t>4221</t>
        </is>
      </c>
      <c r="D373" s="5" t="inlineStr"/>
      <c r="E373" s="5" t="n">
        <v>1</v>
      </c>
      <c r="F373" s="5" t="n">
        <v>1</v>
      </c>
      <c r="G373" s="5" t="inlineStr"/>
      <c r="H373" s="5" t="n">
        <v>777</v>
      </c>
      <c r="I373" s="5" t="inlineStr">
        <is>
          <t>5/16/2024</t>
        </is>
      </c>
      <c r="J373" s="5" t="n">
        <v>200</v>
      </c>
      <c r="K373" s="5" t="n">
        <v>12</v>
      </c>
      <c r="L373" s="5" t="inlineStr">
        <is>
          <t>60%</t>
        </is>
      </c>
      <c r="M373" s="5" t="n">
        <v>1221</v>
      </c>
      <c r="N373" s="5" t="n">
        <v>1.57</v>
      </c>
      <c r="O373" s="5" t="n">
        <v>1221</v>
      </c>
      <c r="P373" s="5" t="n">
        <v>1.57</v>
      </c>
      <c r="Q373" s="5" t="inlineStr">
        <is>
          <t>2024-05-09</t>
        </is>
      </c>
      <c r="R373" s="5" t="inlineStr">
        <is>
          <t>2024-06-20</t>
        </is>
      </c>
      <c r="S373" s="5" t="n">
        <v>43</v>
      </c>
      <c r="T373" s="5" t="n">
        <v>36</v>
      </c>
      <c r="U373" s="48" t="inlineStr">
        <is>
          <t>Cascade</t>
        </is>
      </c>
    </row>
    <row r="374">
      <c r="A374" s="5" t="inlineStr">
        <is>
          <t>Bella Mirage</t>
        </is>
      </c>
      <c r="B374" s="5" t="inlineStr">
        <is>
          <t>Cascade</t>
        </is>
      </c>
      <c r="C374" s="5" t="inlineStr">
        <is>
          <t>4221</t>
        </is>
      </c>
      <c r="D374" s="5" t="inlineStr"/>
      <c r="E374" s="5" t="n">
        <v>1</v>
      </c>
      <c r="F374" s="5" t="n">
        <v>1</v>
      </c>
      <c r="G374" s="5" t="inlineStr"/>
      <c r="H374" s="5" t="n">
        <v>777</v>
      </c>
      <c r="I374" s="5" t="inlineStr">
        <is>
          <t>1/21/2025</t>
        </is>
      </c>
      <c r="J374" s="5" t="n">
        <v>200</v>
      </c>
      <c r="K374" s="5" t="n">
        <v>12</v>
      </c>
      <c r="L374" s="5" t="inlineStr">
        <is>
          <t>60%</t>
        </is>
      </c>
      <c r="M374" s="5" t="n">
        <v>1274</v>
      </c>
      <c r="N374" s="5" t="n">
        <v>1.64</v>
      </c>
      <c r="O374" s="5" t="n">
        <v>1168</v>
      </c>
      <c r="P374" s="5" t="n">
        <v>1.5</v>
      </c>
      <c r="Q374" s="5" t="inlineStr">
        <is>
          <t>2025-01-06</t>
        </is>
      </c>
      <c r="R374" s="5" t="inlineStr">
        <is>
          <t>2025-03-06</t>
        </is>
      </c>
      <c r="S374" s="5" t="n">
        <v>60</v>
      </c>
      <c r="T374" s="5" t="n">
        <v>45</v>
      </c>
      <c r="U374" s="48" t="inlineStr">
        <is>
          <t>Cascade</t>
        </is>
      </c>
    </row>
    <row r="375">
      <c r="A375" s="5" t="inlineStr">
        <is>
          <t>Bella Mirage</t>
        </is>
      </c>
      <c r="B375" s="5" t="inlineStr">
        <is>
          <t>Cascade</t>
        </is>
      </c>
      <c r="C375" s="5" t="inlineStr">
        <is>
          <t>4023</t>
        </is>
      </c>
      <c r="D375" s="5" t="n">
        <v>4</v>
      </c>
      <c r="E375" s="5" t="n">
        <v>1</v>
      </c>
      <c r="F375" s="5" t="n">
        <v>1</v>
      </c>
      <c r="G375" s="5" t="inlineStr"/>
      <c r="H375" s="5" t="n">
        <v>777</v>
      </c>
      <c r="I375" s="5" t="inlineStr">
        <is>
          <t>8/6/2025</t>
        </is>
      </c>
      <c r="J375" s="5" t="n">
        <v>200</v>
      </c>
      <c r="K375" s="5" t="n">
        <v>13</v>
      </c>
      <c r="L375" s="5" t="inlineStr">
        <is>
          <t>60%</t>
        </is>
      </c>
      <c r="M375" s="5" t="n">
        <v>1268</v>
      </c>
      <c r="N375" s="5" t="n">
        <v>1.63</v>
      </c>
      <c r="O375" s="5" t="n">
        <v>1170</v>
      </c>
      <c r="P375" s="5" t="n">
        <v>1.51</v>
      </c>
      <c r="Q375" s="5" t="inlineStr">
        <is>
          <t>2025-06-12</t>
        </is>
      </c>
      <c r="R375" s="5" t="inlineStr">
        <is>
          <t>2025-07-10</t>
        </is>
      </c>
      <c r="S375" s="5" t="n">
        <v>29</v>
      </c>
      <c r="T375" s="5" t="n">
        <v>0</v>
      </c>
      <c r="U375" s="48" t="inlineStr">
        <is>
          <t>Cascade</t>
        </is>
      </c>
    </row>
    <row r="376">
      <c r="A376" s="5" t="inlineStr">
        <is>
          <t>Bella Mirage</t>
        </is>
      </c>
      <c r="B376" s="5" t="inlineStr">
        <is>
          <t>Cascade</t>
        </is>
      </c>
      <c r="C376" s="5" t="inlineStr">
        <is>
          <t>3424</t>
        </is>
      </c>
      <c r="D376" s="5" t="n">
        <v>3</v>
      </c>
      <c r="E376" s="5" t="n">
        <v>1</v>
      </c>
      <c r="F376" s="5" t="n">
        <v>1</v>
      </c>
      <c r="G376" s="5" t="inlineStr"/>
      <c r="H376" s="5" t="n">
        <v>777</v>
      </c>
      <c r="I376" s="5" t="inlineStr">
        <is>
          <t>12/23/2024</t>
        </is>
      </c>
      <c r="J376" s="5" t="n">
        <v>200</v>
      </c>
      <c r="K376" s="5" t="n">
        <v>12</v>
      </c>
      <c r="L376" s="5" t="inlineStr">
        <is>
          <t>60%</t>
        </is>
      </c>
      <c r="M376" s="5" t="n">
        <v>1354</v>
      </c>
      <c r="N376" s="5" t="n">
        <v>1.74</v>
      </c>
      <c r="O376" s="5" t="n">
        <v>1241</v>
      </c>
      <c r="P376" s="5" t="n">
        <v>1.6</v>
      </c>
      <c r="Q376" s="5" t="inlineStr">
        <is>
          <t>2024-10-17</t>
        </is>
      </c>
      <c r="R376" s="5" t="inlineStr">
        <is>
          <t>2025-03-11</t>
        </is>
      </c>
      <c r="S376" s="5" t="n">
        <v>146</v>
      </c>
      <c r="T376" s="5" t="n">
        <v>79</v>
      </c>
      <c r="U376" s="48" t="inlineStr">
        <is>
          <t>Cascade</t>
        </is>
      </c>
    </row>
    <row r="377">
      <c r="A377" s="5" t="inlineStr">
        <is>
          <t>Bella Mirage</t>
        </is>
      </c>
      <c r="B377" s="5" t="inlineStr">
        <is>
          <t>Cascade</t>
        </is>
      </c>
      <c r="C377" s="5" t="inlineStr">
        <is>
          <t>3424</t>
        </is>
      </c>
      <c r="D377" s="5" t="n">
        <v>3</v>
      </c>
      <c r="E377" s="5" t="n">
        <v>1</v>
      </c>
      <c r="F377" s="5" t="n">
        <v>1</v>
      </c>
      <c r="G377" s="5" t="inlineStr"/>
      <c r="H377" s="5" t="n">
        <v>777</v>
      </c>
      <c r="I377" s="5" t="inlineStr">
        <is>
          <t>7/30/2025</t>
        </is>
      </c>
      <c r="J377" s="5" t="n">
        <v>200</v>
      </c>
      <c r="K377" s="5" t="n">
        <v>13</v>
      </c>
      <c r="L377" s="5" t="inlineStr">
        <is>
          <t>60%</t>
        </is>
      </c>
      <c r="M377" s="5" t="n">
        <v>1268</v>
      </c>
      <c r="N377" s="5" t="n">
        <v>1.63</v>
      </c>
      <c r="O377" s="5" t="n">
        <v>1170</v>
      </c>
      <c r="P377" s="5" t="n">
        <v>1.51</v>
      </c>
      <c r="Q377" s="5" t="inlineStr">
        <is>
          <t>2025-06-28</t>
        </is>
      </c>
      <c r="R377" s="5" t="inlineStr">
        <is>
          <t>2025-07-27</t>
        </is>
      </c>
      <c r="S377" s="5" t="n">
        <v>30</v>
      </c>
      <c r="T377" s="5" t="n">
        <v>0</v>
      </c>
      <c r="U377" s="48" t="inlineStr">
        <is>
          <t>Cascade</t>
        </is>
      </c>
    </row>
    <row r="378">
      <c r="A378" s="5" t="inlineStr">
        <is>
          <t>Bella Mirage</t>
        </is>
      </c>
      <c r="B378" s="5" t="inlineStr">
        <is>
          <t>Cascade</t>
        </is>
      </c>
      <c r="C378" s="5" t="inlineStr">
        <is>
          <t>3818</t>
        </is>
      </c>
      <c r="D378" s="5" t="n">
        <v>1</v>
      </c>
      <c r="E378" s="5" t="n">
        <v>1</v>
      </c>
      <c r="F378" s="5" t="n">
        <v>1</v>
      </c>
      <c r="G378" s="5" t="inlineStr"/>
      <c r="H378" s="5" t="n">
        <v>777</v>
      </c>
      <c r="I378" s="5" t="inlineStr">
        <is>
          <t>3/1/2024</t>
        </is>
      </c>
      <c r="J378" s="5" t="n">
        <v>200</v>
      </c>
      <c r="K378" s="5" t="n">
        <v>15</v>
      </c>
      <c r="L378" s="5" t="inlineStr">
        <is>
          <t>60%</t>
        </is>
      </c>
      <c r="M378" s="5" t="n">
        <v>1455</v>
      </c>
      <c r="N378" s="5" t="n">
        <v>1.87</v>
      </c>
      <c r="O378" s="5" t="n">
        <v>1358</v>
      </c>
      <c r="P378" s="5" t="n">
        <v>1.75</v>
      </c>
      <c r="Q378" s="5" t="inlineStr">
        <is>
          <t>2024-02-12</t>
        </is>
      </c>
      <c r="R378" s="5" t="inlineStr">
        <is>
          <t>2024-02-18</t>
        </is>
      </c>
      <c r="S378" s="5" t="n">
        <v>7</v>
      </c>
      <c r="T378" s="5" t="n">
        <v>0</v>
      </c>
      <c r="U378" s="48" t="inlineStr">
        <is>
          <t>Cascade</t>
        </is>
      </c>
    </row>
    <row r="379">
      <c r="A379" s="5" t="inlineStr">
        <is>
          <t>Bella Mirage</t>
        </is>
      </c>
      <c r="B379" s="5" t="inlineStr">
        <is>
          <t>Cascade</t>
        </is>
      </c>
      <c r="C379" s="5" t="inlineStr">
        <is>
          <t>3818</t>
        </is>
      </c>
      <c r="D379" s="5" t="n">
        <v>1</v>
      </c>
      <c r="E379" s="5" t="n">
        <v>1</v>
      </c>
      <c r="F379" s="5" t="n">
        <v>1</v>
      </c>
      <c r="G379" s="5" t="inlineStr"/>
      <c r="H379" s="5" t="n">
        <v>777</v>
      </c>
      <c r="I379" s="5" t="inlineStr">
        <is>
          <t>2/16/2026</t>
        </is>
      </c>
      <c r="J379" s="5" t="n">
        <v>300</v>
      </c>
      <c r="K379" s="5" t="n">
        <v>12</v>
      </c>
      <c r="L379" s="5" t="inlineStr">
        <is>
          <t>60%</t>
        </is>
      </c>
      <c r="M379" s="5" t="n">
        <v>1269</v>
      </c>
      <c r="N379" s="5" t="n">
        <v>1.63</v>
      </c>
      <c r="O379" s="5" t="n">
        <v>1269</v>
      </c>
      <c r="P379" s="5" t="n">
        <v>1.63</v>
      </c>
      <c r="Q379" s="5" t="inlineStr">
        <is>
          <t>2026-01-29</t>
        </is>
      </c>
      <c r="R379" s="5" t="inlineStr">
        <is>
          <t>2026-03-06</t>
        </is>
      </c>
      <c r="S379" s="5" t="n">
        <v>37</v>
      </c>
      <c r="T379" s="5" t="n">
        <v>19</v>
      </c>
      <c r="U379" s="48" t="inlineStr">
        <is>
          <t>Cascade</t>
        </is>
      </c>
    </row>
    <row r="380">
      <c r="A380" s="5" t="inlineStr">
        <is>
          <t>Bella Mirage</t>
        </is>
      </c>
      <c r="B380" s="5" t="inlineStr">
        <is>
          <t>Cascade</t>
        </is>
      </c>
      <c r="C380" s="5" t="inlineStr">
        <is>
          <t>0115</t>
        </is>
      </c>
      <c r="D380" s="5" t="inlineStr"/>
      <c r="E380" s="5" t="n">
        <v>1</v>
      </c>
      <c r="F380" s="5" t="n">
        <v>1</v>
      </c>
      <c r="G380" s="5" t="inlineStr"/>
      <c r="H380" s="5" t="n">
        <v>777</v>
      </c>
      <c r="I380" s="5" t="inlineStr">
        <is>
          <t>7/10/2024</t>
        </is>
      </c>
      <c r="J380" s="5" t="n">
        <v>200</v>
      </c>
      <c r="K380" s="5" t="n">
        <v>15</v>
      </c>
      <c r="L380" s="5" t="inlineStr">
        <is>
          <t>60%</t>
        </is>
      </c>
      <c r="M380" s="5" t="n">
        <v>1317</v>
      </c>
      <c r="N380" s="5" t="n">
        <v>1.69</v>
      </c>
      <c r="O380" s="5" t="n">
        <v>1317</v>
      </c>
      <c r="P380" s="5" t="n">
        <v>1.69</v>
      </c>
      <c r="Q380" s="5" t="inlineStr">
        <is>
          <t>2024-04-09</t>
        </is>
      </c>
      <c r="R380" s="5" t="inlineStr">
        <is>
          <t>2024-08-25</t>
        </is>
      </c>
      <c r="S380" s="5" t="n">
        <v>139</v>
      </c>
      <c r="T380" s="5" t="n">
        <v>47</v>
      </c>
      <c r="U380" s="48" t="inlineStr">
        <is>
          <t>Cascade</t>
        </is>
      </c>
    </row>
    <row r="381">
      <c r="A381" s="5" t="inlineStr">
        <is>
          <t>Bella Mirage</t>
        </is>
      </c>
      <c r="B381" s="5" t="inlineStr">
        <is>
          <t>Cascade</t>
        </is>
      </c>
      <c r="C381" s="5" t="inlineStr">
        <is>
          <t>0115</t>
        </is>
      </c>
      <c r="D381" s="5" t="inlineStr"/>
      <c r="E381" s="5" t="n">
        <v>1</v>
      </c>
      <c r="F381" s="5" t="n">
        <v>1</v>
      </c>
      <c r="G381" s="5" t="inlineStr"/>
      <c r="H381" s="5" t="n">
        <v>777</v>
      </c>
      <c r="I381" s="5" t="inlineStr">
        <is>
          <t>11/14/2025</t>
        </is>
      </c>
      <c r="J381" s="5" t="n">
        <v>300</v>
      </c>
      <c r="K381" s="5" t="n">
        <v>12</v>
      </c>
      <c r="L381" s="5" t="inlineStr">
        <is>
          <t>60%</t>
        </is>
      </c>
      <c r="M381" s="5" t="n">
        <v>1274</v>
      </c>
      <c r="N381" s="5" t="n">
        <v>1.64</v>
      </c>
      <c r="O381" s="5" t="n">
        <v>1274</v>
      </c>
      <c r="P381" s="5" t="n">
        <v>1.64</v>
      </c>
      <c r="Q381" s="5" t="inlineStr">
        <is>
          <t>2025-11-06</t>
        </is>
      </c>
      <c r="R381" s="5" t="inlineStr">
        <is>
          <t>2026-01-08</t>
        </is>
      </c>
      <c r="S381" s="5" t="n">
        <v>64</v>
      </c>
      <c r="T381" s="5" t="n">
        <v>56</v>
      </c>
      <c r="U381" s="48" t="inlineStr">
        <is>
          <t>Cascade</t>
        </is>
      </c>
    </row>
    <row r="382">
      <c r="A382" s="5" t="inlineStr">
        <is>
          <t>Bella Mirage</t>
        </is>
      </c>
      <c r="B382" s="5" t="inlineStr">
        <is>
          <t>Cascade</t>
        </is>
      </c>
      <c r="C382" s="5" t="inlineStr">
        <is>
          <t>2714</t>
        </is>
      </c>
      <c r="D382" s="5" t="inlineStr"/>
      <c r="E382" s="5" t="n">
        <v>1</v>
      </c>
      <c r="F382" s="5" t="n">
        <v>1</v>
      </c>
      <c r="G382" s="5" t="inlineStr"/>
      <c r="H382" s="5" t="n">
        <v>777</v>
      </c>
      <c r="I382" s="5" t="inlineStr">
        <is>
          <t>6/17/2023</t>
        </is>
      </c>
      <c r="J382" s="5" t="inlineStr"/>
      <c r="K382" s="5" t="inlineStr"/>
      <c r="L382" s="5" t="inlineStr">
        <is>
          <t>60%</t>
        </is>
      </c>
      <c r="M382" s="5" t="n">
        <v>1358</v>
      </c>
      <c r="N382" s="5" t="n">
        <v>1.75</v>
      </c>
      <c r="O382" s="5" t="n">
        <v>1296</v>
      </c>
      <c r="P382" s="5" t="n">
        <v>1.67</v>
      </c>
      <c r="Q382" s="5" t="inlineStr"/>
      <c r="R382" s="5" t="inlineStr">
        <is>
          <t>2023-08-06</t>
        </is>
      </c>
      <c r="S382" s="5" t="inlineStr"/>
      <c r="T382" s="5" t="inlineStr"/>
      <c r="U382" s="48" t="inlineStr">
        <is>
          <t>Cascade</t>
        </is>
      </c>
    </row>
    <row r="383">
      <c r="A383" s="5" t="inlineStr">
        <is>
          <t>Bella Mirage</t>
        </is>
      </c>
      <c r="B383" s="5" t="inlineStr">
        <is>
          <t>Cascade</t>
        </is>
      </c>
      <c r="C383" s="5" t="inlineStr">
        <is>
          <t>2714</t>
        </is>
      </c>
      <c r="D383" s="5" t="inlineStr"/>
      <c r="E383" s="5" t="n">
        <v>1</v>
      </c>
      <c r="F383" s="5" t="n">
        <v>1</v>
      </c>
      <c r="G383" s="5" t="inlineStr"/>
      <c r="H383" s="5" t="n">
        <v>777</v>
      </c>
      <c r="I383" s="5" t="inlineStr">
        <is>
          <t>4/29/2024</t>
        </is>
      </c>
      <c r="J383" s="5" t="n">
        <v>200</v>
      </c>
      <c r="K383" s="5" t="n">
        <v>12</v>
      </c>
      <c r="L383" s="5" t="inlineStr">
        <is>
          <t>60%</t>
        </is>
      </c>
      <c r="M383" s="5" t="n">
        <v>1266</v>
      </c>
      <c r="N383" s="5" t="n">
        <v>1.63</v>
      </c>
      <c r="O383" s="5" t="n">
        <v>1160</v>
      </c>
      <c r="P383" s="5" t="n">
        <v>1.49</v>
      </c>
      <c r="Q383" s="5" t="inlineStr">
        <is>
          <t>2024-03-19</t>
        </is>
      </c>
      <c r="R383" s="5" t="inlineStr">
        <is>
          <t>2024-06-12</t>
        </is>
      </c>
      <c r="S383" s="5" t="n">
        <v>86</v>
      </c>
      <c r="T383" s="5" t="n">
        <v>45</v>
      </c>
      <c r="U383" s="48" t="inlineStr">
        <is>
          <t>Cascade</t>
        </is>
      </c>
    </row>
    <row r="384">
      <c r="A384" s="5" t="inlineStr">
        <is>
          <t>Bella Mirage</t>
        </is>
      </c>
      <c r="B384" s="5" t="inlineStr">
        <is>
          <t>Cascade</t>
        </is>
      </c>
      <c r="C384" s="5" t="inlineStr">
        <is>
          <t>1815</t>
        </is>
      </c>
      <c r="D384" s="5" t="n">
        <v>1</v>
      </c>
      <c r="E384" s="5" t="n">
        <v>1</v>
      </c>
      <c r="F384" s="5" t="n">
        <v>1</v>
      </c>
      <c r="G384" s="5" t="inlineStr"/>
      <c r="H384" s="5" t="n">
        <v>777</v>
      </c>
      <c r="I384" s="5" t="inlineStr">
        <is>
          <t>5/11/2025</t>
        </is>
      </c>
      <c r="J384" s="5" t="n">
        <v>200</v>
      </c>
      <c r="K384" s="5" t="n">
        <v>12</v>
      </c>
      <c r="L384" s="5" t="inlineStr">
        <is>
          <t>60%</t>
        </is>
      </c>
      <c r="M384" s="5" t="n">
        <v>1277</v>
      </c>
      <c r="N384" s="5" t="n">
        <v>1.64</v>
      </c>
      <c r="O384" s="5" t="n">
        <v>1171</v>
      </c>
      <c r="P384" s="5" t="n">
        <v>1.51</v>
      </c>
      <c r="Q384" s="5" t="inlineStr">
        <is>
          <t>2025-03-01</t>
        </is>
      </c>
      <c r="R384" s="5" t="inlineStr">
        <is>
          <t>2025-03-16</t>
        </is>
      </c>
      <c r="S384" s="5" t="n">
        <v>16</v>
      </c>
      <c r="T384" s="5" t="n">
        <v>0</v>
      </c>
      <c r="U384" s="48" t="inlineStr">
        <is>
          <t>Cascade</t>
        </is>
      </c>
    </row>
    <row r="385">
      <c r="A385" s="5" t="inlineStr">
        <is>
          <t>Bella Mirage</t>
        </is>
      </c>
      <c r="B385" s="5" t="inlineStr">
        <is>
          <t>Cascade</t>
        </is>
      </c>
      <c r="C385" s="5" t="inlineStr">
        <is>
          <t>5311</t>
        </is>
      </c>
      <c r="D385" s="5" t="inlineStr"/>
      <c r="E385" s="5" t="n">
        <v>1</v>
      </c>
      <c r="F385" s="5" t="n">
        <v>1</v>
      </c>
      <c r="G385" s="5" t="inlineStr"/>
      <c r="H385" s="5" t="n">
        <v>777</v>
      </c>
      <c r="I385" s="5" t="inlineStr">
        <is>
          <t>12/29/2023</t>
        </is>
      </c>
      <c r="J385" s="5" t="inlineStr"/>
      <c r="K385" s="5" t="inlineStr"/>
      <c r="L385" s="5" t="inlineStr">
        <is>
          <t>60%</t>
        </is>
      </c>
      <c r="M385" s="5" t="n">
        <v>1387</v>
      </c>
      <c r="N385" s="5" t="n">
        <v>1.79</v>
      </c>
      <c r="O385" s="5" t="n">
        <v>1271</v>
      </c>
      <c r="P385" s="5" t="n">
        <v>1.64</v>
      </c>
      <c r="Q385" s="5" t="inlineStr">
        <is>
          <t>2023-12-29</t>
        </is>
      </c>
      <c r="R385" s="5" t="inlineStr">
        <is>
          <t>2024-01-09</t>
        </is>
      </c>
      <c r="S385" s="5" t="n">
        <v>12</v>
      </c>
      <c r="T385" s="5" t="n">
        <v>12</v>
      </c>
      <c r="U385" s="48" t="inlineStr">
        <is>
          <t>Cascade</t>
        </is>
      </c>
    </row>
    <row r="386">
      <c r="A386" s="5" t="inlineStr">
        <is>
          <t>Bella Mirage</t>
        </is>
      </c>
      <c r="B386" s="5" t="inlineStr">
        <is>
          <t>Cascade</t>
        </is>
      </c>
      <c r="C386" s="5" t="inlineStr">
        <is>
          <t>5311</t>
        </is>
      </c>
      <c r="D386" s="5" t="inlineStr"/>
      <c r="E386" s="5" t="n">
        <v>1</v>
      </c>
      <c r="F386" s="5" t="n">
        <v>1</v>
      </c>
      <c r="G386" s="5" t="inlineStr"/>
      <c r="H386" s="5" t="n">
        <v>777</v>
      </c>
      <c r="I386" s="5" t="inlineStr">
        <is>
          <t>10/20/2024</t>
        </is>
      </c>
      <c r="J386" s="5" t="n">
        <v>200</v>
      </c>
      <c r="K386" s="5" t="n">
        <v>12</v>
      </c>
      <c r="L386" s="5" t="inlineStr">
        <is>
          <t>60%</t>
        </is>
      </c>
      <c r="M386" s="5" t="n">
        <v>1419</v>
      </c>
      <c r="N386" s="5" t="n">
        <v>1.83</v>
      </c>
      <c r="O386" s="5" t="n">
        <v>1419</v>
      </c>
      <c r="P386" s="5" t="n">
        <v>1.83</v>
      </c>
      <c r="Q386" s="5" t="inlineStr">
        <is>
          <t>2024-08-07</t>
        </is>
      </c>
      <c r="R386" s="5" t="inlineStr">
        <is>
          <t>2024-09-22</t>
        </is>
      </c>
      <c r="S386" s="5" t="n">
        <v>47</v>
      </c>
      <c r="T386" s="5" t="n">
        <v>0</v>
      </c>
      <c r="U386" s="48" t="inlineStr">
        <is>
          <t>Cascade</t>
        </is>
      </c>
    </row>
    <row r="387">
      <c r="A387" s="5" t="inlineStr">
        <is>
          <t>Bella Mirage</t>
        </is>
      </c>
      <c r="B387" s="5" t="inlineStr">
        <is>
          <t>Cascade</t>
        </is>
      </c>
      <c r="C387" s="5" t="inlineStr">
        <is>
          <t>5311</t>
        </is>
      </c>
      <c r="D387" s="5" t="inlineStr"/>
      <c r="E387" s="5" t="n">
        <v>1</v>
      </c>
      <c r="F387" s="5" t="n">
        <v>1</v>
      </c>
      <c r="G387" s="5" t="inlineStr"/>
      <c r="H387" s="5" t="n">
        <v>777</v>
      </c>
      <c r="I387" s="5" t="inlineStr">
        <is>
          <t>9/29/2025</t>
        </is>
      </c>
      <c r="J387" s="5" t="n">
        <v>300</v>
      </c>
      <c r="K387" s="5" t="n">
        <v>15</v>
      </c>
      <c r="L387" s="5" t="inlineStr">
        <is>
          <t>60%</t>
        </is>
      </c>
      <c r="M387" s="5" t="n">
        <v>1277</v>
      </c>
      <c r="N387" s="5" t="n">
        <v>1.64</v>
      </c>
      <c r="O387" s="5" t="n">
        <v>1277</v>
      </c>
      <c r="P387" s="5" t="n">
        <v>1.64</v>
      </c>
      <c r="Q387" s="5" t="inlineStr">
        <is>
          <t>2025-08-19</t>
        </is>
      </c>
      <c r="R387" s="5" t="inlineStr">
        <is>
          <t>2025-11-03</t>
        </is>
      </c>
      <c r="S387" s="5" t="n">
        <v>77</v>
      </c>
      <c r="T387" s="5" t="n">
        <v>36</v>
      </c>
      <c r="U387" s="48" t="inlineStr">
        <is>
          <t>Cascade</t>
        </is>
      </c>
    </row>
    <row r="388">
      <c r="A388" s="5" t="inlineStr">
        <is>
          <t>Bella Mirage</t>
        </is>
      </c>
      <c r="B388" s="5" t="inlineStr">
        <is>
          <t>Cascade</t>
        </is>
      </c>
      <c r="C388" s="5" t="inlineStr">
        <is>
          <t>5336</t>
        </is>
      </c>
      <c r="D388" s="5" t="inlineStr"/>
      <c r="E388" s="5" t="n">
        <v>1</v>
      </c>
      <c r="F388" s="5" t="n">
        <v>1</v>
      </c>
      <c r="G388" s="5" t="inlineStr"/>
      <c r="H388" s="5" t="n">
        <v>777</v>
      </c>
      <c r="I388" s="5" t="inlineStr">
        <is>
          <t>2/6/2025</t>
        </is>
      </c>
      <c r="J388" s="5" t="n">
        <v>200</v>
      </c>
      <c r="K388" s="5" t="n">
        <v>12</v>
      </c>
      <c r="L388" s="5" t="inlineStr">
        <is>
          <t>60%</t>
        </is>
      </c>
      <c r="M388" s="5" t="n">
        <v>1278</v>
      </c>
      <c r="N388" s="5" t="n">
        <v>1.64</v>
      </c>
      <c r="O388" s="5" t="n">
        <v>1172</v>
      </c>
      <c r="P388" s="5" t="n">
        <v>1.51</v>
      </c>
      <c r="Q388" s="5" t="inlineStr">
        <is>
          <t>2024-11-03</t>
        </is>
      </c>
      <c r="R388" s="5" t="inlineStr">
        <is>
          <t>2025-03-23</t>
        </is>
      </c>
      <c r="S388" s="5" t="n">
        <v>141</v>
      </c>
      <c r="T388" s="5" t="n">
        <v>46</v>
      </c>
      <c r="U388" s="48" t="inlineStr">
        <is>
          <t>Cascade</t>
        </is>
      </c>
    </row>
    <row r="389">
      <c r="A389" s="5" t="inlineStr">
        <is>
          <t>Bella Mirage</t>
        </is>
      </c>
      <c r="B389" s="5" t="inlineStr">
        <is>
          <t>Cascade</t>
        </is>
      </c>
      <c r="C389" s="5" t="inlineStr">
        <is>
          <t>3833</t>
        </is>
      </c>
      <c r="D389" s="5" t="n">
        <v>3</v>
      </c>
      <c r="E389" s="5" t="n">
        <v>1</v>
      </c>
      <c r="F389" s="5" t="n">
        <v>1</v>
      </c>
      <c r="G389" s="5" t="inlineStr"/>
      <c r="H389" s="5" t="n">
        <v>777</v>
      </c>
      <c r="I389" s="5" t="inlineStr">
        <is>
          <t>5/20/2024</t>
        </is>
      </c>
      <c r="J389" s="5" t="n">
        <v>200</v>
      </c>
      <c r="K389" s="5" t="n">
        <v>15</v>
      </c>
      <c r="L389" s="5" t="inlineStr">
        <is>
          <t>60%</t>
        </is>
      </c>
      <c r="M389" s="5" t="n">
        <v>1325</v>
      </c>
      <c r="N389" s="5" t="n">
        <v>1.71</v>
      </c>
      <c r="O389" s="5" t="n">
        <v>1325</v>
      </c>
      <c r="P389" s="5" t="n">
        <v>1.71</v>
      </c>
      <c r="Q389" s="5" t="inlineStr">
        <is>
          <t>2024-03-30</t>
        </is>
      </c>
      <c r="R389" s="5" t="inlineStr">
        <is>
          <t>2024-07-04</t>
        </is>
      </c>
      <c r="S389" s="5" t="n">
        <v>97</v>
      </c>
      <c r="T389" s="5" t="n">
        <v>46</v>
      </c>
      <c r="U389" s="48" t="inlineStr">
        <is>
          <t>Cascade</t>
        </is>
      </c>
    </row>
    <row r="390">
      <c r="A390" s="5" t="inlineStr">
        <is>
          <t>Bella Mirage</t>
        </is>
      </c>
      <c r="B390" s="5" t="inlineStr">
        <is>
          <t>Cascade</t>
        </is>
      </c>
      <c r="C390" s="5" t="inlineStr">
        <is>
          <t>3833</t>
        </is>
      </c>
      <c r="D390" s="5" t="n">
        <v>3</v>
      </c>
      <c r="E390" s="5" t="n">
        <v>1</v>
      </c>
      <c r="F390" s="5" t="n">
        <v>1</v>
      </c>
      <c r="G390" s="5" t="inlineStr"/>
      <c r="H390" s="5" t="n">
        <v>777</v>
      </c>
      <c r="I390" s="5" t="inlineStr">
        <is>
          <t>7/16/2025</t>
        </is>
      </c>
      <c r="J390" s="5" t="n">
        <v>200</v>
      </c>
      <c r="K390" s="5" t="n">
        <v>13</v>
      </c>
      <c r="L390" s="5" t="inlineStr">
        <is>
          <t>60%</t>
        </is>
      </c>
      <c r="M390" s="5" t="n">
        <v>1280</v>
      </c>
      <c r="N390" s="5" t="n">
        <v>1.65</v>
      </c>
      <c r="O390" s="5" t="n">
        <v>1182</v>
      </c>
      <c r="P390" s="5" t="n">
        <v>1.52</v>
      </c>
      <c r="Q390" s="5" t="inlineStr">
        <is>
          <t>2025-04-20</t>
        </is>
      </c>
      <c r="R390" s="5" t="inlineStr">
        <is>
          <t>2025-08-05</t>
        </is>
      </c>
      <c r="S390" s="5" t="n">
        <v>108</v>
      </c>
      <c r="T390" s="5" t="n">
        <v>21</v>
      </c>
      <c r="U390" s="48" t="inlineStr">
        <is>
          <t>Cascade</t>
        </is>
      </c>
    </row>
    <row r="391">
      <c r="A391" s="5" t="inlineStr">
        <is>
          <t>Bella Mirage</t>
        </is>
      </c>
      <c r="B391" s="5" t="inlineStr">
        <is>
          <t>Cascade</t>
        </is>
      </c>
      <c r="C391" s="5" t="inlineStr">
        <is>
          <t>4028</t>
        </is>
      </c>
      <c r="D391" s="5" t="n">
        <v>4</v>
      </c>
      <c r="E391" s="5" t="n">
        <v>1</v>
      </c>
      <c r="F391" s="5" t="n">
        <v>1</v>
      </c>
      <c r="G391" s="5" t="inlineStr"/>
      <c r="H391" s="5" t="n">
        <v>777</v>
      </c>
      <c r="I391" s="5" t="inlineStr">
        <is>
          <t>11/3/2023</t>
        </is>
      </c>
      <c r="J391" s="5" t="inlineStr"/>
      <c r="K391" s="5" t="inlineStr"/>
      <c r="L391" s="5" t="inlineStr">
        <is>
          <t>60%</t>
        </is>
      </c>
      <c r="M391" s="5" t="n">
        <v>1285</v>
      </c>
      <c r="N391" s="5" t="n">
        <v>1.65</v>
      </c>
      <c r="O391" s="5" t="n">
        <v>1178</v>
      </c>
      <c r="P391" s="5" t="n">
        <v>1.52</v>
      </c>
      <c r="Q391" s="5" t="inlineStr">
        <is>
          <t>2023-11-03</t>
        </is>
      </c>
      <c r="R391" s="5" t="inlineStr">
        <is>
          <t>2023-11-15</t>
        </is>
      </c>
      <c r="S391" s="5" t="n">
        <v>13</v>
      </c>
      <c r="T391" s="5" t="n">
        <v>13</v>
      </c>
      <c r="U391" s="48" t="inlineStr">
        <is>
          <t>Cascade</t>
        </is>
      </c>
    </row>
    <row r="392">
      <c r="A392" s="5" t="inlineStr">
        <is>
          <t>Bella Mirage</t>
        </is>
      </c>
      <c r="B392" s="5" t="inlineStr">
        <is>
          <t>Cascade</t>
        </is>
      </c>
      <c r="C392" s="5" t="inlineStr">
        <is>
          <t>4028</t>
        </is>
      </c>
      <c r="D392" s="5" t="n">
        <v>4</v>
      </c>
      <c r="E392" s="5" t="n">
        <v>1</v>
      </c>
      <c r="F392" s="5" t="n">
        <v>1</v>
      </c>
      <c r="G392" s="5" t="inlineStr"/>
      <c r="H392" s="5" t="n">
        <v>777</v>
      </c>
      <c r="I392" s="5" t="inlineStr">
        <is>
          <t>10/24/2024</t>
        </is>
      </c>
      <c r="J392" s="5" t="n">
        <v>200</v>
      </c>
      <c r="K392" s="5" t="n">
        <v>12</v>
      </c>
      <c r="L392" s="5" t="inlineStr">
        <is>
          <t>60%</t>
        </is>
      </c>
      <c r="M392" s="5" t="n">
        <v>1292</v>
      </c>
      <c r="N392" s="5" t="n">
        <v>1.66</v>
      </c>
      <c r="O392" s="5" t="n">
        <v>1184</v>
      </c>
      <c r="P392" s="5" t="n">
        <v>1.52</v>
      </c>
      <c r="Q392" s="5" t="inlineStr">
        <is>
          <t>2024-08-10</t>
        </is>
      </c>
      <c r="R392" s="5" t="inlineStr">
        <is>
          <t>2024-12-08</t>
        </is>
      </c>
      <c r="S392" s="5" t="n">
        <v>121</v>
      </c>
      <c r="T392" s="5" t="n">
        <v>46</v>
      </c>
      <c r="U392" s="48" t="inlineStr">
        <is>
          <t>Cascade</t>
        </is>
      </c>
    </row>
    <row r="393">
      <c r="A393" s="5" t="inlineStr">
        <is>
          <t>Bella Mirage</t>
        </is>
      </c>
      <c r="B393" s="5" t="inlineStr">
        <is>
          <t>Cascade</t>
        </is>
      </c>
      <c r="C393" s="5" t="inlineStr">
        <is>
          <t>1813</t>
        </is>
      </c>
      <c r="D393" s="5" t="inlineStr"/>
      <c r="E393" s="5" t="n">
        <v>1</v>
      </c>
      <c r="F393" s="5" t="n">
        <v>1</v>
      </c>
      <c r="G393" s="5" t="inlineStr"/>
      <c r="H393" s="5" t="n">
        <v>777</v>
      </c>
      <c r="I393" s="5" t="inlineStr">
        <is>
          <t>5/26/2025</t>
        </is>
      </c>
      <c r="J393" s="5" t="n">
        <v>200</v>
      </c>
      <c r="K393" s="5" t="n">
        <v>12</v>
      </c>
      <c r="L393" s="5" t="inlineStr">
        <is>
          <t>60%</t>
        </is>
      </c>
      <c r="M393" s="5" t="n">
        <v>1291</v>
      </c>
      <c r="N393" s="5" t="n">
        <v>1.66</v>
      </c>
      <c r="O393" s="5" t="n">
        <v>1183</v>
      </c>
      <c r="P393" s="5" t="n">
        <v>1.52</v>
      </c>
      <c r="Q393" s="5" t="inlineStr">
        <is>
          <t>2025-03-18</t>
        </is>
      </c>
      <c r="R393" s="5" t="inlineStr">
        <is>
          <t>2025-04-07</t>
        </is>
      </c>
      <c r="S393" s="5" t="n">
        <v>21</v>
      </c>
      <c r="T393" s="5" t="n">
        <v>0</v>
      </c>
      <c r="U393" s="48" t="inlineStr">
        <is>
          <t>Cascade</t>
        </is>
      </c>
    </row>
    <row r="394">
      <c r="A394" s="5" t="inlineStr">
        <is>
          <t>Bella Mirage</t>
        </is>
      </c>
      <c r="B394" s="5" t="inlineStr">
        <is>
          <t>Cascade</t>
        </is>
      </c>
      <c r="C394" s="5" t="inlineStr">
        <is>
          <t>0933</t>
        </is>
      </c>
      <c r="D394" s="5" t="n">
        <v>3</v>
      </c>
      <c r="E394" s="5" t="n">
        <v>1</v>
      </c>
      <c r="F394" s="5" t="n">
        <v>1</v>
      </c>
      <c r="G394" s="5" t="inlineStr"/>
      <c r="H394" s="5" t="n">
        <v>777</v>
      </c>
      <c r="I394" s="5" t="inlineStr">
        <is>
          <t>8/9/2023</t>
        </is>
      </c>
      <c r="J394" s="5" t="inlineStr"/>
      <c r="K394" s="5" t="inlineStr"/>
      <c r="L394" s="5" t="inlineStr">
        <is>
          <t>60%</t>
        </is>
      </c>
      <c r="M394" s="5" t="n">
        <v>1412</v>
      </c>
      <c r="N394" s="5" t="n">
        <v>1.82</v>
      </c>
      <c r="O394" s="5" t="n">
        <v>1412</v>
      </c>
      <c r="P394" s="5" t="n">
        <v>1.82</v>
      </c>
      <c r="Q394" s="5" t="inlineStr">
        <is>
          <t>2023-08-09</t>
        </is>
      </c>
      <c r="R394" s="5" t="inlineStr">
        <is>
          <t>2023-09-01</t>
        </is>
      </c>
      <c r="S394" s="5" t="n">
        <v>24</v>
      </c>
      <c r="T394" s="5" t="n">
        <v>24</v>
      </c>
      <c r="U394" s="48" t="inlineStr">
        <is>
          <t>Cascade</t>
        </is>
      </c>
    </row>
    <row r="395">
      <c r="A395" s="5" t="inlineStr">
        <is>
          <t>Bella Mirage</t>
        </is>
      </c>
      <c r="B395" s="5" t="inlineStr">
        <is>
          <t>Cascade</t>
        </is>
      </c>
      <c r="C395" s="5" t="inlineStr">
        <is>
          <t>0933</t>
        </is>
      </c>
      <c r="D395" s="5" t="n">
        <v>3</v>
      </c>
      <c r="E395" s="5" t="n">
        <v>1</v>
      </c>
      <c r="F395" s="5" t="n">
        <v>1</v>
      </c>
      <c r="G395" s="5" t="inlineStr"/>
      <c r="H395" s="5" t="n">
        <v>777</v>
      </c>
      <c r="I395" s="5" t="inlineStr">
        <is>
          <t>5/13/2025</t>
        </is>
      </c>
      <c r="J395" s="5" t="n">
        <v>200</v>
      </c>
      <c r="K395" s="5" t="n">
        <v>12</v>
      </c>
      <c r="L395" s="5" t="inlineStr">
        <is>
          <t>60%</t>
        </is>
      </c>
      <c r="M395" s="5" t="n">
        <v>1311</v>
      </c>
      <c r="N395" s="5" t="n">
        <v>1.69</v>
      </c>
      <c r="O395" s="5" t="n">
        <v>1202</v>
      </c>
      <c r="P395" s="5" t="n">
        <v>1.55</v>
      </c>
      <c r="Q395" s="5" t="inlineStr">
        <is>
          <t>2025-04-06</t>
        </is>
      </c>
      <c r="R395" s="5" t="inlineStr">
        <is>
          <t>2025-06-28</t>
        </is>
      </c>
      <c r="S395" s="5" t="n">
        <v>84</v>
      </c>
      <c r="T395" s="5" t="n">
        <v>47</v>
      </c>
      <c r="U395" s="48" t="inlineStr">
        <is>
          <t>Cascade</t>
        </is>
      </c>
    </row>
    <row r="396">
      <c r="A396" s="5" t="inlineStr">
        <is>
          <t>Bella Mirage</t>
        </is>
      </c>
      <c r="B396" s="5" t="inlineStr">
        <is>
          <t>Cascade</t>
        </is>
      </c>
      <c r="C396" s="5" t="inlineStr">
        <is>
          <t>2822</t>
        </is>
      </c>
      <c r="D396" s="5" t="inlineStr"/>
      <c r="E396" s="5" t="n">
        <v>1</v>
      </c>
      <c r="F396" s="5" t="n">
        <v>1</v>
      </c>
      <c r="G396" s="5" t="inlineStr"/>
      <c r="H396" s="5" t="n">
        <v>777</v>
      </c>
      <c r="I396" s="5" t="inlineStr">
        <is>
          <t>2/5/2025</t>
        </is>
      </c>
      <c r="J396" s="5" t="n">
        <v>200</v>
      </c>
      <c r="K396" s="5" t="n">
        <v>12</v>
      </c>
      <c r="L396" s="5" t="inlineStr">
        <is>
          <t>60%</t>
        </is>
      </c>
      <c r="M396" s="5" t="n">
        <v>1292</v>
      </c>
      <c r="N396" s="5" t="n">
        <v>1.66</v>
      </c>
      <c r="O396" s="5" t="n">
        <v>1184</v>
      </c>
      <c r="P396" s="5" t="n">
        <v>1.52</v>
      </c>
      <c r="Q396" s="5" t="inlineStr">
        <is>
          <t>2024-12-07</t>
        </is>
      </c>
      <c r="R396" s="5" t="inlineStr">
        <is>
          <t>2025-01-27</t>
        </is>
      </c>
      <c r="S396" s="5" t="n">
        <v>52</v>
      </c>
      <c r="T396" s="5" t="n">
        <v>0</v>
      </c>
      <c r="U396" s="48" t="inlineStr">
        <is>
          <t>Cascade</t>
        </is>
      </c>
    </row>
    <row r="397">
      <c r="A397" s="5" t="inlineStr">
        <is>
          <t>Bella Mirage</t>
        </is>
      </c>
      <c r="B397" s="5" t="inlineStr">
        <is>
          <t>Cascade</t>
        </is>
      </c>
      <c r="C397" s="5" t="inlineStr">
        <is>
          <t>4216</t>
        </is>
      </c>
      <c r="D397" s="5" t="n">
        <v>4</v>
      </c>
      <c r="E397" s="5" t="n">
        <v>1</v>
      </c>
      <c r="F397" s="5" t="n">
        <v>1</v>
      </c>
      <c r="G397" s="5" t="inlineStr"/>
      <c r="H397" s="5" t="n">
        <v>777</v>
      </c>
      <c r="I397" s="5" t="inlineStr">
        <is>
          <t>8/9/2024</t>
        </is>
      </c>
      <c r="J397" s="5" t="n">
        <v>200</v>
      </c>
      <c r="K397" s="5" t="n">
        <v>14</v>
      </c>
      <c r="L397" s="5" t="inlineStr">
        <is>
          <t>60%</t>
        </is>
      </c>
      <c r="M397" s="5" t="n">
        <v>1402</v>
      </c>
      <c r="N397" s="5" t="n">
        <v>1.8</v>
      </c>
      <c r="O397" s="5" t="n">
        <v>1402</v>
      </c>
      <c r="P397" s="5" t="n">
        <v>1.8</v>
      </c>
      <c r="Q397" s="5" t="inlineStr">
        <is>
          <t>2024-08-09</t>
        </is>
      </c>
      <c r="R397" s="5" t="inlineStr">
        <is>
          <t>2024-08-30</t>
        </is>
      </c>
      <c r="S397" s="5" t="n">
        <v>22</v>
      </c>
      <c r="T397" s="5" t="n">
        <v>22</v>
      </c>
      <c r="U397" s="48" t="inlineStr">
        <is>
          <t>Cascade</t>
        </is>
      </c>
    </row>
    <row r="398">
      <c r="A398" s="5" t="inlineStr">
        <is>
          <t>Bella Mirage</t>
        </is>
      </c>
      <c r="B398" s="5" t="inlineStr">
        <is>
          <t>Cascade</t>
        </is>
      </c>
      <c r="C398" s="5" t="inlineStr">
        <is>
          <t>4216</t>
        </is>
      </c>
      <c r="D398" s="5" t="n">
        <v>4</v>
      </c>
      <c r="E398" s="5" t="n">
        <v>1</v>
      </c>
      <c r="F398" s="5" t="n">
        <v>1</v>
      </c>
      <c r="G398" s="5" t="inlineStr"/>
      <c r="H398" s="5" t="n">
        <v>777</v>
      </c>
      <c r="I398" s="5" t="inlineStr">
        <is>
          <t>12/6/2025</t>
        </is>
      </c>
      <c r="J398" s="5" t="n">
        <v>300</v>
      </c>
      <c r="K398" s="5" t="n">
        <v>13</v>
      </c>
      <c r="L398" s="5" t="inlineStr">
        <is>
          <t>60%</t>
        </is>
      </c>
      <c r="M398" s="5" t="n">
        <v>1292</v>
      </c>
      <c r="N398" s="5" t="n">
        <v>1.66</v>
      </c>
      <c r="O398" s="5" t="n">
        <v>1292</v>
      </c>
      <c r="P398" s="5" t="n">
        <v>1.66</v>
      </c>
      <c r="Q398" s="5" t="inlineStr">
        <is>
          <t>2025-10-09</t>
        </is>
      </c>
      <c r="R398" s="5" t="inlineStr">
        <is>
          <t>2026-01-04</t>
        </is>
      </c>
      <c r="S398" s="5" t="n">
        <v>88</v>
      </c>
      <c r="T398" s="5" t="n">
        <v>30</v>
      </c>
      <c r="U398" s="48" t="inlineStr">
        <is>
          <t>Cascade</t>
        </is>
      </c>
    </row>
    <row r="399">
      <c r="A399" s="5" t="inlineStr">
        <is>
          <t>Bella Mirage</t>
        </is>
      </c>
      <c r="B399" s="5" t="inlineStr">
        <is>
          <t>Cascade</t>
        </is>
      </c>
      <c r="C399" s="5" t="inlineStr">
        <is>
          <t>1814</t>
        </is>
      </c>
      <c r="D399" s="5" t="n">
        <v>1</v>
      </c>
      <c r="E399" s="5" t="n">
        <v>1</v>
      </c>
      <c r="F399" s="5" t="n">
        <v>1</v>
      </c>
      <c r="G399" s="5" t="inlineStr"/>
      <c r="H399" s="5" t="n">
        <v>777</v>
      </c>
      <c r="I399" s="5" t="inlineStr">
        <is>
          <t>7/31/2024</t>
        </is>
      </c>
      <c r="J399" s="5" t="n">
        <v>200</v>
      </c>
      <c r="K399" s="5" t="n">
        <v>12</v>
      </c>
      <c r="L399" s="5" t="inlineStr">
        <is>
          <t>60%</t>
        </is>
      </c>
      <c r="M399" s="5" t="n">
        <v>1365</v>
      </c>
      <c r="N399" s="5" t="n">
        <v>1.76</v>
      </c>
      <c r="O399" s="5" t="n">
        <v>1365</v>
      </c>
      <c r="P399" s="5" t="n">
        <v>1.76</v>
      </c>
      <c r="Q399" s="5" t="inlineStr">
        <is>
          <t>2024-05-17</t>
        </is>
      </c>
      <c r="R399" s="5" t="inlineStr">
        <is>
          <t>2024-06-20</t>
        </is>
      </c>
      <c r="S399" s="5" t="n">
        <v>35</v>
      </c>
      <c r="T399" s="5" t="n">
        <v>0</v>
      </c>
      <c r="U399" s="48" t="inlineStr">
        <is>
          <t>Cascade</t>
        </is>
      </c>
    </row>
    <row r="400">
      <c r="A400" s="5" t="inlineStr">
        <is>
          <t>Bella Mirage</t>
        </is>
      </c>
      <c r="B400" s="5" t="inlineStr">
        <is>
          <t>Cascade</t>
        </is>
      </c>
      <c r="C400" s="5" t="inlineStr">
        <is>
          <t>1814</t>
        </is>
      </c>
      <c r="D400" s="5" t="n">
        <v>1</v>
      </c>
      <c r="E400" s="5" t="n">
        <v>1</v>
      </c>
      <c r="F400" s="5" t="n">
        <v>1</v>
      </c>
      <c r="G400" s="5" t="inlineStr"/>
      <c r="H400" s="5" t="n">
        <v>777</v>
      </c>
      <c r="I400" s="5" t="inlineStr">
        <is>
          <t>10/14/2025</t>
        </is>
      </c>
      <c r="J400" s="5" t="n">
        <v>200</v>
      </c>
      <c r="K400" s="5" t="n">
        <v>12</v>
      </c>
      <c r="L400" s="5" t="inlineStr">
        <is>
          <t>60%</t>
        </is>
      </c>
      <c r="M400" s="5" t="n">
        <v>1295</v>
      </c>
      <c r="N400" s="5" t="n">
        <v>1.67</v>
      </c>
      <c r="O400" s="5" t="n">
        <v>1187</v>
      </c>
      <c r="P400" s="5" t="n">
        <v>1.53</v>
      </c>
      <c r="Q400" s="5" t="inlineStr">
        <is>
          <t>2025-07-29</t>
        </is>
      </c>
      <c r="R400" s="5" t="inlineStr">
        <is>
          <t>2025-08-09</t>
        </is>
      </c>
      <c r="S400" s="5" t="n">
        <v>12</v>
      </c>
      <c r="T400" s="5" t="n">
        <v>0</v>
      </c>
      <c r="U400" s="48" t="inlineStr">
        <is>
          <t>Cascade</t>
        </is>
      </c>
    </row>
    <row r="401">
      <c r="A401" s="5" t="inlineStr">
        <is>
          <t>Bella Mirage</t>
        </is>
      </c>
      <c r="B401" s="5" t="inlineStr">
        <is>
          <t>Cascade</t>
        </is>
      </c>
      <c r="C401" s="5" t="inlineStr">
        <is>
          <t>3017</t>
        </is>
      </c>
      <c r="D401" s="5" t="n">
        <v>3</v>
      </c>
      <c r="E401" s="5" t="n">
        <v>1</v>
      </c>
      <c r="F401" s="5" t="n">
        <v>1</v>
      </c>
      <c r="G401" s="5" t="inlineStr"/>
      <c r="H401" s="5" t="n">
        <v>777</v>
      </c>
      <c r="I401" s="5" t="inlineStr">
        <is>
          <t>6/13/2024</t>
        </is>
      </c>
      <c r="J401" s="5" t="n">
        <v>200</v>
      </c>
      <c r="K401" s="5" t="n">
        <v>15</v>
      </c>
      <c r="L401" s="5" t="inlineStr">
        <is>
          <t>60%</t>
        </is>
      </c>
      <c r="M401" s="5" t="n">
        <v>1295</v>
      </c>
      <c r="N401" s="5" t="n">
        <v>1.67</v>
      </c>
      <c r="O401" s="5" t="n">
        <v>1295</v>
      </c>
      <c r="P401" s="5" t="n">
        <v>1.67</v>
      </c>
      <c r="Q401" s="5" t="inlineStr">
        <is>
          <t>2024-05-11</t>
        </is>
      </c>
      <c r="R401" s="5" t="inlineStr">
        <is>
          <t>2024-07-17</t>
        </is>
      </c>
      <c r="S401" s="5" t="n">
        <v>68</v>
      </c>
      <c r="T401" s="5" t="n">
        <v>35</v>
      </c>
      <c r="U401" s="48" t="inlineStr">
        <is>
          <t>Cascade</t>
        </is>
      </c>
    </row>
    <row r="402">
      <c r="A402" s="5" t="inlineStr">
        <is>
          <t>Bella Mirage</t>
        </is>
      </c>
      <c r="B402" s="5" t="inlineStr">
        <is>
          <t>Cascade</t>
        </is>
      </c>
      <c r="C402" s="5" t="inlineStr">
        <is>
          <t>5318</t>
        </is>
      </c>
      <c r="D402" s="5" t="inlineStr"/>
      <c r="E402" s="5" t="n">
        <v>1</v>
      </c>
      <c r="F402" s="5" t="n">
        <v>1</v>
      </c>
      <c r="G402" s="5" t="inlineStr"/>
      <c r="H402" s="5" t="n">
        <v>777</v>
      </c>
      <c r="I402" s="5" t="inlineStr">
        <is>
          <t>6/17/2023</t>
        </is>
      </c>
      <c r="J402" s="5" t="inlineStr"/>
      <c r="K402" s="5" t="inlineStr"/>
      <c r="L402" s="5" t="inlineStr">
        <is>
          <t>60%</t>
        </is>
      </c>
      <c r="M402" s="5" t="n">
        <v>1312</v>
      </c>
      <c r="N402" s="5" t="n">
        <v>1.69</v>
      </c>
      <c r="O402" s="5" t="n">
        <v>1312</v>
      </c>
      <c r="P402" s="5" t="n">
        <v>1.69</v>
      </c>
      <c r="Q402" s="5" t="inlineStr"/>
      <c r="R402" s="5" t="inlineStr">
        <is>
          <t>2023-08-16</t>
        </is>
      </c>
      <c r="S402" s="5" t="inlineStr"/>
      <c r="T402" s="5" t="inlineStr"/>
      <c r="U402" s="48" t="inlineStr">
        <is>
          <t>Cascade</t>
        </is>
      </c>
    </row>
    <row r="403">
      <c r="A403" s="5" t="inlineStr">
        <is>
          <t>Bella Mirage</t>
        </is>
      </c>
      <c r="B403" s="5" t="inlineStr">
        <is>
          <t>Cascade</t>
        </is>
      </c>
      <c r="C403" s="5" t="inlineStr">
        <is>
          <t>5318</t>
        </is>
      </c>
      <c r="D403" s="5" t="inlineStr"/>
      <c r="E403" s="5" t="n">
        <v>1</v>
      </c>
      <c r="F403" s="5" t="n">
        <v>1</v>
      </c>
      <c r="G403" s="5" t="inlineStr"/>
      <c r="H403" s="5" t="n">
        <v>777</v>
      </c>
      <c r="I403" s="5" t="inlineStr">
        <is>
          <t>9/6/2024</t>
        </is>
      </c>
      <c r="J403" s="5" t="n">
        <v>200</v>
      </c>
      <c r="K403" s="5" t="n">
        <v>12</v>
      </c>
      <c r="L403" s="5" t="inlineStr">
        <is>
          <t>60%</t>
        </is>
      </c>
      <c r="M403" s="5" t="n">
        <v>1297</v>
      </c>
      <c r="N403" s="5" t="n">
        <v>1.67</v>
      </c>
      <c r="O403" s="5" t="n">
        <v>1189</v>
      </c>
      <c r="P403" s="5" t="n">
        <v>1.53</v>
      </c>
      <c r="Q403" s="5" t="inlineStr">
        <is>
          <t>2024-06-28</t>
        </is>
      </c>
      <c r="R403" s="5" t="inlineStr">
        <is>
          <t>2024-11-19</t>
        </is>
      </c>
      <c r="S403" s="5" t="n">
        <v>145</v>
      </c>
      <c r="T403" s="5" t="n">
        <v>75</v>
      </c>
      <c r="U403" s="48" t="inlineStr">
        <is>
          <t>Cascade</t>
        </is>
      </c>
    </row>
    <row r="404">
      <c r="A404" s="5" t="inlineStr">
        <is>
          <t>Bella Mirage</t>
        </is>
      </c>
      <c r="B404" s="5" t="inlineStr">
        <is>
          <t>Cascade</t>
        </is>
      </c>
      <c r="C404" s="5" t="inlineStr">
        <is>
          <t>2713</t>
        </is>
      </c>
      <c r="D404" s="5" t="n">
        <v>2</v>
      </c>
      <c r="E404" s="5" t="n">
        <v>1</v>
      </c>
      <c r="F404" s="5" t="n">
        <v>1</v>
      </c>
      <c r="G404" s="5" t="inlineStr"/>
      <c r="H404" s="5" t="n">
        <v>777</v>
      </c>
      <c r="I404" s="5" t="inlineStr">
        <is>
          <t>8/10/2025</t>
        </is>
      </c>
      <c r="J404" s="5" t="n">
        <v>200</v>
      </c>
      <c r="K404" s="5" t="n">
        <v>13</v>
      </c>
      <c r="L404" s="5" t="inlineStr">
        <is>
          <t>60%</t>
        </is>
      </c>
      <c r="M404" s="5" t="n">
        <v>1298</v>
      </c>
      <c r="N404" s="5" t="n">
        <v>1.67</v>
      </c>
      <c r="O404" s="5" t="n">
        <v>1198</v>
      </c>
      <c r="P404" s="5" t="n">
        <v>1.54</v>
      </c>
      <c r="Q404" s="5" t="inlineStr">
        <is>
          <t>2025-05-16</t>
        </is>
      </c>
      <c r="R404" s="5" t="inlineStr">
        <is>
          <t>2025-08-10</t>
        </is>
      </c>
      <c r="S404" s="5" t="n">
        <v>87</v>
      </c>
      <c r="T404" s="5" t="n">
        <v>1</v>
      </c>
      <c r="U404" s="48" t="inlineStr">
        <is>
          <t>Cascade</t>
        </is>
      </c>
    </row>
    <row r="405">
      <c r="A405" s="5" t="inlineStr">
        <is>
          <t>Bella Mirage</t>
        </is>
      </c>
      <c r="B405" s="5" t="inlineStr">
        <is>
          <t>Cascade</t>
        </is>
      </c>
      <c r="C405" s="5" t="inlineStr">
        <is>
          <t>3033</t>
        </is>
      </c>
      <c r="D405" s="5" t="n">
        <v>3</v>
      </c>
      <c r="E405" s="5" t="n">
        <v>1</v>
      </c>
      <c r="F405" s="5" t="n">
        <v>1</v>
      </c>
      <c r="G405" s="5" t="inlineStr"/>
      <c r="H405" s="5" t="n">
        <v>777</v>
      </c>
      <c r="I405" s="5" t="inlineStr">
        <is>
          <t>1/25/2026</t>
        </is>
      </c>
      <c r="J405" s="5" t="n">
        <v>300</v>
      </c>
      <c r="K405" s="5" t="n">
        <v>12</v>
      </c>
      <c r="L405" s="5" t="inlineStr">
        <is>
          <t>60%</t>
        </is>
      </c>
      <c r="M405" s="5" t="n">
        <v>1298</v>
      </c>
      <c r="N405" s="5" t="n">
        <v>1.67</v>
      </c>
      <c r="O405" s="5" t="n">
        <v>1298</v>
      </c>
      <c r="P405" s="5" t="n">
        <v>1.67</v>
      </c>
      <c r="Q405" s="5" t="inlineStr">
        <is>
          <t>2025-03-01</t>
        </is>
      </c>
      <c r="R405" s="5" t="inlineStr">
        <is>
          <t>2026-02-21</t>
        </is>
      </c>
      <c r="S405" s="5" t="n">
        <v>358</v>
      </c>
      <c r="T405" s="5" t="n">
        <v>28</v>
      </c>
      <c r="U405" s="48" t="inlineStr">
        <is>
          <t>Cascade</t>
        </is>
      </c>
    </row>
    <row r="406">
      <c r="A406" s="5" t="inlineStr">
        <is>
          <t>Bella Mirage</t>
        </is>
      </c>
      <c r="B406" s="5" t="inlineStr">
        <is>
          <t>Cascade</t>
        </is>
      </c>
      <c r="C406" s="5" t="inlineStr">
        <is>
          <t>2724</t>
        </is>
      </c>
      <c r="D406" s="5" t="n">
        <v>2</v>
      </c>
      <c r="E406" s="5" t="n">
        <v>1</v>
      </c>
      <c r="F406" s="5" t="n">
        <v>1</v>
      </c>
      <c r="G406" s="5" t="inlineStr"/>
      <c r="H406" s="5" t="n">
        <v>777</v>
      </c>
      <c r="I406" s="5" t="inlineStr">
        <is>
          <t>10/24/2023</t>
        </is>
      </c>
      <c r="J406" s="5" t="inlineStr"/>
      <c r="K406" s="5" t="inlineStr"/>
      <c r="L406" s="5" t="inlineStr">
        <is>
          <t>60%</t>
        </is>
      </c>
      <c r="M406" s="5" t="n">
        <v>1315</v>
      </c>
      <c r="N406" s="5" t="n">
        <v>1.69</v>
      </c>
      <c r="O406" s="5" t="n">
        <v>1205</v>
      </c>
      <c r="P406" s="5" t="n">
        <v>1.55</v>
      </c>
      <c r="Q406" s="5" t="inlineStr">
        <is>
          <t>2023-10-24</t>
        </is>
      </c>
      <c r="R406" s="5" t="inlineStr">
        <is>
          <t>2023-12-31</t>
        </is>
      </c>
      <c r="S406" s="5" t="n">
        <v>69</v>
      </c>
      <c r="T406" s="5" t="n">
        <v>69</v>
      </c>
      <c r="U406" s="48" t="inlineStr">
        <is>
          <t>Cascade</t>
        </is>
      </c>
    </row>
    <row r="407">
      <c r="A407" s="5" t="inlineStr">
        <is>
          <t>Bella Mirage</t>
        </is>
      </c>
      <c r="B407" s="5" t="inlineStr">
        <is>
          <t>Cascade</t>
        </is>
      </c>
      <c r="C407" s="5" t="inlineStr">
        <is>
          <t>2724</t>
        </is>
      </c>
      <c r="D407" s="5" t="n">
        <v>2</v>
      </c>
      <c r="E407" s="5" t="n">
        <v>1</v>
      </c>
      <c r="F407" s="5" t="n">
        <v>1</v>
      </c>
      <c r="G407" s="5" t="inlineStr"/>
      <c r="H407" s="5" t="n">
        <v>777</v>
      </c>
      <c r="I407" s="5" t="inlineStr">
        <is>
          <t>3/26/2025</t>
        </is>
      </c>
      <c r="J407" s="5" t="n">
        <v>200</v>
      </c>
      <c r="K407" s="5" t="n">
        <v>14</v>
      </c>
      <c r="L407" s="5" t="inlineStr">
        <is>
          <t>60%</t>
        </is>
      </c>
      <c r="M407" s="5" t="n">
        <v>1315</v>
      </c>
      <c r="N407" s="5" t="n">
        <v>1.69</v>
      </c>
      <c r="O407" s="5" t="n">
        <v>1221</v>
      </c>
      <c r="P407" s="5" t="n">
        <v>1.57</v>
      </c>
      <c r="Q407" s="5" t="inlineStr">
        <is>
          <t>2025-01-16</t>
        </is>
      </c>
      <c r="R407" s="5" t="inlineStr">
        <is>
          <t>2025-05-21</t>
        </is>
      </c>
      <c r="S407" s="5" t="n">
        <v>126</v>
      </c>
      <c r="T407" s="5" t="n">
        <v>57</v>
      </c>
      <c r="U407" s="48" t="inlineStr">
        <is>
          <t>Cascade</t>
        </is>
      </c>
    </row>
    <row r="408">
      <c r="A408" s="5" t="inlineStr">
        <is>
          <t>Bella Mirage</t>
        </is>
      </c>
      <c r="B408" s="5" t="inlineStr">
        <is>
          <t>Cascade</t>
        </is>
      </c>
      <c r="C408" s="5" t="inlineStr">
        <is>
          <t>5337</t>
        </is>
      </c>
      <c r="D408" s="5" t="inlineStr"/>
      <c r="E408" s="5" t="n">
        <v>1</v>
      </c>
      <c r="F408" s="5" t="n">
        <v>1</v>
      </c>
      <c r="G408" s="5" t="inlineStr"/>
      <c r="H408" s="5" t="n">
        <v>777</v>
      </c>
      <c r="I408" s="5" t="inlineStr">
        <is>
          <t>1/18/2024</t>
        </is>
      </c>
      <c r="J408" s="5" t="n">
        <v>200</v>
      </c>
      <c r="K408" s="5" t="n">
        <v>15</v>
      </c>
      <c r="L408" s="5" t="inlineStr">
        <is>
          <t>60%</t>
        </is>
      </c>
      <c r="M408" s="5" t="n">
        <v>1311</v>
      </c>
      <c r="N408" s="5" t="n">
        <v>1.69</v>
      </c>
      <c r="O408" s="5" t="n">
        <v>1224</v>
      </c>
      <c r="P408" s="5" t="n">
        <v>1.58</v>
      </c>
      <c r="Q408" s="5" t="inlineStr">
        <is>
          <t>2024-01-12</t>
        </is>
      </c>
      <c r="R408" s="5" t="inlineStr">
        <is>
          <t>2024-02-21</t>
        </is>
      </c>
      <c r="S408" s="5" t="n">
        <v>41</v>
      </c>
      <c r="T408" s="5" t="n">
        <v>35</v>
      </c>
      <c r="U408" s="48" t="inlineStr">
        <is>
          <t>Cascade</t>
        </is>
      </c>
    </row>
    <row r="409">
      <c r="A409" s="5" t="inlineStr">
        <is>
          <t>Bella Mirage</t>
        </is>
      </c>
      <c r="B409" s="5" t="inlineStr">
        <is>
          <t>Cascade</t>
        </is>
      </c>
      <c r="C409" s="5" t="inlineStr">
        <is>
          <t>4024</t>
        </is>
      </c>
      <c r="D409" s="5" t="n">
        <v>4</v>
      </c>
      <c r="E409" s="5" t="n">
        <v>1</v>
      </c>
      <c r="F409" s="5" t="n">
        <v>1</v>
      </c>
      <c r="G409" s="5" t="inlineStr"/>
      <c r="H409" s="5" t="n">
        <v>777</v>
      </c>
      <c r="I409" s="5" t="inlineStr">
        <is>
          <t>11/8/2024</t>
        </is>
      </c>
      <c r="J409" s="5" t="n">
        <v>200</v>
      </c>
      <c r="K409" s="5" t="n">
        <v>12</v>
      </c>
      <c r="L409" s="5" t="inlineStr">
        <is>
          <t>60%</t>
        </is>
      </c>
      <c r="M409" s="5" t="n">
        <v>1314</v>
      </c>
      <c r="N409" s="5" t="n">
        <v>1.69</v>
      </c>
      <c r="O409" s="5" t="n">
        <v>1204</v>
      </c>
      <c r="P409" s="5" t="n">
        <v>1.55</v>
      </c>
      <c r="Q409" s="5" t="inlineStr">
        <is>
          <t>2024-09-05</t>
        </is>
      </c>
      <c r="R409" s="5" t="inlineStr">
        <is>
          <t>2024-12-04</t>
        </is>
      </c>
      <c r="S409" s="5" t="n">
        <v>91</v>
      </c>
      <c r="T409" s="5" t="n">
        <v>27</v>
      </c>
      <c r="U409" s="48" t="inlineStr">
        <is>
          <t>Cascade</t>
        </is>
      </c>
    </row>
    <row r="410">
      <c r="A410" s="5" t="inlineStr">
        <is>
          <t>Bella Mirage</t>
        </is>
      </c>
      <c r="B410" s="5" t="inlineStr">
        <is>
          <t>Cascade</t>
        </is>
      </c>
      <c r="C410" s="5" t="inlineStr">
        <is>
          <t>3322</t>
        </is>
      </c>
      <c r="D410" s="5" t="inlineStr"/>
      <c r="E410" s="5" t="n">
        <v>1</v>
      </c>
      <c r="F410" s="5" t="n">
        <v>1</v>
      </c>
      <c r="G410" s="5" t="inlineStr"/>
      <c r="H410" s="5" t="n">
        <v>777</v>
      </c>
      <c r="I410" s="5" t="inlineStr">
        <is>
          <t>6/25/2024</t>
        </is>
      </c>
      <c r="J410" s="5" t="n">
        <v>200</v>
      </c>
      <c r="K410" s="5" t="n">
        <v>14</v>
      </c>
      <c r="L410" s="5" t="inlineStr">
        <is>
          <t>60%</t>
        </is>
      </c>
      <c r="M410" s="5" t="n">
        <v>1314</v>
      </c>
      <c r="N410" s="5" t="n">
        <v>1.69</v>
      </c>
      <c r="O410" s="5" t="n">
        <v>1314</v>
      </c>
      <c r="P410" s="5" t="n">
        <v>1.69</v>
      </c>
      <c r="Q410" s="5" t="inlineStr">
        <is>
          <t>2024-04-18</t>
        </is>
      </c>
      <c r="R410" s="5" t="inlineStr">
        <is>
          <t>2024-06-23</t>
        </is>
      </c>
      <c r="S410" s="5" t="n">
        <v>67</v>
      </c>
      <c r="T410" s="5" t="n">
        <v>0</v>
      </c>
      <c r="U410" s="48" t="inlineStr">
        <is>
          <t>Cascade</t>
        </is>
      </c>
    </row>
    <row r="411">
      <c r="A411" s="5" t="inlineStr">
        <is>
          <t>Bella Mirage</t>
        </is>
      </c>
      <c r="B411" s="5" t="inlineStr">
        <is>
          <t>Cascade</t>
        </is>
      </c>
      <c r="C411" s="5" t="inlineStr">
        <is>
          <t>5812</t>
        </is>
      </c>
      <c r="D411" s="5" t="inlineStr"/>
      <c r="E411" s="5" t="n">
        <v>1</v>
      </c>
      <c r="F411" s="5" t="n">
        <v>1</v>
      </c>
      <c r="G411" s="5" t="inlineStr"/>
      <c r="H411" s="5" t="n">
        <v>777</v>
      </c>
      <c r="I411" s="5" t="inlineStr">
        <is>
          <t>12/21/2023</t>
        </is>
      </c>
      <c r="J411" s="5" t="inlineStr"/>
      <c r="K411" s="5" t="inlineStr"/>
      <c r="L411" s="5" t="inlineStr">
        <is>
          <t>60%</t>
        </is>
      </c>
      <c r="M411" s="5" t="n">
        <v>1355</v>
      </c>
      <c r="N411" s="5" t="n">
        <v>1.74</v>
      </c>
      <c r="O411" s="5" t="n">
        <v>1242</v>
      </c>
      <c r="P411" s="5" t="n">
        <v>1.6</v>
      </c>
      <c r="Q411" s="5" t="inlineStr">
        <is>
          <t>2023-12-21</t>
        </is>
      </c>
      <c r="R411" s="5" t="inlineStr">
        <is>
          <t>2023-12-29</t>
        </is>
      </c>
      <c r="S411" s="5" t="n">
        <v>9</v>
      </c>
      <c r="T411" s="5" t="n">
        <v>9</v>
      </c>
      <c r="U411" s="48" t="inlineStr">
        <is>
          <t>Cascade</t>
        </is>
      </c>
    </row>
    <row r="412">
      <c r="A412" s="5" t="inlineStr">
        <is>
          <t>Bella Mirage</t>
        </is>
      </c>
      <c r="B412" s="5" t="inlineStr">
        <is>
          <t>Cascade</t>
        </is>
      </c>
      <c r="C412" s="5" t="inlineStr">
        <is>
          <t>4213</t>
        </is>
      </c>
      <c r="D412" s="5" t="n">
        <v>4</v>
      </c>
      <c r="E412" s="5" t="n">
        <v>1</v>
      </c>
      <c r="F412" s="5" t="n">
        <v>1</v>
      </c>
      <c r="G412" s="5" t="inlineStr"/>
      <c r="H412" s="5" t="n">
        <v>777</v>
      </c>
      <c r="I412" s="5" t="inlineStr">
        <is>
          <t>5/16/2024</t>
        </is>
      </c>
      <c r="J412" s="5" t="n">
        <v>200</v>
      </c>
      <c r="K412" s="5" t="n">
        <v>13</v>
      </c>
      <c r="L412" s="5" t="inlineStr">
        <is>
          <t>60%</t>
        </is>
      </c>
      <c r="M412" s="5" t="n">
        <v>1410</v>
      </c>
      <c r="N412" s="5" t="n">
        <v>1.81</v>
      </c>
      <c r="O412" s="5" t="n">
        <v>1302</v>
      </c>
      <c r="P412" s="5" t="n">
        <v>1.68</v>
      </c>
      <c r="Q412" s="5" t="inlineStr">
        <is>
          <t>2024-02-20</t>
        </is>
      </c>
      <c r="R412" s="5" t="inlineStr">
        <is>
          <t>2024-04-19</t>
        </is>
      </c>
      <c r="S412" s="5" t="n">
        <v>60</v>
      </c>
      <c r="T412" s="5" t="n">
        <v>0</v>
      </c>
      <c r="U412" s="48" t="inlineStr">
        <is>
          <t>Cascade</t>
        </is>
      </c>
    </row>
    <row r="413">
      <c r="A413" s="5" t="inlineStr">
        <is>
          <t>Bella Mirage</t>
        </is>
      </c>
      <c r="B413" s="5" t="inlineStr">
        <is>
          <t>Cascade</t>
        </is>
      </c>
      <c r="C413" s="5" t="inlineStr">
        <is>
          <t>4213</t>
        </is>
      </c>
      <c r="D413" s="5" t="n">
        <v>4</v>
      </c>
      <c r="E413" s="5" t="n">
        <v>1</v>
      </c>
      <c r="F413" s="5" t="n">
        <v>1</v>
      </c>
      <c r="G413" s="5" t="inlineStr"/>
      <c r="H413" s="5" t="n">
        <v>777</v>
      </c>
      <c r="I413" s="5" t="inlineStr">
        <is>
          <t>7/8/2025</t>
        </is>
      </c>
      <c r="J413" s="5" t="n">
        <v>200</v>
      </c>
      <c r="K413" s="5" t="n">
        <v>12</v>
      </c>
      <c r="L413" s="5" t="inlineStr">
        <is>
          <t>60%</t>
        </is>
      </c>
      <c r="M413" s="5" t="n">
        <v>1329</v>
      </c>
      <c r="N413" s="5" t="n">
        <v>1.71</v>
      </c>
      <c r="O413" s="5" t="n">
        <v>1218</v>
      </c>
      <c r="P413" s="5" t="n">
        <v>1.57</v>
      </c>
      <c r="Q413" s="5" t="inlineStr">
        <is>
          <t>2025-04-05</t>
        </is>
      </c>
      <c r="R413" s="5" t="inlineStr">
        <is>
          <t>2025-04-19</t>
        </is>
      </c>
      <c r="S413" s="5" t="n">
        <v>15</v>
      </c>
      <c r="T413" s="5" t="n">
        <v>0</v>
      </c>
      <c r="U413" s="48" t="inlineStr">
        <is>
          <t>Cascade</t>
        </is>
      </c>
    </row>
    <row r="414">
      <c r="A414" s="5" t="inlineStr">
        <is>
          <t>Bella Mirage</t>
        </is>
      </c>
      <c r="B414" s="5" t="inlineStr">
        <is>
          <t>Cascade</t>
        </is>
      </c>
      <c r="C414" s="5" t="inlineStr">
        <is>
          <t>3837</t>
        </is>
      </c>
      <c r="D414" s="5" t="inlineStr"/>
      <c r="E414" s="5" t="n">
        <v>1</v>
      </c>
      <c r="F414" s="5" t="n">
        <v>1</v>
      </c>
      <c r="G414" s="5" t="inlineStr"/>
      <c r="H414" s="5" t="n">
        <v>777</v>
      </c>
      <c r="I414" s="5" t="inlineStr">
        <is>
          <t>8/18/2024</t>
        </is>
      </c>
      <c r="J414" s="5" t="n">
        <v>200</v>
      </c>
      <c r="K414" s="5" t="n">
        <v>12</v>
      </c>
      <c r="L414" s="5" t="inlineStr">
        <is>
          <t>60%</t>
        </is>
      </c>
      <c r="M414" s="5" t="n">
        <v>1330</v>
      </c>
      <c r="N414" s="5" t="n">
        <v>1.71</v>
      </c>
      <c r="O414" s="5" t="n">
        <v>1330</v>
      </c>
      <c r="P414" s="5" t="n">
        <v>1.71</v>
      </c>
      <c r="Q414" s="5" t="inlineStr">
        <is>
          <t>2024-07-19</t>
        </is>
      </c>
      <c r="R414" s="5" t="inlineStr">
        <is>
          <t>2024-08-14</t>
        </is>
      </c>
      <c r="S414" s="5" t="n">
        <v>27</v>
      </c>
      <c r="T414" s="5" t="n">
        <v>0</v>
      </c>
      <c r="U414" s="48" t="inlineStr">
        <is>
          <t>Cascade</t>
        </is>
      </c>
    </row>
    <row r="415">
      <c r="A415" s="5" t="inlineStr">
        <is>
          <t>Bella Mirage</t>
        </is>
      </c>
      <c r="B415" s="5" t="inlineStr">
        <is>
          <t>Cascade</t>
        </is>
      </c>
      <c r="C415" s="5" t="inlineStr">
        <is>
          <t>2812</t>
        </is>
      </c>
      <c r="D415" s="5" t="inlineStr"/>
      <c r="E415" s="5" t="n">
        <v>1</v>
      </c>
      <c r="F415" s="5" t="n">
        <v>1</v>
      </c>
      <c r="G415" s="5" t="inlineStr"/>
      <c r="H415" s="5" t="n">
        <v>777</v>
      </c>
      <c r="I415" s="5" t="inlineStr">
        <is>
          <t>5/2/2024</t>
        </is>
      </c>
      <c r="J415" s="5" t="n">
        <v>200</v>
      </c>
      <c r="K415" s="5" t="n">
        <v>13</v>
      </c>
      <c r="L415" s="5" t="inlineStr">
        <is>
          <t>60%</t>
        </is>
      </c>
      <c r="M415" s="5" t="n">
        <v>1287</v>
      </c>
      <c r="N415" s="5" t="n">
        <v>1.66</v>
      </c>
      <c r="O415" s="5" t="n">
        <v>1287</v>
      </c>
      <c r="P415" s="5" t="n">
        <v>1.66</v>
      </c>
      <c r="Q415" s="5" t="inlineStr">
        <is>
          <t>2024-02-12</t>
        </is>
      </c>
      <c r="R415" s="5" t="inlineStr">
        <is>
          <t>2024-06-18</t>
        </is>
      </c>
      <c r="S415" s="5" t="n">
        <v>128</v>
      </c>
      <c r="T415" s="5" t="n">
        <v>48</v>
      </c>
      <c r="U415" s="48" t="inlineStr">
        <is>
          <t>Cascade</t>
        </is>
      </c>
    </row>
    <row r="416">
      <c r="A416" s="5" t="inlineStr">
        <is>
          <t>Bella Mirage</t>
        </is>
      </c>
      <c r="B416" s="5" t="inlineStr">
        <is>
          <t>Cascade</t>
        </is>
      </c>
      <c r="C416" s="5" t="inlineStr">
        <is>
          <t>2812</t>
        </is>
      </c>
      <c r="D416" s="5" t="inlineStr"/>
      <c r="E416" s="5" t="n">
        <v>1</v>
      </c>
      <c r="F416" s="5" t="n">
        <v>1</v>
      </c>
      <c r="G416" s="5" t="inlineStr"/>
      <c r="H416" s="5" t="n">
        <v>777</v>
      </c>
      <c r="I416" s="5" t="inlineStr">
        <is>
          <t>8/8/2025</t>
        </is>
      </c>
      <c r="J416" s="5" t="n">
        <v>200</v>
      </c>
      <c r="K416" s="5" t="n">
        <v>12</v>
      </c>
      <c r="L416" s="5" t="inlineStr">
        <is>
          <t>60%</t>
        </is>
      </c>
      <c r="M416" s="5" t="n">
        <v>1396</v>
      </c>
      <c r="N416" s="5" t="n">
        <v>1.8</v>
      </c>
      <c r="O416" s="5" t="n">
        <v>1396</v>
      </c>
      <c r="P416" s="5" t="n">
        <v>1.8</v>
      </c>
      <c r="Q416" s="5" t="inlineStr">
        <is>
          <t>2025-05-25</t>
        </is>
      </c>
      <c r="R416" s="5" t="inlineStr">
        <is>
          <t>2025-08-17</t>
        </is>
      </c>
      <c r="S416" s="5" t="n">
        <v>85</v>
      </c>
      <c r="T416" s="5" t="n">
        <v>10</v>
      </c>
      <c r="U416" s="48" t="inlineStr">
        <is>
          <t>Cascade</t>
        </is>
      </c>
    </row>
    <row r="417">
      <c r="A417" s="5" t="inlineStr">
        <is>
          <t>Bella Mirage</t>
        </is>
      </c>
      <c r="B417" s="5" t="inlineStr">
        <is>
          <t>Cascade</t>
        </is>
      </c>
      <c r="C417" s="5" t="inlineStr">
        <is>
          <t>2812</t>
        </is>
      </c>
      <c r="D417" s="5" t="inlineStr"/>
      <c r="E417" s="5" t="n">
        <v>1</v>
      </c>
      <c r="F417" s="5" t="n">
        <v>1</v>
      </c>
      <c r="G417" s="5" t="inlineStr"/>
      <c r="H417" s="5" t="n">
        <v>777</v>
      </c>
      <c r="I417" s="5" t="inlineStr">
        <is>
          <t>6/4/2026</t>
        </is>
      </c>
      <c r="J417" s="5" t="n">
        <v>300</v>
      </c>
      <c r="K417" s="5" t="n">
        <v>12</v>
      </c>
      <c r="L417" s="5" t="inlineStr">
        <is>
          <t>60%</t>
        </is>
      </c>
      <c r="M417" s="5" t="n">
        <v>1335</v>
      </c>
      <c r="N417" s="5" t="n">
        <v>1.72</v>
      </c>
      <c r="O417" s="5" t="n">
        <v>1335</v>
      </c>
      <c r="P417" s="5" t="n">
        <v>1.72</v>
      </c>
      <c r="Q417" s="5" t="inlineStr">
        <is>
          <t>2026-04-02</t>
        </is>
      </c>
      <c r="R417" s="5" t="inlineStr">
        <is>
          <t>2026-04-04</t>
        </is>
      </c>
      <c r="S417" s="5" t="n">
        <v>3</v>
      </c>
      <c r="T417" s="5" t="n">
        <v>0</v>
      </c>
      <c r="U417" s="48" t="inlineStr">
        <is>
          <t>Cascade</t>
        </is>
      </c>
    </row>
    <row r="418">
      <c r="A418" s="5" t="inlineStr">
        <is>
          <t>Bella Mirage</t>
        </is>
      </c>
      <c r="B418" s="5" t="inlineStr">
        <is>
          <t>Cascade</t>
        </is>
      </c>
      <c r="C418" s="5" t="inlineStr">
        <is>
          <t>3317</t>
        </is>
      </c>
      <c r="D418" s="5" t="inlineStr"/>
      <c r="E418" s="5" t="n">
        <v>1</v>
      </c>
      <c r="F418" s="5" t="n">
        <v>1</v>
      </c>
      <c r="G418" s="5" t="inlineStr"/>
      <c r="H418" s="5" t="n">
        <v>777</v>
      </c>
      <c r="I418" s="5" t="inlineStr">
        <is>
          <t>1/13/2025</t>
        </is>
      </c>
      <c r="J418" s="5" t="n">
        <v>200</v>
      </c>
      <c r="K418" s="5" t="n">
        <v>12</v>
      </c>
      <c r="L418" s="5" t="inlineStr">
        <is>
          <t>60%</t>
        </is>
      </c>
      <c r="M418" s="5" t="n">
        <v>1337</v>
      </c>
      <c r="N418" s="5" t="n">
        <v>1.72</v>
      </c>
      <c r="O418" s="5" t="n">
        <v>1226</v>
      </c>
      <c r="P418" s="5" t="n">
        <v>1.58</v>
      </c>
      <c r="Q418" s="5" t="inlineStr">
        <is>
          <t>2024-11-07</t>
        </is>
      </c>
      <c r="R418" s="5" t="inlineStr">
        <is>
          <t>2025-01-30</t>
        </is>
      </c>
      <c r="S418" s="5" t="n">
        <v>85</v>
      </c>
      <c r="T418" s="5" t="n">
        <v>18</v>
      </c>
      <c r="U418" s="48" t="inlineStr">
        <is>
          <t>Cascade</t>
        </is>
      </c>
    </row>
    <row r="419">
      <c r="A419" s="5" t="inlineStr">
        <is>
          <t>Bella Mirage</t>
        </is>
      </c>
      <c r="B419" s="5" t="inlineStr">
        <is>
          <t>Cascade</t>
        </is>
      </c>
      <c r="C419" s="5" t="inlineStr">
        <is>
          <t>3823</t>
        </is>
      </c>
      <c r="D419" s="5" t="n">
        <v>3</v>
      </c>
      <c r="E419" s="5" t="n">
        <v>1</v>
      </c>
      <c r="F419" s="5" t="n">
        <v>1</v>
      </c>
      <c r="G419" s="5" t="inlineStr"/>
      <c r="H419" s="5" t="n">
        <v>777</v>
      </c>
      <c r="I419" s="5" t="inlineStr">
        <is>
          <t>10/26/2023</t>
        </is>
      </c>
      <c r="J419" s="5" t="inlineStr"/>
      <c r="K419" s="5" t="inlineStr"/>
      <c r="L419" s="5" t="inlineStr">
        <is>
          <t>60%</t>
        </is>
      </c>
      <c r="M419" s="5" t="n">
        <v>1300</v>
      </c>
      <c r="N419" s="5" t="n">
        <v>1.67</v>
      </c>
      <c r="O419" s="5" t="n">
        <v>1192</v>
      </c>
      <c r="P419" s="5" t="n">
        <v>1.53</v>
      </c>
      <c r="Q419" s="5" t="inlineStr">
        <is>
          <t>2023-10-26</t>
        </is>
      </c>
      <c r="R419" s="5" t="inlineStr">
        <is>
          <t>2023-10-29</t>
        </is>
      </c>
      <c r="S419" s="5" t="n">
        <v>4</v>
      </c>
      <c r="T419" s="5" t="n">
        <v>4</v>
      </c>
      <c r="U419" s="48" t="inlineStr">
        <is>
          <t>Cascade</t>
        </is>
      </c>
    </row>
    <row r="420">
      <c r="A420" s="5" t="inlineStr">
        <is>
          <t>Bella Mirage</t>
        </is>
      </c>
      <c r="B420" s="5" t="inlineStr">
        <is>
          <t>Cascade</t>
        </is>
      </c>
      <c r="C420" s="5" t="inlineStr">
        <is>
          <t>3823</t>
        </is>
      </c>
      <c r="D420" s="5" t="n">
        <v>3</v>
      </c>
      <c r="E420" s="5" t="n">
        <v>1</v>
      </c>
      <c r="F420" s="5" t="n">
        <v>1</v>
      </c>
      <c r="G420" s="5" t="inlineStr"/>
      <c r="H420" s="5" t="n">
        <v>777</v>
      </c>
      <c r="I420" s="5" t="inlineStr">
        <is>
          <t>3/6/2024</t>
        </is>
      </c>
      <c r="J420" s="5" t="n">
        <v>200</v>
      </c>
      <c r="K420" s="5" t="n">
        <v>14</v>
      </c>
      <c r="L420" s="5" t="inlineStr">
        <is>
          <t>60%</t>
        </is>
      </c>
      <c r="M420" s="5" t="n">
        <v>1402</v>
      </c>
      <c r="N420" s="5" t="n">
        <v>1.8</v>
      </c>
      <c r="O420" s="5" t="n">
        <v>1302</v>
      </c>
      <c r="P420" s="5" t="n">
        <v>1.68</v>
      </c>
      <c r="Q420" s="5" t="inlineStr">
        <is>
          <t>2024-04-16</t>
        </is>
      </c>
      <c r="R420" s="5" t="inlineStr">
        <is>
          <t>2024-04-22</t>
        </is>
      </c>
      <c r="S420" s="5" t="n">
        <v>7</v>
      </c>
      <c r="T420" s="5" t="n">
        <v>7</v>
      </c>
      <c r="U420" s="48" t="inlineStr">
        <is>
          <t>Cascade</t>
        </is>
      </c>
    </row>
    <row r="421">
      <c r="A421" s="5" t="inlineStr">
        <is>
          <t>Bella Mirage</t>
        </is>
      </c>
      <c r="B421" s="5" t="inlineStr">
        <is>
          <t>Cascade</t>
        </is>
      </c>
      <c r="C421" s="5" t="inlineStr">
        <is>
          <t>3823</t>
        </is>
      </c>
      <c r="D421" s="5" t="n">
        <v>3</v>
      </c>
      <c r="E421" s="5" t="n">
        <v>1</v>
      </c>
      <c r="F421" s="5" t="n">
        <v>1</v>
      </c>
      <c r="G421" s="5" t="inlineStr"/>
      <c r="H421" s="5" t="n">
        <v>777</v>
      </c>
      <c r="I421" s="5" t="inlineStr">
        <is>
          <t>12/11/2024</t>
        </is>
      </c>
      <c r="J421" s="5" t="n">
        <v>200</v>
      </c>
      <c r="K421" s="5" t="n">
        <v>12</v>
      </c>
      <c r="L421" s="5" t="inlineStr">
        <is>
          <t>60%</t>
        </is>
      </c>
      <c r="M421" s="5" t="n">
        <v>1347</v>
      </c>
      <c r="N421" s="5" t="n">
        <v>1.73</v>
      </c>
      <c r="O421" s="5" t="n">
        <v>1235</v>
      </c>
      <c r="P421" s="5" t="n">
        <v>1.59</v>
      </c>
      <c r="Q421" s="5" t="inlineStr">
        <is>
          <t>2024-08-13</t>
        </is>
      </c>
      <c r="R421" s="5" t="inlineStr">
        <is>
          <t>2024-11-13</t>
        </is>
      </c>
      <c r="S421" s="5" t="n">
        <v>93</v>
      </c>
      <c r="T421" s="5" t="n">
        <v>0</v>
      </c>
      <c r="U421" s="48" t="inlineStr">
        <is>
          <t>Cascade</t>
        </is>
      </c>
    </row>
    <row r="422">
      <c r="A422" s="5" t="inlineStr">
        <is>
          <t>Bella Mirage</t>
        </is>
      </c>
      <c r="B422" s="5" t="inlineStr">
        <is>
          <t>Cascade</t>
        </is>
      </c>
      <c r="C422" s="5" t="inlineStr">
        <is>
          <t>0911</t>
        </is>
      </c>
      <c r="D422" s="5" t="n">
        <v>1</v>
      </c>
      <c r="E422" s="5" t="n">
        <v>1</v>
      </c>
      <c r="F422" s="5" t="n">
        <v>1</v>
      </c>
      <c r="G422" s="5" t="inlineStr"/>
      <c r="H422" s="5" t="n">
        <v>777</v>
      </c>
      <c r="I422" s="5" t="inlineStr">
        <is>
          <t>9/24/2023</t>
        </is>
      </c>
      <c r="J422" s="5" t="inlineStr"/>
      <c r="K422" s="5" t="inlineStr"/>
      <c r="L422" s="5" t="inlineStr">
        <is>
          <t>60%</t>
        </is>
      </c>
      <c r="M422" s="5" t="n">
        <v>1486</v>
      </c>
      <c r="N422" s="5" t="n">
        <v>1.91</v>
      </c>
      <c r="O422" s="5" t="n">
        <v>1362</v>
      </c>
      <c r="P422" s="5" t="n">
        <v>1.75</v>
      </c>
      <c r="Q422" s="5" t="inlineStr">
        <is>
          <t>2023-09-24</t>
        </is>
      </c>
      <c r="R422" s="5" t="inlineStr">
        <is>
          <t>2023-10-05</t>
        </is>
      </c>
      <c r="S422" s="5" t="n">
        <v>12</v>
      </c>
      <c r="T422" s="5" t="n">
        <v>12</v>
      </c>
      <c r="U422" s="48" t="inlineStr">
        <is>
          <t>Cascade</t>
        </is>
      </c>
    </row>
    <row r="423">
      <c r="A423" s="5" t="inlineStr">
        <is>
          <t>Bella Mirage</t>
        </is>
      </c>
      <c r="B423" s="5" t="inlineStr">
        <is>
          <t>Cascade</t>
        </is>
      </c>
      <c r="C423" s="5" t="inlineStr">
        <is>
          <t>0911</t>
        </is>
      </c>
      <c r="D423" s="5" t="n">
        <v>1</v>
      </c>
      <c r="E423" s="5" t="n">
        <v>1</v>
      </c>
      <c r="F423" s="5" t="n">
        <v>1</v>
      </c>
      <c r="G423" s="5" t="inlineStr"/>
      <c r="H423" s="5" t="n">
        <v>777</v>
      </c>
      <c r="I423" s="5" t="inlineStr">
        <is>
          <t>1/18/2025</t>
        </is>
      </c>
      <c r="J423" s="5" t="n">
        <v>200</v>
      </c>
      <c r="K423" s="5" t="n">
        <v>12</v>
      </c>
      <c r="L423" s="5" t="inlineStr">
        <is>
          <t>60%</t>
        </is>
      </c>
      <c r="M423" s="5" t="n">
        <v>1341</v>
      </c>
      <c r="N423" s="5" t="n">
        <v>1.73</v>
      </c>
      <c r="O423" s="5" t="n">
        <v>1229</v>
      </c>
      <c r="P423" s="5" t="n">
        <v>1.58</v>
      </c>
      <c r="Q423" s="5" t="inlineStr">
        <is>
          <t>2024-11-09</t>
        </is>
      </c>
      <c r="R423" s="5" t="inlineStr">
        <is>
          <t>2025-03-10</t>
        </is>
      </c>
      <c r="S423" s="5" t="n">
        <v>122</v>
      </c>
      <c r="T423" s="5" t="n">
        <v>52</v>
      </c>
      <c r="U423" s="48" t="inlineStr">
        <is>
          <t>Cascade</t>
        </is>
      </c>
    </row>
    <row r="424">
      <c r="A424" s="5" t="inlineStr">
        <is>
          <t>Bella Mirage</t>
        </is>
      </c>
      <c r="B424" s="5" t="inlineStr">
        <is>
          <t>Cascade</t>
        </is>
      </c>
      <c r="C424" s="5" t="inlineStr">
        <is>
          <t>3021</t>
        </is>
      </c>
      <c r="D424" s="5" t="n">
        <v>2</v>
      </c>
      <c r="E424" s="5" t="n">
        <v>1</v>
      </c>
      <c r="F424" s="5" t="n">
        <v>1</v>
      </c>
      <c r="G424" s="5" t="inlineStr"/>
      <c r="H424" s="5" t="n">
        <v>777</v>
      </c>
      <c r="I424" s="5" t="inlineStr">
        <is>
          <t>8/6/2023</t>
        </is>
      </c>
      <c r="J424" s="5" t="inlineStr"/>
      <c r="K424" s="5" t="inlineStr"/>
      <c r="L424" s="5" t="inlineStr">
        <is>
          <t>80%</t>
        </is>
      </c>
      <c r="M424" s="5" t="n">
        <v>1386</v>
      </c>
      <c r="N424" s="5" t="n">
        <v>1.78</v>
      </c>
      <c r="O424" s="5" t="n">
        <v>1270</v>
      </c>
      <c r="P424" s="5" t="n">
        <v>1.63</v>
      </c>
      <c r="Q424" s="5" t="inlineStr">
        <is>
          <t>2023-08-06</t>
        </is>
      </c>
      <c r="R424" s="5" t="inlineStr">
        <is>
          <t>2023-10-05</t>
        </is>
      </c>
      <c r="S424" s="5" t="n">
        <v>61</v>
      </c>
      <c r="T424" s="5" t="n">
        <v>61</v>
      </c>
      <c r="U424" s="48" t="inlineStr">
        <is>
          <t>Cascade</t>
        </is>
      </c>
    </row>
    <row r="425">
      <c r="A425" s="5" t="inlineStr">
        <is>
          <t>Bella Mirage</t>
        </is>
      </c>
      <c r="B425" s="5" t="inlineStr">
        <is>
          <t>Cascade</t>
        </is>
      </c>
      <c r="C425" s="5" t="inlineStr">
        <is>
          <t>3021</t>
        </is>
      </c>
      <c r="D425" s="5" t="n">
        <v>2</v>
      </c>
      <c r="E425" s="5" t="n">
        <v>1</v>
      </c>
      <c r="F425" s="5" t="n">
        <v>1</v>
      </c>
      <c r="G425" s="5" t="inlineStr"/>
      <c r="H425" s="5" t="n">
        <v>777</v>
      </c>
      <c r="I425" s="5" t="inlineStr">
        <is>
          <t>2/2/2024</t>
        </is>
      </c>
      <c r="J425" s="5" t="n">
        <v>200</v>
      </c>
      <c r="K425" s="5" t="n">
        <v>14</v>
      </c>
      <c r="L425" s="5" t="inlineStr">
        <is>
          <t>80%</t>
        </is>
      </c>
      <c r="M425" s="5" t="n">
        <v>1370</v>
      </c>
      <c r="N425" s="5" t="n">
        <v>1.76</v>
      </c>
      <c r="O425" s="5" t="n">
        <v>1272</v>
      </c>
      <c r="P425" s="5" t="n">
        <v>1.64</v>
      </c>
      <c r="Q425" s="5" t="inlineStr">
        <is>
          <t>2024-02-07</t>
        </is>
      </c>
      <c r="R425" s="5" t="inlineStr">
        <is>
          <t>2024-04-04</t>
        </is>
      </c>
      <c r="S425" s="5" t="n">
        <v>58</v>
      </c>
      <c r="T425" s="5" t="n">
        <v>58</v>
      </c>
      <c r="U425" s="48" t="inlineStr">
        <is>
          <t>Cascade</t>
        </is>
      </c>
    </row>
    <row r="426">
      <c r="A426" s="5" t="inlineStr">
        <is>
          <t>Bella Mirage</t>
        </is>
      </c>
      <c r="B426" s="5" t="inlineStr">
        <is>
          <t>Cascade</t>
        </is>
      </c>
      <c r="C426" s="5" t="inlineStr">
        <is>
          <t>3021</t>
        </is>
      </c>
      <c r="D426" s="5" t="n">
        <v>2</v>
      </c>
      <c r="E426" s="5" t="n">
        <v>1</v>
      </c>
      <c r="F426" s="5" t="n">
        <v>1</v>
      </c>
      <c r="G426" s="5" t="inlineStr"/>
      <c r="H426" s="5" t="n">
        <v>777</v>
      </c>
      <c r="I426" s="5" t="inlineStr">
        <is>
          <t>8/27/2025</t>
        </is>
      </c>
      <c r="J426" s="5" t="n">
        <v>300</v>
      </c>
      <c r="K426" s="5" t="n">
        <v>12</v>
      </c>
      <c r="L426" s="5" t="inlineStr">
        <is>
          <t>80%</t>
        </is>
      </c>
      <c r="M426" s="5" t="n">
        <v>1353</v>
      </c>
      <c r="N426" s="5" t="n">
        <v>1.74</v>
      </c>
      <c r="O426" s="5" t="n">
        <v>1240</v>
      </c>
      <c r="P426" s="5" t="n">
        <v>1.6</v>
      </c>
      <c r="Q426" s="5" t="inlineStr">
        <is>
          <t>2025-08-15</t>
        </is>
      </c>
      <c r="R426" s="5" t="inlineStr">
        <is>
          <t>2025-10-10</t>
        </is>
      </c>
      <c r="S426" s="5" t="n">
        <v>57</v>
      </c>
      <c r="T426" s="5" t="n">
        <v>45</v>
      </c>
      <c r="U426" s="48" t="inlineStr">
        <is>
          <t>Cascade</t>
        </is>
      </c>
    </row>
    <row r="427">
      <c r="A427" s="5" t="inlineStr">
        <is>
          <t>Bella Mirage</t>
        </is>
      </c>
      <c r="B427" s="5" t="inlineStr">
        <is>
          <t>Cascade</t>
        </is>
      </c>
      <c r="C427" s="5" t="inlineStr">
        <is>
          <t>4012</t>
        </is>
      </c>
      <c r="D427" s="5" t="n">
        <v>4</v>
      </c>
      <c r="E427" s="5" t="n">
        <v>1</v>
      </c>
      <c r="F427" s="5" t="n">
        <v>1</v>
      </c>
      <c r="G427" s="5" t="inlineStr"/>
      <c r="H427" s="5" t="n">
        <v>777</v>
      </c>
      <c r="I427" s="5" t="inlineStr">
        <is>
          <t>8/20/2025</t>
        </is>
      </c>
      <c r="J427" s="5" t="n">
        <v>200</v>
      </c>
      <c r="K427" s="5" t="n">
        <v>13</v>
      </c>
      <c r="L427" s="5" t="inlineStr">
        <is>
          <t>80%</t>
        </is>
      </c>
      <c r="M427" s="5" t="n">
        <v>1360</v>
      </c>
      <c r="N427" s="5" t="n">
        <v>1.75</v>
      </c>
      <c r="O427" s="5" t="n">
        <v>1255</v>
      </c>
      <c r="P427" s="5" t="n">
        <v>1.62</v>
      </c>
      <c r="Q427" s="5" t="inlineStr">
        <is>
          <t>2025-06-01</t>
        </is>
      </c>
      <c r="R427" s="5" t="inlineStr">
        <is>
          <t>2025-07-12</t>
        </is>
      </c>
      <c r="S427" s="5" t="n">
        <v>42</v>
      </c>
      <c r="T427" s="5" t="n">
        <v>0</v>
      </c>
      <c r="U427" s="48" t="inlineStr">
        <is>
          <t>Cascade</t>
        </is>
      </c>
    </row>
    <row r="428">
      <c r="A428" s="5" t="inlineStr">
        <is>
          <t>Bella Mirage</t>
        </is>
      </c>
      <c r="B428" s="5" t="inlineStr">
        <is>
          <t>Cascade</t>
        </is>
      </c>
      <c r="C428" s="5" t="inlineStr">
        <is>
          <t>4016</t>
        </is>
      </c>
      <c r="D428" s="5" t="inlineStr"/>
      <c r="E428" s="5" t="n">
        <v>1</v>
      </c>
      <c r="F428" s="5" t="n">
        <v>1</v>
      </c>
      <c r="G428" s="5" t="inlineStr"/>
      <c r="H428" s="5" t="n">
        <v>777</v>
      </c>
      <c r="I428" s="5" t="inlineStr">
        <is>
          <t>3/3/2025</t>
        </is>
      </c>
      <c r="J428" s="5" t="n">
        <v>300</v>
      </c>
      <c r="K428" s="5" t="n">
        <v>12</v>
      </c>
      <c r="L428" s="5" t="inlineStr">
        <is>
          <t>80%</t>
        </is>
      </c>
      <c r="M428" s="5" t="n">
        <v>1361</v>
      </c>
      <c r="N428" s="5" t="n">
        <v>1.75</v>
      </c>
      <c r="O428" s="5" t="n">
        <v>1361</v>
      </c>
      <c r="P428" s="5" t="n">
        <v>1.75</v>
      </c>
      <c r="Q428" s="5" t="inlineStr">
        <is>
          <t>2025-02-16</t>
        </is>
      </c>
      <c r="R428" s="5" t="inlineStr">
        <is>
          <t>2025-11-02</t>
        </is>
      </c>
      <c r="S428" s="5" t="n">
        <v>260</v>
      </c>
      <c r="T428" s="5" t="n">
        <v>245</v>
      </c>
      <c r="U428" s="48" t="inlineStr">
        <is>
          <t>Cascade</t>
        </is>
      </c>
    </row>
    <row r="429">
      <c r="A429" s="5" t="inlineStr">
        <is>
          <t>Bella Mirage</t>
        </is>
      </c>
      <c r="B429" s="5" t="inlineStr">
        <is>
          <t>Cascade</t>
        </is>
      </c>
      <c r="C429" s="5" t="inlineStr">
        <is>
          <t>4021</t>
        </is>
      </c>
      <c r="D429" s="5" t="n">
        <v>4</v>
      </c>
      <c r="E429" s="5" t="n">
        <v>1</v>
      </c>
      <c r="F429" s="5" t="n">
        <v>1</v>
      </c>
      <c r="G429" s="5" t="inlineStr"/>
      <c r="H429" s="5" t="n">
        <v>777</v>
      </c>
      <c r="I429" s="5" t="inlineStr">
        <is>
          <t>2/25/2024</t>
        </is>
      </c>
      <c r="J429" s="5" t="n">
        <v>200</v>
      </c>
      <c r="K429" s="5" t="n">
        <v>15</v>
      </c>
      <c r="L429" s="5" t="inlineStr">
        <is>
          <t>80%</t>
        </is>
      </c>
      <c r="M429" s="5" t="n">
        <v>1363</v>
      </c>
      <c r="N429" s="5" t="n">
        <v>1.75</v>
      </c>
      <c r="O429" s="5" t="n">
        <v>1272</v>
      </c>
      <c r="P429" s="5" t="n">
        <v>1.64</v>
      </c>
      <c r="Q429" s="5" t="inlineStr">
        <is>
          <t>2024-02-12</t>
        </is>
      </c>
      <c r="R429" s="5" t="inlineStr">
        <is>
          <t>2024-03-10</t>
        </is>
      </c>
      <c r="S429" s="5" t="n">
        <v>28</v>
      </c>
      <c r="T429" s="5" t="n">
        <v>15</v>
      </c>
      <c r="U429" s="48" t="inlineStr">
        <is>
          <t>Cascade</t>
        </is>
      </c>
    </row>
    <row r="430">
      <c r="A430" s="5" t="inlineStr">
        <is>
          <t>Bella Mirage</t>
        </is>
      </c>
      <c r="B430" s="5" t="inlineStr">
        <is>
          <t>Cascade</t>
        </is>
      </c>
      <c r="C430" s="5" t="inlineStr">
        <is>
          <t>2725</t>
        </is>
      </c>
      <c r="D430" s="5" t="inlineStr"/>
      <c r="E430" s="5" t="n">
        <v>1</v>
      </c>
      <c r="F430" s="5" t="n">
        <v>1</v>
      </c>
      <c r="G430" s="5" t="inlineStr"/>
      <c r="H430" s="5" t="n">
        <v>777</v>
      </c>
      <c r="I430" s="5" t="inlineStr">
        <is>
          <t>6/19/2023</t>
        </is>
      </c>
      <c r="J430" s="5" t="inlineStr"/>
      <c r="K430" s="5" t="inlineStr"/>
      <c r="L430" s="5" t="inlineStr">
        <is>
          <t>80%</t>
        </is>
      </c>
      <c r="M430" s="5" t="n">
        <v>1379</v>
      </c>
      <c r="N430" s="5" t="n">
        <v>1.77</v>
      </c>
      <c r="O430" s="5" t="n">
        <v>1316</v>
      </c>
      <c r="P430" s="5" t="n">
        <v>1.69</v>
      </c>
      <c r="Q430" s="5" t="inlineStr">
        <is>
          <t>2023-06-19</t>
        </is>
      </c>
      <c r="R430" s="5" t="inlineStr">
        <is>
          <t>2023-09-24</t>
        </is>
      </c>
      <c r="S430" s="5" t="n">
        <v>98</v>
      </c>
      <c r="T430" s="5" t="n">
        <v>98</v>
      </c>
      <c r="U430" s="48" t="inlineStr">
        <is>
          <t>Cascade</t>
        </is>
      </c>
    </row>
    <row r="431">
      <c r="A431" s="5" t="inlineStr">
        <is>
          <t>Bella Mirage</t>
        </is>
      </c>
      <c r="B431" s="5" t="inlineStr">
        <is>
          <t>Cascade</t>
        </is>
      </c>
      <c r="C431" s="5" t="inlineStr">
        <is>
          <t>2725</t>
        </is>
      </c>
      <c r="D431" s="5" t="inlineStr"/>
      <c r="E431" s="5" t="n">
        <v>1</v>
      </c>
      <c r="F431" s="5" t="n">
        <v>1</v>
      </c>
      <c r="G431" s="5" t="inlineStr"/>
      <c r="H431" s="5" t="n">
        <v>777</v>
      </c>
      <c r="I431" s="5" t="inlineStr">
        <is>
          <t>2/12/2024</t>
        </is>
      </c>
      <c r="J431" s="5" t="n">
        <v>200</v>
      </c>
      <c r="K431" s="5" t="n">
        <v>14</v>
      </c>
      <c r="L431" s="5" t="inlineStr">
        <is>
          <t>80%</t>
        </is>
      </c>
      <c r="M431" s="5" t="n">
        <v>1370</v>
      </c>
      <c r="N431" s="5" t="n">
        <v>1.76</v>
      </c>
      <c r="O431" s="5" t="n">
        <v>1272</v>
      </c>
      <c r="P431" s="5" t="n">
        <v>1.64</v>
      </c>
      <c r="Q431" s="5" t="inlineStr">
        <is>
          <t>2024-02-12</t>
        </is>
      </c>
      <c r="R431" s="5" t="inlineStr">
        <is>
          <t>2024-04-14</t>
        </is>
      </c>
      <c r="S431" s="5" t="n">
        <v>63</v>
      </c>
      <c r="T431" s="5" t="n">
        <v>63</v>
      </c>
      <c r="U431" s="48" t="inlineStr">
        <is>
          <t>Cascade</t>
        </is>
      </c>
    </row>
    <row r="432">
      <c r="A432" s="5" t="inlineStr">
        <is>
          <t>Bella Mirage</t>
        </is>
      </c>
      <c r="B432" s="5" t="inlineStr">
        <is>
          <t>Cascade</t>
        </is>
      </c>
      <c r="C432" s="5" t="inlineStr">
        <is>
          <t>3824</t>
        </is>
      </c>
      <c r="D432" s="5" t="inlineStr"/>
      <c r="E432" s="5" t="n">
        <v>1</v>
      </c>
      <c r="F432" s="5" t="n">
        <v>1</v>
      </c>
      <c r="G432" s="5" t="inlineStr"/>
      <c r="H432" s="5" t="n">
        <v>777</v>
      </c>
      <c r="I432" s="5" t="inlineStr">
        <is>
          <t>10/11/2024</t>
        </is>
      </c>
      <c r="J432" s="5" t="n">
        <v>200</v>
      </c>
      <c r="K432" s="5" t="n">
        <v>12</v>
      </c>
      <c r="L432" s="5" t="inlineStr">
        <is>
          <t>80%</t>
        </is>
      </c>
      <c r="M432" s="5" t="n">
        <v>1375</v>
      </c>
      <c r="N432" s="5" t="n">
        <v>1.77</v>
      </c>
      <c r="O432" s="5" t="n">
        <v>1375</v>
      </c>
      <c r="P432" s="5" t="n">
        <v>1.77</v>
      </c>
      <c r="Q432" s="5" t="inlineStr">
        <is>
          <t>2024-06-29</t>
        </is>
      </c>
      <c r="R432" s="5" t="inlineStr">
        <is>
          <t>2024-10-18</t>
        </is>
      </c>
      <c r="S432" s="5" t="n">
        <v>112</v>
      </c>
      <c r="T432" s="5" t="n">
        <v>8</v>
      </c>
      <c r="U432" s="48" t="inlineStr">
        <is>
          <t>Cascade</t>
        </is>
      </c>
    </row>
    <row r="433">
      <c r="A433" s="5" t="inlineStr">
        <is>
          <t>Bella Mirage</t>
        </is>
      </c>
      <c r="B433" s="5" t="inlineStr">
        <is>
          <t>Cascade</t>
        </is>
      </c>
      <c r="C433" s="5" t="inlineStr">
        <is>
          <t>3311</t>
        </is>
      </c>
      <c r="D433" s="5" t="inlineStr"/>
      <c r="E433" s="5" t="n">
        <v>1</v>
      </c>
      <c r="F433" s="5" t="n">
        <v>1</v>
      </c>
      <c r="G433" s="5" t="inlineStr"/>
      <c r="H433" s="5" t="n">
        <v>777</v>
      </c>
      <c r="I433" s="5" t="inlineStr">
        <is>
          <t>3/8/2024</t>
        </is>
      </c>
      <c r="J433" s="5" t="n">
        <v>200</v>
      </c>
      <c r="K433" s="5" t="n">
        <v>15</v>
      </c>
      <c r="L433" s="5" t="inlineStr">
        <is>
          <t>80%</t>
        </is>
      </c>
      <c r="M433" s="5" t="n">
        <v>1383</v>
      </c>
      <c r="N433" s="5" t="n">
        <v>1.78</v>
      </c>
      <c r="O433" s="5" t="n">
        <v>1291</v>
      </c>
      <c r="P433" s="5" t="n">
        <v>1.66</v>
      </c>
      <c r="Q433" s="5" t="inlineStr">
        <is>
          <t>2024-02-12</t>
        </is>
      </c>
      <c r="R433" s="5" t="inlineStr">
        <is>
          <t>2024-03-04</t>
        </is>
      </c>
      <c r="S433" s="5" t="n">
        <v>22</v>
      </c>
      <c r="T433" s="5" t="n">
        <v>0</v>
      </c>
      <c r="U433" s="48" t="inlineStr">
        <is>
          <t>Cascade</t>
        </is>
      </c>
    </row>
    <row r="434">
      <c r="A434" s="5" t="inlineStr">
        <is>
          <t>Bella Mirage</t>
        </is>
      </c>
      <c r="B434" s="5" t="inlineStr">
        <is>
          <t>Cascade</t>
        </is>
      </c>
      <c r="C434" s="5" t="inlineStr">
        <is>
          <t>0917</t>
        </is>
      </c>
      <c r="D434" s="5" t="n">
        <v>1</v>
      </c>
      <c r="E434" s="5" t="n">
        <v>1</v>
      </c>
      <c r="F434" s="5" t="n">
        <v>1</v>
      </c>
      <c r="G434" s="5" t="inlineStr"/>
      <c r="H434" s="5" t="n">
        <v>777</v>
      </c>
      <c r="I434" s="5" t="inlineStr">
        <is>
          <t>11/5/2024</t>
        </is>
      </c>
      <c r="J434" s="5" t="n">
        <v>200</v>
      </c>
      <c r="K434" s="5" t="n">
        <v>12</v>
      </c>
      <c r="L434" s="5" t="inlineStr">
        <is>
          <t>80%</t>
        </is>
      </c>
      <c r="M434" s="5" t="n">
        <v>1473</v>
      </c>
      <c r="N434" s="5" t="n">
        <v>1.9</v>
      </c>
      <c r="O434" s="5" t="n">
        <v>1473</v>
      </c>
      <c r="P434" s="5" t="n">
        <v>1.9</v>
      </c>
      <c r="Q434" s="5" t="inlineStr">
        <is>
          <t>2024-09-10</t>
        </is>
      </c>
      <c r="R434" s="5" t="inlineStr">
        <is>
          <t>2024-10-16</t>
        </is>
      </c>
      <c r="S434" s="5" t="n">
        <v>37</v>
      </c>
      <c r="T434" s="5" t="n">
        <v>0</v>
      </c>
      <c r="U434" s="48" t="inlineStr">
        <is>
          <t>Cascade</t>
        </is>
      </c>
    </row>
    <row r="435">
      <c r="A435" s="5" t="inlineStr">
        <is>
          <t>Bella Mirage</t>
        </is>
      </c>
      <c r="B435" s="5" t="inlineStr">
        <is>
          <t>Cascade</t>
        </is>
      </c>
      <c r="C435" s="5" t="inlineStr">
        <is>
          <t>0917</t>
        </is>
      </c>
      <c r="D435" s="5" t="n">
        <v>1</v>
      </c>
      <c r="E435" s="5" t="n">
        <v>1</v>
      </c>
      <c r="F435" s="5" t="n">
        <v>1</v>
      </c>
      <c r="G435" s="5" t="inlineStr"/>
      <c r="H435" s="5" t="n">
        <v>777</v>
      </c>
      <c r="I435" s="5" t="inlineStr">
        <is>
          <t>8/27/2025</t>
        </is>
      </c>
      <c r="J435" s="5" t="n">
        <v>300</v>
      </c>
      <c r="K435" s="5" t="n">
        <v>12</v>
      </c>
      <c r="L435" s="5" t="inlineStr">
        <is>
          <t>80%</t>
        </is>
      </c>
      <c r="M435" s="5" t="n">
        <v>1383</v>
      </c>
      <c r="N435" s="5" t="n">
        <v>1.78</v>
      </c>
      <c r="O435" s="5" t="n">
        <v>1268</v>
      </c>
      <c r="P435" s="5" t="n">
        <v>1.63</v>
      </c>
      <c r="Q435" s="5" t="inlineStr">
        <is>
          <t>2025-07-31</t>
        </is>
      </c>
      <c r="R435" s="5" t="inlineStr">
        <is>
          <t>2025-09-21</t>
        </is>
      </c>
      <c r="S435" s="5" t="n">
        <v>53</v>
      </c>
      <c r="T435" s="5" t="n">
        <v>26</v>
      </c>
      <c r="U435" s="48" t="inlineStr">
        <is>
          <t>Cascade</t>
        </is>
      </c>
    </row>
    <row r="436">
      <c r="A436" s="5" t="inlineStr">
        <is>
          <t>Bella Mirage</t>
        </is>
      </c>
      <c r="B436" s="5" t="inlineStr">
        <is>
          <t>Cascade</t>
        </is>
      </c>
      <c r="C436" s="5" t="inlineStr">
        <is>
          <t>5321</t>
        </is>
      </c>
      <c r="D436" s="5" t="inlineStr"/>
      <c r="E436" s="5" t="n">
        <v>1</v>
      </c>
      <c r="F436" s="5" t="n">
        <v>1</v>
      </c>
      <c r="G436" s="5" t="inlineStr"/>
      <c r="H436" s="5" t="n">
        <v>777</v>
      </c>
      <c r="I436" s="5" t="inlineStr">
        <is>
          <t>2/9/2024</t>
        </is>
      </c>
      <c r="J436" s="5" t="n">
        <v>200</v>
      </c>
      <c r="K436" s="5" t="n">
        <v>14</v>
      </c>
      <c r="L436" s="5" t="inlineStr">
        <is>
          <t>80%</t>
        </is>
      </c>
      <c r="M436" s="5" t="n">
        <v>1346</v>
      </c>
      <c r="N436" s="5" t="n">
        <v>1.73</v>
      </c>
      <c r="O436" s="5" t="n">
        <v>1250</v>
      </c>
      <c r="P436" s="5" t="n">
        <v>1.61</v>
      </c>
      <c r="Q436" s="5" t="inlineStr">
        <is>
          <t>2024-02-11</t>
        </is>
      </c>
      <c r="R436" s="5" t="inlineStr">
        <is>
          <t>2024-04-02</t>
        </is>
      </c>
      <c r="S436" s="5" t="n">
        <v>52</v>
      </c>
      <c r="T436" s="5" t="n">
        <v>52</v>
      </c>
      <c r="U436" s="48" t="inlineStr">
        <is>
          <t>Cascade</t>
        </is>
      </c>
    </row>
    <row r="437">
      <c r="A437" s="5" t="inlineStr">
        <is>
          <t>Bella Mirage</t>
        </is>
      </c>
      <c r="B437" s="5" t="inlineStr">
        <is>
          <t>Cascade</t>
        </is>
      </c>
      <c r="C437" s="5" t="inlineStr">
        <is>
          <t>5321</t>
        </is>
      </c>
      <c r="D437" s="5" t="inlineStr"/>
      <c r="E437" s="5" t="n">
        <v>1</v>
      </c>
      <c r="F437" s="5" t="n">
        <v>1</v>
      </c>
      <c r="G437" s="5" t="inlineStr"/>
      <c r="H437" s="5" t="n">
        <v>777</v>
      </c>
      <c r="I437" s="5" t="inlineStr">
        <is>
          <t>6/23/2025</t>
        </is>
      </c>
      <c r="J437" s="5" t="n">
        <v>200</v>
      </c>
      <c r="K437" s="5" t="n">
        <v>12</v>
      </c>
      <c r="L437" s="5" t="inlineStr">
        <is>
          <t>80%</t>
        </is>
      </c>
      <c r="M437" s="5" t="n">
        <v>1384</v>
      </c>
      <c r="N437" s="5" t="n">
        <v>1.78</v>
      </c>
      <c r="O437" s="5" t="n">
        <v>1269</v>
      </c>
      <c r="P437" s="5" t="n">
        <v>1.63</v>
      </c>
      <c r="Q437" s="5" t="inlineStr">
        <is>
          <t>2025-04-05</t>
        </is>
      </c>
      <c r="R437" s="5" t="inlineStr">
        <is>
          <t>2025-04-17</t>
        </is>
      </c>
      <c r="S437" s="5" t="n">
        <v>13</v>
      </c>
      <c r="T437" s="5" t="n">
        <v>0</v>
      </c>
      <c r="U437" s="48" t="inlineStr">
        <is>
          <t>Cascade</t>
        </is>
      </c>
    </row>
    <row r="438">
      <c r="A438" s="5" t="inlineStr">
        <is>
          <t>Bella Mirage</t>
        </is>
      </c>
      <c r="B438" s="5" t="inlineStr">
        <is>
          <t>Cascade</t>
        </is>
      </c>
      <c r="C438" s="5" t="inlineStr">
        <is>
          <t>2818</t>
        </is>
      </c>
      <c r="D438" s="5" t="n">
        <v>1</v>
      </c>
      <c r="E438" s="5" t="n">
        <v>1</v>
      </c>
      <c r="F438" s="5" t="n">
        <v>1</v>
      </c>
      <c r="G438" s="5" t="inlineStr"/>
      <c r="H438" s="5" t="n">
        <v>777</v>
      </c>
      <c r="I438" s="5" t="inlineStr">
        <is>
          <t>6/15/2025</t>
        </is>
      </c>
      <c r="J438" s="5" t="n">
        <v>200</v>
      </c>
      <c r="K438" s="5" t="n">
        <v>12</v>
      </c>
      <c r="L438" s="5" t="inlineStr">
        <is>
          <t>80%</t>
        </is>
      </c>
      <c r="M438" s="5" t="n">
        <v>1385</v>
      </c>
      <c r="N438" s="5" t="n">
        <v>1.78</v>
      </c>
      <c r="O438" s="5" t="n">
        <v>1270</v>
      </c>
      <c r="P438" s="5" t="n">
        <v>1.63</v>
      </c>
      <c r="Q438" s="5" t="inlineStr">
        <is>
          <t>2025-04-23</t>
        </is>
      </c>
      <c r="R438" s="5" t="inlineStr">
        <is>
          <t>2025-07-03</t>
        </is>
      </c>
      <c r="S438" s="5" t="n">
        <v>72</v>
      </c>
      <c r="T438" s="5" t="n">
        <v>19</v>
      </c>
      <c r="U438" s="48" t="inlineStr">
        <is>
          <t>Cascade</t>
        </is>
      </c>
    </row>
    <row r="439">
      <c r="A439" s="5" t="inlineStr">
        <is>
          <t>Bella Mirage</t>
        </is>
      </c>
      <c r="B439" s="5" t="inlineStr">
        <is>
          <t>Cascade</t>
        </is>
      </c>
      <c r="C439" s="5" t="inlineStr">
        <is>
          <t>2816</t>
        </is>
      </c>
      <c r="D439" s="5" t="n">
        <v>2</v>
      </c>
      <c r="E439" s="5" t="n">
        <v>1</v>
      </c>
      <c r="F439" s="5" t="n">
        <v>1</v>
      </c>
      <c r="G439" s="5" t="inlineStr"/>
      <c r="H439" s="5" t="n">
        <v>777</v>
      </c>
      <c r="I439" s="5" t="inlineStr">
        <is>
          <t>3/7/2024</t>
        </is>
      </c>
      <c r="J439" s="5" t="n">
        <v>200</v>
      </c>
      <c r="K439" s="5" t="n">
        <v>13</v>
      </c>
      <c r="L439" s="5" t="inlineStr">
        <is>
          <t>80%</t>
        </is>
      </c>
      <c r="M439" s="5" t="n">
        <v>1562</v>
      </c>
      <c r="N439" s="5" t="n">
        <v>2.01</v>
      </c>
      <c r="O439" s="5" t="n">
        <v>1442</v>
      </c>
      <c r="P439" s="5" t="n">
        <v>1.86</v>
      </c>
      <c r="Q439" s="5" t="inlineStr">
        <is>
          <t>2024-02-12</t>
        </is>
      </c>
      <c r="R439" s="5" t="inlineStr">
        <is>
          <t>2024-05-08</t>
        </is>
      </c>
      <c r="S439" s="5" t="n">
        <v>87</v>
      </c>
      <c r="T439" s="5" t="n">
        <v>63</v>
      </c>
      <c r="U439" s="48" t="inlineStr">
        <is>
          <t>Cascade</t>
        </is>
      </c>
    </row>
    <row r="440">
      <c r="A440" s="5" t="inlineStr">
        <is>
          <t>Bella Mirage</t>
        </is>
      </c>
      <c r="B440" s="5" t="inlineStr">
        <is>
          <t>Cascade</t>
        </is>
      </c>
      <c r="C440" s="5" t="inlineStr">
        <is>
          <t>2816</t>
        </is>
      </c>
      <c r="D440" s="5" t="n">
        <v>2</v>
      </c>
      <c r="E440" s="5" t="n">
        <v>1</v>
      </c>
      <c r="F440" s="5" t="n">
        <v>1</v>
      </c>
      <c r="G440" s="5" t="inlineStr"/>
      <c r="H440" s="5" t="n">
        <v>777</v>
      </c>
      <c r="I440" s="5" t="inlineStr">
        <is>
          <t>5/2/2025</t>
        </is>
      </c>
      <c r="J440" s="5" t="n">
        <v>200</v>
      </c>
      <c r="K440" s="5" t="n">
        <v>12</v>
      </c>
      <c r="L440" s="5" t="inlineStr">
        <is>
          <t>80%</t>
        </is>
      </c>
      <c r="M440" s="5" t="n">
        <v>1385</v>
      </c>
      <c r="N440" s="5" t="n">
        <v>1.78</v>
      </c>
      <c r="O440" s="5" t="n">
        <v>1270</v>
      </c>
      <c r="P440" s="5" t="n">
        <v>1.63</v>
      </c>
      <c r="Q440" s="5" t="inlineStr">
        <is>
          <t>2025-03-19</t>
        </is>
      </c>
      <c r="R440" s="5" t="inlineStr">
        <is>
          <t>2025-07-17</t>
        </is>
      </c>
      <c r="S440" s="5" t="n">
        <v>121</v>
      </c>
      <c r="T440" s="5" t="n">
        <v>77</v>
      </c>
      <c r="U440" s="48" t="inlineStr">
        <is>
          <t>Cascade</t>
        </is>
      </c>
    </row>
    <row r="441">
      <c r="A441" s="5" t="inlineStr">
        <is>
          <t>Bella Mirage</t>
        </is>
      </c>
      <c r="B441" s="5" t="inlineStr">
        <is>
          <t>Cascade</t>
        </is>
      </c>
      <c r="C441" s="5" t="inlineStr">
        <is>
          <t>5326</t>
        </is>
      </c>
      <c r="D441" s="5" t="inlineStr"/>
      <c r="E441" s="5" t="n">
        <v>1</v>
      </c>
      <c r="F441" s="5" t="n">
        <v>1</v>
      </c>
      <c r="G441" s="5" t="inlineStr"/>
      <c r="H441" s="5" t="n">
        <v>777</v>
      </c>
      <c r="I441" s="5" t="inlineStr">
        <is>
          <t>8/18/2024</t>
        </is>
      </c>
      <c r="J441" s="5" t="n">
        <v>200</v>
      </c>
      <c r="K441" s="5" t="n">
        <v>15</v>
      </c>
      <c r="L441" s="5" t="inlineStr">
        <is>
          <t>80%</t>
        </is>
      </c>
      <c r="M441" s="5" t="n">
        <v>1389</v>
      </c>
      <c r="N441" s="5" t="n">
        <v>1.79</v>
      </c>
      <c r="O441" s="5" t="n">
        <v>1389</v>
      </c>
      <c r="P441" s="5" t="n">
        <v>1.79</v>
      </c>
      <c r="Q441" s="5" t="inlineStr">
        <is>
          <t>2024-08-02</t>
        </is>
      </c>
      <c r="R441" s="5" t="inlineStr">
        <is>
          <t>2024-09-21</t>
        </is>
      </c>
      <c r="S441" s="5" t="n">
        <v>51</v>
      </c>
      <c r="T441" s="5" t="n">
        <v>35</v>
      </c>
      <c r="U441" s="48" t="inlineStr">
        <is>
          <t>Cascade</t>
        </is>
      </c>
    </row>
    <row r="442">
      <c r="A442" s="5" t="inlineStr">
        <is>
          <t>Bella Mirage</t>
        </is>
      </c>
      <c r="B442" s="5" t="inlineStr">
        <is>
          <t>Cascade</t>
        </is>
      </c>
      <c r="C442" s="5" t="inlineStr">
        <is>
          <t>3434</t>
        </is>
      </c>
      <c r="D442" s="5" t="n">
        <v>3</v>
      </c>
      <c r="E442" s="5" t="n">
        <v>1</v>
      </c>
      <c r="F442" s="5" t="n">
        <v>1</v>
      </c>
      <c r="G442" s="5" t="inlineStr"/>
      <c r="H442" s="5" t="n">
        <v>777</v>
      </c>
      <c r="I442" s="5" t="inlineStr">
        <is>
          <t>5/31/2024</t>
        </is>
      </c>
      <c r="J442" s="5" t="n">
        <v>200</v>
      </c>
      <c r="K442" s="5" t="n">
        <v>14</v>
      </c>
      <c r="L442" s="5" t="inlineStr">
        <is>
          <t>80%</t>
        </is>
      </c>
      <c r="M442" s="5" t="n">
        <v>1402</v>
      </c>
      <c r="N442" s="5" t="n">
        <v>1.8</v>
      </c>
      <c r="O442" s="5" t="n">
        <v>1402</v>
      </c>
      <c r="P442" s="5" t="n">
        <v>1.8</v>
      </c>
      <c r="Q442" s="5" t="inlineStr">
        <is>
          <t>2024-04-16</t>
        </is>
      </c>
      <c r="R442" s="5" t="inlineStr">
        <is>
          <t>2024-08-23</t>
        </is>
      </c>
      <c r="S442" s="5" t="n">
        <v>130</v>
      </c>
      <c r="T442" s="5" t="n">
        <v>85</v>
      </c>
      <c r="U442" s="48" t="inlineStr">
        <is>
          <t>Cascade</t>
        </is>
      </c>
    </row>
    <row r="443">
      <c r="A443" s="5" t="inlineStr">
        <is>
          <t>Bella Mirage</t>
        </is>
      </c>
      <c r="B443" s="5" t="inlineStr">
        <is>
          <t>Cascade</t>
        </is>
      </c>
      <c r="C443" s="5" t="inlineStr">
        <is>
          <t>3312</t>
        </is>
      </c>
      <c r="D443" s="5" t="inlineStr"/>
      <c r="E443" s="5" t="n">
        <v>1</v>
      </c>
      <c r="F443" s="5" t="n">
        <v>1</v>
      </c>
      <c r="G443" s="5" t="inlineStr"/>
      <c r="H443" s="5" t="n">
        <v>777</v>
      </c>
      <c r="I443" s="5" t="inlineStr">
        <is>
          <t>11/15/2024</t>
        </is>
      </c>
      <c r="J443" s="5" t="n">
        <v>200</v>
      </c>
      <c r="K443" s="5" t="n">
        <v>12</v>
      </c>
      <c r="L443" s="5" t="inlineStr">
        <is>
          <t>80%</t>
        </is>
      </c>
      <c r="M443" s="5" t="n">
        <v>1410</v>
      </c>
      <c r="N443" s="5" t="n">
        <v>1.81</v>
      </c>
      <c r="O443" s="5" t="n">
        <v>1410</v>
      </c>
      <c r="P443" s="5" t="n">
        <v>1.81</v>
      </c>
      <c r="Q443" s="5" t="inlineStr">
        <is>
          <t>2024-08-31</t>
        </is>
      </c>
      <c r="R443" s="5" t="inlineStr">
        <is>
          <t>2024-10-28</t>
        </is>
      </c>
      <c r="S443" s="5" t="n">
        <v>59</v>
      </c>
      <c r="T443" s="5" t="n">
        <v>0</v>
      </c>
      <c r="U443" s="48" t="inlineStr">
        <is>
          <t>Cascade</t>
        </is>
      </c>
    </row>
    <row r="444">
      <c r="A444" s="5" t="inlineStr">
        <is>
          <t>Bella Mirage</t>
        </is>
      </c>
      <c r="B444" s="5" t="inlineStr">
        <is>
          <t>Cascade</t>
        </is>
      </c>
      <c r="C444" s="5" t="inlineStr">
        <is>
          <t>3025</t>
        </is>
      </c>
      <c r="D444" s="5" t="n">
        <v>3</v>
      </c>
      <c r="E444" s="5" t="n">
        <v>1</v>
      </c>
      <c r="F444" s="5" t="n">
        <v>1</v>
      </c>
      <c r="G444" s="5" t="inlineStr"/>
      <c r="H444" s="5" t="n">
        <v>777</v>
      </c>
      <c r="I444" s="5" t="inlineStr">
        <is>
          <t>5/3/2024</t>
        </is>
      </c>
      <c r="J444" s="5" t="n">
        <v>200</v>
      </c>
      <c r="K444" s="5" t="n">
        <v>13</v>
      </c>
      <c r="L444" s="5" t="inlineStr">
        <is>
          <t>80%</t>
        </is>
      </c>
      <c r="M444" s="5" t="n">
        <v>1494</v>
      </c>
      <c r="N444" s="5" t="n">
        <v>1.92</v>
      </c>
      <c r="O444" s="5" t="n">
        <v>1379</v>
      </c>
      <c r="P444" s="5" t="n">
        <v>1.77</v>
      </c>
      <c r="Q444" s="5" t="inlineStr">
        <is>
          <t>2024-02-19</t>
        </is>
      </c>
      <c r="R444" s="5" t="inlineStr">
        <is>
          <t>2024-03-29</t>
        </is>
      </c>
      <c r="S444" s="5" t="n">
        <v>40</v>
      </c>
      <c r="T444" s="5" t="n">
        <v>0</v>
      </c>
      <c r="U444" s="48" t="inlineStr">
        <is>
          <t>Cascade</t>
        </is>
      </c>
    </row>
    <row r="445">
      <c r="A445" s="5" t="inlineStr">
        <is>
          <t>Bella Mirage</t>
        </is>
      </c>
      <c r="B445" s="5" t="inlineStr">
        <is>
          <t>Cascade</t>
        </is>
      </c>
      <c r="C445" s="5" t="inlineStr">
        <is>
          <t>3025</t>
        </is>
      </c>
      <c r="D445" s="5" t="n">
        <v>3</v>
      </c>
      <c r="E445" s="5" t="n">
        <v>1</v>
      </c>
      <c r="F445" s="5" t="n">
        <v>1</v>
      </c>
      <c r="G445" s="5" t="inlineStr"/>
      <c r="H445" s="5" t="n">
        <v>777</v>
      </c>
      <c r="I445" s="5" t="inlineStr">
        <is>
          <t>9/13/2024</t>
        </is>
      </c>
      <c r="J445" s="5" t="n">
        <v>200</v>
      </c>
      <c r="K445" s="5" t="n">
        <v>14</v>
      </c>
      <c r="L445" s="5" t="inlineStr">
        <is>
          <t>80%</t>
        </is>
      </c>
      <c r="M445" s="5" t="n">
        <v>1427</v>
      </c>
      <c r="N445" s="5" t="n">
        <v>1.84</v>
      </c>
      <c r="O445" s="5" t="n">
        <v>1427</v>
      </c>
      <c r="P445" s="5" t="n">
        <v>1.84</v>
      </c>
      <c r="Q445" s="5" t="inlineStr">
        <is>
          <t>2024-07-30</t>
        </is>
      </c>
      <c r="R445" s="5" t="inlineStr">
        <is>
          <t>2024-09-18</t>
        </is>
      </c>
      <c r="S445" s="5" t="n">
        <v>51</v>
      </c>
      <c r="T445" s="5" t="n">
        <v>6</v>
      </c>
      <c r="U445" s="48" t="inlineStr">
        <is>
          <t>Cascade</t>
        </is>
      </c>
    </row>
    <row r="446">
      <c r="A446" s="5" t="inlineStr">
        <is>
          <t>Bella Mirage</t>
        </is>
      </c>
      <c r="B446" s="5" t="inlineStr">
        <is>
          <t>Cascade</t>
        </is>
      </c>
      <c r="C446" s="5" t="inlineStr">
        <is>
          <t>2722</t>
        </is>
      </c>
      <c r="D446" s="5" t="inlineStr"/>
      <c r="E446" s="5" t="n">
        <v>1</v>
      </c>
      <c r="F446" s="5" t="n">
        <v>1</v>
      </c>
      <c r="G446" s="5" t="inlineStr"/>
      <c r="H446" s="5" t="n">
        <v>777</v>
      </c>
      <c r="I446" s="5" t="inlineStr">
        <is>
          <t>12/24/2023</t>
        </is>
      </c>
      <c r="J446" s="5" t="inlineStr"/>
      <c r="K446" s="5" t="inlineStr"/>
      <c r="L446" s="5" t="inlineStr">
        <is>
          <t>80%</t>
        </is>
      </c>
      <c r="M446" s="5" t="n">
        <v>1394</v>
      </c>
      <c r="N446" s="5" t="n">
        <v>1.79</v>
      </c>
      <c r="O446" s="5" t="n">
        <v>1278</v>
      </c>
      <c r="P446" s="5" t="n">
        <v>1.64</v>
      </c>
      <c r="Q446" s="5" t="inlineStr">
        <is>
          <t>2023-12-24</t>
        </is>
      </c>
      <c r="R446" s="5" t="inlineStr">
        <is>
          <t>2024-01-05</t>
        </is>
      </c>
      <c r="S446" s="5" t="n">
        <v>13</v>
      </c>
      <c r="T446" s="5" t="n">
        <v>13</v>
      </c>
      <c r="U446" s="48" t="inlineStr">
        <is>
          <t>Cascade</t>
        </is>
      </c>
    </row>
    <row r="447">
      <c r="A447" s="5" t="inlineStr">
        <is>
          <t>Bella Mirage</t>
        </is>
      </c>
      <c r="B447" s="5" t="inlineStr">
        <is>
          <t>Cascade</t>
        </is>
      </c>
      <c r="C447" s="5" t="inlineStr">
        <is>
          <t>2722</t>
        </is>
      </c>
      <c r="D447" s="5" t="inlineStr"/>
      <c r="E447" s="5" t="n">
        <v>1</v>
      </c>
      <c r="F447" s="5" t="n">
        <v>1</v>
      </c>
      <c r="G447" s="5" t="inlineStr"/>
      <c r="H447" s="5" t="n">
        <v>777</v>
      </c>
      <c r="I447" s="5" t="inlineStr">
        <is>
          <t>9/16/2024</t>
        </is>
      </c>
      <c r="J447" s="5" t="n">
        <v>200</v>
      </c>
      <c r="K447" s="5" t="n">
        <v>12</v>
      </c>
      <c r="L447" s="5" t="inlineStr">
        <is>
          <t>80%</t>
        </is>
      </c>
      <c r="M447" s="5" t="n">
        <v>1445</v>
      </c>
      <c r="N447" s="5" t="n">
        <v>1.86</v>
      </c>
      <c r="O447" s="5" t="n">
        <v>1445</v>
      </c>
      <c r="P447" s="5" t="n">
        <v>1.86</v>
      </c>
      <c r="Q447" s="5" t="inlineStr">
        <is>
          <t>2024-07-02</t>
        </is>
      </c>
      <c r="R447" s="5" t="inlineStr">
        <is>
          <t>2024-07-11</t>
        </is>
      </c>
      <c r="S447" s="5" t="n">
        <v>10</v>
      </c>
      <c r="T447" s="5" t="n">
        <v>0</v>
      </c>
      <c r="U447" s="48" t="inlineStr">
        <is>
          <t>Cascade</t>
        </is>
      </c>
    </row>
    <row r="448">
      <c r="A448" s="5" t="inlineStr">
        <is>
          <t>Bella Mirage</t>
        </is>
      </c>
      <c r="B448" s="5" t="inlineStr">
        <is>
          <t>Cascade</t>
        </is>
      </c>
      <c r="C448" s="5" t="inlineStr">
        <is>
          <t>2817</t>
        </is>
      </c>
      <c r="D448" s="5" t="n">
        <v>2</v>
      </c>
      <c r="E448" s="5" t="n">
        <v>1</v>
      </c>
      <c r="F448" s="5" t="n">
        <v>1</v>
      </c>
      <c r="G448" s="5" t="inlineStr"/>
      <c r="H448" s="5" t="n">
        <v>777</v>
      </c>
      <c r="I448" s="5" t="inlineStr">
        <is>
          <t>4/7/2025</t>
        </is>
      </c>
      <c r="J448" s="5" t="n">
        <v>200</v>
      </c>
      <c r="K448" s="5" t="n">
        <v>13</v>
      </c>
      <c r="L448" s="5" t="inlineStr">
        <is>
          <t>80%</t>
        </is>
      </c>
      <c r="M448" s="5" t="n">
        <v>1460</v>
      </c>
      <c r="N448" s="5" t="n">
        <v>1.88</v>
      </c>
      <c r="O448" s="5" t="n">
        <v>1348</v>
      </c>
      <c r="P448" s="5" t="n">
        <v>1.73</v>
      </c>
      <c r="Q448" s="5" t="inlineStr">
        <is>
          <t>2025-01-15</t>
        </is>
      </c>
      <c r="R448" s="5" t="inlineStr">
        <is>
          <t>2025-05-08</t>
        </is>
      </c>
      <c r="S448" s="5" t="n">
        <v>114</v>
      </c>
      <c r="T448" s="5" t="n">
        <v>32</v>
      </c>
      <c r="U448" s="48" t="inlineStr">
        <is>
          <t>Cascade</t>
        </is>
      </c>
    </row>
    <row r="449">
      <c r="A449" s="5" t="inlineStr">
        <is>
          <t>Bella Mirage</t>
        </is>
      </c>
      <c r="B449" s="5" t="inlineStr">
        <is>
          <t>Cascade</t>
        </is>
      </c>
      <c r="C449" s="5" t="inlineStr">
        <is>
          <t>1817</t>
        </is>
      </c>
      <c r="D449" s="5" t="n">
        <v>1</v>
      </c>
      <c r="E449" s="5" t="n">
        <v>1</v>
      </c>
      <c r="F449" s="5" t="n">
        <v>1</v>
      </c>
      <c r="G449" s="5" t="inlineStr"/>
      <c r="H449" s="5" t="n">
        <v>777</v>
      </c>
      <c r="I449" s="5" t="inlineStr">
        <is>
          <t>9/9/2024</t>
        </is>
      </c>
      <c r="J449" s="5" t="n">
        <v>200</v>
      </c>
      <c r="K449" s="5" t="n">
        <v>12</v>
      </c>
      <c r="L449" s="5" t="inlineStr">
        <is>
          <t>80%</t>
        </is>
      </c>
      <c r="M449" s="5" t="n">
        <v>1468</v>
      </c>
      <c r="N449" s="5" t="n">
        <v>1.89</v>
      </c>
      <c r="O449" s="5" t="n">
        <v>1468</v>
      </c>
      <c r="P449" s="5" t="n">
        <v>1.89</v>
      </c>
      <c r="Q449" s="5" t="inlineStr">
        <is>
          <t>2024-06-17</t>
        </is>
      </c>
      <c r="R449" s="5" t="inlineStr">
        <is>
          <t>2024-10-14</t>
        </is>
      </c>
      <c r="S449" s="5" t="n">
        <v>120</v>
      </c>
      <c r="T449" s="5" t="n">
        <v>36</v>
      </c>
      <c r="U449" s="48" t="inlineStr">
        <is>
          <t>Cascade</t>
        </is>
      </c>
    </row>
    <row r="450">
      <c r="A450" s="5" t="inlineStr">
        <is>
          <t>Bella Mirage</t>
        </is>
      </c>
      <c r="B450" s="5" t="inlineStr">
        <is>
          <t>Cascade</t>
        </is>
      </c>
      <c r="C450" s="5" t="inlineStr">
        <is>
          <t>1823</t>
        </is>
      </c>
      <c r="D450" s="5" t="inlineStr"/>
      <c r="E450" s="5" t="n">
        <v>1</v>
      </c>
      <c r="F450" s="5" t="n">
        <v>1</v>
      </c>
      <c r="G450" s="5" t="inlineStr"/>
      <c r="H450" s="5" t="n">
        <v>777</v>
      </c>
      <c r="I450" s="5" t="inlineStr">
        <is>
          <t>10/27/2023</t>
        </is>
      </c>
      <c r="J450" s="5" t="inlineStr"/>
      <c r="K450" s="5" t="inlineStr"/>
      <c r="L450" s="5" t="inlineStr">
        <is>
          <t>80%</t>
        </is>
      </c>
      <c r="M450" s="5" t="n">
        <v>1315</v>
      </c>
      <c r="N450" s="5" t="n">
        <v>1.69</v>
      </c>
      <c r="O450" s="5" t="n">
        <v>1205</v>
      </c>
      <c r="P450" s="5" t="n">
        <v>1.55</v>
      </c>
      <c r="Q450" s="5" t="inlineStr">
        <is>
          <t>2023-10-27</t>
        </is>
      </c>
      <c r="R450" s="5" t="inlineStr">
        <is>
          <t>2023-12-22</t>
        </is>
      </c>
      <c r="S450" s="5" t="n">
        <v>57</v>
      </c>
      <c r="T450" s="5" t="n">
        <v>57</v>
      </c>
      <c r="U450" s="48" t="inlineStr">
        <is>
          <t>Cascade</t>
        </is>
      </c>
    </row>
    <row r="451">
      <c r="A451" s="5" t="inlineStr">
        <is>
          <t>Bella Mirage</t>
        </is>
      </c>
      <c r="B451" s="5" t="inlineStr">
        <is>
          <t>Cascade</t>
        </is>
      </c>
      <c r="C451" s="5" t="inlineStr">
        <is>
          <t>1823</t>
        </is>
      </c>
      <c r="D451" s="5" t="inlineStr"/>
      <c r="E451" s="5" t="n">
        <v>1</v>
      </c>
      <c r="F451" s="5" t="n">
        <v>1</v>
      </c>
      <c r="G451" s="5" t="inlineStr"/>
      <c r="H451" s="5" t="n">
        <v>777</v>
      </c>
      <c r="I451" s="5" t="inlineStr">
        <is>
          <t>1/14/2025</t>
        </is>
      </c>
      <c r="J451" s="5" t="n">
        <v>200</v>
      </c>
      <c r="K451" s="5" t="n">
        <v>12</v>
      </c>
      <c r="L451" s="5" t="inlineStr">
        <is>
          <t>80%</t>
        </is>
      </c>
      <c r="M451" s="5" t="n">
        <v>1495</v>
      </c>
      <c r="N451" s="5" t="n">
        <v>1.92</v>
      </c>
      <c r="O451" s="5" t="n">
        <v>1370</v>
      </c>
      <c r="P451" s="5" t="n">
        <v>1.76</v>
      </c>
      <c r="Q451" s="5" t="inlineStr">
        <is>
          <t>2024-10-24</t>
        </is>
      </c>
      <c r="R451" s="5" t="inlineStr">
        <is>
          <t>2025-02-25</t>
        </is>
      </c>
      <c r="S451" s="5" t="n">
        <v>125</v>
      </c>
      <c r="T451" s="5" t="n">
        <v>43</v>
      </c>
      <c r="U451" s="48" t="inlineStr">
        <is>
          <t>Cascade</t>
        </is>
      </c>
    </row>
    <row r="452">
      <c r="A452" s="5" t="inlineStr">
        <is>
          <t>Bella Mirage</t>
        </is>
      </c>
      <c r="B452" s="5" t="inlineStr">
        <is>
          <t>Cascade</t>
        </is>
      </c>
      <c r="C452" s="5" t="inlineStr">
        <is>
          <t>5813</t>
        </is>
      </c>
      <c r="D452" s="5" t="n">
        <v>1</v>
      </c>
      <c r="E452" s="5" t="n">
        <v>1</v>
      </c>
      <c r="F452" s="5" t="n">
        <v>1</v>
      </c>
      <c r="G452" s="5" t="inlineStr"/>
      <c r="H452" s="5" t="n">
        <v>777</v>
      </c>
      <c r="I452" s="5" t="inlineStr">
        <is>
          <t>12/17/2023</t>
        </is>
      </c>
      <c r="J452" s="5" t="inlineStr"/>
      <c r="K452" s="5" t="inlineStr"/>
      <c r="L452" s="5" t="inlineStr">
        <is>
          <t>60%</t>
        </is>
      </c>
      <c r="M452" s="5" t="n">
        <v>1284</v>
      </c>
      <c r="N452" s="5" t="n">
        <v>1.65</v>
      </c>
      <c r="O452" s="5" t="n">
        <v>1177</v>
      </c>
      <c r="P452" s="5" t="n">
        <v>1.51</v>
      </c>
      <c r="Q452" s="5" t="inlineStr">
        <is>
          <t>2023-12-17</t>
        </is>
      </c>
      <c r="R452" s="5" t="inlineStr">
        <is>
          <t>2023-12-29</t>
        </is>
      </c>
      <c r="S452" s="5" t="n">
        <v>13</v>
      </c>
      <c r="T452" s="5" t="n">
        <v>13</v>
      </c>
      <c r="U452" s="48" t="inlineStr">
        <is>
          <t>Cascade</t>
        </is>
      </c>
    </row>
    <row r="453">
      <c r="A453" s="5" t="inlineStr">
        <is>
          <t>Bella Mirage</t>
        </is>
      </c>
      <c r="B453" s="5" t="inlineStr">
        <is>
          <t>Cascade</t>
        </is>
      </c>
      <c r="C453" s="5" t="inlineStr">
        <is>
          <t>3337</t>
        </is>
      </c>
      <c r="D453" s="5" t="inlineStr"/>
      <c r="E453" s="5" t="n">
        <v>1</v>
      </c>
      <c r="F453" s="5" t="n">
        <v>1</v>
      </c>
      <c r="G453" s="5" t="inlineStr"/>
      <c r="H453" s="5" t="n">
        <v>777</v>
      </c>
      <c r="I453" s="5" t="inlineStr">
        <is>
          <t>11/7/2023</t>
        </is>
      </c>
      <c r="J453" s="5" t="inlineStr"/>
      <c r="K453" s="5" t="inlineStr"/>
      <c r="L453" s="5" t="inlineStr">
        <is>
          <t>60%</t>
        </is>
      </c>
      <c r="M453" s="5" t="n">
        <v>1294</v>
      </c>
      <c r="N453" s="5" t="n">
        <v>1.67</v>
      </c>
      <c r="O453" s="5" t="n">
        <v>1186</v>
      </c>
      <c r="P453" s="5" t="n">
        <v>1.53</v>
      </c>
      <c r="Q453" s="5" t="inlineStr">
        <is>
          <t>2023-11-07</t>
        </is>
      </c>
      <c r="R453" s="5" t="inlineStr">
        <is>
          <t>2023-11-08</t>
        </is>
      </c>
      <c r="S453" s="5" t="n">
        <v>2</v>
      </c>
      <c r="T453" s="5" t="n">
        <v>2</v>
      </c>
      <c r="U453" s="48" t="inlineStr">
        <is>
          <t>Cascade</t>
        </is>
      </c>
    </row>
    <row r="454">
      <c r="A454" s="5" t="inlineStr">
        <is>
          <t>Bella Mirage</t>
        </is>
      </c>
      <c r="B454" s="5" t="inlineStr">
        <is>
          <t>Cascade</t>
        </is>
      </c>
      <c r="C454" s="5" t="inlineStr">
        <is>
          <t>5815</t>
        </is>
      </c>
      <c r="D454" s="5" t="n">
        <v>1</v>
      </c>
      <c r="E454" s="5" t="n">
        <v>1</v>
      </c>
      <c r="F454" s="5" t="n">
        <v>1</v>
      </c>
      <c r="G454" s="5" t="inlineStr"/>
      <c r="H454" s="5" t="n">
        <v>777</v>
      </c>
      <c r="I454" s="5" t="inlineStr">
        <is>
          <t>8/11/2023</t>
        </is>
      </c>
      <c r="J454" s="5" t="inlineStr"/>
      <c r="K454" s="5" t="inlineStr"/>
      <c r="L454" s="5" t="inlineStr">
        <is>
          <t>60%</t>
        </is>
      </c>
      <c r="M454" s="5" t="n">
        <v>1333</v>
      </c>
      <c r="N454" s="5" t="n">
        <v>1.72</v>
      </c>
      <c r="O454" s="5" t="n">
        <v>1270</v>
      </c>
      <c r="P454" s="5" t="n">
        <v>1.63</v>
      </c>
      <c r="Q454" s="5" t="inlineStr">
        <is>
          <t>2023-08-11</t>
        </is>
      </c>
      <c r="R454" s="5" t="inlineStr">
        <is>
          <t>2023-08-12</t>
        </is>
      </c>
      <c r="S454" s="5" t="n">
        <v>2</v>
      </c>
      <c r="T454" s="5" t="n">
        <v>2</v>
      </c>
      <c r="U454" s="48" t="inlineStr">
        <is>
          <t>Cascade</t>
        </is>
      </c>
    </row>
    <row r="455">
      <c r="A455" s="5" t="inlineStr">
        <is>
          <t>Bella Mirage</t>
        </is>
      </c>
      <c r="B455" s="5" t="inlineStr">
        <is>
          <t>Cascade</t>
        </is>
      </c>
      <c r="C455" s="5" t="inlineStr">
        <is>
          <t>4025</t>
        </is>
      </c>
      <c r="D455" s="5" t="inlineStr"/>
      <c r="E455" s="5" t="n">
        <v>1</v>
      </c>
      <c r="F455" s="5" t="n">
        <v>1</v>
      </c>
      <c r="G455" s="5" t="inlineStr"/>
      <c r="H455" s="5" t="n">
        <v>777</v>
      </c>
      <c r="I455" s="5" t="inlineStr">
        <is>
          <t>12/29/2023</t>
        </is>
      </c>
      <c r="J455" s="5" t="inlineStr"/>
      <c r="K455" s="5" t="inlineStr"/>
      <c r="L455" s="5" t="inlineStr">
        <is>
          <t>80%</t>
        </is>
      </c>
      <c r="M455" s="5" t="n">
        <v>1382</v>
      </c>
      <c r="N455" s="5" t="n">
        <v>1.78</v>
      </c>
      <c r="O455" s="5" t="n">
        <v>1267</v>
      </c>
      <c r="P455" s="5" t="n">
        <v>1.63</v>
      </c>
      <c r="Q455" s="5" t="inlineStr">
        <is>
          <t>2023-12-29</t>
        </is>
      </c>
      <c r="R455" s="5" t="inlineStr">
        <is>
          <t>2024-01-12</t>
        </is>
      </c>
      <c r="S455" s="5" t="n">
        <v>15</v>
      </c>
      <c r="T455" s="5" t="n">
        <v>15</v>
      </c>
      <c r="U455" s="48" t="inlineStr">
        <is>
          <t>Cascade</t>
        </is>
      </c>
    </row>
    <row r="456">
      <c r="A456" s="5" t="inlineStr">
        <is>
          <t>Bella Mirage</t>
        </is>
      </c>
      <c r="B456" s="5" t="inlineStr">
        <is>
          <t>Reef</t>
        </is>
      </c>
      <c r="C456" s="5" t="inlineStr">
        <is>
          <t>6413</t>
        </is>
      </c>
      <c r="D456" s="5" t="inlineStr"/>
      <c r="E456" s="5" t="n">
        <v>2</v>
      </c>
      <c r="F456" s="5" t="n">
        <v>2</v>
      </c>
      <c r="G456" s="5" t="n">
        <v>1</v>
      </c>
      <c r="H456" s="5" t="n">
        <v>1184</v>
      </c>
      <c r="I456" s="5" t="inlineStr">
        <is>
          <t>3/22/2026</t>
        </is>
      </c>
      <c r="J456" s="5" t="n">
        <v>300</v>
      </c>
      <c r="K456" s="5" t="n">
        <v>12</v>
      </c>
      <c r="L456" s="5" t="inlineStr">
        <is>
          <t>80%</t>
        </is>
      </c>
      <c r="M456" s="5" t="n">
        <v>1537</v>
      </c>
      <c r="N456" s="5" t="n">
        <v>1.3</v>
      </c>
      <c r="O456" s="5" t="n">
        <v>1537</v>
      </c>
      <c r="P456" s="5" t="n">
        <v>1.3</v>
      </c>
      <c r="Q456" s="5" t="inlineStr">
        <is>
          <t>2026-01-09</t>
        </is>
      </c>
      <c r="R456" s="5" t="inlineStr">
        <is>
          <t>2026-06-16</t>
        </is>
      </c>
      <c r="S456" s="5" t="n">
        <v>159</v>
      </c>
      <c r="T456" s="5" t="n">
        <v>87</v>
      </c>
      <c r="U456" s="48" t="inlineStr">
        <is>
          <t>Reef</t>
        </is>
      </c>
    </row>
    <row r="457">
      <c r="A457" s="5" t="inlineStr">
        <is>
          <t>Bella Mirage</t>
        </is>
      </c>
      <c r="B457" s="5" t="inlineStr">
        <is>
          <t>Reef</t>
        </is>
      </c>
      <c r="C457" s="5" t="inlineStr">
        <is>
          <t>4312</t>
        </is>
      </c>
      <c r="D457" s="5" t="inlineStr"/>
      <c r="E457" s="5" t="n">
        <v>2</v>
      </c>
      <c r="F457" s="5" t="n">
        <v>2</v>
      </c>
      <c r="G457" s="5" t="n">
        <v>1</v>
      </c>
      <c r="H457" s="5" t="n">
        <v>1184</v>
      </c>
      <c r="I457" s="5" t="inlineStr">
        <is>
          <t>2/17/2024</t>
        </is>
      </c>
      <c r="J457" s="5" t="n">
        <v>200</v>
      </c>
      <c r="K457" s="5" t="n">
        <v>13</v>
      </c>
      <c r="L457" s="5" t="inlineStr">
        <is>
          <t>80%</t>
        </is>
      </c>
      <c r="M457" s="5" t="n">
        <v>1812</v>
      </c>
      <c r="N457" s="5" t="n">
        <v>1.53</v>
      </c>
      <c r="O457" s="5" t="n">
        <v>1673</v>
      </c>
      <c r="P457" s="5" t="n">
        <v>1.41</v>
      </c>
      <c r="Q457" s="5" t="inlineStr">
        <is>
          <t>2024-01-04</t>
        </is>
      </c>
      <c r="R457" s="5" t="inlineStr">
        <is>
          <t>2024-02-18</t>
        </is>
      </c>
      <c r="S457" s="5" t="n">
        <v>46</v>
      </c>
      <c r="T457" s="5" t="n">
        <v>2</v>
      </c>
      <c r="U457" s="48" t="inlineStr">
        <is>
          <t>Reef</t>
        </is>
      </c>
    </row>
    <row r="458">
      <c r="A458" s="5" t="inlineStr">
        <is>
          <t>Bella Mirage</t>
        </is>
      </c>
      <c r="B458" s="5" t="inlineStr">
        <is>
          <t>Reef</t>
        </is>
      </c>
      <c r="C458" s="5" t="inlineStr">
        <is>
          <t>4312</t>
        </is>
      </c>
      <c r="D458" s="5" t="inlineStr"/>
      <c r="E458" s="5" t="n">
        <v>2</v>
      </c>
      <c r="F458" s="5" t="n">
        <v>2</v>
      </c>
      <c r="G458" s="5" t="n">
        <v>1</v>
      </c>
      <c r="H458" s="5" t="n">
        <v>1184</v>
      </c>
      <c r="I458" s="5" t="inlineStr">
        <is>
          <t>10/19/2024</t>
        </is>
      </c>
      <c r="J458" s="5" t="n">
        <v>200</v>
      </c>
      <c r="K458" s="5" t="n">
        <v>14</v>
      </c>
      <c r="L458" s="5" t="inlineStr">
        <is>
          <t>80%</t>
        </is>
      </c>
      <c r="M458" s="5" t="n">
        <v>1644</v>
      </c>
      <c r="N458" s="5" t="n">
        <v>1.39</v>
      </c>
      <c r="O458" s="5" t="n">
        <v>1527</v>
      </c>
      <c r="P458" s="5" t="n">
        <v>1.29</v>
      </c>
      <c r="Q458" s="5" t="inlineStr">
        <is>
          <t>2024-10-12</t>
        </is>
      </c>
      <c r="R458" s="5" t="inlineStr">
        <is>
          <t>2024-11-08</t>
        </is>
      </c>
      <c r="S458" s="5" t="n">
        <v>28</v>
      </c>
      <c r="T458" s="5" t="n">
        <v>21</v>
      </c>
      <c r="U458" s="48" t="inlineStr">
        <is>
          <t>Reef</t>
        </is>
      </c>
    </row>
    <row r="459">
      <c r="A459" s="5" t="inlineStr">
        <is>
          <t>Bella Mirage</t>
        </is>
      </c>
      <c r="B459" s="5" t="inlineStr">
        <is>
          <t>Reef</t>
        </is>
      </c>
      <c r="C459" s="5" t="inlineStr">
        <is>
          <t>4312</t>
        </is>
      </c>
      <c r="D459" s="5" t="inlineStr"/>
      <c r="E459" s="5" t="n">
        <v>2</v>
      </c>
      <c r="F459" s="5" t="n">
        <v>2</v>
      </c>
      <c r="G459" s="5" t="n">
        <v>1</v>
      </c>
      <c r="H459" s="5" t="n">
        <v>1184</v>
      </c>
      <c r="I459" s="5" t="inlineStr">
        <is>
          <t>9/15/2025</t>
        </is>
      </c>
      <c r="J459" s="5" t="n">
        <v>200</v>
      </c>
      <c r="K459" s="5" t="n">
        <v>12</v>
      </c>
      <c r="L459" s="5" t="inlineStr">
        <is>
          <t>80%</t>
        </is>
      </c>
      <c r="M459" s="5" t="n">
        <v>1588</v>
      </c>
      <c r="N459" s="5" t="n">
        <v>1.34</v>
      </c>
      <c r="O459" s="5" t="n">
        <v>1456</v>
      </c>
      <c r="P459" s="5" t="n">
        <v>1.23</v>
      </c>
      <c r="Q459" s="5" t="inlineStr">
        <is>
          <t>2025-06-18</t>
        </is>
      </c>
      <c r="R459" s="5" t="inlineStr">
        <is>
          <t>2025-07-16</t>
        </is>
      </c>
      <c r="S459" s="5" t="n">
        <v>29</v>
      </c>
      <c r="T459" s="5" t="n">
        <v>0</v>
      </c>
      <c r="U459" s="48" t="inlineStr">
        <is>
          <t>Reef</t>
        </is>
      </c>
    </row>
    <row r="460">
      <c r="A460" s="5" t="inlineStr">
        <is>
          <t>Bella Mirage</t>
        </is>
      </c>
      <c r="B460" s="5" t="inlineStr">
        <is>
          <t>Reef</t>
        </is>
      </c>
      <c r="C460" s="5" t="inlineStr">
        <is>
          <t>6014</t>
        </is>
      </c>
      <c r="D460" s="5" t="inlineStr"/>
      <c r="E460" s="5" t="n">
        <v>2</v>
      </c>
      <c r="F460" s="5" t="n">
        <v>2</v>
      </c>
      <c r="G460" s="5" t="n">
        <v>1</v>
      </c>
      <c r="H460" s="5" t="n">
        <v>1184</v>
      </c>
      <c r="I460" s="5" t="inlineStr">
        <is>
          <t>1/22/2026</t>
        </is>
      </c>
      <c r="J460" s="5" t="n">
        <v>300</v>
      </c>
      <c r="K460" s="5" t="n">
        <v>12</v>
      </c>
      <c r="L460" s="5" t="inlineStr">
        <is>
          <t>80%</t>
        </is>
      </c>
      <c r="M460" s="5" t="n">
        <v>1593</v>
      </c>
      <c r="N460" s="5" t="n">
        <v>1.35</v>
      </c>
      <c r="O460" s="5" t="n">
        <v>1593</v>
      </c>
      <c r="P460" s="5" t="n">
        <v>1.35</v>
      </c>
      <c r="Q460" s="5" t="inlineStr">
        <is>
          <t>2025-11-08</t>
        </is>
      </c>
      <c r="R460" s="5" t="inlineStr">
        <is>
          <t>2025-11-13</t>
        </is>
      </c>
      <c r="S460" s="5" t="n">
        <v>6</v>
      </c>
      <c r="T460" s="5" t="n">
        <v>0</v>
      </c>
      <c r="U460" s="48" t="inlineStr">
        <is>
          <t>Reef</t>
        </is>
      </c>
    </row>
    <row r="461">
      <c r="A461" s="5" t="inlineStr">
        <is>
          <t>Bella Mirage</t>
        </is>
      </c>
      <c r="B461" s="5" t="inlineStr">
        <is>
          <t>Reef</t>
        </is>
      </c>
      <c r="C461" s="5" t="inlineStr">
        <is>
          <t>6411</t>
        </is>
      </c>
      <c r="D461" s="5" t="inlineStr"/>
      <c r="E461" s="5" t="n">
        <v>2</v>
      </c>
      <c r="F461" s="5" t="n">
        <v>2</v>
      </c>
      <c r="G461" s="5" t="n">
        <v>1</v>
      </c>
      <c r="H461" s="5" t="n">
        <v>1184</v>
      </c>
      <c r="I461" s="5" t="inlineStr">
        <is>
          <t>7/29/2023</t>
        </is>
      </c>
      <c r="J461" s="5" t="inlineStr"/>
      <c r="K461" s="5" t="inlineStr"/>
      <c r="L461" s="5" t="inlineStr">
        <is>
          <t>80%</t>
        </is>
      </c>
      <c r="M461" s="5" t="n">
        <v>1791</v>
      </c>
      <c r="N461" s="5" t="n">
        <v>1.51</v>
      </c>
      <c r="O461" s="5" t="n">
        <v>1642</v>
      </c>
      <c r="P461" s="5" t="n">
        <v>1.39</v>
      </c>
      <c r="Q461" s="5" t="inlineStr">
        <is>
          <t>2023-07-29</t>
        </is>
      </c>
      <c r="R461" s="5" t="inlineStr">
        <is>
          <t>2023-12-19</t>
        </is>
      </c>
      <c r="S461" s="5" t="n">
        <v>144</v>
      </c>
      <c r="T461" s="5" t="n">
        <v>144</v>
      </c>
      <c r="U461" s="48" t="inlineStr">
        <is>
          <t>Reef</t>
        </is>
      </c>
    </row>
    <row r="462">
      <c r="A462" s="5" t="inlineStr">
        <is>
          <t>Bella Mirage</t>
        </is>
      </c>
      <c r="B462" s="5" t="inlineStr">
        <is>
          <t>Reef</t>
        </is>
      </c>
      <c r="C462" s="5" t="inlineStr">
        <is>
          <t>6411</t>
        </is>
      </c>
      <c r="D462" s="5" t="inlineStr"/>
      <c r="E462" s="5" t="n">
        <v>2</v>
      </c>
      <c r="F462" s="5" t="n">
        <v>2</v>
      </c>
      <c r="G462" s="5" t="n">
        <v>1</v>
      </c>
      <c r="H462" s="5" t="n">
        <v>1184</v>
      </c>
      <c r="I462" s="5" t="inlineStr">
        <is>
          <t>8/15/2025</t>
        </is>
      </c>
      <c r="J462" s="5" t="n">
        <v>200</v>
      </c>
      <c r="K462" s="5" t="n">
        <v>13</v>
      </c>
      <c r="L462" s="5" t="inlineStr">
        <is>
          <t>80%</t>
        </is>
      </c>
      <c r="M462" s="5" t="n">
        <v>1608</v>
      </c>
      <c r="N462" s="5" t="n">
        <v>1.36</v>
      </c>
      <c r="O462" s="5" t="n">
        <v>1484</v>
      </c>
      <c r="P462" s="5" t="n">
        <v>1.25</v>
      </c>
      <c r="Q462" s="5" t="inlineStr">
        <is>
          <t>2025-05-30</t>
        </is>
      </c>
      <c r="R462" s="5" t="inlineStr">
        <is>
          <t>2025-07-10</t>
        </is>
      </c>
      <c r="S462" s="5" t="n">
        <v>42</v>
      </c>
      <c r="T462" s="5" t="n">
        <v>0</v>
      </c>
      <c r="U462" s="48" t="inlineStr">
        <is>
          <t>Reef</t>
        </is>
      </c>
    </row>
    <row r="463">
      <c r="A463" s="5" t="inlineStr">
        <is>
          <t>Bella Mirage</t>
        </is>
      </c>
      <c r="B463" s="5" t="inlineStr">
        <is>
          <t>Reef</t>
        </is>
      </c>
      <c r="C463" s="5" t="inlineStr">
        <is>
          <t>4315</t>
        </is>
      </c>
      <c r="D463" s="5" t="n">
        <v>4</v>
      </c>
      <c r="E463" s="5" t="n">
        <v>2</v>
      </c>
      <c r="F463" s="5" t="n">
        <v>2</v>
      </c>
      <c r="G463" s="5" t="n">
        <v>1</v>
      </c>
      <c r="H463" s="5" t="n">
        <v>1184</v>
      </c>
      <c r="I463" s="5" t="inlineStr">
        <is>
          <t>1/21/2025</t>
        </is>
      </c>
      <c r="J463" s="5" t="n">
        <v>200</v>
      </c>
      <c r="K463" s="5" t="n">
        <v>12</v>
      </c>
      <c r="L463" s="5" t="inlineStr">
        <is>
          <t>80%</t>
        </is>
      </c>
      <c r="M463" s="5" t="n">
        <v>1628</v>
      </c>
      <c r="N463" s="5" t="n">
        <v>1.38</v>
      </c>
      <c r="O463" s="5" t="n">
        <v>1492</v>
      </c>
      <c r="P463" s="5" t="n">
        <v>1.26</v>
      </c>
      <c r="Q463" s="5" t="inlineStr">
        <is>
          <t>2024-11-21</t>
        </is>
      </c>
      <c r="R463" s="5" t="inlineStr">
        <is>
          <t>2024-11-26</t>
        </is>
      </c>
      <c r="S463" s="5" t="n">
        <v>6</v>
      </c>
      <c r="T463" s="5" t="n">
        <v>0</v>
      </c>
      <c r="U463" s="48" t="inlineStr">
        <is>
          <t>Reef</t>
        </is>
      </c>
    </row>
    <row r="464">
      <c r="A464" s="5" t="inlineStr">
        <is>
          <t>Bella Mirage</t>
        </is>
      </c>
      <c r="B464" s="5" t="inlineStr">
        <is>
          <t>Reef</t>
        </is>
      </c>
      <c r="C464" s="5" t="inlineStr">
        <is>
          <t>6012</t>
        </is>
      </c>
      <c r="D464" s="5" t="n">
        <v>1</v>
      </c>
      <c r="E464" s="5" t="n">
        <v>2</v>
      </c>
      <c r="F464" s="5" t="n">
        <v>2</v>
      </c>
      <c r="G464" s="5" t="n">
        <v>1</v>
      </c>
      <c r="H464" s="5" t="n">
        <v>1184</v>
      </c>
      <c r="I464" s="5" t="inlineStr">
        <is>
          <t>2/16/2024</t>
        </is>
      </c>
      <c r="J464" s="5" t="inlineStr"/>
      <c r="K464" s="5" t="inlineStr"/>
      <c r="L464" s="5" t="inlineStr">
        <is>
          <t>80%</t>
        </is>
      </c>
      <c r="M464" s="5" t="n">
        <v>1811</v>
      </c>
      <c r="N464" s="5" t="n">
        <v>1.53</v>
      </c>
      <c r="O464" s="5" t="n">
        <v>1660</v>
      </c>
      <c r="P464" s="5" t="n">
        <v>1.4</v>
      </c>
      <c r="Q464" s="5" t="inlineStr">
        <is>
          <t>2024-01-23</t>
        </is>
      </c>
      <c r="R464" s="5" t="inlineStr">
        <is>
          <t>2024-02-09</t>
        </is>
      </c>
      <c r="S464" s="5" t="n">
        <v>18</v>
      </c>
      <c r="T464" s="5" t="n">
        <v>0</v>
      </c>
      <c r="U464" s="48" t="inlineStr">
        <is>
          <t>Reef</t>
        </is>
      </c>
    </row>
    <row r="465">
      <c r="A465" s="5" t="inlineStr">
        <is>
          <t>Bella Mirage</t>
        </is>
      </c>
      <c r="B465" s="5" t="inlineStr">
        <is>
          <t>Reef</t>
        </is>
      </c>
      <c r="C465" s="5" t="inlineStr">
        <is>
          <t>6012</t>
        </is>
      </c>
      <c r="D465" s="5" t="n">
        <v>1</v>
      </c>
      <c r="E465" s="5" t="n">
        <v>2</v>
      </c>
      <c r="F465" s="5" t="n">
        <v>2</v>
      </c>
      <c r="G465" s="5" t="n">
        <v>1</v>
      </c>
      <c r="H465" s="5" t="n">
        <v>1184</v>
      </c>
      <c r="I465" s="5" t="inlineStr">
        <is>
          <t>9/15/2025</t>
        </is>
      </c>
      <c r="J465" s="5" t="n">
        <v>200</v>
      </c>
      <c r="K465" s="5" t="n">
        <v>12</v>
      </c>
      <c r="L465" s="5" t="inlineStr">
        <is>
          <t>80%</t>
        </is>
      </c>
      <c r="M465" s="5" t="n">
        <v>1873</v>
      </c>
      <c r="N465" s="5" t="n">
        <v>1.58</v>
      </c>
      <c r="O465" s="5" t="n">
        <v>1873</v>
      </c>
      <c r="P465" s="5" t="n">
        <v>1.58</v>
      </c>
      <c r="Q465" s="5" t="inlineStr">
        <is>
          <t>2025-08-07</t>
        </is>
      </c>
      <c r="R465" s="5" t="inlineStr">
        <is>
          <t>2025-08-19</t>
        </is>
      </c>
      <c r="S465" s="5" t="n">
        <v>13</v>
      </c>
      <c r="T465" s="5" t="n">
        <v>0</v>
      </c>
      <c r="U465" s="48" t="inlineStr">
        <is>
          <t>Reef</t>
        </is>
      </c>
    </row>
    <row r="466">
      <c r="A466" s="5" t="inlineStr">
        <is>
          <t>Bella Mirage</t>
        </is>
      </c>
      <c r="B466" s="5" t="inlineStr">
        <is>
          <t>Reef</t>
        </is>
      </c>
      <c r="C466" s="5" t="inlineStr">
        <is>
          <t>6412</t>
        </is>
      </c>
      <c r="D466" s="5" t="inlineStr"/>
      <c r="E466" s="5" t="n">
        <v>2</v>
      </c>
      <c r="F466" s="5" t="n">
        <v>2</v>
      </c>
      <c r="G466" s="5" t="n">
        <v>1</v>
      </c>
      <c r="H466" s="5" t="n">
        <v>1184</v>
      </c>
      <c r="I466" s="5" t="inlineStr">
        <is>
          <t>4/1/2025</t>
        </is>
      </c>
      <c r="J466" s="5" t="n">
        <v>200</v>
      </c>
      <c r="K466" s="5" t="n">
        <v>12</v>
      </c>
      <c r="L466" s="5" t="inlineStr">
        <is>
          <t>80%</t>
        </is>
      </c>
      <c r="M466" s="5" t="n">
        <v>1855</v>
      </c>
      <c r="N466" s="5" t="n">
        <v>1.57</v>
      </c>
      <c r="O466" s="5" t="n">
        <v>1700</v>
      </c>
      <c r="P466" s="5" t="n">
        <v>1.44</v>
      </c>
      <c r="Q466" s="5" t="inlineStr">
        <is>
          <t>2025-01-17</t>
        </is>
      </c>
      <c r="R466" s="5" t="inlineStr">
        <is>
          <t>2025-03-06</t>
        </is>
      </c>
      <c r="S466" s="5" t="n">
        <v>49</v>
      </c>
      <c r="T466" s="5" t="n">
        <v>0</v>
      </c>
      <c r="U466" s="48" t="inlineStr">
        <is>
          <t>Reef</t>
        </is>
      </c>
    </row>
    <row r="467">
      <c r="A467" s="5" t="inlineStr">
        <is>
          <t>Bella Mirage</t>
        </is>
      </c>
      <c r="B467" s="5" t="inlineStr">
        <is>
          <t>Reef</t>
        </is>
      </c>
      <c r="C467" s="5" t="inlineStr">
        <is>
          <t>6415</t>
        </is>
      </c>
      <c r="D467" s="5" t="inlineStr"/>
      <c r="E467" s="5" t="n">
        <v>2</v>
      </c>
      <c r="F467" s="5" t="n">
        <v>2</v>
      </c>
      <c r="G467" s="5" t="n">
        <v>1</v>
      </c>
      <c r="H467" s="5" t="n">
        <v>1184</v>
      </c>
      <c r="I467" s="5" t="inlineStr">
        <is>
          <t>2/27/2024</t>
        </is>
      </c>
      <c r="J467" s="5" t="inlineStr"/>
      <c r="K467" s="5" t="inlineStr"/>
      <c r="L467" s="5" t="inlineStr">
        <is>
          <t>80%</t>
        </is>
      </c>
      <c r="M467" s="5" t="n">
        <v>1808</v>
      </c>
      <c r="N467" s="5" t="n">
        <v>1.53</v>
      </c>
      <c r="O467" s="5" t="n">
        <v>1657</v>
      </c>
      <c r="P467" s="5" t="n">
        <v>1.4</v>
      </c>
      <c r="Q467" s="5" t="inlineStr">
        <is>
          <t>2023-12-22</t>
        </is>
      </c>
      <c r="R467" s="5" t="inlineStr">
        <is>
          <t>2024-02-08</t>
        </is>
      </c>
      <c r="S467" s="5" t="n">
        <v>49</v>
      </c>
      <c r="T467" s="5" t="n">
        <v>0</v>
      </c>
      <c r="U467" s="48" t="inlineStr">
        <is>
          <t>Reef</t>
        </is>
      </c>
    </row>
    <row r="468">
      <c r="A468" s="5" t="inlineStr">
        <is>
          <t>Bella Mirage</t>
        </is>
      </c>
      <c r="B468" s="5" t="inlineStr">
        <is>
          <t>Reef</t>
        </is>
      </c>
      <c r="C468" s="5" t="inlineStr">
        <is>
          <t>6015</t>
        </is>
      </c>
      <c r="D468" s="5" t="inlineStr"/>
      <c r="E468" s="5" t="n">
        <v>2</v>
      </c>
      <c r="F468" s="5" t="n">
        <v>2</v>
      </c>
      <c r="G468" s="5" t="n">
        <v>1</v>
      </c>
      <c r="H468" s="5" t="n">
        <v>1184</v>
      </c>
      <c r="I468" s="5" t="inlineStr">
        <is>
          <t>6/28/2023</t>
        </is>
      </c>
      <c r="J468" s="5" t="inlineStr"/>
      <c r="K468" s="5" t="inlineStr"/>
      <c r="L468" s="5" t="inlineStr">
        <is>
          <t>80%</t>
        </is>
      </c>
      <c r="M468" s="5" t="n">
        <v>1844</v>
      </c>
      <c r="N468" s="5" t="n">
        <v>1.56</v>
      </c>
      <c r="O468" s="5" t="n">
        <v>1782</v>
      </c>
      <c r="P468" s="5" t="n">
        <v>1.51</v>
      </c>
      <c r="Q468" s="5" t="inlineStr"/>
      <c r="R468" s="5" t="inlineStr">
        <is>
          <t>2023-07-29</t>
        </is>
      </c>
      <c r="S468" s="5" t="inlineStr"/>
      <c r="T468" s="5" t="inlineStr"/>
      <c r="U468" s="48" t="inlineStr">
        <is>
          <t>Reef</t>
        </is>
      </c>
    </row>
    <row r="469">
      <c r="A469" s="5" t="inlineStr">
        <is>
          <t>Bella Mirage</t>
        </is>
      </c>
      <c r="B469" s="5" t="inlineStr">
        <is>
          <t>Reef</t>
        </is>
      </c>
      <c r="C469" s="5" t="inlineStr">
        <is>
          <t>6015</t>
        </is>
      </c>
      <c r="D469" s="5" t="inlineStr"/>
      <c r="E469" s="5" t="n">
        <v>2</v>
      </c>
      <c r="F469" s="5" t="n">
        <v>2</v>
      </c>
      <c r="G469" s="5" t="n">
        <v>1</v>
      </c>
      <c r="H469" s="5" t="n">
        <v>1184</v>
      </c>
      <c r="I469" s="5" t="inlineStr">
        <is>
          <t>6/15/2025</t>
        </is>
      </c>
      <c r="J469" s="5" t="n">
        <v>200</v>
      </c>
      <c r="K469" s="5" t="n">
        <v>12</v>
      </c>
      <c r="L469" s="5" t="inlineStr">
        <is>
          <t>80%</t>
        </is>
      </c>
      <c r="M469" s="5" t="n">
        <v>1745</v>
      </c>
      <c r="N469" s="5" t="n">
        <v>1.47</v>
      </c>
      <c r="O469" s="5" t="n">
        <v>1600</v>
      </c>
      <c r="P469" s="5" t="n">
        <v>1.35</v>
      </c>
      <c r="Q469" s="5" t="inlineStr">
        <is>
          <t>2025-04-13</t>
        </is>
      </c>
      <c r="R469" s="5" t="inlineStr">
        <is>
          <t>2025-06-03</t>
        </is>
      </c>
      <c r="S469" s="5" t="n">
        <v>52</v>
      </c>
      <c r="T469" s="5" t="n">
        <v>0</v>
      </c>
      <c r="U469" s="48" t="inlineStr">
        <is>
          <t>Reef</t>
        </is>
      </c>
    </row>
    <row r="470">
      <c r="A470" s="5" t="inlineStr">
        <is>
          <t>Bella Mirage</t>
        </is>
      </c>
      <c r="B470" s="5" t="inlineStr">
        <is>
          <t>Reef</t>
        </is>
      </c>
      <c r="C470" s="5" t="inlineStr">
        <is>
          <t>4313</t>
        </is>
      </c>
      <c r="D470" s="5" t="inlineStr"/>
      <c r="E470" s="5" t="n">
        <v>2</v>
      </c>
      <c r="F470" s="5" t="n">
        <v>2</v>
      </c>
      <c r="G470" s="5" t="n">
        <v>1</v>
      </c>
      <c r="H470" s="5" t="n">
        <v>1184</v>
      </c>
      <c r="I470" s="5" t="inlineStr">
        <is>
          <t>4/22/2025</t>
        </is>
      </c>
      <c r="J470" s="5" t="n">
        <v>200</v>
      </c>
      <c r="K470" s="5" t="n">
        <v>12</v>
      </c>
      <c r="L470" s="5" t="inlineStr">
        <is>
          <t>80%</t>
        </is>
      </c>
      <c r="M470" s="5" t="n">
        <v>1855</v>
      </c>
      <c r="N470" s="5" t="n">
        <v>1.57</v>
      </c>
      <c r="O470" s="5" t="n">
        <v>1700</v>
      </c>
      <c r="P470" s="5" t="n">
        <v>1.44</v>
      </c>
      <c r="Q470" s="5" t="inlineStr">
        <is>
          <t>2025-02-05</t>
        </is>
      </c>
      <c r="R470" s="5" t="inlineStr">
        <is>
          <t>2025-03-05</t>
        </is>
      </c>
      <c r="S470" s="5" t="n">
        <v>29</v>
      </c>
      <c r="T470" s="5" t="n">
        <v>0</v>
      </c>
      <c r="U470" s="48" t="inlineStr">
        <is>
          <t>Reef</t>
        </is>
      </c>
    </row>
    <row r="471">
      <c r="A471" s="5" t="inlineStr">
        <is>
          <t>Bella Mirage</t>
        </is>
      </c>
      <c r="B471" s="5" t="inlineStr">
        <is>
          <t>Reef</t>
        </is>
      </c>
      <c r="C471" s="5" t="inlineStr">
        <is>
          <t>6011</t>
        </is>
      </c>
      <c r="D471" s="5" t="inlineStr"/>
      <c r="E471" s="5" t="n">
        <v>2</v>
      </c>
      <c r="F471" s="5" t="n">
        <v>2</v>
      </c>
      <c r="G471" s="5" t="n">
        <v>1</v>
      </c>
      <c r="H471" s="5" t="n">
        <v>1184</v>
      </c>
      <c r="I471" s="5" t="inlineStr">
        <is>
          <t>6/26/2026</t>
        </is>
      </c>
      <c r="J471" s="5" t="n">
        <v>300</v>
      </c>
      <c r="K471" s="5" t="n">
        <v>13</v>
      </c>
      <c r="L471" s="5" t="inlineStr">
        <is>
          <t>80%</t>
        </is>
      </c>
      <c r="M471" s="5" t="n">
        <v>1853</v>
      </c>
      <c r="N471" s="5" t="n">
        <v>1.57</v>
      </c>
      <c r="O471" s="5" t="n">
        <v>1853</v>
      </c>
      <c r="P471" s="5" t="n">
        <v>1.57</v>
      </c>
      <c r="Q471" s="5" t="inlineStr">
        <is>
          <t>2026-04-10</t>
        </is>
      </c>
      <c r="R471" s="5" t="inlineStr">
        <is>
          <t>2026-04-13</t>
        </is>
      </c>
      <c r="S471" s="5" t="n">
        <v>4</v>
      </c>
      <c r="T471" s="5" t="n">
        <v>0</v>
      </c>
      <c r="U471" s="48" t="inlineStr">
        <is>
          <t>Reef</t>
        </is>
      </c>
    </row>
    <row r="472">
      <c r="A472" s="5" t="inlineStr">
        <is>
          <t>Bella Mirage</t>
        </is>
      </c>
      <c r="B472" s="5" t="inlineStr">
        <is>
          <t>Reef</t>
        </is>
      </c>
      <c r="C472" s="5" t="inlineStr">
        <is>
          <t>6013</t>
        </is>
      </c>
      <c r="D472" s="5" t="inlineStr"/>
      <c r="E472" s="5" t="n">
        <v>2</v>
      </c>
      <c r="F472" s="5" t="n">
        <v>2</v>
      </c>
      <c r="G472" s="5" t="n">
        <v>1</v>
      </c>
      <c r="H472" s="5" t="n">
        <v>1184</v>
      </c>
      <c r="I472" s="5" t="inlineStr">
        <is>
          <t>8/24/2023</t>
        </is>
      </c>
      <c r="J472" s="5" t="inlineStr"/>
      <c r="K472" s="5" t="inlineStr"/>
      <c r="L472" s="5" t="inlineStr">
        <is>
          <t>80%</t>
        </is>
      </c>
      <c r="M472" s="5" t="n">
        <v>1976</v>
      </c>
      <c r="N472" s="5" t="n">
        <v>1.67</v>
      </c>
      <c r="O472" s="5" t="n">
        <v>1976</v>
      </c>
      <c r="P472" s="5" t="n">
        <v>1.67</v>
      </c>
      <c r="Q472" s="5" t="inlineStr">
        <is>
          <t>2023-07-01</t>
        </is>
      </c>
      <c r="R472" s="5" t="inlineStr">
        <is>
          <t>2023-09-02</t>
        </is>
      </c>
      <c r="S472" s="5" t="n">
        <v>64</v>
      </c>
      <c r="T472" s="5" t="n">
        <v>10</v>
      </c>
      <c r="U472" s="48" t="inlineStr">
        <is>
          <t>Reef</t>
        </is>
      </c>
    </row>
    <row r="473">
      <c r="A473" s="5" t="inlineStr">
        <is>
          <t>Bella Mirage</t>
        </is>
      </c>
      <c r="B473" s="5" t="inlineStr">
        <is>
          <t>Reef</t>
        </is>
      </c>
      <c r="C473" s="5" t="inlineStr">
        <is>
          <t>6013</t>
        </is>
      </c>
      <c r="D473" s="5" t="inlineStr"/>
      <c r="E473" s="5" t="n">
        <v>2</v>
      </c>
      <c r="F473" s="5" t="n">
        <v>2</v>
      </c>
      <c r="G473" s="5" t="n">
        <v>1</v>
      </c>
      <c r="H473" s="5" t="n">
        <v>1184</v>
      </c>
      <c r="I473" s="5" t="inlineStr">
        <is>
          <t>5/15/2026</t>
        </is>
      </c>
      <c r="J473" s="5" t="n">
        <v>300</v>
      </c>
      <c r="K473" s="5" t="n">
        <v>12</v>
      </c>
      <c r="L473" s="5" t="inlineStr">
        <is>
          <t>80%</t>
        </is>
      </c>
      <c r="M473" s="5" t="n">
        <v>1908</v>
      </c>
      <c r="N473" s="5" t="n">
        <v>1.61</v>
      </c>
      <c r="O473" s="5" t="n">
        <v>1908</v>
      </c>
      <c r="P473" s="5" t="n">
        <v>1.61</v>
      </c>
      <c r="Q473" s="5" t="inlineStr">
        <is>
          <t>2026-04-02</t>
        </is>
      </c>
      <c r="R473" s="5" t="inlineStr">
        <is>
          <t>2026-04-07</t>
        </is>
      </c>
      <c r="S473" s="5" t="n">
        <v>6</v>
      </c>
      <c r="T473" s="5" t="n">
        <v>0</v>
      </c>
      <c r="U473" s="48" t="inlineStr">
        <is>
          <t>Reef</t>
        </is>
      </c>
    </row>
    <row r="474">
      <c r="A474" s="5" t="inlineStr">
        <is>
          <t>Bella Mirage</t>
        </is>
      </c>
      <c r="B474" s="5" t="inlineStr">
        <is>
          <t>Rain</t>
        </is>
      </c>
      <c r="C474" s="5" t="inlineStr">
        <is>
          <t>0432</t>
        </is>
      </c>
      <c r="D474" s="5" t="n">
        <v>3</v>
      </c>
      <c r="E474" s="5" t="n">
        <v>2</v>
      </c>
      <c r="F474" s="5" t="n">
        <v>2</v>
      </c>
      <c r="G474" s="5" t="inlineStr"/>
      <c r="H474" s="5" t="n">
        <v>947</v>
      </c>
      <c r="I474" s="5" t="inlineStr">
        <is>
          <t>12/17/2023</t>
        </is>
      </c>
      <c r="J474" s="5" t="inlineStr"/>
      <c r="K474" s="5" t="inlineStr"/>
      <c r="L474" s="5" t="inlineStr">
        <is>
          <t>50%</t>
        </is>
      </c>
      <c r="M474" s="5" t="n">
        <v>1299</v>
      </c>
      <c r="N474" s="5" t="n">
        <v>1.37</v>
      </c>
      <c r="O474" s="5" t="n">
        <v>1191</v>
      </c>
      <c r="P474" s="5" t="n">
        <v>1.26</v>
      </c>
      <c r="Q474" s="5" t="inlineStr">
        <is>
          <t>2023-12-06</t>
        </is>
      </c>
      <c r="R474" s="5" t="inlineStr">
        <is>
          <t>2023-12-13</t>
        </is>
      </c>
      <c r="S474" s="5" t="n">
        <v>8</v>
      </c>
      <c r="T474" s="5" t="n">
        <v>0</v>
      </c>
      <c r="U474" s="48" t="inlineStr">
        <is>
          <t>Rain</t>
        </is>
      </c>
    </row>
    <row r="475">
      <c r="A475" s="5" t="inlineStr">
        <is>
          <t>Bella Mirage</t>
        </is>
      </c>
      <c r="B475" s="5" t="inlineStr">
        <is>
          <t>Rain</t>
        </is>
      </c>
      <c r="C475" s="5" t="inlineStr">
        <is>
          <t>0432</t>
        </is>
      </c>
      <c r="D475" s="5" t="n">
        <v>3</v>
      </c>
      <c r="E475" s="5" t="n">
        <v>2</v>
      </c>
      <c r="F475" s="5" t="n">
        <v>2</v>
      </c>
      <c r="G475" s="5" t="inlineStr"/>
      <c r="H475" s="5" t="n">
        <v>947</v>
      </c>
      <c r="I475" s="5" t="inlineStr">
        <is>
          <t>3/18/2026</t>
        </is>
      </c>
      <c r="J475" s="5" t="n">
        <v>300</v>
      </c>
      <c r="K475" s="5" t="n">
        <v>14</v>
      </c>
      <c r="L475" s="5" t="inlineStr">
        <is>
          <t>50%</t>
        </is>
      </c>
      <c r="M475" s="5" t="n">
        <v>1138</v>
      </c>
      <c r="N475" s="5" t="n">
        <v>1.2</v>
      </c>
      <c r="O475" s="5" t="n">
        <v>1138</v>
      </c>
      <c r="P475" s="5" t="n">
        <v>1.2</v>
      </c>
      <c r="Q475" s="5" t="inlineStr">
        <is>
          <t>2026-02-09</t>
        </is>
      </c>
      <c r="R475" s="5" t="inlineStr">
        <is>
          <t>2026-05-17</t>
        </is>
      </c>
      <c r="S475" s="5" t="n">
        <v>98</v>
      </c>
      <c r="T475" s="5" t="n">
        <v>61</v>
      </c>
      <c r="U475" s="48" t="inlineStr">
        <is>
          <t>Rain</t>
        </is>
      </c>
    </row>
    <row r="476">
      <c r="A476" s="5" t="inlineStr">
        <is>
          <t>Bella Mirage</t>
        </is>
      </c>
      <c r="B476" s="5" t="inlineStr">
        <is>
          <t>Rain</t>
        </is>
      </c>
      <c r="C476" s="5" t="inlineStr">
        <is>
          <t>3937</t>
        </is>
      </c>
      <c r="D476" s="5" t="n">
        <v>3</v>
      </c>
      <c r="E476" s="5" t="n">
        <v>2</v>
      </c>
      <c r="F476" s="5" t="n">
        <v>2</v>
      </c>
      <c r="G476" s="5" t="inlineStr"/>
      <c r="H476" s="5" t="n">
        <v>947</v>
      </c>
      <c r="I476" s="5" t="inlineStr">
        <is>
          <t>10/17/2023</t>
        </is>
      </c>
      <c r="J476" s="5" t="inlineStr"/>
      <c r="K476" s="5" t="inlineStr"/>
      <c r="L476" s="5" t="inlineStr">
        <is>
          <t>50%</t>
        </is>
      </c>
      <c r="M476" s="5" t="n">
        <v>1402</v>
      </c>
      <c r="N476" s="5" t="n">
        <v>1.48</v>
      </c>
      <c r="O476" s="5" t="n">
        <v>1285</v>
      </c>
      <c r="P476" s="5" t="n">
        <v>1.36</v>
      </c>
      <c r="Q476" s="5" t="inlineStr">
        <is>
          <t>2023-10-04</t>
        </is>
      </c>
      <c r="R476" s="5" t="inlineStr">
        <is>
          <t>2023-12-06</t>
        </is>
      </c>
      <c r="S476" s="5" t="n">
        <v>64</v>
      </c>
      <c r="T476" s="5" t="n">
        <v>51</v>
      </c>
      <c r="U476" s="48" t="inlineStr">
        <is>
          <t>Rain</t>
        </is>
      </c>
    </row>
    <row r="477">
      <c r="A477" s="5" t="inlineStr">
        <is>
          <t>Bella Mirage</t>
        </is>
      </c>
      <c r="B477" s="5" t="inlineStr">
        <is>
          <t>Rain</t>
        </is>
      </c>
      <c r="C477" s="5" t="inlineStr">
        <is>
          <t>3937</t>
        </is>
      </c>
      <c r="D477" s="5" t="n">
        <v>3</v>
      </c>
      <c r="E477" s="5" t="n">
        <v>2</v>
      </c>
      <c r="F477" s="5" t="n">
        <v>2</v>
      </c>
      <c r="G477" s="5" t="inlineStr"/>
      <c r="H477" s="5" t="n">
        <v>947</v>
      </c>
      <c r="I477" s="5" t="inlineStr">
        <is>
          <t>8/15/2025</t>
        </is>
      </c>
      <c r="J477" s="5" t="n">
        <v>300</v>
      </c>
      <c r="K477" s="5" t="n">
        <v>13</v>
      </c>
      <c r="L477" s="5" t="inlineStr">
        <is>
          <t>50%</t>
        </is>
      </c>
      <c r="M477" s="5" t="n">
        <v>1155</v>
      </c>
      <c r="N477" s="5" t="n">
        <v>1.22</v>
      </c>
      <c r="O477" s="5" t="n">
        <v>1155</v>
      </c>
      <c r="P477" s="5" t="n">
        <v>1.22</v>
      </c>
      <c r="Q477" s="5" t="inlineStr">
        <is>
          <t>2025-04-08</t>
        </is>
      </c>
      <c r="R477" s="5" t="inlineStr">
        <is>
          <t>2025-12-22</t>
        </is>
      </c>
      <c r="S477" s="5" t="n">
        <v>259</v>
      </c>
      <c r="T477" s="5" t="n">
        <v>130</v>
      </c>
      <c r="U477" s="48" t="inlineStr">
        <is>
          <t>Rain</t>
        </is>
      </c>
    </row>
    <row r="478">
      <c r="A478" s="5" t="inlineStr">
        <is>
          <t>Bella Mirage</t>
        </is>
      </c>
      <c r="B478" s="5" t="inlineStr">
        <is>
          <t>Rain</t>
        </is>
      </c>
      <c r="C478" s="5" t="inlineStr">
        <is>
          <t>5423</t>
        </is>
      </c>
      <c r="D478" s="5" t="inlineStr"/>
      <c r="E478" s="5" t="n">
        <v>2</v>
      </c>
      <c r="F478" s="5" t="n">
        <v>2</v>
      </c>
      <c r="G478" s="5" t="inlineStr"/>
      <c r="H478" s="5" t="n">
        <v>947</v>
      </c>
      <c r="I478" s="5" t="inlineStr">
        <is>
          <t>5/31/2025</t>
        </is>
      </c>
      <c r="J478" s="5" t="n">
        <v>200</v>
      </c>
      <c r="K478" s="5" t="n">
        <v>12</v>
      </c>
      <c r="L478" s="5" t="inlineStr">
        <is>
          <t>50%</t>
        </is>
      </c>
      <c r="M478" s="5" t="n">
        <v>1385</v>
      </c>
      <c r="N478" s="5" t="n">
        <v>1.46</v>
      </c>
      <c r="O478" s="5" t="n">
        <v>1270</v>
      </c>
      <c r="P478" s="5" t="n">
        <v>1.34</v>
      </c>
      <c r="Q478" s="5" t="inlineStr">
        <is>
          <t>2025-03-16</t>
        </is>
      </c>
      <c r="R478" s="5" t="inlineStr">
        <is>
          <t>2025-05-27</t>
        </is>
      </c>
      <c r="S478" s="5" t="n">
        <v>73</v>
      </c>
      <c r="T478" s="5" t="n">
        <v>0</v>
      </c>
      <c r="U478" s="48" t="inlineStr">
        <is>
          <t>Rain</t>
        </is>
      </c>
    </row>
    <row r="479">
      <c r="A479" s="5" t="inlineStr">
        <is>
          <t>Bella Mirage</t>
        </is>
      </c>
      <c r="B479" s="5" t="inlineStr">
        <is>
          <t>Rain</t>
        </is>
      </c>
      <c r="C479" s="5" t="inlineStr">
        <is>
          <t>5423</t>
        </is>
      </c>
      <c r="D479" s="5" t="inlineStr"/>
      <c r="E479" s="5" t="n">
        <v>2</v>
      </c>
      <c r="F479" s="5" t="n">
        <v>2</v>
      </c>
      <c r="G479" s="5" t="inlineStr"/>
      <c r="H479" s="5" t="n">
        <v>947</v>
      </c>
      <c r="I479" s="5" t="inlineStr">
        <is>
          <t>9/29/2025</t>
        </is>
      </c>
      <c r="J479" s="5" t="n">
        <v>300</v>
      </c>
      <c r="K479" s="5" t="n">
        <v>12</v>
      </c>
      <c r="L479" s="5" t="inlineStr">
        <is>
          <t>50%</t>
        </is>
      </c>
      <c r="M479" s="5" t="n">
        <v>1186</v>
      </c>
      <c r="N479" s="5" t="n">
        <v>1.25</v>
      </c>
      <c r="O479" s="5" t="n">
        <v>1186</v>
      </c>
      <c r="P479" s="5" t="n">
        <v>1.25</v>
      </c>
      <c r="Q479" s="5" t="inlineStr">
        <is>
          <t>2025-09-13</t>
        </is>
      </c>
      <c r="R479" s="5" t="inlineStr">
        <is>
          <t>2025-12-01</t>
        </is>
      </c>
      <c r="S479" s="5" t="n">
        <v>80</v>
      </c>
      <c r="T479" s="5" t="n">
        <v>64</v>
      </c>
      <c r="U479" s="48" t="inlineStr">
        <is>
          <t>Rain</t>
        </is>
      </c>
    </row>
    <row r="480">
      <c r="A480" s="5" t="inlineStr">
        <is>
          <t>Bella Mirage</t>
        </is>
      </c>
      <c r="B480" s="5" t="inlineStr">
        <is>
          <t>Rain</t>
        </is>
      </c>
      <c r="C480" s="5" t="inlineStr">
        <is>
          <t>2936</t>
        </is>
      </c>
      <c r="D480" s="5" t="n">
        <v>3</v>
      </c>
      <c r="E480" s="5" t="n">
        <v>2</v>
      </c>
      <c r="F480" s="5" t="n">
        <v>2</v>
      </c>
      <c r="G480" s="5" t="inlineStr"/>
      <c r="H480" s="5" t="n">
        <v>947</v>
      </c>
      <c r="I480" s="5" t="inlineStr">
        <is>
          <t>8/30/2023</t>
        </is>
      </c>
      <c r="J480" s="5" t="inlineStr"/>
      <c r="K480" s="5" t="inlineStr"/>
      <c r="L480" s="5" t="inlineStr">
        <is>
          <t>50%</t>
        </is>
      </c>
      <c r="M480" s="5" t="n">
        <v>1434</v>
      </c>
      <c r="N480" s="5" t="n">
        <v>1.51</v>
      </c>
      <c r="O480" s="5" t="n">
        <v>1372</v>
      </c>
      <c r="P480" s="5" t="n">
        <v>1.45</v>
      </c>
      <c r="Q480" s="5" t="inlineStr">
        <is>
          <t>2023-08-23</t>
        </is>
      </c>
      <c r="R480" s="5" t="inlineStr">
        <is>
          <t>2023-08-25</t>
        </is>
      </c>
      <c r="S480" s="5" t="n">
        <v>3</v>
      </c>
      <c r="T480" s="5" t="n">
        <v>0</v>
      </c>
      <c r="U480" s="48" t="inlineStr">
        <is>
          <t>Rain</t>
        </is>
      </c>
    </row>
    <row r="481">
      <c r="A481" s="5" t="inlineStr">
        <is>
          <t>Bella Mirage</t>
        </is>
      </c>
      <c r="B481" s="5" t="inlineStr">
        <is>
          <t>Rain</t>
        </is>
      </c>
      <c r="C481" s="5" t="inlineStr">
        <is>
          <t>2936</t>
        </is>
      </c>
      <c r="D481" s="5" t="n">
        <v>3</v>
      </c>
      <c r="E481" s="5" t="n">
        <v>2</v>
      </c>
      <c r="F481" s="5" t="n">
        <v>2</v>
      </c>
      <c r="G481" s="5" t="inlineStr"/>
      <c r="H481" s="5" t="n">
        <v>947</v>
      </c>
      <c r="I481" s="5" t="inlineStr">
        <is>
          <t>10/11/2024</t>
        </is>
      </c>
      <c r="J481" s="5" t="n">
        <v>200</v>
      </c>
      <c r="K481" s="5" t="n">
        <v>14</v>
      </c>
      <c r="L481" s="5" t="inlineStr">
        <is>
          <t>50%</t>
        </is>
      </c>
      <c r="M481" s="5" t="n">
        <v>1469</v>
      </c>
      <c r="N481" s="5" t="n">
        <v>1.55</v>
      </c>
      <c r="O481" s="5" t="n">
        <v>1469</v>
      </c>
      <c r="P481" s="5" t="n">
        <v>1.55</v>
      </c>
      <c r="Q481" s="5" t="inlineStr">
        <is>
          <t>2024-10-15</t>
        </is>
      </c>
      <c r="R481" s="5" t="inlineStr">
        <is>
          <t>2024-10-20</t>
        </is>
      </c>
      <c r="S481" s="5" t="n">
        <v>6</v>
      </c>
      <c r="T481" s="5" t="n">
        <v>6</v>
      </c>
      <c r="U481" s="48" t="inlineStr">
        <is>
          <t>Rain</t>
        </is>
      </c>
    </row>
    <row r="482">
      <c r="A482" s="5" t="inlineStr">
        <is>
          <t>Bella Mirage</t>
        </is>
      </c>
      <c r="B482" s="5" t="inlineStr">
        <is>
          <t>Rain</t>
        </is>
      </c>
      <c r="C482" s="5" t="inlineStr">
        <is>
          <t>2936</t>
        </is>
      </c>
      <c r="D482" s="5" t="n">
        <v>3</v>
      </c>
      <c r="E482" s="5" t="n">
        <v>2</v>
      </c>
      <c r="F482" s="5" t="n">
        <v>2</v>
      </c>
      <c r="G482" s="5" t="inlineStr"/>
      <c r="H482" s="5" t="n">
        <v>947</v>
      </c>
      <c r="I482" s="5" t="inlineStr">
        <is>
          <t>5/5/2025</t>
        </is>
      </c>
      <c r="J482" s="5" t="n">
        <v>200</v>
      </c>
      <c r="K482" s="5" t="n">
        <v>12</v>
      </c>
      <c r="L482" s="5" t="inlineStr">
        <is>
          <t>50%</t>
        </is>
      </c>
      <c r="M482" s="5" t="n">
        <v>1388</v>
      </c>
      <c r="N482" s="5" t="n">
        <v>1.47</v>
      </c>
      <c r="O482" s="5" t="n">
        <v>1272</v>
      </c>
      <c r="P482" s="5" t="n">
        <v>1.34</v>
      </c>
      <c r="Q482" s="5" t="inlineStr">
        <is>
          <t>2025-01-29</t>
        </is>
      </c>
      <c r="R482" s="5" t="inlineStr">
        <is>
          <t>2025-02-04</t>
        </is>
      </c>
      <c r="S482" s="5" t="n">
        <v>7</v>
      </c>
      <c r="T482" s="5" t="n">
        <v>0</v>
      </c>
      <c r="U482" s="48" t="inlineStr">
        <is>
          <t>Rain</t>
        </is>
      </c>
    </row>
    <row r="483">
      <c r="A483" s="5" t="inlineStr">
        <is>
          <t>Bella Mirage</t>
        </is>
      </c>
      <c r="B483" s="5" t="inlineStr">
        <is>
          <t>Rain</t>
        </is>
      </c>
      <c r="C483" s="5" t="inlineStr">
        <is>
          <t>2936</t>
        </is>
      </c>
      <c r="D483" s="5" t="n">
        <v>3</v>
      </c>
      <c r="E483" s="5" t="n">
        <v>2</v>
      </c>
      <c r="F483" s="5" t="n">
        <v>2</v>
      </c>
      <c r="G483" s="5" t="inlineStr"/>
      <c r="H483" s="5" t="n">
        <v>947</v>
      </c>
      <c r="I483" s="5" t="inlineStr">
        <is>
          <t>4/5/2026</t>
        </is>
      </c>
      <c r="J483" s="5" t="n">
        <v>300</v>
      </c>
      <c r="K483" s="5" t="n">
        <v>13</v>
      </c>
      <c r="L483" s="5" t="inlineStr">
        <is>
          <t>50%</t>
        </is>
      </c>
      <c r="M483" s="5" t="n">
        <v>1190</v>
      </c>
      <c r="N483" s="5" t="n">
        <v>1.26</v>
      </c>
      <c r="O483" s="5" t="n">
        <v>1190</v>
      </c>
      <c r="P483" s="5" t="n">
        <v>1.26</v>
      </c>
      <c r="Q483" s="5" t="inlineStr">
        <is>
          <t>2026-03-02</t>
        </is>
      </c>
      <c r="R483" s="5" t="inlineStr">
        <is>
          <t>2026-05-20</t>
        </is>
      </c>
      <c r="S483" s="5" t="n">
        <v>80</v>
      </c>
      <c r="T483" s="5" t="n">
        <v>46</v>
      </c>
      <c r="U483" s="48" t="inlineStr">
        <is>
          <t>Rain</t>
        </is>
      </c>
    </row>
    <row r="484">
      <c r="A484" s="5" t="inlineStr">
        <is>
          <t>Bella Mirage</t>
        </is>
      </c>
      <c r="B484" s="5" t="inlineStr">
        <is>
          <t>Rain</t>
        </is>
      </c>
      <c r="C484" s="5" t="inlineStr">
        <is>
          <t>1322</t>
        </is>
      </c>
      <c r="D484" s="5" t="inlineStr"/>
      <c r="E484" s="5" t="n">
        <v>2</v>
      </c>
      <c r="F484" s="5" t="n">
        <v>2</v>
      </c>
      <c r="G484" s="5" t="inlineStr"/>
      <c r="H484" s="5" t="n">
        <v>947</v>
      </c>
      <c r="I484" s="5" t="inlineStr">
        <is>
          <t>10/17/2025</t>
        </is>
      </c>
      <c r="J484" s="5" t="n">
        <v>300</v>
      </c>
      <c r="K484" s="5" t="n">
        <v>15</v>
      </c>
      <c r="L484" s="5" t="inlineStr">
        <is>
          <t>50%</t>
        </is>
      </c>
      <c r="M484" s="5" t="n">
        <v>1202</v>
      </c>
      <c r="N484" s="5" t="n">
        <v>1.27</v>
      </c>
      <c r="O484" s="5" t="n">
        <v>1202</v>
      </c>
      <c r="P484" s="5" t="n">
        <v>1.27</v>
      </c>
      <c r="Q484" s="5" t="inlineStr">
        <is>
          <t>2025-08-09</t>
        </is>
      </c>
      <c r="R484" s="5" t="inlineStr">
        <is>
          <t>2025-12-04</t>
        </is>
      </c>
      <c r="S484" s="5" t="n">
        <v>118</v>
      </c>
      <c r="T484" s="5" t="n">
        <v>49</v>
      </c>
      <c r="U484" s="48" t="inlineStr">
        <is>
          <t>Rain</t>
        </is>
      </c>
    </row>
    <row r="485">
      <c r="A485" s="5" t="inlineStr">
        <is>
          <t>Bella Mirage</t>
        </is>
      </c>
      <c r="B485" s="5" t="inlineStr">
        <is>
          <t>Rain</t>
        </is>
      </c>
      <c r="C485" s="5" t="inlineStr">
        <is>
          <t>0423</t>
        </is>
      </c>
      <c r="D485" s="5" t="inlineStr"/>
      <c r="E485" s="5" t="n">
        <v>2</v>
      </c>
      <c r="F485" s="5" t="n">
        <v>2</v>
      </c>
      <c r="G485" s="5" t="inlineStr"/>
      <c r="H485" s="5" t="n">
        <v>947</v>
      </c>
      <c r="I485" s="5" t="inlineStr">
        <is>
          <t>8/11/2023</t>
        </is>
      </c>
      <c r="J485" s="5" t="inlineStr"/>
      <c r="K485" s="5" t="inlineStr"/>
      <c r="L485" s="5" t="inlineStr">
        <is>
          <t>50%</t>
        </is>
      </c>
      <c r="M485" s="5" t="n">
        <v>1376</v>
      </c>
      <c r="N485" s="5" t="n">
        <v>1.45</v>
      </c>
      <c r="O485" s="5" t="n">
        <v>1314</v>
      </c>
      <c r="P485" s="5" t="n">
        <v>1.39</v>
      </c>
      <c r="Q485" s="5" t="inlineStr">
        <is>
          <t>2023-08-04</t>
        </is>
      </c>
      <c r="R485" s="5" t="inlineStr">
        <is>
          <t>2023-08-07</t>
        </is>
      </c>
      <c r="S485" s="5" t="n">
        <v>4</v>
      </c>
      <c r="T485" s="5" t="n">
        <v>0</v>
      </c>
      <c r="U485" s="48" t="inlineStr">
        <is>
          <t>Rain</t>
        </is>
      </c>
    </row>
    <row r="486">
      <c r="A486" s="5" t="inlineStr">
        <is>
          <t>Bella Mirage</t>
        </is>
      </c>
      <c r="B486" s="5" t="inlineStr">
        <is>
          <t>Rain</t>
        </is>
      </c>
      <c r="C486" s="5" t="inlineStr">
        <is>
          <t>0423</t>
        </is>
      </c>
      <c r="D486" s="5" t="inlineStr"/>
      <c r="E486" s="5" t="n">
        <v>2</v>
      </c>
      <c r="F486" s="5" t="n">
        <v>2</v>
      </c>
      <c r="G486" s="5" t="inlineStr"/>
      <c r="H486" s="5" t="n">
        <v>947</v>
      </c>
      <c r="I486" s="5" t="inlineStr">
        <is>
          <t>6/18/2025</t>
        </is>
      </c>
      <c r="J486" s="5" t="n">
        <v>200</v>
      </c>
      <c r="K486" s="5" t="n">
        <v>12</v>
      </c>
      <c r="L486" s="5" t="inlineStr">
        <is>
          <t>50%</t>
        </is>
      </c>
      <c r="M486" s="5" t="n">
        <v>1350</v>
      </c>
      <c r="N486" s="5" t="n">
        <v>1.43</v>
      </c>
      <c r="O486" s="5" t="n">
        <v>1238</v>
      </c>
      <c r="P486" s="5" t="n">
        <v>1.31</v>
      </c>
      <c r="Q486" s="5" t="inlineStr">
        <is>
          <t>2025-06-04</t>
        </is>
      </c>
      <c r="R486" s="5" t="inlineStr">
        <is>
          <t>2025-06-08</t>
        </is>
      </c>
      <c r="S486" s="5" t="n">
        <v>5</v>
      </c>
      <c r="T486" s="5" t="n">
        <v>0</v>
      </c>
      <c r="U486" s="48" t="inlineStr">
        <is>
          <t>Rain</t>
        </is>
      </c>
    </row>
    <row r="487">
      <c r="A487" s="5" t="inlineStr">
        <is>
          <t>Bella Mirage</t>
        </is>
      </c>
      <c r="B487" s="5" t="inlineStr">
        <is>
          <t>Rain</t>
        </is>
      </c>
      <c r="C487" s="5" t="inlineStr">
        <is>
          <t>0423</t>
        </is>
      </c>
      <c r="D487" s="5" t="inlineStr"/>
      <c r="E487" s="5" t="n">
        <v>2</v>
      </c>
      <c r="F487" s="5" t="n">
        <v>2</v>
      </c>
      <c r="G487" s="5" t="inlineStr"/>
      <c r="H487" s="5" t="n">
        <v>947</v>
      </c>
      <c r="I487" s="5" t="inlineStr">
        <is>
          <t>2/14/2026</t>
        </is>
      </c>
      <c r="J487" s="5" t="n">
        <v>300</v>
      </c>
      <c r="K487" s="5" t="n">
        <v>13</v>
      </c>
      <c r="L487" s="5" t="inlineStr">
        <is>
          <t>50%</t>
        </is>
      </c>
      <c r="M487" s="5" t="n">
        <v>1203</v>
      </c>
      <c r="N487" s="5" t="n">
        <v>1.27</v>
      </c>
      <c r="O487" s="5" t="n">
        <v>1203</v>
      </c>
      <c r="P487" s="5" t="n">
        <v>1.27</v>
      </c>
      <c r="Q487" s="5" t="inlineStr">
        <is>
          <t>2026-01-07</t>
        </is>
      </c>
      <c r="R487" s="5" t="inlineStr">
        <is>
          <t>2026-01-09</t>
        </is>
      </c>
      <c r="S487" s="5" t="n">
        <v>3</v>
      </c>
      <c r="T487" s="5" t="n">
        <v>0</v>
      </c>
      <c r="U487" s="48" t="inlineStr">
        <is>
          <t>Rain</t>
        </is>
      </c>
    </row>
    <row r="488">
      <c r="A488" s="5" t="inlineStr">
        <is>
          <t>Bella Mirage</t>
        </is>
      </c>
      <c r="B488" s="5" t="inlineStr">
        <is>
          <t>Rain</t>
        </is>
      </c>
      <c r="C488" s="5" t="inlineStr">
        <is>
          <t>0524</t>
        </is>
      </c>
      <c r="D488" s="5" t="inlineStr"/>
      <c r="E488" s="5" t="n">
        <v>2</v>
      </c>
      <c r="F488" s="5" t="n">
        <v>2</v>
      </c>
      <c r="G488" s="5" t="inlineStr"/>
      <c r="H488" s="5" t="n">
        <v>947</v>
      </c>
      <c r="I488" s="5" t="inlineStr">
        <is>
          <t>8/21/2024</t>
        </is>
      </c>
      <c r="J488" s="5" t="n">
        <v>200</v>
      </c>
      <c r="K488" s="5" t="n">
        <v>14</v>
      </c>
      <c r="L488" s="5" t="inlineStr">
        <is>
          <t>50%</t>
        </is>
      </c>
      <c r="M488" s="5" t="n">
        <v>1506</v>
      </c>
      <c r="N488" s="5" t="n">
        <v>1.59</v>
      </c>
      <c r="O488" s="5" t="n">
        <v>1506</v>
      </c>
      <c r="P488" s="5" t="n">
        <v>1.59</v>
      </c>
      <c r="Q488" s="5" t="inlineStr">
        <is>
          <t>2024-07-15</t>
        </is>
      </c>
      <c r="R488" s="5" t="inlineStr">
        <is>
          <t>2024-08-29</t>
        </is>
      </c>
      <c r="S488" s="5" t="n">
        <v>46</v>
      </c>
      <c r="T488" s="5" t="n">
        <v>9</v>
      </c>
      <c r="U488" s="48" t="inlineStr">
        <is>
          <t>Rain</t>
        </is>
      </c>
    </row>
    <row r="489">
      <c r="A489" s="5" t="inlineStr">
        <is>
          <t>Bella Mirage</t>
        </is>
      </c>
      <c r="B489" s="5" t="inlineStr">
        <is>
          <t>Rain</t>
        </is>
      </c>
      <c r="C489" s="5" t="inlineStr">
        <is>
          <t>0524</t>
        </is>
      </c>
      <c r="D489" s="5" t="inlineStr"/>
      <c r="E489" s="5" t="n">
        <v>2</v>
      </c>
      <c r="F489" s="5" t="n">
        <v>2</v>
      </c>
      <c r="G489" s="5" t="inlineStr"/>
      <c r="H489" s="5" t="n">
        <v>947</v>
      </c>
      <c r="I489" s="5" t="inlineStr">
        <is>
          <t>4/30/2026</t>
        </is>
      </c>
      <c r="J489" s="5" t="n">
        <v>300</v>
      </c>
      <c r="K489" s="5" t="n">
        <v>14</v>
      </c>
      <c r="L489" s="5" t="inlineStr">
        <is>
          <t>50%</t>
        </is>
      </c>
      <c r="M489" s="5" t="n">
        <v>1207</v>
      </c>
      <c r="N489" s="5" t="n">
        <v>1.27</v>
      </c>
      <c r="O489" s="5" t="n">
        <v>1207</v>
      </c>
      <c r="P489" s="5" t="n">
        <v>1.27</v>
      </c>
      <c r="Q489" s="5" t="inlineStr">
        <is>
          <t>2026-04-02</t>
        </is>
      </c>
      <c r="R489" s="5" t="inlineStr">
        <is>
          <t>2026-05-17</t>
        </is>
      </c>
      <c r="S489" s="5" t="n">
        <v>46</v>
      </c>
      <c r="T489" s="5" t="n">
        <v>18</v>
      </c>
      <c r="U489" s="48" t="inlineStr">
        <is>
          <t>Rain</t>
        </is>
      </c>
    </row>
    <row r="490">
      <c r="A490" s="5" t="inlineStr">
        <is>
          <t>Bella Mirage</t>
        </is>
      </c>
      <c r="B490" s="5" t="inlineStr">
        <is>
          <t>Rain</t>
        </is>
      </c>
      <c r="C490" s="5" t="inlineStr">
        <is>
          <t>0426</t>
        </is>
      </c>
      <c r="D490" s="5" t="n">
        <v>2</v>
      </c>
      <c r="E490" s="5" t="n">
        <v>2</v>
      </c>
      <c r="F490" s="5" t="n">
        <v>2</v>
      </c>
      <c r="G490" s="5" t="inlineStr"/>
      <c r="H490" s="5" t="n">
        <v>947</v>
      </c>
      <c r="I490" s="5" t="inlineStr">
        <is>
          <t>10/25/2024</t>
        </is>
      </c>
      <c r="J490" s="5" t="n">
        <v>200</v>
      </c>
      <c r="K490" s="5" t="n">
        <v>14</v>
      </c>
      <c r="L490" s="5" t="inlineStr">
        <is>
          <t>50%</t>
        </is>
      </c>
      <c r="M490" s="5" t="n">
        <v>1220</v>
      </c>
      <c r="N490" s="5" t="n">
        <v>1.29</v>
      </c>
      <c r="O490" s="5" t="n">
        <v>1133</v>
      </c>
      <c r="P490" s="5" t="n">
        <v>1.2</v>
      </c>
      <c r="Q490" s="5" t="inlineStr">
        <is>
          <t>2024-09-10</t>
        </is>
      </c>
      <c r="R490" s="5" t="inlineStr">
        <is>
          <t>2025-01-03</t>
        </is>
      </c>
      <c r="S490" s="5" t="n">
        <v>116</v>
      </c>
      <c r="T490" s="5" t="n">
        <v>71</v>
      </c>
      <c r="U490" s="48" t="inlineStr">
        <is>
          <t>Rain</t>
        </is>
      </c>
    </row>
    <row r="491">
      <c r="A491" s="5" t="inlineStr">
        <is>
          <t>Bella Mirage</t>
        </is>
      </c>
      <c r="B491" s="5" t="inlineStr">
        <is>
          <t>Rain</t>
        </is>
      </c>
      <c r="C491" s="5" t="inlineStr">
        <is>
          <t>1936</t>
        </is>
      </c>
      <c r="D491" s="5" t="n">
        <v>3</v>
      </c>
      <c r="E491" s="5" t="n">
        <v>2</v>
      </c>
      <c r="F491" s="5" t="n">
        <v>2</v>
      </c>
      <c r="G491" s="5" t="inlineStr"/>
      <c r="H491" s="5" t="n">
        <v>947</v>
      </c>
      <c r="I491" s="5" t="inlineStr">
        <is>
          <t>12/11/2024</t>
        </is>
      </c>
      <c r="J491" s="5" t="n">
        <v>200</v>
      </c>
      <c r="K491" s="5" t="n">
        <v>12</v>
      </c>
      <c r="L491" s="5" t="inlineStr">
        <is>
          <t>50%</t>
        </is>
      </c>
      <c r="M491" s="5" t="n">
        <v>1331</v>
      </c>
      <c r="N491" s="5" t="n">
        <v>1.41</v>
      </c>
      <c r="O491" s="5" t="n">
        <v>1220</v>
      </c>
      <c r="P491" s="5" t="n">
        <v>1.29</v>
      </c>
      <c r="Q491" s="5" t="inlineStr">
        <is>
          <t>2024-09-28</t>
        </is>
      </c>
      <c r="R491" s="5" t="inlineStr">
        <is>
          <t>2024-12-21</t>
        </is>
      </c>
      <c r="S491" s="5" t="n">
        <v>85</v>
      </c>
      <c r="T491" s="5" t="n">
        <v>11</v>
      </c>
      <c r="U491" s="48" t="inlineStr">
        <is>
          <t>Rain</t>
        </is>
      </c>
    </row>
    <row r="492">
      <c r="A492" s="5" t="inlineStr">
        <is>
          <t>Bella Mirage</t>
        </is>
      </c>
      <c r="B492" s="5" t="inlineStr">
        <is>
          <t>Rain</t>
        </is>
      </c>
      <c r="C492" s="5" t="inlineStr">
        <is>
          <t>1936</t>
        </is>
      </c>
      <c r="D492" s="5" t="n">
        <v>3</v>
      </c>
      <c r="E492" s="5" t="n">
        <v>2</v>
      </c>
      <c r="F492" s="5" t="n">
        <v>2</v>
      </c>
      <c r="G492" s="5" t="inlineStr"/>
      <c r="H492" s="5" t="n">
        <v>947</v>
      </c>
      <c r="I492" s="5" t="inlineStr">
        <is>
          <t>12/21/2025</t>
        </is>
      </c>
      <c r="J492" s="5" t="n">
        <v>300</v>
      </c>
      <c r="K492" s="5" t="n">
        <v>13</v>
      </c>
      <c r="L492" s="5" t="inlineStr">
        <is>
          <t>50%</t>
        </is>
      </c>
      <c r="M492" s="5" t="n">
        <v>1235</v>
      </c>
      <c r="N492" s="5" t="n">
        <v>1.3</v>
      </c>
      <c r="O492" s="5" t="n">
        <v>1235</v>
      </c>
      <c r="P492" s="5" t="n">
        <v>1.3</v>
      </c>
      <c r="Q492" s="5" t="inlineStr">
        <is>
          <t>2025-11-22</t>
        </is>
      </c>
      <c r="R492" s="5" t="inlineStr">
        <is>
          <t>2025-12-22</t>
        </is>
      </c>
      <c r="S492" s="5" t="n">
        <v>31</v>
      </c>
      <c r="T492" s="5" t="n">
        <v>2</v>
      </c>
      <c r="U492" s="48" t="inlineStr">
        <is>
          <t>Rain</t>
        </is>
      </c>
    </row>
    <row r="493">
      <c r="A493" s="5" t="inlineStr">
        <is>
          <t>Bella Mirage</t>
        </is>
      </c>
      <c r="B493" s="5" t="inlineStr">
        <is>
          <t>Rain</t>
        </is>
      </c>
      <c r="C493" s="5" t="inlineStr">
        <is>
          <t>0232</t>
        </is>
      </c>
      <c r="D493" s="5" t="n">
        <v>3</v>
      </c>
      <c r="E493" s="5" t="n">
        <v>2</v>
      </c>
      <c r="F493" s="5" t="n">
        <v>2</v>
      </c>
      <c r="G493" s="5" t="inlineStr"/>
      <c r="H493" s="5" t="n">
        <v>947</v>
      </c>
      <c r="I493" s="5" t="inlineStr">
        <is>
          <t>4/30/2025</t>
        </is>
      </c>
      <c r="J493" s="5" t="n">
        <v>200</v>
      </c>
      <c r="K493" s="5" t="n">
        <v>13</v>
      </c>
      <c r="L493" s="5" t="inlineStr">
        <is>
          <t>50%</t>
        </is>
      </c>
      <c r="M493" s="5" t="n">
        <v>1316</v>
      </c>
      <c r="N493" s="5" t="n">
        <v>1.39</v>
      </c>
      <c r="O493" s="5" t="n">
        <v>1215</v>
      </c>
      <c r="P493" s="5" t="n">
        <v>1.28</v>
      </c>
      <c r="Q493" s="5" t="inlineStr">
        <is>
          <t>2025-04-13</t>
        </is>
      </c>
      <c r="R493" s="5" t="inlineStr">
        <is>
          <t>2025-05-09</t>
        </is>
      </c>
      <c r="S493" s="5" t="n">
        <v>27</v>
      </c>
      <c r="T493" s="5" t="n">
        <v>10</v>
      </c>
      <c r="U493" s="48" t="inlineStr">
        <is>
          <t>Rain</t>
        </is>
      </c>
    </row>
    <row r="494">
      <c r="A494" s="5" t="inlineStr">
        <is>
          <t>Bella Mirage</t>
        </is>
      </c>
      <c r="B494" s="5" t="inlineStr">
        <is>
          <t>Rain</t>
        </is>
      </c>
      <c r="C494" s="5" t="inlineStr">
        <is>
          <t>0232</t>
        </is>
      </c>
      <c r="D494" s="5" t="n">
        <v>3</v>
      </c>
      <c r="E494" s="5" t="n">
        <v>2</v>
      </c>
      <c r="F494" s="5" t="n">
        <v>2</v>
      </c>
      <c r="G494" s="5" t="inlineStr"/>
      <c r="H494" s="5" t="n">
        <v>947</v>
      </c>
      <c r="I494" s="5" t="inlineStr">
        <is>
          <t>9/16/2025</t>
        </is>
      </c>
      <c r="J494" s="5" t="n">
        <v>300</v>
      </c>
      <c r="K494" s="5" t="n">
        <v>12</v>
      </c>
      <c r="L494" s="5" t="inlineStr">
        <is>
          <t>50%</t>
        </is>
      </c>
      <c r="M494" s="5" t="n">
        <v>1247</v>
      </c>
      <c r="N494" s="5" t="n">
        <v>1.32</v>
      </c>
      <c r="O494" s="5" t="n">
        <v>1143</v>
      </c>
      <c r="P494" s="5" t="n">
        <v>1.21</v>
      </c>
      <c r="Q494" s="5" t="inlineStr">
        <is>
          <t>2025-08-21</t>
        </is>
      </c>
      <c r="R494" s="5" t="inlineStr">
        <is>
          <t>2025-09-22</t>
        </is>
      </c>
      <c r="S494" s="5" t="n">
        <v>33</v>
      </c>
      <c r="T494" s="5" t="n">
        <v>7</v>
      </c>
      <c r="U494" s="48" t="inlineStr">
        <is>
          <t>Rain</t>
        </is>
      </c>
    </row>
    <row r="495">
      <c r="A495" s="5" t="inlineStr">
        <is>
          <t>Bella Mirage</t>
        </is>
      </c>
      <c r="B495" s="5" t="inlineStr">
        <is>
          <t>Rain</t>
        </is>
      </c>
      <c r="C495" s="5" t="inlineStr">
        <is>
          <t>4533</t>
        </is>
      </c>
      <c r="D495" s="5" t="n">
        <v>4</v>
      </c>
      <c r="E495" s="5" t="n">
        <v>2</v>
      </c>
      <c r="F495" s="5" t="n">
        <v>2</v>
      </c>
      <c r="G495" s="5" t="inlineStr"/>
      <c r="H495" s="5" t="n">
        <v>947</v>
      </c>
      <c r="I495" s="5" t="inlineStr">
        <is>
          <t>2/12/2024</t>
        </is>
      </c>
      <c r="J495" s="5" t="inlineStr"/>
      <c r="K495" s="5" t="inlineStr"/>
      <c r="L495" s="5" t="inlineStr">
        <is>
          <t>50%</t>
        </is>
      </c>
      <c r="M495" s="5" t="n">
        <v>1434</v>
      </c>
      <c r="N495" s="5" t="n">
        <v>1.51</v>
      </c>
      <c r="O495" s="5" t="n">
        <v>1314</v>
      </c>
      <c r="P495" s="5" t="n">
        <v>1.39</v>
      </c>
      <c r="Q495" s="5" t="inlineStr">
        <is>
          <t>2023-12-13</t>
        </is>
      </c>
      <c r="R495" s="5" t="inlineStr">
        <is>
          <t>2023-12-29</t>
        </is>
      </c>
      <c r="S495" s="5" t="n">
        <v>17</v>
      </c>
      <c r="T495" s="5" t="n">
        <v>0</v>
      </c>
      <c r="U495" s="48" t="inlineStr">
        <is>
          <t>Rain</t>
        </is>
      </c>
    </row>
    <row r="496">
      <c r="A496" s="5" t="inlineStr">
        <is>
          <t>Bella Mirage</t>
        </is>
      </c>
      <c r="B496" s="5" t="inlineStr">
        <is>
          <t>Rain</t>
        </is>
      </c>
      <c r="C496" s="5" t="inlineStr">
        <is>
          <t>1537</t>
        </is>
      </c>
      <c r="D496" s="5" t="inlineStr"/>
      <c r="E496" s="5" t="n">
        <v>2</v>
      </c>
      <c r="F496" s="5" t="n">
        <v>2</v>
      </c>
      <c r="G496" s="5" t="inlineStr"/>
      <c r="H496" s="5" t="n">
        <v>947</v>
      </c>
      <c r="I496" s="5" t="inlineStr">
        <is>
          <t>10/1/2023</t>
        </is>
      </c>
      <c r="J496" s="5" t="inlineStr"/>
      <c r="K496" s="5" t="inlineStr"/>
      <c r="L496" s="5" t="inlineStr">
        <is>
          <t>50%</t>
        </is>
      </c>
      <c r="M496" s="5" t="n">
        <v>1374</v>
      </c>
      <c r="N496" s="5" t="n">
        <v>1.45</v>
      </c>
      <c r="O496" s="5" t="n">
        <v>1260</v>
      </c>
      <c r="P496" s="5" t="n">
        <v>1.33</v>
      </c>
      <c r="Q496" s="5" t="inlineStr">
        <is>
          <t>2023-09-20</t>
        </is>
      </c>
      <c r="R496" s="5" t="inlineStr">
        <is>
          <t>2023-12-11</t>
        </is>
      </c>
      <c r="S496" s="5" t="n">
        <v>83</v>
      </c>
      <c r="T496" s="5" t="n">
        <v>72</v>
      </c>
      <c r="U496" s="48" t="inlineStr">
        <is>
          <t>Rain</t>
        </is>
      </c>
    </row>
    <row r="497">
      <c r="A497" s="5" t="inlineStr">
        <is>
          <t>Bella Mirage</t>
        </is>
      </c>
      <c r="B497" s="5" t="inlineStr">
        <is>
          <t>Rain</t>
        </is>
      </c>
      <c r="C497" s="5" t="inlineStr">
        <is>
          <t>1537</t>
        </is>
      </c>
      <c r="D497" s="5" t="inlineStr"/>
      <c r="E497" s="5" t="n">
        <v>2</v>
      </c>
      <c r="F497" s="5" t="n">
        <v>2</v>
      </c>
      <c r="G497" s="5" t="inlineStr"/>
      <c r="H497" s="5" t="n">
        <v>947</v>
      </c>
      <c r="I497" s="5" t="inlineStr">
        <is>
          <t>1/31/2025</t>
        </is>
      </c>
      <c r="J497" s="5" t="n">
        <v>200</v>
      </c>
      <c r="K497" s="5" t="n">
        <v>12</v>
      </c>
      <c r="L497" s="5" t="inlineStr">
        <is>
          <t>50%</t>
        </is>
      </c>
      <c r="M497" s="5" t="n">
        <v>1290</v>
      </c>
      <c r="N497" s="5" t="n">
        <v>1.36</v>
      </c>
      <c r="O497" s="5" t="n">
        <v>1182</v>
      </c>
      <c r="P497" s="5" t="n">
        <v>1.25</v>
      </c>
      <c r="Q497" s="5" t="inlineStr">
        <is>
          <t>2024-12-08</t>
        </is>
      </c>
      <c r="R497" s="5" t="inlineStr">
        <is>
          <t>2025-01-07</t>
        </is>
      </c>
      <c r="S497" s="5" t="n">
        <v>31</v>
      </c>
      <c r="T497" s="5" t="n">
        <v>0</v>
      </c>
      <c r="U497" s="48" t="inlineStr">
        <is>
          <t>Rain</t>
        </is>
      </c>
    </row>
    <row r="498">
      <c r="A498" s="5" t="inlineStr">
        <is>
          <t>Bella Mirage</t>
        </is>
      </c>
      <c r="B498" s="5" t="inlineStr">
        <is>
          <t>Rain</t>
        </is>
      </c>
      <c r="C498" s="5" t="inlineStr">
        <is>
          <t>1537</t>
        </is>
      </c>
      <c r="D498" s="5" t="inlineStr"/>
      <c r="E498" s="5" t="n">
        <v>2</v>
      </c>
      <c r="F498" s="5" t="n">
        <v>2</v>
      </c>
      <c r="G498" s="5" t="inlineStr"/>
      <c r="H498" s="5" t="n">
        <v>947</v>
      </c>
      <c r="I498" s="5" t="inlineStr">
        <is>
          <t>2/14/2026</t>
        </is>
      </c>
      <c r="J498" s="5" t="n">
        <v>300</v>
      </c>
      <c r="K498" s="5" t="n">
        <v>13</v>
      </c>
      <c r="L498" s="5" t="inlineStr">
        <is>
          <t>50%</t>
        </is>
      </c>
      <c r="M498" s="5" t="n">
        <v>1251</v>
      </c>
      <c r="N498" s="5" t="n">
        <v>1.32</v>
      </c>
      <c r="O498" s="5" t="n">
        <v>1251</v>
      </c>
      <c r="P498" s="5" t="n">
        <v>1.32</v>
      </c>
      <c r="Q498" s="5" t="inlineStr">
        <is>
          <t>2025-12-02</t>
        </is>
      </c>
      <c r="R498" s="5" t="inlineStr">
        <is>
          <t>2025-12-10</t>
        </is>
      </c>
      <c r="S498" s="5" t="n">
        <v>9</v>
      </c>
      <c r="T498" s="5" t="n">
        <v>0</v>
      </c>
      <c r="U498" s="48" t="inlineStr">
        <is>
          <t>Rain</t>
        </is>
      </c>
    </row>
    <row r="499">
      <c r="A499" s="5" t="inlineStr">
        <is>
          <t>Bella Mirage</t>
        </is>
      </c>
      <c r="B499" s="5" t="inlineStr">
        <is>
          <t>Rain</t>
        </is>
      </c>
      <c r="C499" s="5" t="inlineStr">
        <is>
          <t>4526</t>
        </is>
      </c>
      <c r="D499" s="5" t="inlineStr"/>
      <c r="E499" s="5" t="n">
        <v>2</v>
      </c>
      <c r="F499" s="5" t="n">
        <v>2</v>
      </c>
      <c r="G499" s="5" t="inlineStr"/>
      <c r="H499" s="5" t="n">
        <v>947</v>
      </c>
      <c r="I499" s="5" t="inlineStr">
        <is>
          <t>9/18/2024</t>
        </is>
      </c>
      <c r="J499" s="5" t="n">
        <v>200</v>
      </c>
      <c r="K499" s="5" t="n">
        <v>15</v>
      </c>
      <c r="L499" s="5" t="inlineStr">
        <is>
          <t>50%</t>
        </is>
      </c>
      <c r="M499" s="5" t="n">
        <v>1494</v>
      </c>
      <c r="N499" s="5" t="n">
        <v>1.58</v>
      </c>
      <c r="O499" s="5" t="n">
        <v>1494</v>
      </c>
      <c r="P499" s="5" t="n">
        <v>1.58</v>
      </c>
      <c r="Q499" s="5" t="inlineStr">
        <is>
          <t>2024-07-21</t>
        </is>
      </c>
      <c r="R499" s="5" t="inlineStr">
        <is>
          <t>2024-10-24</t>
        </is>
      </c>
      <c r="S499" s="5" t="n">
        <v>96</v>
      </c>
      <c r="T499" s="5" t="n">
        <v>37</v>
      </c>
      <c r="U499" s="48" t="inlineStr">
        <is>
          <t>Rain</t>
        </is>
      </c>
    </row>
    <row r="500">
      <c r="A500" s="5" t="inlineStr">
        <is>
          <t>Bella Mirage</t>
        </is>
      </c>
      <c r="B500" s="5" t="inlineStr">
        <is>
          <t>Rain</t>
        </is>
      </c>
      <c r="C500" s="5" t="inlineStr">
        <is>
          <t>4526</t>
        </is>
      </c>
      <c r="D500" s="5" t="inlineStr"/>
      <c r="E500" s="5" t="n">
        <v>2</v>
      </c>
      <c r="F500" s="5" t="n">
        <v>2</v>
      </c>
      <c r="G500" s="5" t="inlineStr"/>
      <c r="H500" s="5" t="n">
        <v>947</v>
      </c>
      <c r="I500" s="5" t="inlineStr">
        <is>
          <t>12/25/2025</t>
        </is>
      </c>
      <c r="J500" s="5" t="n">
        <v>300</v>
      </c>
      <c r="K500" s="5" t="n">
        <v>13</v>
      </c>
      <c r="L500" s="5" t="inlineStr">
        <is>
          <t>50%</t>
        </is>
      </c>
      <c r="M500" s="5" t="n">
        <v>1261</v>
      </c>
      <c r="N500" s="5" t="n">
        <v>1.33</v>
      </c>
      <c r="O500" s="5" t="n">
        <v>1261</v>
      </c>
      <c r="P500" s="5" t="n">
        <v>1.33</v>
      </c>
      <c r="Q500" s="5" t="inlineStr">
        <is>
          <t>2025-11-22</t>
        </is>
      </c>
      <c r="R500" s="5" t="inlineStr">
        <is>
          <t>2025-12-03</t>
        </is>
      </c>
      <c r="S500" s="5" t="n">
        <v>12</v>
      </c>
      <c r="T500" s="5" t="n">
        <v>0</v>
      </c>
      <c r="U500" s="48" t="inlineStr">
        <is>
          <t>Rain</t>
        </is>
      </c>
    </row>
    <row r="501">
      <c r="A501" s="5" t="inlineStr">
        <is>
          <t>Bella Mirage</t>
        </is>
      </c>
      <c r="B501" s="5" t="inlineStr">
        <is>
          <t>Rain</t>
        </is>
      </c>
      <c r="C501" s="5" t="inlineStr">
        <is>
          <t>6323</t>
        </is>
      </c>
      <c r="D501" s="5" t="inlineStr"/>
      <c r="E501" s="5" t="n">
        <v>2</v>
      </c>
      <c r="F501" s="5" t="n">
        <v>2</v>
      </c>
      <c r="G501" s="5" t="inlineStr"/>
      <c r="H501" s="5" t="n">
        <v>947</v>
      </c>
      <c r="I501" s="5" t="inlineStr">
        <is>
          <t>9/5/2024</t>
        </is>
      </c>
      <c r="J501" s="5" t="n">
        <v>200</v>
      </c>
      <c r="K501" s="5" t="n">
        <v>15</v>
      </c>
      <c r="L501" s="5" t="inlineStr">
        <is>
          <t>50%</t>
        </is>
      </c>
      <c r="M501" s="5" t="n">
        <v>1530</v>
      </c>
      <c r="N501" s="5" t="n">
        <v>1.62</v>
      </c>
      <c r="O501" s="5" t="n">
        <v>1530</v>
      </c>
      <c r="P501" s="5" t="n">
        <v>1.62</v>
      </c>
      <c r="Q501" s="5" t="inlineStr">
        <is>
          <t>2024-07-27</t>
        </is>
      </c>
      <c r="R501" s="5" t="inlineStr">
        <is>
          <t>2024-10-02</t>
        </is>
      </c>
      <c r="S501" s="5" t="n">
        <v>68</v>
      </c>
      <c r="T501" s="5" t="n">
        <v>28</v>
      </c>
      <c r="U501" s="48" t="inlineStr">
        <is>
          <t>Rain</t>
        </is>
      </c>
    </row>
    <row r="502">
      <c r="A502" s="5" t="inlineStr">
        <is>
          <t>Bella Mirage</t>
        </is>
      </c>
      <c r="B502" s="5" t="inlineStr">
        <is>
          <t>Rain</t>
        </is>
      </c>
      <c r="C502" s="5" t="inlineStr">
        <is>
          <t>6323</t>
        </is>
      </c>
      <c r="D502" s="5" t="inlineStr"/>
      <c r="E502" s="5" t="n">
        <v>2</v>
      </c>
      <c r="F502" s="5" t="n">
        <v>2</v>
      </c>
      <c r="G502" s="5" t="inlineStr"/>
      <c r="H502" s="5" t="n">
        <v>947</v>
      </c>
      <c r="I502" s="5" t="inlineStr">
        <is>
          <t>1/22/2026</t>
        </is>
      </c>
      <c r="J502" s="5" t="n">
        <v>300</v>
      </c>
      <c r="K502" s="5" t="n">
        <v>12</v>
      </c>
      <c r="L502" s="5" t="inlineStr">
        <is>
          <t>50%</t>
        </is>
      </c>
      <c r="M502" s="5" t="n">
        <v>1261</v>
      </c>
      <c r="N502" s="5" t="n">
        <v>1.33</v>
      </c>
      <c r="O502" s="5" t="n">
        <v>1261</v>
      </c>
      <c r="P502" s="5" t="n">
        <v>1.33</v>
      </c>
      <c r="Q502" s="5" t="inlineStr">
        <is>
          <t>2025-11-15</t>
        </is>
      </c>
      <c r="R502" s="5" t="inlineStr">
        <is>
          <t>2025-11-26</t>
        </is>
      </c>
      <c r="S502" s="5" t="n">
        <v>12</v>
      </c>
      <c r="T502" s="5" t="n">
        <v>0</v>
      </c>
      <c r="U502" s="48" t="inlineStr">
        <is>
          <t>Rain</t>
        </is>
      </c>
    </row>
    <row r="503">
      <c r="A503" s="5" t="inlineStr">
        <is>
          <t>Bella Mirage</t>
        </is>
      </c>
      <c r="B503" s="5" t="inlineStr">
        <is>
          <t>Rain</t>
        </is>
      </c>
      <c r="C503" s="5" t="inlineStr">
        <is>
          <t>0416</t>
        </is>
      </c>
      <c r="D503" s="5" t="inlineStr"/>
      <c r="E503" s="5" t="n">
        <v>2</v>
      </c>
      <c r="F503" s="5" t="n">
        <v>2</v>
      </c>
      <c r="G503" s="5" t="inlineStr"/>
      <c r="H503" s="5" t="n">
        <v>947</v>
      </c>
      <c r="I503" s="5" t="inlineStr">
        <is>
          <t>3/18/2024</t>
        </is>
      </c>
      <c r="J503" s="5" t="n">
        <v>200</v>
      </c>
      <c r="K503" s="5" t="n">
        <v>12</v>
      </c>
      <c r="L503" s="5" t="inlineStr">
        <is>
          <t>50%</t>
        </is>
      </c>
      <c r="M503" s="5" t="n">
        <v>1494</v>
      </c>
      <c r="N503" s="5" t="n">
        <v>1.58</v>
      </c>
      <c r="O503" s="5" t="n">
        <v>1370</v>
      </c>
      <c r="P503" s="5" t="n">
        <v>1.45</v>
      </c>
      <c r="Q503" s="5" t="inlineStr">
        <is>
          <t>2024-02-29</t>
        </is>
      </c>
      <c r="R503" s="5" t="inlineStr">
        <is>
          <t>2024-03-07</t>
        </is>
      </c>
      <c r="S503" s="5" t="n">
        <v>8</v>
      </c>
      <c r="T503" s="5" t="n">
        <v>0</v>
      </c>
      <c r="U503" s="48" t="inlineStr">
        <is>
          <t>Rain</t>
        </is>
      </c>
    </row>
    <row r="504">
      <c r="A504" s="5" t="inlineStr">
        <is>
          <t>Bella Mirage</t>
        </is>
      </c>
      <c r="B504" s="5" t="inlineStr">
        <is>
          <t>Rain</t>
        </is>
      </c>
      <c r="C504" s="5" t="inlineStr">
        <is>
          <t>0416</t>
        </is>
      </c>
      <c r="D504" s="5" t="inlineStr"/>
      <c r="E504" s="5" t="n">
        <v>2</v>
      </c>
      <c r="F504" s="5" t="n">
        <v>2</v>
      </c>
      <c r="G504" s="5" t="inlineStr"/>
      <c r="H504" s="5" t="n">
        <v>947</v>
      </c>
      <c r="I504" s="5" t="inlineStr">
        <is>
          <t>7/14/2025</t>
        </is>
      </c>
      <c r="J504" s="5" t="n">
        <v>200</v>
      </c>
      <c r="K504" s="5" t="n">
        <v>12</v>
      </c>
      <c r="L504" s="5" t="inlineStr">
        <is>
          <t>50%</t>
        </is>
      </c>
      <c r="M504" s="5" t="n">
        <v>1262</v>
      </c>
      <c r="N504" s="5" t="n">
        <v>1.33</v>
      </c>
      <c r="O504" s="5" t="n">
        <v>1157</v>
      </c>
      <c r="P504" s="5" t="n">
        <v>1.22</v>
      </c>
      <c r="Q504" s="5" t="inlineStr">
        <is>
          <t>2025-05-04</t>
        </is>
      </c>
      <c r="R504" s="5" t="inlineStr">
        <is>
          <t>2025-05-14</t>
        </is>
      </c>
      <c r="S504" s="5" t="n">
        <v>11</v>
      </c>
      <c r="T504" s="5" t="n">
        <v>0</v>
      </c>
      <c r="U504" s="48" t="inlineStr">
        <is>
          <t>Rain</t>
        </is>
      </c>
    </row>
    <row r="505">
      <c r="A505" s="5" t="inlineStr">
        <is>
          <t>Bella Mirage</t>
        </is>
      </c>
      <c r="B505" s="5" t="inlineStr">
        <is>
          <t>Rain</t>
        </is>
      </c>
      <c r="C505" s="5" t="inlineStr">
        <is>
          <t>0534</t>
        </is>
      </c>
      <c r="D505" s="5" t="n">
        <v>3</v>
      </c>
      <c r="E505" s="5" t="n">
        <v>2</v>
      </c>
      <c r="F505" s="5" t="n">
        <v>2</v>
      </c>
      <c r="G505" s="5" t="inlineStr"/>
      <c r="H505" s="5" t="n">
        <v>947</v>
      </c>
      <c r="I505" s="5" t="inlineStr">
        <is>
          <t>6/15/2024</t>
        </is>
      </c>
      <c r="J505" s="5" t="n">
        <v>200</v>
      </c>
      <c r="K505" s="5" t="n">
        <v>12</v>
      </c>
      <c r="L505" s="5" t="inlineStr">
        <is>
          <t>60%</t>
        </is>
      </c>
      <c r="M505" s="5" t="n">
        <v>1734</v>
      </c>
      <c r="N505" s="5" t="n">
        <v>1.83</v>
      </c>
      <c r="O505" s="5" t="n">
        <v>1590</v>
      </c>
      <c r="P505" s="5" t="n">
        <v>1.68</v>
      </c>
      <c r="Q505" s="5" t="inlineStr">
        <is>
          <t>2024-05-04</t>
        </is>
      </c>
      <c r="R505" s="5" t="inlineStr">
        <is>
          <t>2024-05-21</t>
        </is>
      </c>
      <c r="S505" s="5" t="n">
        <v>18</v>
      </c>
      <c r="T505" s="5" t="n">
        <v>0</v>
      </c>
      <c r="U505" s="48" t="inlineStr">
        <is>
          <t>Rain</t>
        </is>
      </c>
    </row>
    <row r="506">
      <c r="A506" s="5" t="inlineStr">
        <is>
          <t>Bella Mirage</t>
        </is>
      </c>
      <c r="B506" s="5" t="inlineStr">
        <is>
          <t>Rain</t>
        </is>
      </c>
      <c r="C506" s="5" t="inlineStr">
        <is>
          <t>0534</t>
        </is>
      </c>
      <c r="D506" s="5" t="n">
        <v>3</v>
      </c>
      <c r="E506" s="5" t="n">
        <v>2</v>
      </c>
      <c r="F506" s="5" t="n">
        <v>2</v>
      </c>
      <c r="G506" s="5" t="inlineStr"/>
      <c r="H506" s="5" t="n">
        <v>947</v>
      </c>
      <c r="I506" s="5" t="inlineStr">
        <is>
          <t>9/29/2025</t>
        </is>
      </c>
      <c r="J506" s="5" t="n">
        <v>300</v>
      </c>
      <c r="K506" s="5" t="n">
        <v>13</v>
      </c>
      <c r="L506" s="5" t="inlineStr">
        <is>
          <t>60%</t>
        </is>
      </c>
      <c r="M506" s="5" t="n">
        <v>1265</v>
      </c>
      <c r="N506" s="5" t="n">
        <v>1.34</v>
      </c>
      <c r="O506" s="5" t="n">
        <v>1265</v>
      </c>
      <c r="P506" s="5" t="n">
        <v>1.34</v>
      </c>
      <c r="Q506" s="5" t="inlineStr">
        <is>
          <t>2025-08-15</t>
        </is>
      </c>
      <c r="R506" s="5" t="inlineStr">
        <is>
          <t>2025-12-17</t>
        </is>
      </c>
      <c r="S506" s="5" t="n">
        <v>125</v>
      </c>
      <c r="T506" s="5" t="n">
        <v>80</v>
      </c>
      <c r="U506" s="48" t="inlineStr">
        <is>
          <t>Rain</t>
        </is>
      </c>
    </row>
    <row r="507">
      <c r="A507" s="5" t="inlineStr">
        <is>
          <t>Bella Mirage</t>
        </is>
      </c>
      <c r="B507" s="5" t="inlineStr">
        <is>
          <t>Rain</t>
        </is>
      </c>
      <c r="C507" s="5" t="inlineStr">
        <is>
          <t>1517</t>
        </is>
      </c>
      <c r="D507" s="5" t="inlineStr"/>
      <c r="E507" s="5" t="n">
        <v>2</v>
      </c>
      <c r="F507" s="5" t="n">
        <v>2</v>
      </c>
      <c r="G507" s="5" t="inlineStr"/>
      <c r="H507" s="5" t="n">
        <v>947</v>
      </c>
      <c r="I507" s="5" t="inlineStr">
        <is>
          <t>5/26/2026</t>
        </is>
      </c>
      <c r="J507" s="5" t="n">
        <v>300</v>
      </c>
      <c r="K507" s="5" t="n">
        <v>12</v>
      </c>
      <c r="L507" s="5" t="inlineStr">
        <is>
          <t>60%</t>
        </is>
      </c>
      <c r="M507" s="5" t="n">
        <v>1272</v>
      </c>
      <c r="N507" s="5" t="n">
        <v>1.34</v>
      </c>
      <c r="O507" s="5" t="n">
        <v>1272</v>
      </c>
      <c r="P507" s="5" t="n">
        <v>1.34</v>
      </c>
      <c r="Q507" s="5" t="inlineStr">
        <is>
          <t>2026-03-19</t>
        </is>
      </c>
      <c r="R507" s="5" t="inlineStr">
        <is>
          <t>2026-05-20</t>
        </is>
      </c>
      <c r="S507" s="5" t="n">
        <v>63</v>
      </c>
      <c r="T507" s="5" t="n">
        <v>0</v>
      </c>
      <c r="U507" s="48" t="inlineStr">
        <is>
          <t>Rain</t>
        </is>
      </c>
    </row>
    <row r="508">
      <c r="A508" s="5" t="inlineStr">
        <is>
          <t>Bella Mirage</t>
        </is>
      </c>
      <c r="B508" s="5" t="inlineStr">
        <is>
          <t>Rain</t>
        </is>
      </c>
      <c r="C508" s="5" t="inlineStr">
        <is>
          <t>1923</t>
        </is>
      </c>
      <c r="D508" s="5" t="inlineStr"/>
      <c r="E508" s="5" t="n">
        <v>2</v>
      </c>
      <c r="F508" s="5" t="n">
        <v>2</v>
      </c>
      <c r="G508" s="5" t="inlineStr"/>
      <c r="H508" s="5" t="n">
        <v>947</v>
      </c>
      <c r="I508" s="5" t="inlineStr">
        <is>
          <t>3/30/2026</t>
        </is>
      </c>
      <c r="J508" s="5" t="n">
        <v>300</v>
      </c>
      <c r="K508" s="5" t="n">
        <v>12</v>
      </c>
      <c r="L508" s="5" t="inlineStr">
        <is>
          <t>60%</t>
        </is>
      </c>
      <c r="M508" s="5" t="n">
        <v>1272</v>
      </c>
      <c r="N508" s="5" t="n">
        <v>1.34</v>
      </c>
      <c r="O508" s="5" t="n">
        <v>1272</v>
      </c>
      <c r="P508" s="5" t="n">
        <v>1.34</v>
      </c>
      <c r="Q508" s="5" t="inlineStr">
        <is>
          <t>2026-01-21</t>
        </is>
      </c>
      <c r="R508" s="5" t="inlineStr">
        <is>
          <t>2026-01-24</t>
        </is>
      </c>
      <c r="S508" s="5" t="n">
        <v>4</v>
      </c>
      <c r="T508" s="5" t="n">
        <v>0</v>
      </c>
      <c r="U508" s="48" t="inlineStr">
        <is>
          <t>Rain</t>
        </is>
      </c>
    </row>
    <row r="509">
      <c r="A509" s="5" t="inlineStr">
        <is>
          <t>Bella Mirage</t>
        </is>
      </c>
      <c r="B509" s="5" t="inlineStr">
        <is>
          <t>Rain</t>
        </is>
      </c>
      <c r="C509" s="5" t="inlineStr">
        <is>
          <t>5433</t>
        </is>
      </c>
      <c r="D509" s="5" t="n">
        <v>3</v>
      </c>
      <c r="E509" s="5" t="n">
        <v>2</v>
      </c>
      <c r="F509" s="5" t="n">
        <v>2</v>
      </c>
      <c r="G509" s="5" t="inlineStr"/>
      <c r="H509" s="5" t="n">
        <v>947</v>
      </c>
      <c r="I509" s="5" t="inlineStr">
        <is>
          <t>5/16/2024</t>
        </is>
      </c>
      <c r="J509" s="5" t="n">
        <v>200</v>
      </c>
      <c r="K509" s="5" t="n">
        <v>12</v>
      </c>
      <c r="L509" s="5" t="inlineStr">
        <is>
          <t>60%</t>
        </is>
      </c>
      <c r="M509" s="5" t="n">
        <v>1584</v>
      </c>
      <c r="N509" s="5" t="n">
        <v>1.67</v>
      </c>
      <c r="O509" s="5" t="n">
        <v>1584</v>
      </c>
      <c r="P509" s="5" t="n">
        <v>1.67</v>
      </c>
      <c r="Q509" s="5" t="inlineStr">
        <is>
          <t>2024-04-27</t>
        </is>
      </c>
      <c r="R509" s="5" t="inlineStr">
        <is>
          <t>2024-06-27</t>
        </is>
      </c>
      <c r="S509" s="5" t="n">
        <v>62</v>
      </c>
      <c r="T509" s="5" t="n">
        <v>43</v>
      </c>
      <c r="U509" s="48" t="inlineStr">
        <is>
          <t>Rain</t>
        </is>
      </c>
    </row>
    <row r="510">
      <c r="A510" s="5" t="inlineStr">
        <is>
          <t>Bella Mirage</t>
        </is>
      </c>
      <c r="B510" s="5" t="inlineStr">
        <is>
          <t>Rain</t>
        </is>
      </c>
      <c r="C510" s="5" t="inlineStr">
        <is>
          <t>5433</t>
        </is>
      </c>
      <c r="D510" s="5" t="n">
        <v>3</v>
      </c>
      <c r="E510" s="5" t="n">
        <v>2</v>
      </c>
      <c r="F510" s="5" t="n">
        <v>2</v>
      </c>
      <c r="G510" s="5" t="inlineStr"/>
      <c r="H510" s="5" t="n">
        <v>947</v>
      </c>
      <c r="I510" s="5" t="inlineStr">
        <is>
          <t>12/5/2025</t>
        </is>
      </c>
      <c r="J510" s="5" t="n">
        <v>300</v>
      </c>
      <c r="K510" s="5" t="n">
        <v>14</v>
      </c>
      <c r="L510" s="5" t="inlineStr">
        <is>
          <t>60%</t>
        </is>
      </c>
      <c r="M510" s="5" t="n">
        <v>1274</v>
      </c>
      <c r="N510" s="5" t="n">
        <v>1.35</v>
      </c>
      <c r="O510" s="5" t="n">
        <v>1274</v>
      </c>
      <c r="P510" s="5" t="n">
        <v>1.35</v>
      </c>
      <c r="Q510" s="5" t="inlineStr">
        <is>
          <t>2025-11-26</t>
        </is>
      </c>
      <c r="R510" s="5" t="inlineStr">
        <is>
          <t>2026-01-19</t>
        </is>
      </c>
      <c r="S510" s="5" t="n">
        <v>55</v>
      </c>
      <c r="T510" s="5" t="n">
        <v>46</v>
      </c>
      <c r="U510" s="48" t="inlineStr">
        <is>
          <t>Rain</t>
        </is>
      </c>
    </row>
    <row r="511">
      <c r="A511" s="5" t="inlineStr">
        <is>
          <t>Bella Mirage</t>
        </is>
      </c>
      <c r="B511" s="5" t="inlineStr">
        <is>
          <t>Rain</t>
        </is>
      </c>
      <c r="C511" s="5" t="inlineStr">
        <is>
          <t>1916</t>
        </is>
      </c>
      <c r="D511" s="5" t="n">
        <v>1</v>
      </c>
      <c r="E511" s="5" t="n">
        <v>2</v>
      </c>
      <c r="F511" s="5" t="n">
        <v>2</v>
      </c>
      <c r="G511" s="5" t="inlineStr"/>
      <c r="H511" s="5" t="n">
        <v>947</v>
      </c>
      <c r="I511" s="5" t="inlineStr">
        <is>
          <t>11/10/2024</t>
        </is>
      </c>
      <c r="J511" s="5" t="n">
        <v>200</v>
      </c>
      <c r="K511" s="5" t="n">
        <v>13</v>
      </c>
      <c r="L511" s="5" t="inlineStr">
        <is>
          <t>60%</t>
        </is>
      </c>
      <c r="M511" s="5" t="n">
        <v>1376</v>
      </c>
      <c r="N511" s="5" t="n">
        <v>1.45</v>
      </c>
      <c r="O511" s="5" t="n">
        <v>1270</v>
      </c>
      <c r="P511" s="5" t="n">
        <v>1.34</v>
      </c>
      <c r="Q511" s="5" t="inlineStr">
        <is>
          <t>2024-10-08</t>
        </is>
      </c>
      <c r="R511" s="5" t="inlineStr">
        <is>
          <t>2024-12-17</t>
        </is>
      </c>
      <c r="S511" s="5" t="n">
        <v>71</v>
      </c>
      <c r="T511" s="5" t="n">
        <v>38</v>
      </c>
      <c r="U511" s="48" t="inlineStr">
        <is>
          <t>Rain</t>
        </is>
      </c>
    </row>
    <row r="512">
      <c r="A512" s="5" t="inlineStr">
        <is>
          <t>Bella Mirage</t>
        </is>
      </c>
      <c r="B512" s="5" t="inlineStr">
        <is>
          <t>Rain</t>
        </is>
      </c>
      <c r="C512" s="5" t="inlineStr">
        <is>
          <t>1916</t>
        </is>
      </c>
      <c r="D512" s="5" t="n">
        <v>1</v>
      </c>
      <c r="E512" s="5" t="n">
        <v>2</v>
      </c>
      <c r="F512" s="5" t="n">
        <v>2</v>
      </c>
      <c r="G512" s="5" t="inlineStr"/>
      <c r="H512" s="5" t="n">
        <v>947</v>
      </c>
      <c r="I512" s="5" t="inlineStr">
        <is>
          <t>6/30/2025</t>
        </is>
      </c>
      <c r="J512" s="5" t="n">
        <v>200</v>
      </c>
      <c r="K512" s="5" t="n">
        <v>12</v>
      </c>
      <c r="L512" s="5" t="inlineStr">
        <is>
          <t>60%</t>
        </is>
      </c>
      <c r="M512" s="5" t="n">
        <v>1375</v>
      </c>
      <c r="N512" s="5" t="n">
        <v>1.45</v>
      </c>
      <c r="O512" s="5" t="n">
        <v>1260</v>
      </c>
      <c r="P512" s="5" t="n">
        <v>1.33</v>
      </c>
      <c r="Q512" s="5" t="inlineStr">
        <is>
          <t>2025-05-08</t>
        </is>
      </c>
      <c r="R512" s="5" t="inlineStr">
        <is>
          <t>2025-05-18</t>
        </is>
      </c>
      <c r="S512" s="5" t="n">
        <v>11</v>
      </c>
      <c r="T512" s="5" t="n">
        <v>0</v>
      </c>
      <c r="U512" s="48" t="inlineStr">
        <is>
          <t>Rain</t>
        </is>
      </c>
    </row>
    <row r="513">
      <c r="A513" s="5" t="inlineStr">
        <is>
          <t>Bella Mirage</t>
        </is>
      </c>
      <c r="B513" s="5" t="inlineStr">
        <is>
          <t>Rain</t>
        </is>
      </c>
      <c r="C513" s="5" t="inlineStr">
        <is>
          <t>1022</t>
        </is>
      </c>
      <c r="D513" s="5" t="n">
        <v>2</v>
      </c>
      <c r="E513" s="5" t="n">
        <v>2</v>
      </c>
      <c r="F513" s="5" t="n">
        <v>2</v>
      </c>
      <c r="G513" s="5" t="inlineStr"/>
      <c r="H513" s="5" t="n">
        <v>947</v>
      </c>
      <c r="I513" s="5" t="inlineStr">
        <is>
          <t>8/15/2025</t>
        </is>
      </c>
      <c r="J513" s="5" t="n">
        <v>200</v>
      </c>
      <c r="K513" s="5" t="n">
        <v>13</v>
      </c>
      <c r="L513" s="5" t="inlineStr">
        <is>
          <t>60%</t>
        </is>
      </c>
      <c r="M513" s="5" t="n">
        <v>1280</v>
      </c>
      <c r="N513" s="5" t="n">
        <v>1.35</v>
      </c>
      <c r="O513" s="5" t="n">
        <v>1182</v>
      </c>
      <c r="P513" s="5" t="n">
        <v>1.25</v>
      </c>
      <c r="Q513" s="5" t="inlineStr">
        <is>
          <t>2025-05-11</t>
        </is>
      </c>
      <c r="R513" s="5" t="inlineStr">
        <is>
          <t>2025-05-16</t>
        </is>
      </c>
      <c r="S513" s="5" t="n">
        <v>6</v>
      </c>
      <c r="T513" s="5" t="n">
        <v>0</v>
      </c>
      <c r="U513" s="48" t="inlineStr">
        <is>
          <t>Rain</t>
        </is>
      </c>
    </row>
    <row r="514">
      <c r="A514" s="5" t="inlineStr">
        <is>
          <t>Bella Mirage</t>
        </is>
      </c>
      <c r="B514" s="5" t="inlineStr">
        <is>
          <t>Rain</t>
        </is>
      </c>
      <c r="C514" s="5" t="inlineStr">
        <is>
          <t>3237</t>
        </is>
      </c>
      <c r="D514" s="5" t="n">
        <v>3</v>
      </c>
      <c r="E514" s="5" t="n">
        <v>2</v>
      </c>
      <c r="F514" s="5" t="n">
        <v>2</v>
      </c>
      <c r="G514" s="5" t="inlineStr"/>
      <c r="H514" s="5" t="n">
        <v>947</v>
      </c>
      <c r="I514" s="5" t="inlineStr">
        <is>
          <t>12/24/2023</t>
        </is>
      </c>
      <c r="J514" s="5" t="inlineStr"/>
      <c r="K514" s="5" t="inlineStr"/>
      <c r="L514" s="5" t="inlineStr">
        <is>
          <t>60%</t>
        </is>
      </c>
      <c r="M514" s="5" t="n">
        <v>1399</v>
      </c>
      <c r="N514" s="5" t="n">
        <v>1.48</v>
      </c>
      <c r="O514" s="5" t="n">
        <v>1282</v>
      </c>
      <c r="P514" s="5" t="n">
        <v>1.35</v>
      </c>
      <c r="Q514" s="5" t="inlineStr">
        <is>
          <t>2023-12-09</t>
        </is>
      </c>
      <c r="R514" s="5" t="inlineStr">
        <is>
          <t>2023-12-21</t>
        </is>
      </c>
      <c r="S514" s="5" t="n">
        <v>13</v>
      </c>
      <c r="T514" s="5" t="n">
        <v>0</v>
      </c>
      <c r="U514" s="48" t="inlineStr">
        <is>
          <t>Rain</t>
        </is>
      </c>
    </row>
    <row r="515">
      <c r="A515" s="5" t="inlineStr">
        <is>
          <t>Bella Mirage</t>
        </is>
      </c>
      <c r="B515" s="5" t="inlineStr">
        <is>
          <t>Rain</t>
        </is>
      </c>
      <c r="C515" s="5" t="inlineStr">
        <is>
          <t>3237</t>
        </is>
      </c>
      <c r="D515" s="5" t="n">
        <v>3</v>
      </c>
      <c r="E515" s="5" t="n">
        <v>2</v>
      </c>
      <c r="F515" s="5" t="n">
        <v>2</v>
      </c>
      <c r="G515" s="5" t="inlineStr"/>
      <c r="H515" s="5" t="n">
        <v>947</v>
      </c>
      <c r="I515" s="5" t="inlineStr">
        <is>
          <t>4/7/2026</t>
        </is>
      </c>
      <c r="J515" s="5" t="n">
        <v>300</v>
      </c>
      <c r="K515" s="5" t="n">
        <v>14</v>
      </c>
      <c r="L515" s="5" t="inlineStr">
        <is>
          <t>60%</t>
        </is>
      </c>
      <c r="M515" s="5" t="n">
        <v>1287</v>
      </c>
      <c r="N515" s="5" t="n">
        <v>1.36</v>
      </c>
      <c r="O515" s="5" t="n">
        <v>1287</v>
      </c>
      <c r="P515" s="5" t="n">
        <v>1.36</v>
      </c>
      <c r="Q515" s="5" t="inlineStr">
        <is>
          <t>2026-01-06</t>
        </is>
      </c>
      <c r="R515" s="5" t="inlineStr">
        <is>
          <t>2026-05-17</t>
        </is>
      </c>
      <c r="S515" s="5" t="n">
        <v>132</v>
      </c>
      <c r="T515" s="5" t="n">
        <v>41</v>
      </c>
      <c r="U515" s="48" t="inlineStr">
        <is>
          <t>Rain</t>
        </is>
      </c>
    </row>
    <row r="516">
      <c r="A516" s="5" t="inlineStr">
        <is>
          <t>Bella Mirage</t>
        </is>
      </c>
      <c r="B516" s="5" t="inlineStr">
        <is>
          <t>Rain</t>
        </is>
      </c>
      <c r="C516" s="5" t="inlineStr">
        <is>
          <t>1323</t>
        </is>
      </c>
      <c r="D516" s="5" t="inlineStr"/>
      <c r="E516" s="5" t="n">
        <v>2</v>
      </c>
      <c r="F516" s="5" t="n">
        <v>2</v>
      </c>
      <c r="G516" s="5" t="inlineStr"/>
      <c r="H516" s="5" t="n">
        <v>947</v>
      </c>
      <c r="I516" s="5" t="inlineStr">
        <is>
          <t>8/31/2025</t>
        </is>
      </c>
      <c r="J516" s="5" t="n">
        <v>300</v>
      </c>
      <c r="K516" s="5" t="n">
        <v>12</v>
      </c>
      <c r="L516" s="5" t="inlineStr">
        <is>
          <t>60%</t>
        </is>
      </c>
      <c r="M516" s="5" t="n">
        <v>1289</v>
      </c>
      <c r="N516" s="5" t="n">
        <v>1.36</v>
      </c>
      <c r="O516" s="5" t="n">
        <v>1182</v>
      </c>
      <c r="P516" s="5" t="n">
        <v>1.25</v>
      </c>
      <c r="Q516" s="5" t="inlineStr">
        <is>
          <t>2025-06-24</t>
        </is>
      </c>
      <c r="R516" s="5" t="inlineStr">
        <is>
          <t>2025-10-02</t>
        </is>
      </c>
      <c r="S516" s="5" t="n">
        <v>101</v>
      </c>
      <c r="T516" s="5" t="n">
        <v>33</v>
      </c>
      <c r="U516" s="48" t="inlineStr">
        <is>
          <t>Rain</t>
        </is>
      </c>
    </row>
    <row r="517">
      <c r="A517" s="5" t="inlineStr">
        <is>
          <t>Bella Mirage</t>
        </is>
      </c>
      <c r="B517" s="5" t="inlineStr">
        <is>
          <t>Rain</t>
        </is>
      </c>
      <c r="C517" s="5" t="inlineStr">
        <is>
          <t>3916</t>
        </is>
      </c>
      <c r="D517" s="5" t="n">
        <v>3</v>
      </c>
      <c r="E517" s="5" t="n">
        <v>2</v>
      </c>
      <c r="F517" s="5" t="n">
        <v>2</v>
      </c>
      <c r="G517" s="5" t="inlineStr"/>
      <c r="H517" s="5" t="n">
        <v>947</v>
      </c>
      <c r="I517" s="5" t="inlineStr">
        <is>
          <t>9/8/2025</t>
        </is>
      </c>
      <c r="J517" s="5" t="n">
        <v>300</v>
      </c>
      <c r="K517" s="5" t="n">
        <v>13</v>
      </c>
      <c r="L517" s="5" t="inlineStr">
        <is>
          <t>60%</t>
        </is>
      </c>
      <c r="M517" s="5" t="n">
        <v>1294</v>
      </c>
      <c r="N517" s="5" t="n">
        <v>1.37</v>
      </c>
      <c r="O517" s="5" t="n">
        <v>1294</v>
      </c>
      <c r="P517" s="5" t="n">
        <v>1.37</v>
      </c>
      <c r="Q517" s="5" t="inlineStr">
        <is>
          <t>2025-06-25</t>
        </is>
      </c>
      <c r="R517" s="5" t="inlineStr">
        <is>
          <t>2025-12-13</t>
        </is>
      </c>
      <c r="S517" s="5" t="n">
        <v>172</v>
      </c>
      <c r="T517" s="5" t="n">
        <v>97</v>
      </c>
      <c r="U517" s="48" t="inlineStr">
        <is>
          <t>Rain</t>
        </is>
      </c>
    </row>
    <row r="518">
      <c r="A518" s="5" t="inlineStr">
        <is>
          <t>Bella Mirage</t>
        </is>
      </c>
      <c r="B518" s="5" t="inlineStr">
        <is>
          <t>Rain</t>
        </is>
      </c>
      <c r="C518" s="5" t="inlineStr">
        <is>
          <t>1017</t>
        </is>
      </c>
      <c r="D518" s="5" t="inlineStr"/>
      <c r="E518" s="5" t="n">
        <v>2</v>
      </c>
      <c r="F518" s="5" t="n">
        <v>2</v>
      </c>
      <c r="G518" s="5" t="inlineStr"/>
      <c r="H518" s="5" t="n">
        <v>947</v>
      </c>
      <c r="I518" s="5" t="inlineStr">
        <is>
          <t>3/23/2025</t>
        </is>
      </c>
      <c r="J518" s="5" t="n">
        <v>200</v>
      </c>
      <c r="K518" s="5" t="n">
        <v>12</v>
      </c>
      <c r="L518" s="5" t="inlineStr">
        <is>
          <t>60%</t>
        </is>
      </c>
      <c r="M518" s="5" t="n">
        <v>1312</v>
      </c>
      <c r="N518" s="5" t="n">
        <v>1.39</v>
      </c>
      <c r="O518" s="5" t="n">
        <v>1203</v>
      </c>
      <c r="P518" s="5" t="n">
        <v>1.27</v>
      </c>
      <c r="Q518" s="5" t="inlineStr">
        <is>
          <t>2025-01-08</t>
        </is>
      </c>
      <c r="R518" s="5" t="inlineStr">
        <is>
          <t>2025-01-09</t>
        </is>
      </c>
      <c r="S518" s="5" t="n">
        <v>2</v>
      </c>
      <c r="T518" s="5" t="n">
        <v>0</v>
      </c>
      <c r="U518" s="48" t="inlineStr">
        <is>
          <t>Rain</t>
        </is>
      </c>
    </row>
    <row r="519">
      <c r="A519" s="5" t="inlineStr">
        <is>
          <t>Bella Mirage</t>
        </is>
      </c>
      <c r="B519" s="5" t="inlineStr">
        <is>
          <t>Rain</t>
        </is>
      </c>
      <c r="C519" s="5" t="inlineStr">
        <is>
          <t>0212</t>
        </is>
      </c>
      <c r="D519" s="5" t="inlineStr"/>
      <c r="E519" s="5" t="n">
        <v>2</v>
      </c>
      <c r="F519" s="5" t="n">
        <v>2</v>
      </c>
      <c r="G519" s="5" t="inlineStr"/>
      <c r="H519" s="5" t="n">
        <v>947</v>
      </c>
      <c r="I519" s="5" t="inlineStr">
        <is>
          <t>6/17/2025</t>
        </is>
      </c>
      <c r="J519" s="5" t="n">
        <v>200</v>
      </c>
      <c r="K519" s="5" t="n">
        <v>12</v>
      </c>
      <c r="L519" s="5" t="inlineStr">
        <is>
          <t>60%</t>
        </is>
      </c>
      <c r="M519" s="5" t="n">
        <v>1446</v>
      </c>
      <c r="N519" s="5" t="n">
        <v>1.53</v>
      </c>
      <c r="O519" s="5" t="n">
        <v>1326</v>
      </c>
      <c r="P519" s="5" t="n">
        <v>1.4</v>
      </c>
      <c r="Q519" s="5" t="inlineStr">
        <is>
          <t>2025-04-04</t>
        </is>
      </c>
      <c r="R519" s="5" t="inlineStr">
        <is>
          <t>2025-04-08</t>
        </is>
      </c>
      <c r="S519" s="5" t="n">
        <v>5</v>
      </c>
      <c r="T519" s="5" t="n">
        <v>0</v>
      </c>
      <c r="U519" s="48" t="inlineStr">
        <is>
          <t>Rain</t>
        </is>
      </c>
    </row>
    <row r="520">
      <c r="A520" s="5" t="inlineStr">
        <is>
          <t>Bella Mirage</t>
        </is>
      </c>
      <c r="B520" s="5" t="inlineStr">
        <is>
          <t>Rain</t>
        </is>
      </c>
      <c r="C520" s="5" t="inlineStr">
        <is>
          <t>6322</t>
        </is>
      </c>
      <c r="D520" s="5" t="inlineStr"/>
      <c r="E520" s="5" t="n">
        <v>2</v>
      </c>
      <c r="F520" s="5" t="n">
        <v>2</v>
      </c>
      <c r="G520" s="5" t="inlineStr"/>
      <c r="H520" s="5" t="n">
        <v>947</v>
      </c>
      <c r="I520" s="5" t="inlineStr">
        <is>
          <t>5/5/2024</t>
        </is>
      </c>
      <c r="J520" s="5" t="n">
        <v>200</v>
      </c>
      <c r="K520" s="5" t="n">
        <v>12</v>
      </c>
      <c r="L520" s="5" t="inlineStr">
        <is>
          <t>60%</t>
        </is>
      </c>
      <c r="M520" s="5" t="n">
        <v>1614</v>
      </c>
      <c r="N520" s="5" t="n">
        <v>1.7</v>
      </c>
      <c r="O520" s="5" t="n">
        <v>1480</v>
      </c>
      <c r="P520" s="5" t="n">
        <v>1.56</v>
      </c>
      <c r="Q520" s="5" t="inlineStr">
        <is>
          <t>2024-02-12</t>
        </is>
      </c>
      <c r="R520" s="5" t="inlineStr">
        <is>
          <t>2024-03-28</t>
        </is>
      </c>
      <c r="S520" s="5" t="n">
        <v>46</v>
      </c>
      <c r="T520" s="5" t="n">
        <v>0</v>
      </c>
      <c r="U520" s="48" t="inlineStr">
        <is>
          <t>Rain</t>
        </is>
      </c>
    </row>
    <row r="521">
      <c r="A521" s="5" t="inlineStr">
        <is>
          <t>Bella Mirage</t>
        </is>
      </c>
      <c r="B521" s="5" t="inlineStr">
        <is>
          <t>Rain</t>
        </is>
      </c>
      <c r="C521" s="5" t="inlineStr">
        <is>
          <t>3932</t>
        </is>
      </c>
      <c r="D521" s="5" t="n">
        <v>3</v>
      </c>
      <c r="E521" s="5" t="n">
        <v>2</v>
      </c>
      <c r="F521" s="5" t="n">
        <v>2</v>
      </c>
      <c r="G521" s="5" t="inlineStr"/>
      <c r="H521" s="5" t="n">
        <v>947</v>
      </c>
      <c r="I521" s="5" t="inlineStr">
        <is>
          <t>1/25/2025</t>
        </is>
      </c>
      <c r="J521" s="5" t="n">
        <v>200</v>
      </c>
      <c r="K521" s="5" t="n">
        <v>12</v>
      </c>
      <c r="L521" s="5" t="inlineStr">
        <is>
          <t>60%</t>
        </is>
      </c>
      <c r="M521" s="5" t="n">
        <v>1381</v>
      </c>
      <c r="N521" s="5" t="n">
        <v>1.46</v>
      </c>
      <c r="O521" s="5" t="n">
        <v>1266</v>
      </c>
      <c r="P521" s="5" t="n">
        <v>1.34</v>
      </c>
      <c r="Q521" s="5" t="inlineStr">
        <is>
          <t>2024-11-04</t>
        </is>
      </c>
      <c r="R521" s="5" t="inlineStr">
        <is>
          <t>2024-12-17</t>
        </is>
      </c>
      <c r="S521" s="5" t="n">
        <v>44</v>
      </c>
      <c r="T521" s="5" t="n">
        <v>0</v>
      </c>
      <c r="U521" s="48" t="inlineStr">
        <is>
          <t>Rain</t>
        </is>
      </c>
    </row>
    <row r="522">
      <c r="A522" s="5" t="inlineStr">
        <is>
          <t>Bella Mirage</t>
        </is>
      </c>
      <c r="B522" s="5" t="inlineStr">
        <is>
          <t>Rain</t>
        </is>
      </c>
      <c r="C522" s="5" t="inlineStr">
        <is>
          <t>6326</t>
        </is>
      </c>
      <c r="D522" s="5" t="inlineStr"/>
      <c r="E522" s="5" t="n">
        <v>2</v>
      </c>
      <c r="F522" s="5" t="n">
        <v>2</v>
      </c>
      <c r="G522" s="5" t="inlineStr"/>
      <c r="H522" s="5" t="n">
        <v>947</v>
      </c>
      <c r="I522" s="5" t="inlineStr">
        <is>
          <t>9/15/2023</t>
        </is>
      </c>
      <c r="J522" s="5" t="inlineStr"/>
      <c r="K522" s="5" t="inlineStr"/>
      <c r="L522" s="5" t="inlineStr">
        <is>
          <t>60%</t>
        </is>
      </c>
      <c r="M522" s="5" t="n">
        <v>1407</v>
      </c>
      <c r="N522" s="5" t="n">
        <v>1.49</v>
      </c>
      <c r="O522" s="5" t="n">
        <v>1290</v>
      </c>
      <c r="P522" s="5" t="n">
        <v>1.36</v>
      </c>
      <c r="Q522" s="5" t="inlineStr">
        <is>
          <t>2023-08-30</t>
        </is>
      </c>
      <c r="R522" s="5" t="inlineStr">
        <is>
          <t>2023-11-15</t>
        </is>
      </c>
      <c r="S522" s="5" t="n">
        <v>78</v>
      </c>
      <c r="T522" s="5" t="n">
        <v>62</v>
      </c>
      <c r="U522" s="48" t="inlineStr">
        <is>
          <t>Rain</t>
        </is>
      </c>
    </row>
    <row r="523">
      <c r="A523" s="5" t="inlineStr">
        <is>
          <t>Bella Mirage</t>
        </is>
      </c>
      <c r="B523" s="5" t="inlineStr">
        <is>
          <t>Rain</t>
        </is>
      </c>
      <c r="C523" s="5" t="inlineStr">
        <is>
          <t>6326</t>
        </is>
      </c>
      <c r="D523" s="5" t="inlineStr"/>
      <c r="E523" s="5" t="n">
        <v>2</v>
      </c>
      <c r="F523" s="5" t="n">
        <v>2</v>
      </c>
      <c r="G523" s="5" t="inlineStr"/>
      <c r="H523" s="5" t="n">
        <v>947</v>
      </c>
      <c r="I523" s="5" t="inlineStr">
        <is>
          <t>9/23/2025</t>
        </is>
      </c>
      <c r="J523" s="5" t="n">
        <v>300</v>
      </c>
      <c r="K523" s="5" t="n">
        <v>12</v>
      </c>
      <c r="L523" s="5" t="inlineStr">
        <is>
          <t>60%</t>
        </is>
      </c>
      <c r="M523" s="5" t="n">
        <v>1321</v>
      </c>
      <c r="N523" s="5" t="n">
        <v>1.39</v>
      </c>
      <c r="O523" s="5" t="n">
        <v>1321</v>
      </c>
      <c r="P523" s="5" t="n">
        <v>1.39</v>
      </c>
      <c r="Q523" s="5" t="inlineStr">
        <is>
          <t>2025-09-02</t>
        </is>
      </c>
      <c r="R523" s="5" t="inlineStr">
        <is>
          <t>2026-01-03</t>
        </is>
      </c>
      <c r="S523" s="5" t="n">
        <v>124</v>
      </c>
      <c r="T523" s="5" t="n">
        <v>103</v>
      </c>
      <c r="U523" s="48" t="inlineStr">
        <is>
          <t>Rain</t>
        </is>
      </c>
    </row>
    <row r="524">
      <c r="A524" s="5" t="inlineStr">
        <is>
          <t>Bella Mirage</t>
        </is>
      </c>
      <c r="B524" s="5" t="inlineStr">
        <is>
          <t>Rain</t>
        </is>
      </c>
      <c r="C524" s="5" t="inlineStr">
        <is>
          <t>4517</t>
        </is>
      </c>
      <c r="D524" s="5" t="n">
        <v>4</v>
      </c>
      <c r="E524" s="5" t="n">
        <v>2</v>
      </c>
      <c r="F524" s="5" t="n">
        <v>2</v>
      </c>
      <c r="G524" s="5" t="inlineStr"/>
      <c r="H524" s="5" t="n">
        <v>947</v>
      </c>
      <c r="I524" s="5" t="inlineStr">
        <is>
          <t>6/19/2024</t>
        </is>
      </c>
      <c r="J524" s="5" t="n">
        <v>200</v>
      </c>
      <c r="K524" s="5" t="n">
        <v>12</v>
      </c>
      <c r="L524" s="5" t="inlineStr">
        <is>
          <t>60%</t>
        </is>
      </c>
      <c r="M524" s="5" t="n">
        <v>1629</v>
      </c>
      <c r="N524" s="5" t="n">
        <v>1.72</v>
      </c>
      <c r="O524" s="5" t="n">
        <v>1629</v>
      </c>
      <c r="P524" s="5" t="n">
        <v>1.72</v>
      </c>
      <c r="Q524" s="5" t="inlineStr">
        <is>
          <t>2024-04-03</t>
        </is>
      </c>
      <c r="R524" s="5" t="inlineStr">
        <is>
          <t>2024-07-14</t>
        </is>
      </c>
      <c r="S524" s="5" t="n">
        <v>103</v>
      </c>
      <c r="T524" s="5" t="n">
        <v>26</v>
      </c>
      <c r="U524" s="48" t="inlineStr">
        <is>
          <t>Rain</t>
        </is>
      </c>
    </row>
    <row r="525">
      <c r="A525" s="5" t="inlineStr">
        <is>
          <t>Bella Mirage</t>
        </is>
      </c>
      <c r="B525" s="5" t="inlineStr">
        <is>
          <t>Rain</t>
        </is>
      </c>
      <c r="C525" s="5" t="inlineStr">
        <is>
          <t>4517</t>
        </is>
      </c>
      <c r="D525" s="5" t="n">
        <v>4</v>
      </c>
      <c r="E525" s="5" t="n">
        <v>2</v>
      </c>
      <c r="F525" s="5" t="n">
        <v>2</v>
      </c>
      <c r="G525" s="5" t="inlineStr"/>
      <c r="H525" s="5" t="n">
        <v>947</v>
      </c>
      <c r="I525" s="5" t="inlineStr">
        <is>
          <t>10/26/2025</t>
        </is>
      </c>
      <c r="J525" s="5" t="n">
        <v>300</v>
      </c>
      <c r="K525" s="5" t="n">
        <v>14</v>
      </c>
      <c r="L525" s="5" t="inlineStr">
        <is>
          <t>60%</t>
        </is>
      </c>
      <c r="M525" s="5" t="n">
        <v>1321</v>
      </c>
      <c r="N525" s="5" t="n">
        <v>1.39</v>
      </c>
      <c r="O525" s="5" t="n">
        <v>1321</v>
      </c>
      <c r="P525" s="5" t="n">
        <v>1.39</v>
      </c>
      <c r="Q525" s="5" t="inlineStr">
        <is>
          <t>2025-09-04</t>
        </is>
      </c>
      <c r="R525" s="5" t="inlineStr">
        <is>
          <t>2026-01-23</t>
        </is>
      </c>
      <c r="S525" s="5" t="n">
        <v>142</v>
      </c>
      <c r="T525" s="5" t="n">
        <v>90</v>
      </c>
      <c r="U525" s="48" t="inlineStr">
        <is>
          <t>Rain</t>
        </is>
      </c>
    </row>
    <row r="526">
      <c r="A526" s="5" t="inlineStr">
        <is>
          <t>Bella Mirage</t>
        </is>
      </c>
      <c r="B526" s="5" t="inlineStr">
        <is>
          <t>Rain</t>
        </is>
      </c>
      <c r="C526" s="5" t="inlineStr">
        <is>
          <t>1913</t>
        </is>
      </c>
      <c r="D526" s="5" t="n">
        <v>1</v>
      </c>
      <c r="E526" s="5" t="n">
        <v>2</v>
      </c>
      <c r="F526" s="5" t="n">
        <v>2</v>
      </c>
      <c r="G526" s="5" t="inlineStr"/>
      <c r="H526" s="5" t="n">
        <v>947</v>
      </c>
      <c r="I526" s="5" t="inlineStr">
        <is>
          <t>10/11/2024</t>
        </is>
      </c>
      <c r="J526" s="5" t="n">
        <v>200</v>
      </c>
      <c r="K526" s="5" t="n">
        <v>14</v>
      </c>
      <c r="L526" s="5" t="inlineStr">
        <is>
          <t>60%</t>
        </is>
      </c>
      <c r="M526" s="5" t="n">
        <v>1384</v>
      </c>
      <c r="N526" s="5" t="n">
        <v>1.46</v>
      </c>
      <c r="O526" s="5" t="n">
        <v>1285</v>
      </c>
      <c r="P526" s="5" t="n">
        <v>1.36</v>
      </c>
      <c r="Q526" s="5" t="inlineStr">
        <is>
          <t>2024-08-05</t>
        </is>
      </c>
      <c r="R526" s="5" t="inlineStr">
        <is>
          <t>2024-11-24</t>
        </is>
      </c>
      <c r="S526" s="5" t="n">
        <v>112</v>
      </c>
      <c r="T526" s="5" t="n">
        <v>45</v>
      </c>
      <c r="U526" s="48" t="inlineStr">
        <is>
          <t>Rain</t>
        </is>
      </c>
    </row>
    <row r="527">
      <c r="A527" s="5" t="inlineStr">
        <is>
          <t>Bella Mirage</t>
        </is>
      </c>
      <c r="B527" s="5" t="inlineStr">
        <is>
          <t>Rain</t>
        </is>
      </c>
      <c r="C527" s="5" t="inlineStr">
        <is>
          <t>1913</t>
        </is>
      </c>
      <c r="D527" s="5" t="n">
        <v>1</v>
      </c>
      <c r="E527" s="5" t="n">
        <v>2</v>
      </c>
      <c r="F527" s="5" t="n">
        <v>2</v>
      </c>
      <c r="G527" s="5" t="inlineStr"/>
      <c r="H527" s="5" t="n">
        <v>947</v>
      </c>
      <c r="I527" s="5" t="inlineStr">
        <is>
          <t>3/15/2026</t>
        </is>
      </c>
      <c r="J527" s="5" t="n">
        <v>300</v>
      </c>
      <c r="K527" s="5" t="n">
        <v>12</v>
      </c>
      <c r="L527" s="5" t="inlineStr">
        <is>
          <t>60%</t>
        </is>
      </c>
      <c r="M527" s="5" t="n">
        <v>1326</v>
      </c>
      <c r="N527" s="5" t="n">
        <v>1.4</v>
      </c>
      <c r="O527" s="5" t="n">
        <v>1326</v>
      </c>
      <c r="P527" s="5" t="n">
        <v>1.4</v>
      </c>
      <c r="Q527" s="5" t="inlineStr">
        <is>
          <t>2025-12-13</t>
        </is>
      </c>
      <c r="R527" s="5" t="inlineStr">
        <is>
          <t>2026-01-08</t>
        </is>
      </c>
      <c r="S527" s="5" t="n">
        <v>27</v>
      </c>
      <c r="T527" s="5" t="n">
        <v>0</v>
      </c>
      <c r="U527" s="48" t="inlineStr">
        <is>
          <t>Rain</t>
        </is>
      </c>
    </row>
    <row r="528">
      <c r="A528" s="5" t="inlineStr">
        <is>
          <t>Bella Mirage</t>
        </is>
      </c>
      <c r="B528" s="5" t="inlineStr">
        <is>
          <t>Rain</t>
        </is>
      </c>
      <c r="C528" s="5" t="inlineStr">
        <is>
          <t>1012</t>
        </is>
      </c>
      <c r="D528" s="5" t="n">
        <v>1</v>
      </c>
      <c r="E528" s="5" t="n">
        <v>2</v>
      </c>
      <c r="F528" s="5" t="n">
        <v>2</v>
      </c>
      <c r="G528" s="5" t="inlineStr"/>
      <c r="H528" s="5" t="n">
        <v>947</v>
      </c>
      <c r="I528" s="5" t="inlineStr">
        <is>
          <t>3/21/2025</t>
        </is>
      </c>
      <c r="J528" s="5" t="n">
        <v>200</v>
      </c>
      <c r="K528" s="5" t="n">
        <v>13</v>
      </c>
      <c r="L528" s="5" t="inlineStr">
        <is>
          <t>60%</t>
        </is>
      </c>
      <c r="M528" s="5" t="n">
        <v>1228</v>
      </c>
      <c r="N528" s="5" t="n">
        <v>1.3</v>
      </c>
      <c r="O528" s="5" t="n">
        <v>1134</v>
      </c>
      <c r="P528" s="5" t="n">
        <v>1.2</v>
      </c>
      <c r="Q528" s="5" t="inlineStr">
        <is>
          <t>2025-02-05</t>
        </is>
      </c>
      <c r="R528" s="5" t="inlineStr">
        <is>
          <t>2025-05-07</t>
        </is>
      </c>
      <c r="S528" s="5" t="n">
        <v>92</v>
      </c>
      <c r="T528" s="5" t="n">
        <v>48</v>
      </c>
      <c r="U528" s="48" t="inlineStr">
        <is>
          <t>Rain</t>
        </is>
      </c>
    </row>
    <row r="529">
      <c r="A529" s="5" t="inlineStr">
        <is>
          <t>Bella Mirage</t>
        </is>
      </c>
      <c r="B529" s="5" t="inlineStr">
        <is>
          <t>Rain</t>
        </is>
      </c>
      <c r="C529" s="5" t="inlineStr">
        <is>
          <t>1012</t>
        </is>
      </c>
      <c r="D529" s="5" t="n">
        <v>1</v>
      </c>
      <c r="E529" s="5" t="n">
        <v>2</v>
      </c>
      <c r="F529" s="5" t="n">
        <v>2</v>
      </c>
      <c r="G529" s="5" t="inlineStr"/>
      <c r="H529" s="5" t="n">
        <v>947</v>
      </c>
      <c r="I529" s="5" t="inlineStr">
        <is>
          <t>3/13/2026</t>
        </is>
      </c>
      <c r="J529" s="5" t="n">
        <v>300</v>
      </c>
      <c r="K529" s="5" t="n">
        <v>12</v>
      </c>
      <c r="L529" s="5" t="inlineStr">
        <is>
          <t>60%</t>
        </is>
      </c>
      <c r="M529" s="5" t="n">
        <v>1328</v>
      </c>
      <c r="N529" s="5" t="n">
        <v>1.4</v>
      </c>
      <c r="O529" s="5" t="n">
        <v>1328</v>
      </c>
      <c r="P529" s="5" t="n">
        <v>1.4</v>
      </c>
      <c r="Q529" s="5" t="inlineStr">
        <is>
          <t>2026-02-27</t>
        </is>
      </c>
      <c r="R529" s="5" t="inlineStr">
        <is>
          <t>2026-03-04</t>
        </is>
      </c>
      <c r="S529" s="5" t="n">
        <v>6</v>
      </c>
      <c r="T529" s="5" t="n">
        <v>0</v>
      </c>
      <c r="U529" s="48" t="inlineStr">
        <is>
          <t>Rain</t>
        </is>
      </c>
    </row>
    <row r="530">
      <c r="A530" s="5" t="inlineStr">
        <is>
          <t>Bella Mirage</t>
        </is>
      </c>
      <c r="B530" s="5" t="inlineStr">
        <is>
          <t>Rain</t>
        </is>
      </c>
      <c r="C530" s="5" t="inlineStr">
        <is>
          <t>1037</t>
        </is>
      </c>
      <c r="D530" s="5" t="inlineStr"/>
      <c r="E530" s="5" t="n">
        <v>2</v>
      </c>
      <c r="F530" s="5" t="n">
        <v>2</v>
      </c>
      <c r="G530" s="5" t="inlineStr"/>
      <c r="H530" s="5" t="n">
        <v>947</v>
      </c>
      <c r="I530" s="5" t="inlineStr">
        <is>
          <t>9/14/2023</t>
        </is>
      </c>
      <c r="J530" s="5" t="inlineStr"/>
      <c r="K530" s="5" t="inlineStr"/>
      <c r="L530" s="5" t="inlineStr">
        <is>
          <t>60%</t>
        </is>
      </c>
      <c r="M530" s="5" t="n">
        <v>1421</v>
      </c>
      <c r="N530" s="5" t="n">
        <v>1.5</v>
      </c>
      <c r="O530" s="5" t="n">
        <v>1303</v>
      </c>
      <c r="P530" s="5" t="n">
        <v>1.38</v>
      </c>
      <c r="Q530" s="5" t="inlineStr">
        <is>
          <t>2023-08-10</t>
        </is>
      </c>
      <c r="R530" s="5" t="inlineStr">
        <is>
          <t>2023-12-12</t>
        </is>
      </c>
      <c r="S530" s="5" t="n">
        <v>125</v>
      </c>
      <c r="T530" s="5" t="n">
        <v>90</v>
      </c>
      <c r="U530" s="48" t="inlineStr">
        <is>
          <t>Rain</t>
        </is>
      </c>
    </row>
    <row r="531">
      <c r="A531" s="5" t="inlineStr">
        <is>
          <t>Bella Mirage</t>
        </is>
      </c>
      <c r="B531" s="5" t="inlineStr">
        <is>
          <t>Rain</t>
        </is>
      </c>
      <c r="C531" s="5" t="inlineStr">
        <is>
          <t>1037</t>
        </is>
      </c>
      <c r="D531" s="5" t="inlineStr"/>
      <c r="E531" s="5" t="n">
        <v>2</v>
      </c>
      <c r="F531" s="5" t="n">
        <v>2</v>
      </c>
      <c r="G531" s="5" t="inlineStr"/>
      <c r="H531" s="5" t="n">
        <v>947</v>
      </c>
      <c r="I531" s="5" t="inlineStr">
        <is>
          <t>12/15/2024</t>
        </is>
      </c>
      <c r="J531" s="5" t="n">
        <v>200</v>
      </c>
      <c r="K531" s="5" t="n">
        <v>12</v>
      </c>
      <c r="L531" s="5" t="inlineStr">
        <is>
          <t>60%</t>
        </is>
      </c>
      <c r="M531" s="5" t="n">
        <v>1611</v>
      </c>
      <c r="N531" s="5" t="n">
        <v>1.7</v>
      </c>
      <c r="O531" s="5" t="n">
        <v>1477</v>
      </c>
      <c r="P531" s="5" t="n">
        <v>1.56</v>
      </c>
      <c r="Q531" s="5" t="inlineStr">
        <is>
          <t>2024-10-01</t>
        </is>
      </c>
      <c r="R531" s="5" t="inlineStr">
        <is>
          <t>2025-01-17</t>
        </is>
      </c>
      <c r="S531" s="5" t="n">
        <v>109</v>
      </c>
      <c r="T531" s="5" t="n">
        <v>34</v>
      </c>
      <c r="U531" s="48" t="inlineStr">
        <is>
          <t>Rain</t>
        </is>
      </c>
    </row>
    <row r="532">
      <c r="A532" s="5" t="inlineStr">
        <is>
          <t>Bella Mirage</t>
        </is>
      </c>
      <c r="B532" s="5" t="inlineStr">
        <is>
          <t>Rain</t>
        </is>
      </c>
      <c r="C532" s="5" t="inlineStr">
        <is>
          <t>1037</t>
        </is>
      </c>
      <c r="D532" s="5" t="inlineStr"/>
      <c r="E532" s="5" t="n">
        <v>2</v>
      </c>
      <c r="F532" s="5" t="n">
        <v>2</v>
      </c>
      <c r="G532" s="5" t="inlineStr"/>
      <c r="H532" s="5" t="n">
        <v>947</v>
      </c>
      <c r="I532" s="5" t="inlineStr">
        <is>
          <t>12/8/2025</t>
        </is>
      </c>
      <c r="J532" s="5" t="n">
        <v>300</v>
      </c>
      <c r="K532" s="5" t="n">
        <v>13</v>
      </c>
      <c r="L532" s="5" t="inlineStr">
        <is>
          <t>60%</t>
        </is>
      </c>
      <c r="M532" s="5" t="n">
        <v>1333</v>
      </c>
      <c r="N532" s="5" t="n">
        <v>1.41</v>
      </c>
      <c r="O532" s="5" t="n">
        <v>1333</v>
      </c>
      <c r="P532" s="5" t="n">
        <v>1.41</v>
      </c>
      <c r="Q532" s="5" t="inlineStr">
        <is>
          <t>2025-11-22</t>
        </is>
      </c>
      <c r="R532" s="5" t="inlineStr">
        <is>
          <t>2026-05-20</t>
        </is>
      </c>
      <c r="S532" s="5" t="n">
        <v>180</v>
      </c>
      <c r="T532" s="5" t="n">
        <v>164</v>
      </c>
      <c r="U532" s="48" t="inlineStr">
        <is>
          <t>Rain</t>
        </is>
      </c>
    </row>
    <row r="533">
      <c r="A533" s="5" t="inlineStr">
        <is>
          <t>Bella Mirage</t>
        </is>
      </c>
      <c r="B533" s="5" t="inlineStr">
        <is>
          <t>Rain</t>
        </is>
      </c>
      <c r="C533" s="5" t="inlineStr">
        <is>
          <t>1026</t>
        </is>
      </c>
      <c r="D533" s="5" t="n">
        <v>2</v>
      </c>
      <c r="E533" s="5" t="n">
        <v>2</v>
      </c>
      <c r="F533" s="5" t="n">
        <v>2</v>
      </c>
      <c r="G533" s="5" t="inlineStr"/>
      <c r="H533" s="5" t="n">
        <v>947</v>
      </c>
      <c r="I533" s="5" t="inlineStr">
        <is>
          <t>1/14/2025</t>
        </is>
      </c>
      <c r="J533" s="5" t="n">
        <v>200</v>
      </c>
      <c r="K533" s="5" t="n">
        <v>12</v>
      </c>
      <c r="L533" s="5" t="inlineStr">
        <is>
          <t>60%</t>
        </is>
      </c>
      <c r="M533" s="5" t="n">
        <v>1256</v>
      </c>
      <c r="N533" s="5" t="n">
        <v>1.33</v>
      </c>
      <c r="O533" s="5" t="n">
        <v>1151</v>
      </c>
      <c r="P533" s="5" t="n">
        <v>1.22</v>
      </c>
      <c r="Q533" s="5" t="inlineStr">
        <is>
          <t>2024-11-03</t>
        </is>
      </c>
      <c r="R533" s="5" t="inlineStr">
        <is>
          <t>2024-12-20</t>
        </is>
      </c>
      <c r="S533" s="5" t="n">
        <v>48</v>
      </c>
      <c r="T533" s="5" t="n">
        <v>0</v>
      </c>
      <c r="U533" s="48" t="inlineStr">
        <is>
          <t>Rain</t>
        </is>
      </c>
    </row>
    <row r="534">
      <c r="A534" s="5" t="inlineStr">
        <is>
          <t>Bella Mirage</t>
        </is>
      </c>
      <c r="B534" s="5" t="inlineStr">
        <is>
          <t>Rain</t>
        </is>
      </c>
      <c r="C534" s="5" t="inlineStr">
        <is>
          <t>1026</t>
        </is>
      </c>
      <c r="D534" s="5" t="n">
        <v>2</v>
      </c>
      <c r="E534" s="5" t="n">
        <v>2</v>
      </c>
      <c r="F534" s="5" t="n">
        <v>2</v>
      </c>
      <c r="G534" s="5" t="inlineStr"/>
      <c r="H534" s="5" t="n">
        <v>947</v>
      </c>
      <c r="I534" s="5" t="inlineStr">
        <is>
          <t>2/28/2026</t>
        </is>
      </c>
      <c r="J534" s="5" t="n">
        <v>300</v>
      </c>
      <c r="K534" s="5" t="n">
        <v>13</v>
      </c>
      <c r="L534" s="5" t="inlineStr">
        <is>
          <t>60%</t>
        </is>
      </c>
      <c r="M534" s="5" t="n">
        <v>1333</v>
      </c>
      <c r="N534" s="5" t="n">
        <v>1.41</v>
      </c>
      <c r="O534" s="5" t="n">
        <v>1333</v>
      </c>
      <c r="P534" s="5" t="n">
        <v>1.41</v>
      </c>
      <c r="Q534" s="5" t="inlineStr">
        <is>
          <t>2025-12-19</t>
        </is>
      </c>
      <c r="R534" s="5" t="inlineStr">
        <is>
          <t>2026-03-04</t>
        </is>
      </c>
      <c r="S534" s="5" t="n">
        <v>76</v>
      </c>
      <c r="T534" s="5" t="n">
        <v>5</v>
      </c>
      <c r="U534" s="48" t="inlineStr">
        <is>
          <t>Rain</t>
        </is>
      </c>
    </row>
    <row r="535">
      <c r="A535" s="5" t="inlineStr">
        <is>
          <t>Bella Mirage</t>
        </is>
      </c>
      <c r="B535" s="5" t="inlineStr">
        <is>
          <t>Rain</t>
        </is>
      </c>
      <c r="C535" s="5" t="inlineStr">
        <is>
          <t>4523</t>
        </is>
      </c>
      <c r="D535" s="5" t="n">
        <v>2</v>
      </c>
      <c r="E535" s="5" t="n">
        <v>2</v>
      </c>
      <c r="F535" s="5" t="n">
        <v>2</v>
      </c>
      <c r="G535" s="5" t="inlineStr"/>
      <c r="H535" s="5" t="n">
        <v>947</v>
      </c>
      <c r="I535" s="5" t="inlineStr">
        <is>
          <t>10/11/2024</t>
        </is>
      </c>
      <c r="J535" s="5" t="n">
        <v>200</v>
      </c>
      <c r="K535" s="5" t="n">
        <v>13</v>
      </c>
      <c r="L535" s="5" t="inlineStr">
        <is>
          <t>60%</t>
        </is>
      </c>
      <c r="M535" s="5" t="n">
        <v>1346</v>
      </c>
      <c r="N535" s="5" t="n">
        <v>1.42</v>
      </c>
      <c r="O535" s="5" t="n">
        <v>1242</v>
      </c>
      <c r="P535" s="5" t="n">
        <v>1.31</v>
      </c>
      <c r="Q535" s="5" t="inlineStr">
        <is>
          <t>2024-09-23</t>
        </is>
      </c>
      <c r="R535" s="5" t="inlineStr">
        <is>
          <t>2024-12-19</t>
        </is>
      </c>
      <c r="S535" s="5" t="n">
        <v>88</v>
      </c>
      <c r="T535" s="5" t="n">
        <v>70</v>
      </c>
      <c r="U535" s="48" t="inlineStr">
        <is>
          <t>Rain</t>
        </is>
      </c>
    </row>
    <row r="536">
      <c r="A536" s="5" t="inlineStr">
        <is>
          <t>Bella Mirage</t>
        </is>
      </c>
      <c r="B536" s="5" t="inlineStr">
        <is>
          <t>Rain</t>
        </is>
      </c>
      <c r="C536" s="5" t="inlineStr">
        <is>
          <t>3217</t>
        </is>
      </c>
      <c r="D536" s="5" t="n">
        <v>3</v>
      </c>
      <c r="E536" s="5" t="n">
        <v>2</v>
      </c>
      <c r="F536" s="5" t="n">
        <v>2</v>
      </c>
      <c r="G536" s="5" t="inlineStr"/>
      <c r="H536" s="5" t="n">
        <v>947</v>
      </c>
      <c r="I536" s="5" t="inlineStr">
        <is>
          <t>6/30/2024</t>
        </is>
      </c>
      <c r="J536" s="5" t="n">
        <v>200</v>
      </c>
      <c r="K536" s="5" t="n">
        <v>12</v>
      </c>
      <c r="L536" s="5" t="inlineStr">
        <is>
          <t>60%</t>
        </is>
      </c>
      <c r="M536" s="5" t="n">
        <v>1664</v>
      </c>
      <c r="N536" s="5" t="n">
        <v>1.76</v>
      </c>
      <c r="O536" s="5" t="n">
        <v>1525</v>
      </c>
      <c r="P536" s="5" t="n">
        <v>1.61</v>
      </c>
      <c r="Q536" s="5" t="inlineStr">
        <is>
          <t>2024-04-27</t>
        </is>
      </c>
      <c r="R536" s="5" t="inlineStr">
        <is>
          <t>2024-05-02</t>
        </is>
      </c>
      <c r="S536" s="5" t="n">
        <v>6</v>
      </c>
      <c r="T536" s="5" t="n">
        <v>0</v>
      </c>
      <c r="U536" s="48" t="inlineStr">
        <is>
          <t>Rain</t>
        </is>
      </c>
    </row>
    <row r="537">
      <c r="A537" s="5" t="inlineStr">
        <is>
          <t>Bella Mirage</t>
        </is>
      </c>
      <c r="B537" s="5" t="inlineStr">
        <is>
          <t>Rain</t>
        </is>
      </c>
      <c r="C537" s="5" t="inlineStr">
        <is>
          <t>3217</t>
        </is>
      </c>
      <c r="D537" s="5" t="n">
        <v>3</v>
      </c>
      <c r="E537" s="5" t="n">
        <v>2</v>
      </c>
      <c r="F537" s="5" t="n">
        <v>2</v>
      </c>
      <c r="G537" s="5" t="inlineStr"/>
      <c r="H537" s="5" t="n">
        <v>947</v>
      </c>
      <c r="I537" s="5" t="inlineStr">
        <is>
          <t>7/31/2026</t>
        </is>
      </c>
      <c r="J537" s="5" t="n">
        <v>300</v>
      </c>
      <c r="K537" s="5" t="n">
        <v>12</v>
      </c>
      <c r="L537" s="5" t="inlineStr">
        <is>
          <t>60%</t>
        </is>
      </c>
      <c r="M537" s="5" t="n">
        <v>1338</v>
      </c>
      <c r="N537" s="5" t="n">
        <v>1.41</v>
      </c>
      <c r="O537" s="5" t="n">
        <v>1338</v>
      </c>
      <c r="P537" s="5" t="n">
        <v>1.41</v>
      </c>
      <c r="Q537" s="5" t="inlineStr">
        <is>
          <t>2026-06-02</t>
        </is>
      </c>
      <c r="R537" s="5" t="inlineStr">
        <is>
          <t>2026-06-03</t>
        </is>
      </c>
      <c r="S537" s="5" t="n">
        <v>2</v>
      </c>
      <c r="T537" s="5" t="n">
        <v>0</v>
      </c>
      <c r="U537" s="48" t="inlineStr">
        <is>
          <t>Rain</t>
        </is>
      </c>
    </row>
    <row r="538">
      <c r="A538" s="5" t="inlineStr">
        <is>
          <t>Bella Mirage</t>
        </is>
      </c>
      <c r="B538" s="5" t="inlineStr">
        <is>
          <t>Rain</t>
        </is>
      </c>
      <c r="C538" s="5" t="inlineStr">
        <is>
          <t>3923</t>
        </is>
      </c>
      <c r="D538" s="5" t="inlineStr"/>
      <c r="E538" s="5" t="n">
        <v>2</v>
      </c>
      <c r="F538" s="5" t="n">
        <v>2</v>
      </c>
      <c r="G538" s="5" t="inlineStr"/>
      <c r="H538" s="5" t="n">
        <v>947</v>
      </c>
      <c r="I538" s="5" t="inlineStr">
        <is>
          <t>8/21/2023</t>
        </is>
      </c>
      <c r="J538" s="5" t="inlineStr"/>
      <c r="K538" s="5" t="inlineStr"/>
      <c r="L538" s="5" t="inlineStr">
        <is>
          <t>60%</t>
        </is>
      </c>
      <c r="M538" s="5" t="n">
        <v>1632</v>
      </c>
      <c r="N538" s="5" t="n">
        <v>1.72</v>
      </c>
      <c r="O538" s="5" t="n">
        <v>1570</v>
      </c>
      <c r="P538" s="5" t="n">
        <v>1.66</v>
      </c>
      <c r="Q538" s="5" t="inlineStr">
        <is>
          <t>2023-08-06</t>
        </is>
      </c>
      <c r="R538" s="5" t="inlineStr">
        <is>
          <t>2023-09-07</t>
        </is>
      </c>
      <c r="S538" s="5" t="n">
        <v>33</v>
      </c>
      <c r="T538" s="5" t="n">
        <v>18</v>
      </c>
      <c r="U538" s="48" t="inlineStr">
        <is>
          <t>Rain</t>
        </is>
      </c>
    </row>
    <row r="539">
      <c r="A539" s="5" t="inlineStr">
        <is>
          <t>Bella Mirage</t>
        </is>
      </c>
      <c r="B539" s="5" t="inlineStr">
        <is>
          <t>Rain</t>
        </is>
      </c>
      <c r="C539" s="5" t="inlineStr">
        <is>
          <t>3923</t>
        </is>
      </c>
      <c r="D539" s="5" t="inlineStr"/>
      <c r="E539" s="5" t="n">
        <v>2</v>
      </c>
      <c r="F539" s="5" t="n">
        <v>2</v>
      </c>
      <c r="G539" s="5" t="inlineStr"/>
      <c r="H539" s="5" t="n">
        <v>947</v>
      </c>
      <c r="I539" s="5" t="inlineStr">
        <is>
          <t>4/30/2025</t>
        </is>
      </c>
      <c r="J539" s="5" t="n">
        <v>200</v>
      </c>
      <c r="K539" s="5" t="n">
        <v>13</v>
      </c>
      <c r="L539" s="5" t="inlineStr">
        <is>
          <t>60%</t>
        </is>
      </c>
      <c r="M539" s="5" t="n">
        <v>1342</v>
      </c>
      <c r="N539" s="5" t="n">
        <v>1.42</v>
      </c>
      <c r="O539" s="5" t="n">
        <v>1239</v>
      </c>
      <c r="P539" s="5" t="n">
        <v>1.31</v>
      </c>
      <c r="Q539" s="5" t="inlineStr">
        <is>
          <t>2025-03-05</t>
        </is>
      </c>
      <c r="R539" s="5" t="inlineStr">
        <is>
          <t>2025-05-15</t>
        </is>
      </c>
      <c r="S539" s="5" t="n">
        <v>72</v>
      </c>
      <c r="T539" s="5" t="n">
        <v>16</v>
      </c>
      <c r="U539" s="48" t="inlineStr">
        <is>
          <t>Rain</t>
        </is>
      </c>
    </row>
    <row r="540">
      <c r="A540" s="5" t="inlineStr">
        <is>
          <t>Bella Mirage</t>
        </is>
      </c>
      <c r="B540" s="5" t="inlineStr">
        <is>
          <t>Rain</t>
        </is>
      </c>
      <c r="C540" s="5" t="inlineStr">
        <is>
          <t>1933</t>
        </is>
      </c>
      <c r="D540" s="5" t="n">
        <v>3</v>
      </c>
      <c r="E540" s="5" t="n">
        <v>2</v>
      </c>
      <c r="F540" s="5" t="n">
        <v>2</v>
      </c>
      <c r="G540" s="5" t="inlineStr"/>
      <c r="H540" s="5" t="n">
        <v>947</v>
      </c>
      <c r="I540" s="5" t="inlineStr">
        <is>
          <t>1/21/2024</t>
        </is>
      </c>
      <c r="J540" s="5" t="n">
        <v>200</v>
      </c>
      <c r="K540" s="5" t="n">
        <v>12</v>
      </c>
      <c r="L540" s="5" t="inlineStr">
        <is>
          <t>60%</t>
        </is>
      </c>
      <c r="M540" s="5" t="n">
        <v>1637</v>
      </c>
      <c r="N540" s="5" t="n">
        <v>1.73</v>
      </c>
      <c r="O540" s="5" t="n">
        <v>1637</v>
      </c>
      <c r="P540" s="5" t="n">
        <v>1.73</v>
      </c>
      <c r="Q540" s="5" t="inlineStr">
        <is>
          <t>2023-12-15</t>
        </is>
      </c>
      <c r="R540" s="5" t="inlineStr">
        <is>
          <t>2024-06-16</t>
        </is>
      </c>
      <c r="S540" s="5" t="n">
        <v>185</v>
      </c>
      <c r="T540" s="5" t="n">
        <v>148</v>
      </c>
      <c r="U540" s="48" t="inlineStr">
        <is>
          <t>Rain</t>
        </is>
      </c>
    </row>
    <row r="541">
      <c r="A541" s="5" t="inlineStr">
        <is>
          <t>Bella Mirage</t>
        </is>
      </c>
      <c r="B541" s="5" t="inlineStr">
        <is>
          <t>Rain</t>
        </is>
      </c>
      <c r="C541" s="5" t="inlineStr">
        <is>
          <t>1337</t>
        </is>
      </c>
      <c r="D541" s="5" t="n">
        <v>1</v>
      </c>
      <c r="E541" s="5" t="n">
        <v>2</v>
      </c>
      <c r="F541" s="5" t="n">
        <v>2</v>
      </c>
      <c r="G541" s="5" t="inlineStr"/>
      <c r="H541" s="5" t="n">
        <v>947</v>
      </c>
      <c r="I541" s="5" t="inlineStr">
        <is>
          <t>11/6/2023</t>
        </is>
      </c>
      <c r="J541" s="5" t="inlineStr"/>
      <c r="K541" s="5" t="inlineStr"/>
      <c r="L541" s="5" t="inlineStr">
        <is>
          <t>60%</t>
        </is>
      </c>
      <c r="M541" s="5" t="n">
        <v>1405</v>
      </c>
      <c r="N541" s="5" t="n">
        <v>1.48</v>
      </c>
      <c r="O541" s="5" t="n">
        <v>1288</v>
      </c>
      <c r="P541" s="5" t="n">
        <v>1.36</v>
      </c>
      <c r="Q541" s="5" t="inlineStr">
        <is>
          <t>2023-11-06</t>
        </is>
      </c>
      <c r="R541" s="5" t="inlineStr">
        <is>
          <t>2023-12-07</t>
        </is>
      </c>
      <c r="S541" s="5" t="n">
        <v>32</v>
      </c>
      <c r="T541" s="5" t="n">
        <v>32</v>
      </c>
      <c r="U541" s="48" t="inlineStr">
        <is>
          <t>Rain</t>
        </is>
      </c>
    </row>
    <row r="542">
      <c r="A542" s="5" t="inlineStr">
        <is>
          <t>Bella Mirage</t>
        </is>
      </c>
      <c r="B542" s="5" t="inlineStr">
        <is>
          <t>Rain</t>
        </is>
      </c>
      <c r="C542" s="5" t="inlineStr">
        <is>
          <t>1337</t>
        </is>
      </c>
      <c r="D542" s="5" t="n">
        <v>1</v>
      </c>
      <c r="E542" s="5" t="n">
        <v>2</v>
      </c>
      <c r="F542" s="5" t="n">
        <v>2</v>
      </c>
      <c r="G542" s="5" t="inlineStr"/>
      <c r="H542" s="5" t="n">
        <v>947</v>
      </c>
      <c r="I542" s="5" t="inlineStr">
        <is>
          <t>4/28/2025</t>
        </is>
      </c>
      <c r="J542" s="5" t="n">
        <v>200</v>
      </c>
      <c r="K542" s="5" t="n">
        <v>14</v>
      </c>
      <c r="L542" s="5" t="inlineStr">
        <is>
          <t>60%</t>
        </is>
      </c>
      <c r="M542" s="5" t="n">
        <v>1555</v>
      </c>
      <c r="N542" s="5" t="n">
        <v>1.64</v>
      </c>
      <c r="O542" s="5" t="n">
        <v>1444</v>
      </c>
      <c r="P542" s="5" t="n">
        <v>1.52</v>
      </c>
      <c r="Q542" s="5" t="inlineStr">
        <is>
          <t>2025-02-16</t>
        </is>
      </c>
      <c r="R542" s="5" t="inlineStr">
        <is>
          <t>2025-03-30</t>
        </is>
      </c>
      <c r="S542" s="5" t="n">
        <v>43</v>
      </c>
      <c r="T542" s="5" t="n">
        <v>0</v>
      </c>
      <c r="U542" s="48" t="inlineStr">
        <is>
          <t>Rain</t>
        </is>
      </c>
    </row>
    <row r="543">
      <c r="A543" s="5" t="inlineStr">
        <is>
          <t>Bella Mirage</t>
        </is>
      </c>
      <c r="B543" s="5" t="inlineStr">
        <is>
          <t>Rain</t>
        </is>
      </c>
      <c r="C543" s="5" t="inlineStr">
        <is>
          <t>1337</t>
        </is>
      </c>
      <c r="D543" s="5" t="n">
        <v>1</v>
      </c>
      <c r="E543" s="5" t="n">
        <v>2</v>
      </c>
      <c r="F543" s="5" t="n">
        <v>2</v>
      </c>
      <c r="G543" s="5" t="inlineStr"/>
      <c r="H543" s="5" t="n">
        <v>947</v>
      </c>
      <c r="I543" s="5" t="inlineStr">
        <is>
          <t>11/18/2025</t>
        </is>
      </c>
      <c r="J543" s="5" t="n">
        <v>300</v>
      </c>
      <c r="K543" s="5" t="n">
        <v>12</v>
      </c>
      <c r="L543" s="5" t="inlineStr">
        <is>
          <t>60%</t>
        </is>
      </c>
      <c r="M543" s="5" t="n">
        <v>1592</v>
      </c>
      <c r="N543" s="5" t="n">
        <v>1.68</v>
      </c>
      <c r="O543" s="5" t="n">
        <v>1592</v>
      </c>
      <c r="P543" s="5" t="n">
        <v>1.68</v>
      </c>
      <c r="Q543" s="5" t="inlineStr">
        <is>
          <t>2025-11-02</t>
        </is>
      </c>
      <c r="R543" s="5" t="inlineStr">
        <is>
          <t>2025-11-03</t>
        </is>
      </c>
      <c r="S543" s="5" t="n">
        <v>2</v>
      </c>
      <c r="T543" s="5" t="n">
        <v>0</v>
      </c>
      <c r="U543" s="48" t="inlineStr">
        <is>
          <t>Rain</t>
        </is>
      </c>
    </row>
    <row r="544">
      <c r="A544" s="5" t="inlineStr">
        <is>
          <t>Bella Mirage</t>
        </is>
      </c>
      <c r="B544" s="5" t="inlineStr">
        <is>
          <t>Rain</t>
        </is>
      </c>
      <c r="C544" s="5" t="inlineStr">
        <is>
          <t>1326</t>
        </is>
      </c>
      <c r="D544" s="5" t="n">
        <v>1</v>
      </c>
      <c r="E544" s="5" t="n">
        <v>2</v>
      </c>
      <c r="F544" s="5" t="n">
        <v>2</v>
      </c>
      <c r="G544" s="5" t="inlineStr"/>
      <c r="H544" s="5" t="n">
        <v>947</v>
      </c>
      <c r="I544" s="5" t="inlineStr">
        <is>
          <t>9/2/2025</t>
        </is>
      </c>
      <c r="J544" s="5" t="n">
        <v>200</v>
      </c>
      <c r="K544" s="5" t="n">
        <v>12</v>
      </c>
      <c r="L544" s="5" t="inlineStr">
        <is>
          <t>60%</t>
        </is>
      </c>
      <c r="M544" s="5" t="n">
        <v>1361</v>
      </c>
      <c r="N544" s="5" t="n">
        <v>1.44</v>
      </c>
      <c r="O544" s="5" t="n">
        <v>1248</v>
      </c>
      <c r="P544" s="5" t="n">
        <v>1.32</v>
      </c>
      <c r="Q544" s="5" t="inlineStr">
        <is>
          <t>2025-06-17</t>
        </is>
      </c>
      <c r="R544" s="5" t="inlineStr">
        <is>
          <t>2025-08-02</t>
        </is>
      </c>
      <c r="S544" s="5" t="n">
        <v>47</v>
      </c>
      <c r="T544" s="5" t="n">
        <v>0</v>
      </c>
      <c r="U544" s="48" t="inlineStr">
        <is>
          <t>Rain</t>
        </is>
      </c>
    </row>
    <row r="545">
      <c r="A545" s="5" t="inlineStr">
        <is>
          <t>Bella Mirage</t>
        </is>
      </c>
      <c r="B545" s="5" t="inlineStr">
        <is>
          <t>Rain</t>
        </is>
      </c>
      <c r="C545" s="5" t="inlineStr">
        <is>
          <t>3422</t>
        </is>
      </c>
      <c r="D545" s="5" t="n">
        <v>3</v>
      </c>
      <c r="E545" s="5" t="n">
        <v>2</v>
      </c>
      <c r="F545" s="5" t="n">
        <v>2</v>
      </c>
      <c r="G545" s="5" t="inlineStr"/>
      <c r="H545" s="5" t="n">
        <v>947</v>
      </c>
      <c r="I545" s="5" t="inlineStr">
        <is>
          <t>6/17/2023</t>
        </is>
      </c>
      <c r="J545" s="5" t="inlineStr"/>
      <c r="K545" s="5" t="inlineStr"/>
      <c r="L545" s="5" t="inlineStr">
        <is>
          <t>60%</t>
        </is>
      </c>
      <c r="M545" s="5" t="n">
        <v>1628</v>
      </c>
      <c r="N545" s="5" t="n">
        <v>1.72</v>
      </c>
      <c r="O545" s="5" t="n">
        <v>1566</v>
      </c>
      <c r="P545" s="5" t="n">
        <v>1.65</v>
      </c>
      <c r="Q545" s="5" t="inlineStr"/>
      <c r="R545" s="5" t="inlineStr">
        <is>
          <t>2023-07-01</t>
        </is>
      </c>
      <c r="S545" s="5" t="inlineStr"/>
      <c r="T545" s="5" t="inlineStr"/>
      <c r="U545" s="48" t="inlineStr">
        <is>
          <t>Rain</t>
        </is>
      </c>
    </row>
    <row r="546">
      <c r="A546" s="5" t="inlineStr">
        <is>
          <t>Bella Mirage</t>
        </is>
      </c>
      <c r="B546" s="5" t="inlineStr">
        <is>
          <t>Rain</t>
        </is>
      </c>
      <c r="C546" s="5" t="inlineStr">
        <is>
          <t>3422</t>
        </is>
      </c>
      <c r="D546" s="5" t="n">
        <v>3</v>
      </c>
      <c r="E546" s="5" t="n">
        <v>2</v>
      </c>
      <c r="F546" s="5" t="n">
        <v>2</v>
      </c>
      <c r="G546" s="5" t="inlineStr"/>
      <c r="H546" s="5" t="n">
        <v>947</v>
      </c>
      <c r="I546" s="5" t="inlineStr">
        <is>
          <t>4/7/2025</t>
        </is>
      </c>
      <c r="J546" s="5" t="n">
        <v>200</v>
      </c>
      <c r="K546" s="5" t="n">
        <v>13</v>
      </c>
      <c r="L546" s="5" t="inlineStr">
        <is>
          <t>60%</t>
        </is>
      </c>
      <c r="M546" s="5" t="n">
        <v>1345</v>
      </c>
      <c r="N546" s="5" t="n">
        <v>1.42</v>
      </c>
      <c r="O546" s="5" t="n">
        <v>1242</v>
      </c>
      <c r="P546" s="5" t="n">
        <v>1.31</v>
      </c>
      <c r="Q546" s="5" t="inlineStr">
        <is>
          <t>2025-03-11</t>
        </is>
      </c>
      <c r="R546" s="5" t="inlineStr">
        <is>
          <t>2025-05-13</t>
        </is>
      </c>
      <c r="S546" s="5" t="n">
        <v>64</v>
      </c>
      <c r="T546" s="5" t="n">
        <v>37</v>
      </c>
      <c r="U546" s="48" t="inlineStr">
        <is>
          <t>Rain</t>
        </is>
      </c>
    </row>
    <row r="547">
      <c r="A547" s="5" t="inlineStr">
        <is>
          <t>Bella Mirage</t>
        </is>
      </c>
      <c r="B547" s="5" t="inlineStr">
        <is>
          <t>Rain</t>
        </is>
      </c>
      <c r="C547" s="5" t="inlineStr">
        <is>
          <t>3227</t>
        </is>
      </c>
      <c r="D547" s="5" t="inlineStr"/>
      <c r="E547" s="5" t="n">
        <v>2</v>
      </c>
      <c r="F547" s="5" t="n">
        <v>2</v>
      </c>
      <c r="G547" s="5" t="inlineStr"/>
      <c r="H547" s="5" t="n">
        <v>947</v>
      </c>
      <c r="I547" s="5" t="inlineStr">
        <is>
          <t>11/18/2023</t>
        </is>
      </c>
      <c r="J547" s="5" t="inlineStr"/>
      <c r="K547" s="5" t="inlineStr"/>
      <c r="L547" s="5" t="inlineStr">
        <is>
          <t>60%</t>
        </is>
      </c>
      <c r="M547" s="5" t="n">
        <v>1399</v>
      </c>
      <c r="N547" s="5" t="n">
        <v>1.48</v>
      </c>
      <c r="O547" s="5" t="n">
        <v>1282</v>
      </c>
      <c r="P547" s="5" t="n">
        <v>1.35</v>
      </c>
      <c r="Q547" s="5" t="inlineStr">
        <is>
          <t>2023-11-15</t>
        </is>
      </c>
      <c r="R547" s="5" t="inlineStr">
        <is>
          <t>2023-12-03</t>
        </is>
      </c>
      <c r="S547" s="5" t="n">
        <v>19</v>
      </c>
      <c r="T547" s="5" t="n">
        <v>16</v>
      </c>
      <c r="U547" s="48" t="inlineStr">
        <is>
          <t>Rain</t>
        </is>
      </c>
    </row>
    <row r="548">
      <c r="A548" s="5" t="inlineStr">
        <is>
          <t>Bella Mirage</t>
        </is>
      </c>
      <c r="B548" s="5" t="inlineStr">
        <is>
          <t>Rain</t>
        </is>
      </c>
      <c r="C548" s="5" t="inlineStr">
        <is>
          <t>3227</t>
        </is>
      </c>
      <c r="D548" s="5" t="inlineStr"/>
      <c r="E548" s="5" t="n">
        <v>2</v>
      </c>
      <c r="F548" s="5" t="n">
        <v>2</v>
      </c>
      <c r="G548" s="5" t="inlineStr"/>
      <c r="H548" s="5" t="n">
        <v>947</v>
      </c>
      <c r="I548" s="5" t="inlineStr">
        <is>
          <t>4/3/2025</t>
        </is>
      </c>
      <c r="J548" s="5" t="n">
        <v>200</v>
      </c>
      <c r="K548" s="5" t="n">
        <v>12</v>
      </c>
      <c r="L548" s="5" t="inlineStr">
        <is>
          <t>60%</t>
        </is>
      </c>
      <c r="M548" s="5" t="n">
        <v>1480</v>
      </c>
      <c r="N548" s="5" t="n">
        <v>1.56</v>
      </c>
      <c r="O548" s="5" t="n">
        <v>1357</v>
      </c>
      <c r="P548" s="5" t="n">
        <v>1.43</v>
      </c>
      <c r="Q548" s="5" t="inlineStr">
        <is>
          <t>2025-04-11</t>
        </is>
      </c>
      <c r="R548" s="5" t="inlineStr">
        <is>
          <t>2025-05-02</t>
        </is>
      </c>
      <c r="S548" s="5" t="n">
        <v>22</v>
      </c>
      <c r="T548" s="5" t="n">
        <v>22</v>
      </c>
      <c r="U548" s="48" t="inlineStr">
        <is>
          <t>Rain</t>
        </is>
      </c>
    </row>
    <row r="549">
      <c r="A549" s="5" t="inlineStr">
        <is>
          <t>Bella Mirage</t>
        </is>
      </c>
      <c r="B549" s="5" t="inlineStr">
        <is>
          <t>Rain</t>
        </is>
      </c>
      <c r="C549" s="5" t="inlineStr">
        <is>
          <t>3227</t>
        </is>
      </c>
      <c r="D549" s="5" t="inlineStr"/>
      <c r="E549" s="5" t="n">
        <v>2</v>
      </c>
      <c r="F549" s="5" t="n">
        <v>2</v>
      </c>
      <c r="G549" s="5" t="inlineStr"/>
      <c r="H549" s="5" t="n">
        <v>947</v>
      </c>
      <c r="I549" s="5" t="inlineStr">
        <is>
          <t>11/1/2025</t>
        </is>
      </c>
      <c r="J549" s="5" t="n">
        <v>300</v>
      </c>
      <c r="K549" s="5" t="n">
        <v>12</v>
      </c>
      <c r="L549" s="5" t="inlineStr">
        <is>
          <t>60%</t>
        </is>
      </c>
      <c r="M549" s="5" t="n">
        <v>1354</v>
      </c>
      <c r="N549" s="5" t="n">
        <v>1.43</v>
      </c>
      <c r="O549" s="5" t="n">
        <v>1241</v>
      </c>
      <c r="P549" s="5" t="n">
        <v>1.31</v>
      </c>
      <c r="Q549" s="5" t="inlineStr">
        <is>
          <t>2025-09-23</t>
        </is>
      </c>
      <c r="R549" s="5" t="inlineStr">
        <is>
          <t>2025-09-24</t>
        </is>
      </c>
      <c r="S549" s="5" t="n">
        <v>2</v>
      </c>
      <c r="T549" s="5" t="n">
        <v>0</v>
      </c>
      <c r="U549" s="48" t="inlineStr">
        <is>
          <t>Rain</t>
        </is>
      </c>
    </row>
    <row r="550">
      <c r="A550" s="5" t="inlineStr">
        <is>
          <t>Bella Mirage</t>
        </is>
      </c>
      <c r="B550" s="5" t="inlineStr">
        <is>
          <t>Rain</t>
        </is>
      </c>
      <c r="C550" s="5" t="inlineStr">
        <is>
          <t>1327</t>
        </is>
      </c>
      <c r="D550" s="5" t="inlineStr"/>
      <c r="E550" s="5" t="n">
        <v>2</v>
      </c>
      <c r="F550" s="5" t="n">
        <v>2</v>
      </c>
      <c r="G550" s="5" t="inlineStr"/>
      <c r="H550" s="5" t="n">
        <v>947</v>
      </c>
      <c r="I550" s="5" t="inlineStr">
        <is>
          <t>4/18/2024</t>
        </is>
      </c>
      <c r="J550" s="5" t="n">
        <v>200</v>
      </c>
      <c r="K550" s="5" t="n">
        <v>13</v>
      </c>
      <c r="L550" s="5" t="inlineStr">
        <is>
          <t>60%</t>
        </is>
      </c>
      <c r="M550" s="5" t="n">
        <v>1514</v>
      </c>
      <c r="N550" s="5" t="n">
        <v>1.6</v>
      </c>
      <c r="O550" s="5" t="n">
        <v>1398</v>
      </c>
      <c r="P550" s="5" t="n">
        <v>1.48</v>
      </c>
      <c r="Q550" s="5" t="inlineStr">
        <is>
          <t>2024-02-08</t>
        </is>
      </c>
      <c r="R550" s="5" t="inlineStr">
        <is>
          <t>2024-03-21</t>
        </is>
      </c>
      <c r="S550" s="5" t="n">
        <v>43</v>
      </c>
      <c r="T550" s="5" t="n">
        <v>0</v>
      </c>
      <c r="U550" s="48" t="inlineStr">
        <is>
          <t>Rain</t>
        </is>
      </c>
    </row>
    <row r="551">
      <c r="A551" s="5" t="inlineStr">
        <is>
          <t>Bella Mirage</t>
        </is>
      </c>
      <c r="B551" s="5" t="inlineStr">
        <is>
          <t>Rain</t>
        </is>
      </c>
      <c r="C551" s="5" t="inlineStr">
        <is>
          <t>1327</t>
        </is>
      </c>
      <c r="D551" s="5" t="inlineStr"/>
      <c r="E551" s="5" t="n">
        <v>2</v>
      </c>
      <c r="F551" s="5" t="n">
        <v>2</v>
      </c>
      <c r="G551" s="5" t="inlineStr"/>
      <c r="H551" s="5" t="n">
        <v>947</v>
      </c>
      <c r="I551" s="5" t="inlineStr">
        <is>
          <t>8/12/2025</t>
        </is>
      </c>
      <c r="J551" s="5" t="n">
        <v>200</v>
      </c>
      <c r="K551" s="5" t="n">
        <v>13</v>
      </c>
      <c r="L551" s="5" t="inlineStr">
        <is>
          <t>60%</t>
        </is>
      </c>
      <c r="M551" s="5" t="n">
        <v>1350</v>
      </c>
      <c r="N551" s="5" t="n">
        <v>1.43</v>
      </c>
      <c r="O551" s="5" t="n">
        <v>1246</v>
      </c>
      <c r="P551" s="5" t="n">
        <v>1.32</v>
      </c>
      <c r="Q551" s="5" t="inlineStr">
        <is>
          <t>2025-05-27</t>
        </is>
      </c>
      <c r="R551" s="5" t="inlineStr">
        <is>
          <t>2025-05-29</t>
        </is>
      </c>
      <c r="S551" s="5" t="n">
        <v>3</v>
      </c>
      <c r="T551" s="5" t="n">
        <v>0</v>
      </c>
      <c r="U551" s="48" t="inlineStr">
        <is>
          <t>Rain</t>
        </is>
      </c>
    </row>
    <row r="552">
      <c r="A552" s="5" t="inlineStr">
        <is>
          <t>Bella Mirage</t>
        </is>
      </c>
      <c r="B552" s="5" t="inlineStr">
        <is>
          <t>Rain</t>
        </is>
      </c>
      <c r="C552" s="5" t="inlineStr">
        <is>
          <t>1312</t>
        </is>
      </c>
      <c r="D552" s="5" t="inlineStr"/>
      <c r="E552" s="5" t="n">
        <v>2</v>
      </c>
      <c r="F552" s="5" t="n">
        <v>2</v>
      </c>
      <c r="G552" s="5" t="inlineStr"/>
      <c r="H552" s="5" t="n">
        <v>947</v>
      </c>
      <c r="I552" s="5" t="inlineStr">
        <is>
          <t>5/15/2024</t>
        </is>
      </c>
      <c r="J552" s="5" t="n">
        <v>200</v>
      </c>
      <c r="K552" s="5" t="n">
        <v>12</v>
      </c>
      <c r="L552" s="5" t="inlineStr">
        <is>
          <t>60%</t>
        </is>
      </c>
      <c r="M552" s="5" t="n">
        <v>1664</v>
      </c>
      <c r="N552" s="5" t="n">
        <v>1.76</v>
      </c>
      <c r="O552" s="5" t="n">
        <v>1525</v>
      </c>
      <c r="P552" s="5" t="n">
        <v>1.61</v>
      </c>
      <c r="Q552" s="5" t="inlineStr">
        <is>
          <t>2024-02-29</t>
        </is>
      </c>
      <c r="R552" s="5" t="inlineStr">
        <is>
          <t>2024-06-05</t>
        </is>
      </c>
      <c r="S552" s="5" t="n">
        <v>98</v>
      </c>
      <c r="T552" s="5" t="n">
        <v>22</v>
      </c>
      <c r="U552" s="48" t="inlineStr">
        <is>
          <t>Rain</t>
        </is>
      </c>
    </row>
    <row r="553">
      <c r="A553" s="5" t="inlineStr">
        <is>
          <t>Bella Mirage</t>
        </is>
      </c>
      <c r="B553" s="5" t="inlineStr">
        <is>
          <t>Rain</t>
        </is>
      </c>
      <c r="C553" s="5" t="inlineStr">
        <is>
          <t>1312</t>
        </is>
      </c>
      <c r="D553" s="5" t="inlineStr"/>
      <c r="E553" s="5" t="n">
        <v>2</v>
      </c>
      <c r="F553" s="5" t="n">
        <v>2</v>
      </c>
      <c r="G553" s="5" t="inlineStr"/>
      <c r="H553" s="5" t="n">
        <v>947</v>
      </c>
      <c r="I553" s="5" t="inlineStr">
        <is>
          <t>7/31/2025</t>
        </is>
      </c>
      <c r="J553" s="5" t="n">
        <v>300</v>
      </c>
      <c r="K553" s="5" t="n">
        <v>12</v>
      </c>
      <c r="L553" s="5" t="inlineStr">
        <is>
          <t>60%</t>
        </is>
      </c>
      <c r="M553" s="5" t="n">
        <v>1361</v>
      </c>
      <c r="N553" s="5" t="n">
        <v>1.44</v>
      </c>
      <c r="O553" s="5" t="n">
        <v>1248</v>
      </c>
      <c r="P553" s="5" t="n">
        <v>1.32</v>
      </c>
      <c r="Q553" s="5" t="inlineStr">
        <is>
          <t>2025-06-10</t>
        </is>
      </c>
      <c r="R553" s="5" t="inlineStr">
        <is>
          <t>2025-09-28</t>
        </is>
      </c>
      <c r="S553" s="5" t="n">
        <v>111</v>
      </c>
      <c r="T553" s="5" t="n">
        <v>60</v>
      </c>
      <c r="U553" s="48" t="inlineStr">
        <is>
          <t>Rain</t>
        </is>
      </c>
    </row>
    <row r="554">
      <c r="A554" s="5" t="inlineStr">
        <is>
          <t>Bella Mirage</t>
        </is>
      </c>
      <c r="B554" s="5" t="inlineStr">
        <is>
          <t>Rain</t>
        </is>
      </c>
      <c r="C554" s="5" t="inlineStr">
        <is>
          <t>1313</t>
        </is>
      </c>
      <c r="D554" s="5" t="inlineStr"/>
      <c r="E554" s="5" t="n">
        <v>2</v>
      </c>
      <c r="F554" s="5" t="n">
        <v>2</v>
      </c>
      <c r="G554" s="5" t="inlineStr"/>
      <c r="H554" s="5" t="n">
        <v>947</v>
      </c>
      <c r="I554" s="5" t="inlineStr">
        <is>
          <t>8/17/2024</t>
        </is>
      </c>
      <c r="J554" s="5" t="n">
        <v>200</v>
      </c>
      <c r="K554" s="5" t="n">
        <v>15</v>
      </c>
      <c r="L554" s="5" t="inlineStr">
        <is>
          <t>60%</t>
        </is>
      </c>
      <c r="M554" s="5" t="n">
        <v>1571</v>
      </c>
      <c r="N554" s="5" t="n">
        <v>1.66</v>
      </c>
      <c r="O554" s="5" t="n">
        <v>1571</v>
      </c>
      <c r="P554" s="5" t="n">
        <v>1.66</v>
      </c>
      <c r="Q554" s="5" t="inlineStr">
        <is>
          <t>2024-06-08</t>
        </is>
      </c>
      <c r="R554" s="5" t="inlineStr">
        <is>
          <t>2024-06-20</t>
        </is>
      </c>
      <c r="S554" s="5" t="n">
        <v>13</v>
      </c>
      <c r="T554" s="5" t="n">
        <v>0</v>
      </c>
      <c r="U554" s="48" t="inlineStr">
        <is>
          <t>Rain</t>
        </is>
      </c>
    </row>
    <row r="555">
      <c r="A555" s="5" t="inlineStr">
        <is>
          <t>Bella Mirage</t>
        </is>
      </c>
      <c r="B555" s="5" t="inlineStr">
        <is>
          <t>Rain</t>
        </is>
      </c>
      <c r="C555" s="5" t="inlineStr">
        <is>
          <t>1313</t>
        </is>
      </c>
      <c r="D555" s="5" t="inlineStr"/>
      <c r="E555" s="5" t="n">
        <v>2</v>
      </c>
      <c r="F555" s="5" t="n">
        <v>2</v>
      </c>
      <c r="G555" s="5" t="inlineStr"/>
      <c r="H555" s="5" t="n">
        <v>947</v>
      </c>
      <c r="I555" s="5" t="inlineStr">
        <is>
          <t>7/17/2025</t>
        </is>
      </c>
      <c r="J555" s="5" t="n">
        <v>300</v>
      </c>
      <c r="K555" s="5" t="n">
        <v>12</v>
      </c>
      <c r="L555" s="5" t="inlineStr">
        <is>
          <t>60%</t>
        </is>
      </c>
      <c r="M555" s="5" t="n">
        <v>1357</v>
      </c>
      <c r="N555" s="5" t="n">
        <v>1.43</v>
      </c>
      <c r="O555" s="5" t="n">
        <v>1244</v>
      </c>
      <c r="P555" s="5" t="n">
        <v>1.31</v>
      </c>
      <c r="Q555" s="5" t="inlineStr">
        <is>
          <t>2025-07-02</t>
        </is>
      </c>
      <c r="R555" s="5" t="inlineStr">
        <is>
          <t>2025-09-23</t>
        </is>
      </c>
      <c r="S555" s="5" t="n">
        <v>84</v>
      </c>
      <c r="T555" s="5" t="n">
        <v>69</v>
      </c>
      <c r="U555" s="48" t="inlineStr">
        <is>
          <t>Rain</t>
        </is>
      </c>
    </row>
    <row r="556">
      <c r="A556" s="5" t="inlineStr">
        <is>
          <t>Bella Mirage</t>
        </is>
      </c>
      <c r="B556" s="5" t="inlineStr">
        <is>
          <t>Rain</t>
        </is>
      </c>
      <c r="C556" s="5" t="inlineStr">
        <is>
          <t>5437</t>
        </is>
      </c>
      <c r="D556" s="5" t="inlineStr"/>
      <c r="E556" s="5" t="n">
        <v>2</v>
      </c>
      <c r="F556" s="5" t="n">
        <v>2</v>
      </c>
      <c r="G556" s="5" t="inlineStr"/>
      <c r="H556" s="5" t="n">
        <v>947</v>
      </c>
      <c r="I556" s="5" t="inlineStr">
        <is>
          <t>6/17/2023</t>
        </is>
      </c>
      <c r="J556" s="5" t="inlineStr"/>
      <c r="K556" s="5" t="inlineStr"/>
      <c r="L556" s="5" t="inlineStr">
        <is>
          <t>60%</t>
        </is>
      </c>
      <c r="M556" s="5" t="n">
        <v>1417</v>
      </c>
      <c r="N556" s="5" t="n">
        <v>1.5</v>
      </c>
      <c r="O556" s="5" t="n">
        <v>1417</v>
      </c>
      <c r="P556" s="5" t="n">
        <v>1.5</v>
      </c>
      <c r="Q556" s="5" t="inlineStr"/>
      <c r="R556" s="5" t="inlineStr">
        <is>
          <t>2023-08-16</t>
        </is>
      </c>
      <c r="S556" s="5" t="inlineStr"/>
      <c r="T556" s="5" t="inlineStr"/>
      <c r="U556" s="48" t="inlineStr">
        <is>
          <t>Rain</t>
        </is>
      </c>
    </row>
    <row r="557">
      <c r="A557" s="5" t="inlineStr">
        <is>
          <t>Bella Mirage</t>
        </is>
      </c>
      <c r="B557" s="5" t="inlineStr">
        <is>
          <t>Rain</t>
        </is>
      </c>
      <c r="C557" s="5" t="inlineStr">
        <is>
          <t>5437</t>
        </is>
      </c>
      <c r="D557" s="5" t="inlineStr"/>
      <c r="E557" s="5" t="n">
        <v>2</v>
      </c>
      <c r="F557" s="5" t="n">
        <v>2</v>
      </c>
      <c r="G557" s="5" t="inlineStr"/>
      <c r="H557" s="5" t="n">
        <v>947</v>
      </c>
      <c r="I557" s="5" t="inlineStr">
        <is>
          <t>11/22/2025</t>
        </is>
      </c>
      <c r="J557" s="5" t="n">
        <v>300</v>
      </c>
      <c r="K557" s="5" t="n">
        <v>14</v>
      </c>
      <c r="L557" s="5" t="inlineStr">
        <is>
          <t>60%</t>
        </is>
      </c>
      <c r="M557" s="5" t="n">
        <v>1359</v>
      </c>
      <c r="N557" s="5" t="n">
        <v>1.44</v>
      </c>
      <c r="O557" s="5" t="n">
        <v>1359</v>
      </c>
      <c r="P557" s="5" t="n">
        <v>1.44</v>
      </c>
      <c r="Q557" s="5" t="inlineStr">
        <is>
          <t>2025-10-14</t>
        </is>
      </c>
      <c r="R557" s="5" t="inlineStr">
        <is>
          <t>2026-01-31</t>
        </is>
      </c>
      <c r="S557" s="5" t="n">
        <v>110</v>
      </c>
      <c r="T557" s="5" t="n">
        <v>71</v>
      </c>
      <c r="U557" s="48" t="inlineStr">
        <is>
          <t>Rain</t>
        </is>
      </c>
    </row>
    <row r="558">
      <c r="A558" s="5" t="inlineStr">
        <is>
          <t>Bella Mirage</t>
        </is>
      </c>
      <c r="B558" s="5" t="inlineStr">
        <is>
          <t>Rain</t>
        </is>
      </c>
      <c r="C558" s="5" t="inlineStr">
        <is>
          <t>2922</t>
        </is>
      </c>
      <c r="D558" s="5" t="n">
        <v>2</v>
      </c>
      <c r="E558" s="5" t="n">
        <v>2</v>
      </c>
      <c r="F558" s="5" t="n">
        <v>2</v>
      </c>
      <c r="G558" s="5" t="inlineStr"/>
      <c r="H558" s="5" t="n">
        <v>947</v>
      </c>
      <c r="I558" s="5" t="inlineStr">
        <is>
          <t>7/24/2024</t>
        </is>
      </c>
      <c r="J558" s="5" t="n">
        <v>200</v>
      </c>
      <c r="K558" s="5" t="n">
        <v>12</v>
      </c>
      <c r="L558" s="5" t="inlineStr">
        <is>
          <t>60%</t>
        </is>
      </c>
      <c r="M558" s="5" t="n">
        <v>1544</v>
      </c>
      <c r="N558" s="5" t="n">
        <v>1.63</v>
      </c>
      <c r="O558" s="5" t="n">
        <v>1544</v>
      </c>
      <c r="P558" s="5" t="n">
        <v>1.63</v>
      </c>
      <c r="Q558" s="5" t="inlineStr">
        <is>
          <t>2024-05-07</t>
        </is>
      </c>
      <c r="R558" s="5" t="inlineStr">
        <is>
          <t>2024-08-05</t>
        </is>
      </c>
      <c r="S558" s="5" t="n">
        <v>91</v>
      </c>
      <c r="T558" s="5" t="n">
        <v>13</v>
      </c>
      <c r="U558" s="48" t="inlineStr">
        <is>
          <t>Rain</t>
        </is>
      </c>
    </row>
    <row r="559">
      <c r="A559" s="5" t="inlineStr">
        <is>
          <t>Bella Mirage</t>
        </is>
      </c>
      <c r="B559" s="5" t="inlineStr">
        <is>
          <t>Rain</t>
        </is>
      </c>
      <c r="C559" s="5" t="inlineStr">
        <is>
          <t>2922</t>
        </is>
      </c>
      <c r="D559" s="5" t="n">
        <v>2</v>
      </c>
      <c r="E559" s="5" t="n">
        <v>2</v>
      </c>
      <c r="F559" s="5" t="n">
        <v>2</v>
      </c>
      <c r="G559" s="5" t="inlineStr"/>
      <c r="H559" s="5" t="n">
        <v>947</v>
      </c>
      <c r="I559" s="5" t="inlineStr">
        <is>
          <t>8/1/2025</t>
        </is>
      </c>
      <c r="J559" s="5" t="n">
        <v>200</v>
      </c>
      <c r="K559" s="5" t="n">
        <v>12</v>
      </c>
      <c r="L559" s="5" t="inlineStr">
        <is>
          <t>60%</t>
        </is>
      </c>
      <c r="M559" s="5" t="n">
        <v>1361</v>
      </c>
      <c r="N559" s="5" t="n">
        <v>1.44</v>
      </c>
      <c r="O559" s="5" t="n">
        <v>1248</v>
      </c>
      <c r="P559" s="5" t="n">
        <v>1.32</v>
      </c>
      <c r="Q559" s="5" t="inlineStr">
        <is>
          <t>2025-06-14</t>
        </is>
      </c>
      <c r="R559" s="5" t="inlineStr">
        <is>
          <t>2025-08-09</t>
        </is>
      </c>
      <c r="S559" s="5" t="n">
        <v>57</v>
      </c>
      <c r="T559" s="5" t="n">
        <v>9</v>
      </c>
      <c r="U559" s="48" t="inlineStr">
        <is>
          <t>Rain</t>
        </is>
      </c>
    </row>
    <row r="560">
      <c r="A560" s="5" t="inlineStr">
        <is>
          <t>Bella Mirage</t>
        </is>
      </c>
      <c r="B560" s="5" t="inlineStr">
        <is>
          <t>Rain</t>
        </is>
      </c>
      <c r="C560" s="5" t="inlineStr">
        <is>
          <t>1526</t>
        </is>
      </c>
      <c r="D560" s="5" t="n">
        <v>1</v>
      </c>
      <c r="E560" s="5" t="n">
        <v>2</v>
      </c>
      <c r="F560" s="5" t="n">
        <v>2</v>
      </c>
      <c r="G560" s="5" t="inlineStr"/>
      <c r="H560" s="5" t="n">
        <v>947</v>
      </c>
      <c r="I560" s="5" t="inlineStr">
        <is>
          <t>10/8/2024</t>
        </is>
      </c>
      <c r="J560" s="5" t="n">
        <v>200</v>
      </c>
      <c r="K560" s="5" t="n">
        <v>13</v>
      </c>
      <c r="L560" s="5" t="inlineStr">
        <is>
          <t>60%</t>
        </is>
      </c>
      <c r="M560" s="5" t="n">
        <v>1444</v>
      </c>
      <c r="N560" s="5" t="n">
        <v>1.52</v>
      </c>
      <c r="O560" s="5" t="n">
        <v>1333</v>
      </c>
      <c r="P560" s="5" t="n">
        <v>1.41</v>
      </c>
      <c r="Q560" s="5" t="inlineStr">
        <is>
          <t>2024-07-26</t>
        </is>
      </c>
      <c r="R560" s="5" t="inlineStr">
        <is>
          <t>2024-11-10</t>
        </is>
      </c>
      <c r="S560" s="5" t="n">
        <v>108</v>
      </c>
      <c r="T560" s="5" t="n">
        <v>34</v>
      </c>
      <c r="U560" s="48" t="inlineStr">
        <is>
          <t>Rain</t>
        </is>
      </c>
    </row>
    <row r="561">
      <c r="A561" s="5" t="inlineStr">
        <is>
          <t>Bella Mirage</t>
        </is>
      </c>
      <c r="B561" s="5" t="inlineStr">
        <is>
          <t>Rain</t>
        </is>
      </c>
      <c r="C561" s="5" t="inlineStr">
        <is>
          <t>1526</t>
        </is>
      </c>
      <c r="D561" s="5" t="n">
        <v>1</v>
      </c>
      <c r="E561" s="5" t="n">
        <v>2</v>
      </c>
      <c r="F561" s="5" t="n">
        <v>2</v>
      </c>
      <c r="G561" s="5" t="inlineStr"/>
      <c r="H561" s="5" t="n">
        <v>947</v>
      </c>
      <c r="I561" s="5" t="inlineStr">
        <is>
          <t>12/28/2025</t>
        </is>
      </c>
      <c r="J561" s="5" t="n">
        <v>300</v>
      </c>
      <c r="K561" s="5" t="n">
        <v>12</v>
      </c>
      <c r="L561" s="5" t="inlineStr">
        <is>
          <t>60%</t>
        </is>
      </c>
      <c r="M561" s="5" t="n">
        <v>1365</v>
      </c>
      <c r="N561" s="5" t="n">
        <v>1.44</v>
      </c>
      <c r="O561" s="5" t="n">
        <v>1251</v>
      </c>
      <c r="P561" s="5" t="n">
        <v>1.32</v>
      </c>
      <c r="Q561" s="5" t="inlineStr">
        <is>
          <t>2025-10-14</t>
        </is>
      </c>
      <c r="R561" s="5" t="inlineStr">
        <is>
          <t>2025-10-22</t>
        </is>
      </c>
      <c r="S561" s="5" t="n">
        <v>9</v>
      </c>
      <c r="T561" s="5" t="n">
        <v>0</v>
      </c>
      <c r="U561" s="48" t="inlineStr">
        <is>
          <t>Rain</t>
        </is>
      </c>
    </row>
    <row r="562">
      <c r="A562" s="5" t="inlineStr">
        <is>
          <t>Bella Mirage</t>
        </is>
      </c>
      <c r="B562" s="5" t="inlineStr">
        <is>
          <t>Rain</t>
        </is>
      </c>
      <c r="C562" s="5" t="inlineStr">
        <is>
          <t>0514</t>
        </is>
      </c>
      <c r="D562" s="5" t="n">
        <v>1</v>
      </c>
      <c r="E562" s="5" t="n">
        <v>2</v>
      </c>
      <c r="F562" s="5" t="n">
        <v>2</v>
      </c>
      <c r="G562" s="5" t="inlineStr"/>
      <c r="H562" s="5" t="n">
        <v>947</v>
      </c>
      <c r="I562" s="5" t="inlineStr">
        <is>
          <t>1/25/2025</t>
        </is>
      </c>
      <c r="J562" s="5" t="n">
        <v>200</v>
      </c>
      <c r="K562" s="5" t="n">
        <v>13</v>
      </c>
      <c r="L562" s="5" t="inlineStr">
        <is>
          <t>60%</t>
        </is>
      </c>
      <c r="M562" s="5" t="n">
        <v>1365</v>
      </c>
      <c r="N562" s="5" t="n">
        <v>1.44</v>
      </c>
      <c r="O562" s="5" t="n">
        <v>1260</v>
      </c>
      <c r="P562" s="5" t="n">
        <v>1.33</v>
      </c>
      <c r="Q562" s="5" t="inlineStr">
        <is>
          <t>2024-12-08</t>
        </is>
      </c>
      <c r="R562" s="5" t="inlineStr">
        <is>
          <t>2025-01-04</t>
        </is>
      </c>
      <c r="S562" s="5" t="n">
        <v>28</v>
      </c>
      <c r="T562" s="5" t="n">
        <v>0</v>
      </c>
      <c r="U562" s="48" t="inlineStr">
        <is>
          <t>Rain</t>
        </is>
      </c>
    </row>
    <row r="563">
      <c r="A563" s="5" t="inlineStr">
        <is>
          <t>Bella Mirage</t>
        </is>
      </c>
      <c r="B563" s="5" t="inlineStr">
        <is>
          <t>Rain</t>
        </is>
      </c>
      <c r="C563" s="5" t="inlineStr">
        <is>
          <t>2933</t>
        </is>
      </c>
      <c r="D563" s="5" t="n">
        <v>3</v>
      </c>
      <c r="E563" s="5" t="n">
        <v>2</v>
      </c>
      <c r="F563" s="5" t="n">
        <v>2</v>
      </c>
      <c r="G563" s="5" t="inlineStr"/>
      <c r="H563" s="5" t="n">
        <v>947</v>
      </c>
      <c r="I563" s="5" t="inlineStr">
        <is>
          <t>6/17/2024</t>
        </is>
      </c>
      <c r="J563" s="5" t="n">
        <v>200</v>
      </c>
      <c r="K563" s="5" t="n">
        <v>12</v>
      </c>
      <c r="L563" s="5" t="inlineStr">
        <is>
          <t>60%</t>
        </is>
      </c>
      <c r="M563" s="5" t="n">
        <v>1544</v>
      </c>
      <c r="N563" s="5" t="n">
        <v>1.63</v>
      </c>
      <c r="O563" s="5" t="n">
        <v>1415</v>
      </c>
      <c r="P563" s="5" t="n">
        <v>1.49</v>
      </c>
      <c r="Q563" s="5" t="inlineStr">
        <is>
          <t>2024-04-03</t>
        </is>
      </c>
      <c r="R563" s="5" t="inlineStr">
        <is>
          <t>2024-04-29</t>
        </is>
      </c>
      <c r="S563" s="5" t="n">
        <v>27</v>
      </c>
      <c r="T563" s="5" t="n">
        <v>0</v>
      </c>
      <c r="U563" s="48" t="inlineStr">
        <is>
          <t>Rain</t>
        </is>
      </c>
    </row>
    <row r="564">
      <c r="A564" s="5" t="inlineStr">
        <is>
          <t>Bella Mirage</t>
        </is>
      </c>
      <c r="B564" s="5" t="inlineStr">
        <is>
          <t>Rain</t>
        </is>
      </c>
      <c r="C564" s="5" t="inlineStr">
        <is>
          <t>2933</t>
        </is>
      </c>
      <c r="D564" s="5" t="n">
        <v>3</v>
      </c>
      <c r="E564" s="5" t="n">
        <v>2</v>
      </c>
      <c r="F564" s="5" t="n">
        <v>2</v>
      </c>
      <c r="G564" s="5" t="inlineStr"/>
      <c r="H564" s="5" t="n">
        <v>947</v>
      </c>
      <c r="I564" s="5" t="inlineStr">
        <is>
          <t>10/12/2025</t>
        </is>
      </c>
      <c r="J564" s="5" t="n">
        <v>300</v>
      </c>
      <c r="K564" s="5" t="n">
        <v>12</v>
      </c>
      <c r="L564" s="5" t="inlineStr">
        <is>
          <t>60%</t>
        </is>
      </c>
      <c r="M564" s="5" t="n">
        <v>1373</v>
      </c>
      <c r="N564" s="5" t="n">
        <v>1.45</v>
      </c>
      <c r="O564" s="5" t="n">
        <v>1259</v>
      </c>
      <c r="P564" s="5" t="n">
        <v>1.33</v>
      </c>
      <c r="Q564" s="5" t="inlineStr">
        <is>
          <t>2025-09-20</t>
        </is>
      </c>
      <c r="R564" s="5" t="inlineStr">
        <is>
          <t>2025-10-23</t>
        </is>
      </c>
      <c r="S564" s="5" t="n">
        <v>34</v>
      </c>
      <c r="T564" s="5" t="n">
        <v>12</v>
      </c>
      <c r="U564" s="48" t="inlineStr">
        <is>
          <t>Rain</t>
        </is>
      </c>
    </row>
    <row r="565">
      <c r="A565" s="5" t="inlineStr">
        <is>
          <t>Bella Mirage</t>
        </is>
      </c>
      <c r="B565" s="5" t="inlineStr">
        <is>
          <t>Rain</t>
        </is>
      </c>
      <c r="C565" s="5" t="inlineStr">
        <is>
          <t>1932</t>
        </is>
      </c>
      <c r="D565" s="5" t="n">
        <v>3</v>
      </c>
      <c r="E565" s="5" t="n">
        <v>2</v>
      </c>
      <c r="F565" s="5" t="n">
        <v>2</v>
      </c>
      <c r="G565" s="5" t="inlineStr"/>
      <c r="H565" s="5" t="n">
        <v>947</v>
      </c>
      <c r="I565" s="5" t="inlineStr">
        <is>
          <t>8/4/2023</t>
        </is>
      </c>
      <c r="J565" s="5" t="inlineStr"/>
      <c r="K565" s="5" t="inlineStr"/>
      <c r="L565" s="5" t="inlineStr">
        <is>
          <t>60%</t>
        </is>
      </c>
      <c r="M565" s="5" t="n">
        <v>1431</v>
      </c>
      <c r="N565" s="5" t="n">
        <v>1.51</v>
      </c>
      <c r="O565" s="5" t="n">
        <v>1368</v>
      </c>
      <c r="P565" s="5" t="n">
        <v>1.44</v>
      </c>
      <c r="Q565" s="5" t="inlineStr">
        <is>
          <t>2023-08-04</t>
        </is>
      </c>
      <c r="R565" s="5" t="inlineStr">
        <is>
          <t>2023-08-06</t>
        </is>
      </c>
      <c r="S565" s="5" t="n">
        <v>3</v>
      </c>
      <c r="T565" s="5" t="n">
        <v>3</v>
      </c>
      <c r="U565" s="48" t="inlineStr">
        <is>
          <t>Rain</t>
        </is>
      </c>
    </row>
    <row r="566">
      <c r="A566" s="5" t="inlineStr">
        <is>
          <t>Bella Mirage</t>
        </is>
      </c>
      <c r="B566" s="5" t="inlineStr">
        <is>
          <t>Rain</t>
        </is>
      </c>
      <c r="C566" s="5" t="inlineStr">
        <is>
          <t>1932</t>
        </is>
      </c>
      <c r="D566" s="5" t="n">
        <v>3</v>
      </c>
      <c r="E566" s="5" t="n">
        <v>2</v>
      </c>
      <c r="F566" s="5" t="n">
        <v>2</v>
      </c>
      <c r="G566" s="5" t="inlineStr"/>
      <c r="H566" s="5" t="n">
        <v>947</v>
      </c>
      <c r="I566" s="5" t="inlineStr">
        <is>
          <t>11/24/2025</t>
        </is>
      </c>
      <c r="J566" s="5" t="n">
        <v>300</v>
      </c>
      <c r="K566" s="5" t="n">
        <v>14</v>
      </c>
      <c r="L566" s="5" t="inlineStr">
        <is>
          <t>60%</t>
        </is>
      </c>
      <c r="M566" s="5" t="n">
        <v>1368</v>
      </c>
      <c r="N566" s="5" t="n">
        <v>1.44</v>
      </c>
      <c r="O566" s="5" t="n">
        <v>1368</v>
      </c>
      <c r="P566" s="5" t="n">
        <v>1.44</v>
      </c>
      <c r="Q566" s="5" t="inlineStr">
        <is>
          <t>2025-09-26</t>
        </is>
      </c>
      <c r="R566" s="5" t="inlineStr">
        <is>
          <t>2026-01-15</t>
        </is>
      </c>
      <c r="S566" s="5" t="n">
        <v>112</v>
      </c>
      <c r="T566" s="5" t="n">
        <v>53</v>
      </c>
      <c r="U566" s="48" t="inlineStr">
        <is>
          <t>Rain</t>
        </is>
      </c>
    </row>
    <row r="567">
      <c r="A567" s="5" t="inlineStr">
        <is>
          <t>Bella Mirage</t>
        </is>
      </c>
      <c r="B567" s="5" t="inlineStr">
        <is>
          <t>Rain</t>
        </is>
      </c>
      <c r="C567" s="5" t="inlineStr">
        <is>
          <t>4527</t>
        </is>
      </c>
      <c r="D567" s="5" t="inlineStr"/>
      <c r="E567" s="5" t="n">
        <v>2</v>
      </c>
      <c r="F567" s="5" t="n">
        <v>2</v>
      </c>
      <c r="G567" s="5" t="inlineStr"/>
      <c r="H567" s="5" t="n">
        <v>947</v>
      </c>
      <c r="I567" s="5" t="inlineStr">
        <is>
          <t>6/30/2026</t>
        </is>
      </c>
      <c r="J567" s="5" t="n">
        <v>300</v>
      </c>
      <c r="K567" s="5" t="n">
        <v>14</v>
      </c>
      <c r="L567" s="5" t="inlineStr">
        <is>
          <t>60%</t>
        </is>
      </c>
      <c r="M567" s="5" t="n">
        <v>1370</v>
      </c>
      <c r="N567" s="5" t="n">
        <v>1.45</v>
      </c>
      <c r="O567" s="5" t="n">
        <v>1370</v>
      </c>
      <c r="P567" s="5" t="n">
        <v>1.45</v>
      </c>
      <c r="Q567" s="5" t="inlineStr">
        <is>
          <t>2026-04-28</t>
        </is>
      </c>
      <c r="R567" s="5" t="inlineStr">
        <is>
          <t>2026-05-16</t>
        </is>
      </c>
      <c r="S567" s="5" t="n">
        <v>19</v>
      </c>
      <c r="T567" s="5" t="n">
        <v>0</v>
      </c>
      <c r="U567" s="48" t="inlineStr">
        <is>
          <t>Rain</t>
        </is>
      </c>
    </row>
    <row r="568">
      <c r="A568" s="5" t="inlineStr">
        <is>
          <t>Bella Mirage</t>
        </is>
      </c>
      <c r="B568" s="5" t="inlineStr">
        <is>
          <t>Rain</t>
        </is>
      </c>
      <c r="C568" s="5" t="inlineStr">
        <is>
          <t>1016</t>
        </is>
      </c>
      <c r="D568" s="5" t="inlineStr"/>
      <c r="E568" s="5" t="n">
        <v>2</v>
      </c>
      <c r="F568" s="5" t="n">
        <v>2</v>
      </c>
      <c r="G568" s="5" t="inlineStr"/>
      <c r="H568" s="5" t="n">
        <v>947</v>
      </c>
      <c r="I568" s="5" t="inlineStr">
        <is>
          <t>6/2/2025</t>
        </is>
      </c>
      <c r="J568" s="5" t="n">
        <v>200</v>
      </c>
      <c r="K568" s="5" t="n">
        <v>12</v>
      </c>
      <c r="L568" s="5" t="inlineStr">
        <is>
          <t>60%</t>
        </is>
      </c>
      <c r="M568" s="5" t="n">
        <v>1371</v>
      </c>
      <c r="N568" s="5" t="n">
        <v>1.45</v>
      </c>
      <c r="O568" s="5" t="n">
        <v>1257</v>
      </c>
      <c r="P568" s="5" t="n">
        <v>1.33</v>
      </c>
      <c r="Q568" s="5" t="inlineStr">
        <is>
          <t>2025-03-15</t>
        </is>
      </c>
      <c r="R568" s="5" t="inlineStr">
        <is>
          <t>2025-03-17</t>
        </is>
      </c>
      <c r="S568" s="5" t="n">
        <v>3</v>
      </c>
      <c r="T568" s="5" t="n">
        <v>0</v>
      </c>
      <c r="U568" s="48" t="inlineStr">
        <is>
          <t>Rain</t>
        </is>
      </c>
    </row>
    <row r="569">
      <c r="A569" s="5" t="inlineStr">
        <is>
          <t>Bella Mirage</t>
        </is>
      </c>
      <c r="B569" s="5" t="inlineStr">
        <is>
          <t>Rain</t>
        </is>
      </c>
      <c r="C569" s="5" t="inlineStr">
        <is>
          <t>1927</t>
        </is>
      </c>
      <c r="D569" s="5" t="inlineStr"/>
      <c r="E569" s="5" t="n">
        <v>2</v>
      </c>
      <c r="F569" s="5" t="n">
        <v>2</v>
      </c>
      <c r="G569" s="5" t="inlineStr"/>
      <c r="H569" s="5" t="n">
        <v>947</v>
      </c>
      <c r="I569" s="5" t="inlineStr">
        <is>
          <t>11/28/2025</t>
        </is>
      </c>
      <c r="J569" s="5" t="n">
        <v>300</v>
      </c>
      <c r="K569" s="5" t="n">
        <v>13</v>
      </c>
      <c r="L569" s="5" t="inlineStr">
        <is>
          <t>60%</t>
        </is>
      </c>
      <c r="M569" s="5" t="n">
        <v>1375</v>
      </c>
      <c r="N569" s="5" t="n">
        <v>1.45</v>
      </c>
      <c r="O569" s="5" t="n">
        <v>1375</v>
      </c>
      <c r="P569" s="5" t="n">
        <v>1.45</v>
      </c>
      <c r="Q569" s="5" t="inlineStr">
        <is>
          <t>2025-10-29</t>
        </is>
      </c>
      <c r="R569" s="5" t="inlineStr">
        <is>
          <t>2025-12-23</t>
        </is>
      </c>
      <c r="S569" s="5" t="n">
        <v>56</v>
      </c>
      <c r="T569" s="5" t="n">
        <v>26</v>
      </c>
      <c r="U569" s="48" t="inlineStr">
        <is>
          <t>Rain</t>
        </is>
      </c>
    </row>
    <row r="570">
      <c r="A570" s="5" t="inlineStr">
        <is>
          <t>Bella Mirage</t>
        </is>
      </c>
      <c r="B570" s="5" t="inlineStr">
        <is>
          <t>Rain</t>
        </is>
      </c>
      <c r="C570" s="5" t="inlineStr">
        <is>
          <t>2923</t>
        </is>
      </c>
      <c r="D570" s="5" t="n">
        <v>2</v>
      </c>
      <c r="E570" s="5" t="n">
        <v>2</v>
      </c>
      <c r="F570" s="5" t="n">
        <v>2</v>
      </c>
      <c r="G570" s="5" t="inlineStr"/>
      <c r="H570" s="5" t="n">
        <v>947</v>
      </c>
      <c r="I570" s="5" t="inlineStr">
        <is>
          <t>3/15/2025</t>
        </is>
      </c>
      <c r="J570" s="5" t="n">
        <v>200</v>
      </c>
      <c r="K570" s="5" t="n">
        <v>13</v>
      </c>
      <c r="L570" s="5" t="inlineStr">
        <is>
          <t>60%</t>
        </is>
      </c>
      <c r="M570" s="5" t="n">
        <v>1381</v>
      </c>
      <c r="N570" s="5" t="n">
        <v>1.46</v>
      </c>
      <c r="O570" s="5" t="n">
        <v>1275</v>
      </c>
      <c r="P570" s="5" t="n">
        <v>1.35</v>
      </c>
      <c r="Q570" s="5" t="inlineStr">
        <is>
          <t>2025-02-13</t>
        </is>
      </c>
      <c r="R570" s="5" t="inlineStr">
        <is>
          <t>2025-05-14</t>
        </is>
      </c>
      <c r="S570" s="5" t="n">
        <v>91</v>
      </c>
      <c r="T570" s="5" t="n">
        <v>61</v>
      </c>
      <c r="U570" s="48" t="inlineStr">
        <is>
          <t>Rain</t>
        </is>
      </c>
    </row>
    <row r="571">
      <c r="A571" s="5" t="inlineStr">
        <is>
          <t>Bella Mirage</t>
        </is>
      </c>
      <c r="B571" s="5" t="inlineStr">
        <is>
          <t>Rain</t>
        </is>
      </c>
      <c r="C571" s="5" t="inlineStr">
        <is>
          <t>6312</t>
        </is>
      </c>
      <c r="D571" s="5" t="inlineStr"/>
      <c r="E571" s="5" t="n">
        <v>2</v>
      </c>
      <c r="F571" s="5" t="n">
        <v>2</v>
      </c>
      <c r="G571" s="5" t="inlineStr"/>
      <c r="H571" s="5" t="n">
        <v>947</v>
      </c>
      <c r="I571" s="5" t="inlineStr">
        <is>
          <t>9/7/2023</t>
        </is>
      </c>
      <c r="J571" s="5" t="inlineStr"/>
      <c r="K571" s="5" t="inlineStr"/>
      <c r="L571" s="5" t="inlineStr">
        <is>
          <t>60%</t>
        </is>
      </c>
      <c r="M571" s="5" t="n">
        <v>1722</v>
      </c>
      <c r="N571" s="5" t="n">
        <v>1.82</v>
      </c>
      <c r="O571" s="5" t="n">
        <v>1660</v>
      </c>
      <c r="P571" s="5" t="n">
        <v>1.75</v>
      </c>
      <c r="Q571" s="5" t="inlineStr">
        <is>
          <t>2023-08-07</t>
        </is>
      </c>
      <c r="R571" s="5" t="inlineStr">
        <is>
          <t>2023-09-13</t>
        </is>
      </c>
      <c r="S571" s="5" t="n">
        <v>38</v>
      </c>
      <c r="T571" s="5" t="n">
        <v>7</v>
      </c>
      <c r="U571" s="48" t="inlineStr">
        <is>
          <t>Rain</t>
        </is>
      </c>
    </row>
    <row r="572">
      <c r="A572" s="5" t="inlineStr">
        <is>
          <t>Bella Mirage</t>
        </is>
      </c>
      <c r="B572" s="5" t="inlineStr">
        <is>
          <t>Rain</t>
        </is>
      </c>
      <c r="C572" s="5" t="inlineStr">
        <is>
          <t>6312</t>
        </is>
      </c>
      <c r="D572" s="5" t="inlineStr"/>
      <c r="E572" s="5" t="n">
        <v>2</v>
      </c>
      <c r="F572" s="5" t="n">
        <v>2</v>
      </c>
      <c r="G572" s="5" t="inlineStr"/>
      <c r="H572" s="5" t="n">
        <v>947</v>
      </c>
      <c r="I572" s="5" t="inlineStr">
        <is>
          <t>10/30/2024</t>
        </is>
      </c>
      <c r="J572" s="5" t="n">
        <v>200</v>
      </c>
      <c r="K572" s="5" t="n">
        <v>13</v>
      </c>
      <c r="L572" s="5" t="inlineStr">
        <is>
          <t>60%</t>
        </is>
      </c>
      <c r="M572" s="5" t="n">
        <v>1682</v>
      </c>
      <c r="N572" s="5" t="n">
        <v>1.78</v>
      </c>
      <c r="O572" s="5" t="n">
        <v>1553</v>
      </c>
      <c r="P572" s="5" t="n">
        <v>1.64</v>
      </c>
      <c r="Q572" s="5" t="inlineStr">
        <is>
          <t>2024-09-08</t>
        </is>
      </c>
      <c r="R572" s="5" t="inlineStr">
        <is>
          <t>2024-11-07</t>
        </is>
      </c>
      <c r="S572" s="5" t="n">
        <v>61</v>
      </c>
      <c r="T572" s="5" t="n">
        <v>9</v>
      </c>
      <c r="U572" s="48" t="inlineStr">
        <is>
          <t>Rain</t>
        </is>
      </c>
    </row>
    <row r="573">
      <c r="A573" s="5" t="inlineStr">
        <is>
          <t>Bella Mirage</t>
        </is>
      </c>
      <c r="B573" s="5" t="inlineStr">
        <is>
          <t>Rain</t>
        </is>
      </c>
      <c r="C573" s="5" t="inlineStr">
        <is>
          <t>3917</t>
        </is>
      </c>
      <c r="D573" s="5" t="n">
        <v>1</v>
      </c>
      <c r="E573" s="5" t="n">
        <v>2</v>
      </c>
      <c r="F573" s="5" t="n">
        <v>2</v>
      </c>
      <c r="G573" s="5" t="inlineStr"/>
      <c r="H573" s="5" t="n">
        <v>947</v>
      </c>
      <c r="I573" s="5" t="inlineStr">
        <is>
          <t>5/13/2024</t>
        </is>
      </c>
      <c r="J573" s="5" t="n">
        <v>200</v>
      </c>
      <c r="K573" s="5" t="n">
        <v>12</v>
      </c>
      <c r="L573" s="5" t="inlineStr">
        <is>
          <t>60%</t>
        </is>
      </c>
      <c r="M573" s="5" t="n">
        <v>1709</v>
      </c>
      <c r="N573" s="5" t="n">
        <v>1.8</v>
      </c>
      <c r="O573" s="5" t="n">
        <v>1567</v>
      </c>
      <c r="P573" s="5" t="n">
        <v>1.65</v>
      </c>
      <c r="Q573" s="5" t="inlineStr">
        <is>
          <t>2024-02-12</t>
        </is>
      </c>
      <c r="R573" s="5" t="inlineStr">
        <is>
          <t>2024-03-15</t>
        </is>
      </c>
      <c r="S573" s="5" t="n">
        <v>33</v>
      </c>
      <c r="T573" s="5" t="n">
        <v>0</v>
      </c>
      <c r="U573" s="48" t="inlineStr">
        <is>
          <t>Rain</t>
        </is>
      </c>
    </row>
    <row r="574">
      <c r="A574" s="5" t="inlineStr">
        <is>
          <t>Bella Mirage</t>
        </is>
      </c>
      <c r="B574" s="5" t="inlineStr">
        <is>
          <t>Rain</t>
        </is>
      </c>
      <c r="C574" s="5" t="inlineStr">
        <is>
          <t>3917</t>
        </is>
      </c>
      <c r="D574" s="5" t="n">
        <v>1</v>
      </c>
      <c r="E574" s="5" t="n">
        <v>2</v>
      </c>
      <c r="F574" s="5" t="n">
        <v>2</v>
      </c>
      <c r="G574" s="5" t="inlineStr"/>
      <c r="H574" s="5" t="n">
        <v>947</v>
      </c>
      <c r="I574" s="5" t="inlineStr">
        <is>
          <t>9/8/2024</t>
        </is>
      </c>
      <c r="J574" s="5" t="n">
        <v>200</v>
      </c>
      <c r="K574" s="5" t="n">
        <v>14</v>
      </c>
      <c r="L574" s="5" t="inlineStr">
        <is>
          <t>60%</t>
        </is>
      </c>
      <c r="M574" s="5" t="n">
        <v>1639</v>
      </c>
      <c r="N574" s="5" t="n">
        <v>1.73</v>
      </c>
      <c r="O574" s="5" t="n">
        <v>1639</v>
      </c>
      <c r="P574" s="5" t="n">
        <v>1.73</v>
      </c>
      <c r="Q574" s="5" t="inlineStr">
        <is>
          <t>2024-09-01</t>
        </is>
      </c>
      <c r="R574" s="5" t="inlineStr">
        <is>
          <t>2024-09-28</t>
        </is>
      </c>
      <c r="S574" s="5" t="n">
        <v>28</v>
      </c>
      <c r="T574" s="5" t="n">
        <v>21</v>
      </c>
      <c r="U574" s="48" t="inlineStr">
        <is>
          <t>Rain</t>
        </is>
      </c>
    </row>
    <row r="575">
      <c r="A575" s="5" t="inlineStr">
        <is>
          <t>Bella Mirage</t>
        </is>
      </c>
      <c r="B575" s="5" t="inlineStr">
        <is>
          <t>Rain</t>
        </is>
      </c>
      <c r="C575" s="5" t="inlineStr">
        <is>
          <t>3917</t>
        </is>
      </c>
      <c r="D575" s="5" t="n">
        <v>1</v>
      </c>
      <c r="E575" s="5" t="n">
        <v>2</v>
      </c>
      <c r="F575" s="5" t="n">
        <v>2</v>
      </c>
      <c r="G575" s="5" t="inlineStr"/>
      <c r="H575" s="5" t="n">
        <v>947</v>
      </c>
      <c r="I575" s="5" t="inlineStr">
        <is>
          <t>6/30/2025</t>
        </is>
      </c>
      <c r="J575" s="5" t="n">
        <v>200</v>
      </c>
      <c r="K575" s="5" t="n">
        <v>12</v>
      </c>
      <c r="L575" s="5" t="inlineStr">
        <is>
          <t>60%</t>
        </is>
      </c>
      <c r="M575" s="5" t="n">
        <v>1437</v>
      </c>
      <c r="N575" s="5" t="n">
        <v>1.52</v>
      </c>
      <c r="O575" s="5" t="n">
        <v>1317</v>
      </c>
      <c r="P575" s="5" t="n">
        <v>1.39</v>
      </c>
      <c r="Q575" s="5" t="inlineStr">
        <is>
          <t>2025-05-02</t>
        </is>
      </c>
      <c r="R575" s="5" t="inlineStr">
        <is>
          <t>2025-05-15</t>
        </is>
      </c>
      <c r="S575" s="5" t="n">
        <v>14</v>
      </c>
      <c r="T575" s="5" t="n">
        <v>0</v>
      </c>
      <c r="U575" s="48" t="inlineStr">
        <is>
          <t>Rain</t>
        </is>
      </c>
    </row>
    <row r="576">
      <c r="A576" s="5" t="inlineStr">
        <is>
          <t>Bella Mirage</t>
        </is>
      </c>
      <c r="B576" s="5" t="inlineStr">
        <is>
          <t>Rain</t>
        </is>
      </c>
      <c r="C576" s="5" t="inlineStr">
        <is>
          <t>3233</t>
        </is>
      </c>
      <c r="D576" s="5" t="n">
        <v>3</v>
      </c>
      <c r="E576" s="5" t="n">
        <v>2</v>
      </c>
      <c r="F576" s="5" t="n">
        <v>2</v>
      </c>
      <c r="G576" s="5" t="inlineStr"/>
      <c r="H576" s="5" t="n">
        <v>947</v>
      </c>
      <c r="I576" s="5" t="inlineStr">
        <is>
          <t>2/7/2024</t>
        </is>
      </c>
      <c r="J576" s="5" t="inlineStr"/>
      <c r="K576" s="5" t="inlineStr"/>
      <c r="L576" s="5" t="inlineStr">
        <is>
          <t>60%</t>
        </is>
      </c>
      <c r="M576" s="5" t="n">
        <v>1434</v>
      </c>
      <c r="N576" s="5" t="n">
        <v>1.51</v>
      </c>
      <c r="O576" s="5" t="n">
        <v>1314</v>
      </c>
      <c r="P576" s="5" t="n">
        <v>1.39</v>
      </c>
      <c r="Q576" s="5" t="inlineStr">
        <is>
          <t>2023-12-30</t>
        </is>
      </c>
      <c r="R576" s="5" t="inlineStr">
        <is>
          <t>2024-01-03</t>
        </is>
      </c>
      <c r="S576" s="5" t="n">
        <v>5</v>
      </c>
      <c r="T576" s="5" t="n">
        <v>0</v>
      </c>
      <c r="U576" s="48" t="inlineStr">
        <is>
          <t>Rain</t>
        </is>
      </c>
    </row>
    <row r="577">
      <c r="A577" s="5" t="inlineStr">
        <is>
          <t>Bella Mirage</t>
        </is>
      </c>
      <c r="B577" s="5" t="inlineStr">
        <is>
          <t>Rain</t>
        </is>
      </c>
      <c r="C577" s="5" t="inlineStr">
        <is>
          <t>3233</t>
        </is>
      </c>
      <c r="D577" s="5" t="n">
        <v>3</v>
      </c>
      <c r="E577" s="5" t="n">
        <v>2</v>
      </c>
      <c r="F577" s="5" t="n">
        <v>2</v>
      </c>
      <c r="G577" s="5" t="inlineStr"/>
      <c r="H577" s="5" t="n">
        <v>947</v>
      </c>
      <c r="I577" s="5" t="inlineStr">
        <is>
          <t>5/21/2025</t>
        </is>
      </c>
      <c r="J577" s="5" t="n">
        <v>200</v>
      </c>
      <c r="K577" s="5" t="n">
        <v>13</v>
      </c>
      <c r="L577" s="5" t="inlineStr">
        <is>
          <t>60%</t>
        </is>
      </c>
      <c r="M577" s="5" t="n">
        <v>1380</v>
      </c>
      <c r="N577" s="5" t="n">
        <v>1.46</v>
      </c>
      <c r="O577" s="5" t="n">
        <v>1274</v>
      </c>
      <c r="P577" s="5" t="n">
        <v>1.35</v>
      </c>
      <c r="Q577" s="5" t="inlineStr">
        <is>
          <t>2025-03-06</t>
        </is>
      </c>
      <c r="R577" s="5" t="inlineStr">
        <is>
          <t>2025-05-19</t>
        </is>
      </c>
      <c r="S577" s="5" t="n">
        <v>75</v>
      </c>
      <c r="T577" s="5" t="n">
        <v>0</v>
      </c>
      <c r="U577" s="48" t="inlineStr">
        <is>
          <t>Rain</t>
        </is>
      </c>
    </row>
    <row r="578">
      <c r="A578" s="5" t="inlineStr">
        <is>
          <t>Bella Mirage</t>
        </is>
      </c>
      <c r="B578" s="5" t="inlineStr">
        <is>
          <t>Rain</t>
        </is>
      </c>
      <c r="C578" s="5" t="inlineStr">
        <is>
          <t>6337</t>
        </is>
      </c>
      <c r="D578" s="5" t="inlineStr"/>
      <c r="E578" s="5" t="n">
        <v>2</v>
      </c>
      <c r="F578" s="5" t="n">
        <v>2</v>
      </c>
      <c r="G578" s="5" t="inlineStr"/>
      <c r="H578" s="5" t="n">
        <v>947</v>
      </c>
      <c r="I578" s="5" t="inlineStr">
        <is>
          <t>3/16/2024</t>
        </is>
      </c>
      <c r="J578" s="5" t="n">
        <v>200</v>
      </c>
      <c r="K578" s="5" t="n">
        <v>14</v>
      </c>
      <c r="L578" s="5" t="inlineStr">
        <is>
          <t>60%</t>
        </is>
      </c>
      <c r="M578" s="5" t="n">
        <v>1644</v>
      </c>
      <c r="N578" s="5" t="n">
        <v>1.74</v>
      </c>
      <c r="O578" s="5" t="n">
        <v>1527</v>
      </c>
      <c r="P578" s="5" t="n">
        <v>1.61</v>
      </c>
      <c r="Q578" s="5" t="inlineStr">
        <is>
          <t>2024-03-02</t>
        </is>
      </c>
      <c r="R578" s="5" t="inlineStr">
        <is>
          <t>2024-04-24</t>
        </is>
      </c>
      <c r="S578" s="5" t="n">
        <v>54</v>
      </c>
      <c r="T578" s="5" t="n">
        <v>40</v>
      </c>
      <c r="U578" s="48" t="inlineStr">
        <is>
          <t>Rain</t>
        </is>
      </c>
    </row>
    <row r="579">
      <c r="A579" s="5" t="inlineStr">
        <is>
          <t>Bella Mirage</t>
        </is>
      </c>
      <c r="B579" s="5" t="inlineStr">
        <is>
          <t>Rain</t>
        </is>
      </c>
      <c r="C579" s="5" t="inlineStr">
        <is>
          <t>6337</t>
        </is>
      </c>
      <c r="D579" s="5" t="inlineStr"/>
      <c r="E579" s="5" t="n">
        <v>2</v>
      </c>
      <c r="F579" s="5" t="n">
        <v>2</v>
      </c>
      <c r="G579" s="5" t="inlineStr"/>
      <c r="H579" s="5" t="n">
        <v>947</v>
      </c>
      <c r="I579" s="5" t="inlineStr">
        <is>
          <t>6/16/2025</t>
        </is>
      </c>
      <c r="J579" s="5" t="n">
        <v>200</v>
      </c>
      <c r="K579" s="5" t="n">
        <v>12</v>
      </c>
      <c r="L579" s="5" t="inlineStr">
        <is>
          <t>60%</t>
        </is>
      </c>
      <c r="M579" s="5" t="n">
        <v>1380</v>
      </c>
      <c r="N579" s="5" t="n">
        <v>1.46</v>
      </c>
      <c r="O579" s="5" t="n">
        <v>1265</v>
      </c>
      <c r="P579" s="5" t="n">
        <v>1.34</v>
      </c>
      <c r="Q579" s="5" t="inlineStr">
        <is>
          <t>2025-03-15</t>
        </is>
      </c>
      <c r="R579" s="5" t="inlineStr">
        <is>
          <t>2025-05-21</t>
        </is>
      </c>
      <c r="S579" s="5" t="n">
        <v>68</v>
      </c>
      <c r="T579" s="5" t="n">
        <v>0</v>
      </c>
      <c r="U579" s="48" t="inlineStr">
        <is>
          <t>Rain</t>
        </is>
      </c>
    </row>
    <row r="580">
      <c r="A580" s="5" t="inlineStr">
        <is>
          <t>Bella Mirage</t>
        </is>
      </c>
      <c r="B580" s="5" t="inlineStr">
        <is>
          <t>Rain</t>
        </is>
      </c>
      <c r="C580" s="5" t="inlineStr">
        <is>
          <t>3936</t>
        </is>
      </c>
      <c r="D580" s="5" t="n">
        <v>3</v>
      </c>
      <c r="E580" s="5" t="n">
        <v>2</v>
      </c>
      <c r="F580" s="5" t="n">
        <v>2</v>
      </c>
      <c r="G580" s="5" t="inlineStr"/>
      <c r="H580" s="5" t="n">
        <v>947</v>
      </c>
      <c r="I580" s="5" t="inlineStr">
        <is>
          <t>1/18/2024</t>
        </is>
      </c>
      <c r="J580" s="5" t="n">
        <v>200</v>
      </c>
      <c r="K580" s="5" t="n">
        <v>14</v>
      </c>
      <c r="L580" s="5" t="inlineStr">
        <is>
          <t>60%</t>
        </is>
      </c>
      <c r="M580" s="5" t="n">
        <v>1528</v>
      </c>
      <c r="N580" s="5" t="n">
        <v>1.61</v>
      </c>
      <c r="O580" s="5" t="n">
        <v>1419</v>
      </c>
      <c r="P580" s="5" t="n">
        <v>1.5</v>
      </c>
      <c r="Q580" s="5" t="inlineStr">
        <is>
          <t>2024-01-11</t>
        </is>
      </c>
      <c r="R580" s="5" t="inlineStr">
        <is>
          <t>2024-03-22</t>
        </is>
      </c>
      <c r="S580" s="5" t="n">
        <v>72</v>
      </c>
      <c r="T580" s="5" t="n">
        <v>65</v>
      </c>
      <c r="U580" s="48" t="inlineStr">
        <is>
          <t>Rain</t>
        </is>
      </c>
    </row>
    <row r="581">
      <c r="A581" s="5" t="inlineStr">
        <is>
          <t>Bella Mirage</t>
        </is>
      </c>
      <c r="B581" s="5" t="inlineStr">
        <is>
          <t>Rain</t>
        </is>
      </c>
      <c r="C581" s="5" t="inlineStr">
        <is>
          <t>3936</t>
        </is>
      </c>
      <c r="D581" s="5" t="n">
        <v>3</v>
      </c>
      <c r="E581" s="5" t="n">
        <v>2</v>
      </c>
      <c r="F581" s="5" t="n">
        <v>2</v>
      </c>
      <c r="G581" s="5" t="inlineStr"/>
      <c r="H581" s="5" t="n">
        <v>947</v>
      </c>
      <c r="I581" s="5" t="inlineStr">
        <is>
          <t>7/11/2025</t>
        </is>
      </c>
      <c r="J581" s="5" t="n">
        <v>200</v>
      </c>
      <c r="K581" s="5" t="n">
        <v>13</v>
      </c>
      <c r="L581" s="5" t="inlineStr">
        <is>
          <t>60%</t>
        </is>
      </c>
      <c r="M581" s="5" t="n">
        <v>1450</v>
      </c>
      <c r="N581" s="5" t="n">
        <v>1.53</v>
      </c>
      <c r="O581" s="5" t="n">
        <v>1338</v>
      </c>
      <c r="P581" s="5" t="n">
        <v>1.41</v>
      </c>
      <c r="Q581" s="5" t="inlineStr">
        <is>
          <t>2025-04-25</t>
        </is>
      </c>
      <c r="R581" s="5" t="inlineStr">
        <is>
          <t>2025-06-05</t>
        </is>
      </c>
      <c r="S581" s="5" t="n">
        <v>42</v>
      </c>
      <c r="T581" s="5" t="n">
        <v>0</v>
      </c>
      <c r="U581" s="48" t="inlineStr">
        <is>
          <t>Rain</t>
        </is>
      </c>
    </row>
    <row r="582">
      <c r="A582" s="5" t="inlineStr">
        <is>
          <t>Bella Mirage</t>
        </is>
      </c>
      <c r="B582" s="5" t="inlineStr">
        <is>
          <t>Rain</t>
        </is>
      </c>
      <c r="C582" s="5" t="inlineStr">
        <is>
          <t>3236</t>
        </is>
      </c>
      <c r="D582" s="5" t="n">
        <v>3</v>
      </c>
      <c r="E582" s="5" t="n">
        <v>2</v>
      </c>
      <c r="F582" s="5" t="n">
        <v>2</v>
      </c>
      <c r="G582" s="5" t="inlineStr"/>
      <c r="H582" s="5" t="n">
        <v>947</v>
      </c>
      <c r="I582" s="5" t="inlineStr">
        <is>
          <t>2/22/2024</t>
        </is>
      </c>
      <c r="J582" s="5" t="inlineStr"/>
      <c r="K582" s="5" t="inlineStr"/>
      <c r="L582" s="5" t="inlineStr">
        <is>
          <t>60%</t>
        </is>
      </c>
      <c r="M582" s="5" t="n">
        <v>1434</v>
      </c>
      <c r="N582" s="5" t="n">
        <v>1.51</v>
      </c>
      <c r="O582" s="5" t="n">
        <v>1314</v>
      </c>
      <c r="P582" s="5" t="n">
        <v>1.39</v>
      </c>
      <c r="Q582" s="5" t="inlineStr">
        <is>
          <t>2023-12-29</t>
        </is>
      </c>
      <c r="R582" s="5" t="inlineStr">
        <is>
          <t>2023-12-30</t>
        </is>
      </c>
      <c r="S582" s="5" t="n">
        <v>2</v>
      </c>
      <c r="T582" s="5" t="n">
        <v>0</v>
      </c>
      <c r="U582" s="48" t="inlineStr">
        <is>
          <t>Rain</t>
        </is>
      </c>
    </row>
    <row r="583">
      <c r="A583" s="5" t="inlineStr">
        <is>
          <t>Bella Mirage</t>
        </is>
      </c>
      <c r="B583" s="5" t="inlineStr">
        <is>
          <t>Rain</t>
        </is>
      </c>
      <c r="C583" s="5" t="inlineStr">
        <is>
          <t>3236</t>
        </is>
      </c>
      <c r="D583" s="5" t="n">
        <v>3</v>
      </c>
      <c r="E583" s="5" t="n">
        <v>2</v>
      </c>
      <c r="F583" s="5" t="n">
        <v>2</v>
      </c>
      <c r="G583" s="5" t="inlineStr"/>
      <c r="H583" s="5" t="n">
        <v>947</v>
      </c>
      <c r="I583" s="5" t="inlineStr">
        <is>
          <t>4/5/2025</t>
        </is>
      </c>
      <c r="J583" s="5" t="n">
        <v>200</v>
      </c>
      <c r="K583" s="5" t="n">
        <v>13</v>
      </c>
      <c r="L583" s="5" t="inlineStr">
        <is>
          <t>60%</t>
        </is>
      </c>
      <c r="M583" s="5" t="n">
        <v>1384</v>
      </c>
      <c r="N583" s="5" t="n">
        <v>1.46</v>
      </c>
      <c r="O583" s="5" t="n">
        <v>1278</v>
      </c>
      <c r="P583" s="5" t="n">
        <v>1.35</v>
      </c>
      <c r="Q583" s="5" t="inlineStr">
        <is>
          <t>2025-03-01</t>
        </is>
      </c>
      <c r="R583" s="5" t="inlineStr">
        <is>
          <t>2025-05-24</t>
        </is>
      </c>
      <c r="S583" s="5" t="n">
        <v>85</v>
      </c>
      <c r="T583" s="5" t="n">
        <v>50</v>
      </c>
      <c r="U583" s="48" t="inlineStr">
        <is>
          <t>Rain</t>
        </is>
      </c>
    </row>
    <row r="584">
      <c r="A584" s="5" t="inlineStr">
        <is>
          <t>Bella Mirage</t>
        </is>
      </c>
      <c r="B584" s="5" t="inlineStr">
        <is>
          <t>Rain</t>
        </is>
      </c>
      <c r="C584" s="5" t="inlineStr">
        <is>
          <t>5417</t>
        </is>
      </c>
      <c r="D584" s="5" t="inlineStr"/>
      <c r="E584" s="5" t="n">
        <v>2</v>
      </c>
      <c r="F584" s="5" t="n">
        <v>2</v>
      </c>
      <c r="G584" s="5" t="inlineStr"/>
      <c r="H584" s="5" t="n">
        <v>947</v>
      </c>
      <c r="I584" s="5" t="inlineStr">
        <is>
          <t>7/30/2026</t>
        </is>
      </c>
      <c r="J584" s="5" t="n">
        <v>300</v>
      </c>
      <c r="K584" s="5" t="n">
        <v>12</v>
      </c>
      <c r="L584" s="5" t="inlineStr">
        <is>
          <t>60%</t>
        </is>
      </c>
      <c r="M584" s="5" t="n">
        <v>1385</v>
      </c>
      <c r="N584" s="5" t="n">
        <v>1.46</v>
      </c>
      <c r="O584" s="5" t="n">
        <v>1385</v>
      </c>
      <c r="P584" s="5" t="n">
        <v>1.46</v>
      </c>
      <c r="Q584" s="5" t="inlineStr">
        <is>
          <t>2026-05-31</t>
        </is>
      </c>
      <c r="R584" s="5" t="inlineStr">
        <is>
          <t>2026-06-01</t>
        </is>
      </c>
      <c r="S584" s="5" t="n">
        <v>2</v>
      </c>
      <c r="T584" s="5" t="n">
        <v>0</v>
      </c>
      <c r="U584" s="48" t="inlineStr">
        <is>
          <t>Rain</t>
        </is>
      </c>
    </row>
    <row r="585">
      <c r="A585" s="5" t="inlineStr">
        <is>
          <t>Bella Mirage</t>
        </is>
      </c>
      <c r="B585" s="5" t="inlineStr">
        <is>
          <t>Rain</t>
        </is>
      </c>
      <c r="C585" s="5" t="inlineStr">
        <is>
          <t>1527</t>
        </is>
      </c>
      <c r="D585" s="5" t="n">
        <v>1</v>
      </c>
      <c r="E585" s="5" t="n">
        <v>2</v>
      </c>
      <c r="F585" s="5" t="n">
        <v>2</v>
      </c>
      <c r="G585" s="5" t="inlineStr"/>
      <c r="H585" s="5" t="n">
        <v>947</v>
      </c>
      <c r="I585" s="5" t="inlineStr">
        <is>
          <t>5/14/2025</t>
        </is>
      </c>
      <c r="J585" s="5" t="n">
        <v>200</v>
      </c>
      <c r="K585" s="5" t="n">
        <v>13</v>
      </c>
      <c r="L585" s="5" t="inlineStr">
        <is>
          <t>60%</t>
        </is>
      </c>
      <c r="M585" s="5" t="n">
        <v>1388</v>
      </c>
      <c r="N585" s="5" t="n">
        <v>1.47</v>
      </c>
      <c r="O585" s="5" t="n">
        <v>1281</v>
      </c>
      <c r="P585" s="5" t="n">
        <v>1.35</v>
      </c>
      <c r="Q585" s="5" t="inlineStr">
        <is>
          <t>2025-04-29</t>
        </is>
      </c>
      <c r="R585" s="5" t="inlineStr">
        <is>
          <t>2025-05-03</t>
        </is>
      </c>
      <c r="S585" s="5" t="n">
        <v>5</v>
      </c>
      <c r="T585" s="5" t="n">
        <v>0</v>
      </c>
      <c r="U585" s="48" t="inlineStr">
        <is>
          <t>Rain</t>
        </is>
      </c>
    </row>
    <row r="586">
      <c r="A586" s="5" t="inlineStr">
        <is>
          <t>Bella Mirage</t>
        </is>
      </c>
      <c r="B586" s="5" t="inlineStr">
        <is>
          <t>Rain</t>
        </is>
      </c>
      <c r="C586" s="5" t="inlineStr">
        <is>
          <t>0437</t>
        </is>
      </c>
      <c r="D586" s="5" t="inlineStr"/>
      <c r="E586" s="5" t="n">
        <v>2</v>
      </c>
      <c r="F586" s="5" t="n">
        <v>2</v>
      </c>
      <c r="G586" s="5" t="inlineStr"/>
      <c r="H586" s="5" t="n">
        <v>947</v>
      </c>
      <c r="I586" s="5" t="inlineStr">
        <is>
          <t>12/15/2025</t>
        </is>
      </c>
      <c r="J586" s="5" t="n">
        <v>300</v>
      </c>
      <c r="K586" s="5" t="n">
        <v>14</v>
      </c>
      <c r="L586" s="5" t="inlineStr">
        <is>
          <t>60%</t>
        </is>
      </c>
      <c r="M586" s="5" t="n">
        <v>1394</v>
      </c>
      <c r="N586" s="5" t="n">
        <v>1.47</v>
      </c>
      <c r="O586" s="5" t="n">
        <v>1394</v>
      </c>
      <c r="P586" s="5" t="n">
        <v>1.47</v>
      </c>
      <c r="Q586" s="5" t="inlineStr">
        <is>
          <t>2025-11-18</t>
        </is>
      </c>
      <c r="R586" s="5" t="inlineStr">
        <is>
          <t>2026-05-15</t>
        </is>
      </c>
      <c r="S586" s="5" t="n">
        <v>179</v>
      </c>
      <c r="T586" s="5" t="n">
        <v>152</v>
      </c>
      <c r="U586" s="48" t="inlineStr">
        <is>
          <t>Rain</t>
        </is>
      </c>
    </row>
    <row r="587">
      <c r="A587" s="5" t="inlineStr">
        <is>
          <t>Bella Mirage</t>
        </is>
      </c>
      <c r="B587" s="5" t="inlineStr">
        <is>
          <t>Rain</t>
        </is>
      </c>
      <c r="C587" s="5" t="inlineStr">
        <is>
          <t>0413</t>
        </is>
      </c>
      <c r="D587" s="5" t="inlineStr"/>
      <c r="E587" s="5" t="n">
        <v>2</v>
      </c>
      <c r="F587" s="5" t="n">
        <v>2</v>
      </c>
      <c r="G587" s="5" t="inlineStr"/>
      <c r="H587" s="5" t="n">
        <v>947</v>
      </c>
      <c r="I587" s="5" t="inlineStr">
        <is>
          <t>8/14/2025</t>
        </is>
      </c>
      <c r="J587" s="5" t="n">
        <v>300</v>
      </c>
      <c r="K587" s="5" t="n">
        <v>12</v>
      </c>
      <c r="L587" s="5" t="inlineStr">
        <is>
          <t>60%</t>
        </is>
      </c>
      <c r="M587" s="5" t="n">
        <v>1395</v>
      </c>
      <c r="N587" s="5" t="n">
        <v>1.47</v>
      </c>
      <c r="O587" s="5" t="n">
        <v>1279</v>
      </c>
      <c r="P587" s="5" t="n">
        <v>1.35</v>
      </c>
      <c r="Q587" s="5" t="inlineStr">
        <is>
          <t>2025-05-21</t>
        </is>
      </c>
      <c r="R587" s="5" t="inlineStr">
        <is>
          <t>2025-10-11</t>
        </is>
      </c>
      <c r="S587" s="5" t="n">
        <v>144</v>
      </c>
      <c r="T587" s="5" t="n">
        <v>59</v>
      </c>
      <c r="U587" s="48" t="inlineStr">
        <is>
          <t>Rain</t>
        </is>
      </c>
    </row>
    <row r="588">
      <c r="A588" s="5" t="inlineStr">
        <is>
          <t>Bella Mirage</t>
        </is>
      </c>
      <c r="B588" s="5" t="inlineStr">
        <is>
          <t>Rain</t>
        </is>
      </c>
      <c r="C588" s="5" t="inlineStr">
        <is>
          <t>2937</t>
        </is>
      </c>
      <c r="D588" s="5" t="n">
        <v>3</v>
      </c>
      <c r="E588" s="5" t="n">
        <v>2</v>
      </c>
      <c r="F588" s="5" t="n">
        <v>2</v>
      </c>
      <c r="G588" s="5" t="inlineStr"/>
      <c r="H588" s="5" t="n">
        <v>947</v>
      </c>
      <c r="I588" s="5" t="inlineStr">
        <is>
          <t>8/4/2023</t>
        </is>
      </c>
      <c r="J588" s="5" t="inlineStr"/>
      <c r="K588" s="5" t="inlineStr"/>
      <c r="L588" s="5" t="inlineStr">
        <is>
          <t>60%</t>
        </is>
      </c>
      <c r="M588" s="5" t="n">
        <v>1534</v>
      </c>
      <c r="N588" s="5" t="n">
        <v>1.62</v>
      </c>
      <c r="O588" s="5" t="n">
        <v>1406</v>
      </c>
      <c r="P588" s="5" t="n">
        <v>1.48</v>
      </c>
      <c r="Q588" s="5" t="inlineStr">
        <is>
          <t>2023-08-04</t>
        </is>
      </c>
      <c r="R588" s="5" t="inlineStr">
        <is>
          <t>2023-11-06</t>
        </is>
      </c>
      <c r="S588" s="5" t="n">
        <v>95</v>
      </c>
      <c r="T588" s="5" t="n">
        <v>95</v>
      </c>
      <c r="U588" s="48" t="inlineStr">
        <is>
          <t>Rain</t>
        </is>
      </c>
    </row>
    <row r="589">
      <c r="A589" s="5" t="inlineStr">
        <is>
          <t>Bella Mirage</t>
        </is>
      </c>
      <c r="B589" s="5" t="inlineStr">
        <is>
          <t>Rain</t>
        </is>
      </c>
      <c r="C589" s="5" t="inlineStr">
        <is>
          <t>2937</t>
        </is>
      </c>
      <c r="D589" s="5" t="n">
        <v>3</v>
      </c>
      <c r="E589" s="5" t="n">
        <v>2</v>
      </c>
      <c r="F589" s="5" t="n">
        <v>2</v>
      </c>
      <c r="G589" s="5" t="inlineStr"/>
      <c r="H589" s="5" t="n">
        <v>947</v>
      </c>
      <c r="I589" s="5" t="inlineStr">
        <is>
          <t>3/28/2025</t>
        </is>
      </c>
      <c r="J589" s="5" t="n">
        <v>200</v>
      </c>
      <c r="K589" s="5" t="n">
        <v>13</v>
      </c>
      <c r="L589" s="5" t="inlineStr">
        <is>
          <t>60%</t>
        </is>
      </c>
      <c r="M589" s="5" t="n">
        <v>1404</v>
      </c>
      <c r="N589" s="5" t="n">
        <v>1.48</v>
      </c>
      <c r="O589" s="5" t="n">
        <v>1296</v>
      </c>
      <c r="P589" s="5" t="n">
        <v>1.37</v>
      </c>
      <c r="Q589" s="5" t="inlineStr">
        <is>
          <t>2025-03-06</t>
        </is>
      </c>
      <c r="R589" s="5" t="inlineStr">
        <is>
          <t>2025-05-17</t>
        </is>
      </c>
      <c r="S589" s="5" t="n">
        <v>73</v>
      </c>
      <c r="T589" s="5" t="n">
        <v>51</v>
      </c>
      <c r="U589" s="48" t="inlineStr">
        <is>
          <t>Rain</t>
        </is>
      </c>
    </row>
    <row r="590">
      <c r="A590" s="5" t="inlineStr">
        <is>
          <t>Bella Mirage</t>
        </is>
      </c>
      <c r="B590" s="5" t="inlineStr">
        <is>
          <t>Rain</t>
        </is>
      </c>
      <c r="C590" s="5" t="inlineStr">
        <is>
          <t>3216</t>
        </is>
      </c>
      <c r="D590" s="5" t="n">
        <v>3</v>
      </c>
      <c r="E590" s="5" t="n">
        <v>2</v>
      </c>
      <c r="F590" s="5" t="n">
        <v>2</v>
      </c>
      <c r="G590" s="5" t="inlineStr"/>
      <c r="H590" s="5" t="n">
        <v>947</v>
      </c>
      <c r="I590" s="5" t="inlineStr">
        <is>
          <t>3/14/2024</t>
        </is>
      </c>
      <c r="J590" s="5" t="inlineStr"/>
      <c r="K590" s="5" t="inlineStr"/>
      <c r="L590" s="5" t="inlineStr">
        <is>
          <t>60%</t>
        </is>
      </c>
      <c r="M590" s="5" t="n">
        <v>1594</v>
      </c>
      <c r="N590" s="5" t="n">
        <v>1.68</v>
      </c>
      <c r="O590" s="5" t="n">
        <v>1461</v>
      </c>
      <c r="P590" s="5" t="n">
        <v>1.54</v>
      </c>
      <c r="Q590" s="5" t="inlineStr">
        <is>
          <t>2024-01-30</t>
        </is>
      </c>
      <c r="R590" s="5" t="inlineStr">
        <is>
          <t>2024-02-07</t>
        </is>
      </c>
      <c r="S590" s="5" t="n">
        <v>9</v>
      </c>
      <c r="T590" s="5" t="n">
        <v>0</v>
      </c>
      <c r="U590" s="48" t="inlineStr">
        <is>
          <t>Rain</t>
        </is>
      </c>
    </row>
    <row r="591">
      <c r="A591" s="5" t="inlineStr">
        <is>
          <t>Bella Mirage</t>
        </is>
      </c>
      <c r="B591" s="5" t="inlineStr">
        <is>
          <t>Rain</t>
        </is>
      </c>
      <c r="C591" s="5" t="inlineStr">
        <is>
          <t>3216</t>
        </is>
      </c>
      <c r="D591" s="5" t="n">
        <v>3</v>
      </c>
      <c r="E591" s="5" t="n">
        <v>2</v>
      </c>
      <c r="F591" s="5" t="n">
        <v>2</v>
      </c>
      <c r="G591" s="5" t="inlineStr"/>
      <c r="H591" s="5" t="n">
        <v>947</v>
      </c>
      <c r="I591" s="5" t="inlineStr">
        <is>
          <t>11/29/2024</t>
        </is>
      </c>
      <c r="J591" s="5" t="n">
        <v>200</v>
      </c>
      <c r="K591" s="5" t="n">
        <v>12</v>
      </c>
      <c r="L591" s="5" t="inlineStr">
        <is>
          <t>60%</t>
        </is>
      </c>
      <c r="M591" s="5" t="n">
        <v>1475</v>
      </c>
      <c r="N591" s="5" t="n">
        <v>1.56</v>
      </c>
      <c r="O591" s="5" t="n">
        <v>1352</v>
      </c>
      <c r="P591" s="5" t="n">
        <v>1.43</v>
      </c>
      <c r="Q591" s="5" t="inlineStr">
        <is>
          <t>2024-09-23</t>
        </is>
      </c>
      <c r="R591" s="5" t="inlineStr">
        <is>
          <t>2024-12-10</t>
        </is>
      </c>
      <c r="S591" s="5" t="n">
        <v>79</v>
      </c>
      <c r="T591" s="5" t="n">
        <v>12</v>
      </c>
      <c r="U591" s="48" t="inlineStr">
        <is>
          <t>Rain</t>
        </is>
      </c>
    </row>
    <row r="592">
      <c r="A592" s="5" t="inlineStr">
        <is>
          <t>Bella Mirage</t>
        </is>
      </c>
      <c r="B592" s="5" t="inlineStr">
        <is>
          <t>Rain</t>
        </is>
      </c>
      <c r="C592" s="5" t="inlineStr">
        <is>
          <t>3216</t>
        </is>
      </c>
      <c r="D592" s="5" t="n">
        <v>3</v>
      </c>
      <c r="E592" s="5" t="n">
        <v>2</v>
      </c>
      <c r="F592" s="5" t="n">
        <v>2</v>
      </c>
      <c r="G592" s="5" t="inlineStr"/>
      <c r="H592" s="5" t="n">
        <v>947</v>
      </c>
      <c r="I592" s="5" t="inlineStr">
        <is>
          <t>9/8/2025</t>
        </is>
      </c>
      <c r="J592" s="5" t="n">
        <v>300</v>
      </c>
      <c r="K592" s="5" t="n">
        <v>12</v>
      </c>
      <c r="L592" s="5" t="inlineStr">
        <is>
          <t>60%</t>
        </is>
      </c>
      <c r="M592" s="5" t="n">
        <v>1406</v>
      </c>
      <c r="N592" s="5" t="n">
        <v>1.48</v>
      </c>
      <c r="O592" s="5" t="n">
        <v>1289</v>
      </c>
      <c r="P592" s="5" t="n">
        <v>1.36</v>
      </c>
      <c r="Q592" s="5" t="inlineStr">
        <is>
          <t>2025-09-01</t>
        </is>
      </c>
      <c r="R592" s="5" t="inlineStr">
        <is>
          <t>2025-10-10</t>
        </is>
      </c>
      <c r="S592" s="5" t="n">
        <v>40</v>
      </c>
      <c r="T592" s="5" t="n">
        <v>33</v>
      </c>
      <c r="U592" s="48" t="inlineStr">
        <is>
          <t>Rain</t>
        </is>
      </c>
    </row>
    <row r="593">
      <c r="A593" s="5" t="inlineStr">
        <is>
          <t>Bella Mirage</t>
        </is>
      </c>
      <c r="B593" s="5" t="inlineStr">
        <is>
          <t>Rain</t>
        </is>
      </c>
      <c r="C593" s="5" t="inlineStr">
        <is>
          <t>1937</t>
        </is>
      </c>
      <c r="D593" s="5" t="n">
        <v>3</v>
      </c>
      <c r="E593" s="5" t="n">
        <v>2</v>
      </c>
      <c r="F593" s="5" t="n">
        <v>2</v>
      </c>
      <c r="G593" s="5" t="inlineStr"/>
      <c r="H593" s="5" t="n">
        <v>947</v>
      </c>
      <c r="I593" s="5" t="inlineStr">
        <is>
          <t>12/10/2023</t>
        </is>
      </c>
      <c r="J593" s="5" t="inlineStr"/>
      <c r="K593" s="5" t="inlineStr"/>
      <c r="L593" s="5" t="inlineStr">
        <is>
          <t>60%</t>
        </is>
      </c>
      <c r="M593" s="5" t="n">
        <v>1299</v>
      </c>
      <c r="N593" s="5" t="n">
        <v>1.37</v>
      </c>
      <c r="O593" s="5" t="n">
        <v>1191</v>
      </c>
      <c r="P593" s="5" t="n">
        <v>1.26</v>
      </c>
      <c r="Q593" s="5" t="inlineStr">
        <is>
          <t>2023-12-10</t>
        </is>
      </c>
      <c r="R593" s="5" t="inlineStr">
        <is>
          <t>2023-12-20</t>
        </is>
      </c>
      <c r="S593" s="5" t="n">
        <v>11</v>
      </c>
      <c r="T593" s="5" t="n">
        <v>11</v>
      </c>
      <c r="U593" s="48" t="inlineStr">
        <is>
          <t>Rain</t>
        </is>
      </c>
    </row>
    <row r="594">
      <c r="A594" s="5" t="inlineStr">
        <is>
          <t>Bella Mirage</t>
        </is>
      </c>
      <c r="B594" s="5" t="inlineStr">
        <is>
          <t>Rain</t>
        </is>
      </c>
      <c r="C594" s="5" t="inlineStr">
        <is>
          <t>1937</t>
        </is>
      </c>
      <c r="D594" s="5" t="n">
        <v>3</v>
      </c>
      <c r="E594" s="5" t="n">
        <v>2</v>
      </c>
      <c r="F594" s="5" t="n">
        <v>2</v>
      </c>
      <c r="G594" s="5" t="inlineStr"/>
      <c r="H594" s="5" t="n">
        <v>947</v>
      </c>
      <c r="I594" s="5" t="inlineStr">
        <is>
          <t>3/30/2025</t>
        </is>
      </c>
      <c r="J594" s="5" t="n">
        <v>200</v>
      </c>
      <c r="K594" s="5" t="n">
        <v>12</v>
      </c>
      <c r="L594" s="5" t="inlineStr">
        <is>
          <t>60%</t>
        </is>
      </c>
      <c r="M594" s="5" t="n">
        <v>1412</v>
      </c>
      <c r="N594" s="5" t="n">
        <v>1.49</v>
      </c>
      <c r="O594" s="5" t="n">
        <v>1294</v>
      </c>
      <c r="P594" s="5" t="n">
        <v>1.37</v>
      </c>
      <c r="Q594" s="5" t="inlineStr">
        <is>
          <t>2025-01-16</t>
        </is>
      </c>
      <c r="R594" s="5" t="inlineStr">
        <is>
          <t>2025-01-22</t>
        </is>
      </c>
      <c r="S594" s="5" t="n">
        <v>7</v>
      </c>
      <c r="T594" s="5" t="n">
        <v>0</v>
      </c>
      <c r="U594" s="48" t="inlineStr">
        <is>
          <t>Rain</t>
        </is>
      </c>
    </row>
    <row r="595">
      <c r="A595" s="5" t="inlineStr">
        <is>
          <t>Bella Mirage</t>
        </is>
      </c>
      <c r="B595" s="5" t="inlineStr">
        <is>
          <t>Rain</t>
        </is>
      </c>
      <c r="C595" s="5" t="inlineStr">
        <is>
          <t>5412</t>
        </is>
      </c>
      <c r="D595" s="5" t="inlineStr"/>
      <c r="E595" s="5" t="n">
        <v>2</v>
      </c>
      <c r="F595" s="5" t="n">
        <v>2</v>
      </c>
      <c r="G595" s="5" t="inlineStr"/>
      <c r="H595" s="5" t="n">
        <v>947</v>
      </c>
      <c r="I595" s="5" t="inlineStr">
        <is>
          <t>5/4/2025</t>
        </is>
      </c>
      <c r="J595" s="5" t="n">
        <v>200</v>
      </c>
      <c r="K595" s="5" t="n">
        <v>12</v>
      </c>
      <c r="L595" s="5" t="inlineStr">
        <is>
          <t>60%</t>
        </is>
      </c>
      <c r="M595" s="5" t="n">
        <v>1412</v>
      </c>
      <c r="N595" s="5" t="n">
        <v>1.49</v>
      </c>
      <c r="O595" s="5" t="n">
        <v>1294</v>
      </c>
      <c r="P595" s="5" t="n">
        <v>1.37</v>
      </c>
      <c r="Q595" s="5" t="inlineStr">
        <is>
          <t>2025-01-08</t>
        </is>
      </c>
      <c r="R595" s="5" t="inlineStr">
        <is>
          <t>2025-01-09</t>
        </is>
      </c>
      <c r="S595" s="5" t="n">
        <v>2</v>
      </c>
      <c r="T595" s="5" t="n">
        <v>0</v>
      </c>
      <c r="U595" s="48" t="inlineStr">
        <is>
          <t>Rain</t>
        </is>
      </c>
    </row>
    <row r="596">
      <c r="A596" s="5" t="inlineStr">
        <is>
          <t>Bella Mirage</t>
        </is>
      </c>
      <c r="B596" s="5" t="inlineStr">
        <is>
          <t>Rain</t>
        </is>
      </c>
      <c r="C596" s="5" t="inlineStr">
        <is>
          <t>1033</t>
        </is>
      </c>
      <c r="D596" s="5" t="inlineStr"/>
      <c r="E596" s="5" t="n">
        <v>2</v>
      </c>
      <c r="F596" s="5" t="n">
        <v>2</v>
      </c>
      <c r="G596" s="5" t="inlineStr"/>
      <c r="H596" s="5" t="n">
        <v>947</v>
      </c>
      <c r="I596" s="5" t="inlineStr">
        <is>
          <t>9/30/2023</t>
        </is>
      </c>
      <c r="J596" s="5" t="inlineStr"/>
      <c r="K596" s="5" t="inlineStr"/>
      <c r="L596" s="5" t="inlineStr">
        <is>
          <t>60%</t>
        </is>
      </c>
      <c r="M596" s="5" t="n">
        <v>1441</v>
      </c>
      <c r="N596" s="5" t="n">
        <v>1.52</v>
      </c>
      <c r="O596" s="5" t="n">
        <v>1321</v>
      </c>
      <c r="P596" s="5" t="n">
        <v>1.39</v>
      </c>
      <c r="Q596" s="5" t="inlineStr">
        <is>
          <t>2023-09-14</t>
        </is>
      </c>
      <c r="R596" s="5" t="inlineStr">
        <is>
          <t>2023-12-01</t>
        </is>
      </c>
      <c r="S596" s="5" t="n">
        <v>79</v>
      </c>
      <c r="T596" s="5" t="n">
        <v>63</v>
      </c>
      <c r="U596" s="48" t="inlineStr">
        <is>
          <t>Rain</t>
        </is>
      </c>
    </row>
    <row r="597">
      <c r="A597" s="5" t="inlineStr">
        <is>
          <t>Bella Mirage</t>
        </is>
      </c>
      <c r="B597" s="5" t="inlineStr">
        <is>
          <t>Rain</t>
        </is>
      </c>
      <c r="C597" s="5" t="inlineStr">
        <is>
          <t>1033</t>
        </is>
      </c>
      <c r="D597" s="5" t="inlineStr"/>
      <c r="E597" s="5" t="n">
        <v>2</v>
      </c>
      <c r="F597" s="5" t="n">
        <v>2</v>
      </c>
      <c r="G597" s="5" t="inlineStr"/>
      <c r="H597" s="5" t="n">
        <v>947</v>
      </c>
      <c r="I597" s="5" t="inlineStr">
        <is>
          <t>3/23/2025</t>
        </is>
      </c>
      <c r="J597" s="5" t="n">
        <v>200</v>
      </c>
      <c r="K597" s="5" t="n">
        <v>13</v>
      </c>
      <c r="L597" s="5" t="inlineStr">
        <is>
          <t>60%</t>
        </is>
      </c>
      <c r="M597" s="5" t="n">
        <v>1368</v>
      </c>
      <c r="N597" s="5" t="n">
        <v>1.44</v>
      </c>
      <c r="O597" s="5" t="n">
        <v>1263</v>
      </c>
      <c r="P597" s="5" t="n">
        <v>1.33</v>
      </c>
      <c r="Q597" s="5" t="inlineStr">
        <is>
          <t>2025-01-01</t>
        </is>
      </c>
      <c r="R597" s="5" t="inlineStr">
        <is>
          <t>2025-05-28</t>
        </is>
      </c>
      <c r="S597" s="5" t="n">
        <v>148</v>
      </c>
      <c r="T597" s="5" t="n">
        <v>67</v>
      </c>
      <c r="U597" s="48" t="inlineStr">
        <is>
          <t>Rain</t>
        </is>
      </c>
    </row>
    <row r="598">
      <c r="A598" s="5" t="inlineStr">
        <is>
          <t>Bella Mirage</t>
        </is>
      </c>
      <c r="B598" s="5" t="inlineStr">
        <is>
          <t>Rain</t>
        </is>
      </c>
      <c r="C598" s="5" t="inlineStr">
        <is>
          <t>1036</t>
        </is>
      </c>
      <c r="D598" s="5" t="inlineStr"/>
      <c r="E598" s="5" t="n">
        <v>2</v>
      </c>
      <c r="F598" s="5" t="n">
        <v>2</v>
      </c>
      <c r="G598" s="5" t="inlineStr"/>
      <c r="H598" s="5" t="n">
        <v>947</v>
      </c>
      <c r="I598" s="5" t="inlineStr">
        <is>
          <t>1/29/2024</t>
        </is>
      </c>
      <c r="J598" s="5" t="n">
        <v>200</v>
      </c>
      <c r="K598" s="5" t="n">
        <v>13</v>
      </c>
      <c r="L598" s="5" t="inlineStr">
        <is>
          <t>60%</t>
        </is>
      </c>
      <c r="M598" s="5" t="n">
        <v>1580</v>
      </c>
      <c r="N598" s="5" t="n">
        <v>1.67</v>
      </c>
      <c r="O598" s="5" t="n">
        <v>1458</v>
      </c>
      <c r="P598" s="5" t="n">
        <v>1.54</v>
      </c>
      <c r="Q598" s="5" t="inlineStr">
        <is>
          <t>2023-12-21</t>
        </is>
      </c>
      <c r="R598" s="5" t="inlineStr">
        <is>
          <t>2024-04-05</t>
        </is>
      </c>
      <c r="S598" s="5" t="n">
        <v>107</v>
      </c>
      <c r="T598" s="5" t="n">
        <v>68</v>
      </c>
      <c r="U598" s="48" t="inlineStr">
        <is>
          <t>Rain</t>
        </is>
      </c>
    </row>
    <row r="599">
      <c r="A599" s="5" t="inlineStr">
        <is>
          <t>Bella Mirage</t>
        </is>
      </c>
      <c r="B599" s="5" t="inlineStr">
        <is>
          <t>Rain</t>
        </is>
      </c>
      <c r="C599" s="5" t="inlineStr">
        <is>
          <t>0233</t>
        </is>
      </c>
      <c r="D599" s="5" t="inlineStr"/>
      <c r="E599" s="5" t="n">
        <v>2</v>
      </c>
      <c r="F599" s="5" t="n">
        <v>2</v>
      </c>
      <c r="G599" s="5" t="inlineStr"/>
      <c r="H599" s="5" t="n">
        <v>947</v>
      </c>
      <c r="I599" s="5" t="inlineStr">
        <is>
          <t>1/21/2024</t>
        </is>
      </c>
      <c r="J599" s="5" t="inlineStr"/>
      <c r="K599" s="5" t="inlineStr"/>
      <c r="L599" s="5" t="inlineStr">
        <is>
          <t>60%</t>
        </is>
      </c>
      <c r="M599" s="5" t="n">
        <v>1499</v>
      </c>
      <c r="N599" s="5" t="n">
        <v>1.58</v>
      </c>
      <c r="O599" s="5" t="n">
        <v>1374</v>
      </c>
      <c r="P599" s="5" t="n">
        <v>1.45</v>
      </c>
      <c r="Q599" s="5" t="inlineStr">
        <is>
          <t>2023-12-12</t>
        </is>
      </c>
      <c r="R599" s="5" t="inlineStr">
        <is>
          <t>2023-12-19</t>
        </is>
      </c>
      <c r="S599" s="5" t="n">
        <v>8</v>
      </c>
      <c r="T599" s="5" t="n">
        <v>0</v>
      </c>
      <c r="U599" s="48" t="inlineStr">
        <is>
          <t>Rain</t>
        </is>
      </c>
    </row>
    <row r="600">
      <c r="A600" s="5" t="inlineStr">
        <is>
          <t>Bella Mirage</t>
        </is>
      </c>
      <c r="B600" s="5" t="inlineStr">
        <is>
          <t>Rain</t>
        </is>
      </c>
      <c r="C600" s="5" t="inlineStr">
        <is>
          <t>1513</t>
        </is>
      </c>
      <c r="D600" s="5" t="n">
        <v>1</v>
      </c>
      <c r="E600" s="5" t="n">
        <v>2</v>
      </c>
      <c r="F600" s="5" t="n">
        <v>2</v>
      </c>
      <c r="G600" s="5" t="inlineStr"/>
      <c r="H600" s="5" t="n">
        <v>947</v>
      </c>
      <c r="I600" s="5" t="inlineStr">
        <is>
          <t>3/9/2024</t>
        </is>
      </c>
      <c r="J600" s="5" t="n">
        <v>200</v>
      </c>
      <c r="K600" s="5" t="n">
        <v>13</v>
      </c>
      <c r="L600" s="5" t="inlineStr">
        <is>
          <t>60%</t>
        </is>
      </c>
      <c r="M600" s="5" t="n">
        <v>1734</v>
      </c>
      <c r="N600" s="5" t="n">
        <v>1.83</v>
      </c>
      <c r="O600" s="5" t="n">
        <v>1601</v>
      </c>
      <c r="P600" s="5" t="n">
        <v>1.69</v>
      </c>
      <c r="Q600" s="5" t="inlineStr">
        <is>
          <t>2024-03-02</t>
        </is>
      </c>
      <c r="R600" s="5" t="inlineStr">
        <is>
          <t>2024-03-20</t>
        </is>
      </c>
      <c r="S600" s="5" t="n">
        <v>19</v>
      </c>
      <c r="T600" s="5" t="n">
        <v>12</v>
      </c>
      <c r="U600" s="48" t="inlineStr">
        <is>
          <t>Rain</t>
        </is>
      </c>
    </row>
    <row r="601">
      <c r="A601" s="5" t="inlineStr">
        <is>
          <t>Bella Mirage</t>
        </is>
      </c>
      <c r="B601" s="5" t="inlineStr">
        <is>
          <t>Rain</t>
        </is>
      </c>
      <c r="C601" s="5" t="inlineStr">
        <is>
          <t>1513</t>
        </is>
      </c>
      <c r="D601" s="5" t="n">
        <v>1</v>
      </c>
      <c r="E601" s="5" t="n">
        <v>2</v>
      </c>
      <c r="F601" s="5" t="n">
        <v>2</v>
      </c>
      <c r="G601" s="5" t="inlineStr"/>
      <c r="H601" s="5" t="n">
        <v>947</v>
      </c>
      <c r="I601" s="5" t="inlineStr">
        <is>
          <t>7/29/2025</t>
        </is>
      </c>
      <c r="J601" s="5" t="n">
        <v>200</v>
      </c>
      <c r="K601" s="5" t="n">
        <v>12</v>
      </c>
      <c r="L601" s="5" t="inlineStr">
        <is>
          <t>60%</t>
        </is>
      </c>
      <c r="M601" s="5" t="n">
        <v>1621</v>
      </c>
      <c r="N601" s="5" t="n">
        <v>1.71</v>
      </c>
      <c r="O601" s="5" t="n">
        <v>1486</v>
      </c>
      <c r="P601" s="5" t="n">
        <v>1.57</v>
      </c>
      <c r="Q601" s="5" t="inlineStr">
        <is>
          <t>2025-04-29</t>
        </is>
      </c>
      <c r="R601" s="5" t="inlineStr">
        <is>
          <t>2025-07-04</t>
        </is>
      </c>
      <c r="S601" s="5" t="n">
        <v>67</v>
      </c>
      <c r="T601" s="5" t="n">
        <v>0</v>
      </c>
      <c r="U601" s="48" t="inlineStr">
        <is>
          <t>Rain</t>
        </is>
      </c>
    </row>
    <row r="602">
      <c r="A602" s="5" t="inlineStr">
        <is>
          <t>Bella Mirage</t>
        </is>
      </c>
      <c r="B602" s="5" t="inlineStr">
        <is>
          <t>Rain</t>
        </is>
      </c>
      <c r="C602" s="5" t="inlineStr">
        <is>
          <t>1513</t>
        </is>
      </c>
      <c r="D602" s="5" t="n">
        <v>1</v>
      </c>
      <c r="E602" s="5" t="n">
        <v>2</v>
      </c>
      <c r="F602" s="5" t="n">
        <v>2</v>
      </c>
      <c r="G602" s="5" t="inlineStr"/>
      <c r="H602" s="5" t="n">
        <v>947</v>
      </c>
      <c r="I602" s="5" t="inlineStr">
        <is>
          <t>8/14/2026</t>
        </is>
      </c>
      <c r="J602" s="5" t="n">
        <v>300</v>
      </c>
      <c r="K602" s="5" t="n">
        <v>13</v>
      </c>
      <c r="L602" s="5" t="inlineStr">
        <is>
          <t>60%</t>
        </is>
      </c>
      <c r="M602" s="5" t="n">
        <v>1422</v>
      </c>
      <c r="N602" s="5" t="n">
        <v>1.5</v>
      </c>
      <c r="O602" s="5" t="n">
        <v>1422</v>
      </c>
      <c r="P602" s="5" t="n">
        <v>1.5</v>
      </c>
      <c r="Q602" s="5" t="inlineStr">
        <is>
          <t>2026-05-13</t>
        </is>
      </c>
      <c r="R602" s="5" t="inlineStr">
        <is>
          <t>2026-05-17</t>
        </is>
      </c>
      <c r="S602" s="5" t="n">
        <v>5</v>
      </c>
      <c r="T602" s="5" t="n">
        <v>0</v>
      </c>
      <c r="U602" s="48" t="inlineStr">
        <is>
          <t>Rain</t>
        </is>
      </c>
    </row>
    <row r="603">
      <c r="A603" s="5" t="inlineStr">
        <is>
          <t>Bella Mirage</t>
        </is>
      </c>
      <c r="B603" s="5" t="inlineStr">
        <is>
          <t>Rain</t>
        </is>
      </c>
      <c r="C603" s="5" t="inlineStr">
        <is>
          <t>0237</t>
        </is>
      </c>
      <c r="D603" s="5" t="inlineStr"/>
      <c r="E603" s="5" t="n">
        <v>2</v>
      </c>
      <c r="F603" s="5" t="n">
        <v>2</v>
      </c>
      <c r="G603" s="5" t="inlineStr"/>
      <c r="H603" s="5" t="n">
        <v>947</v>
      </c>
      <c r="I603" s="5" t="inlineStr">
        <is>
          <t>6/17/2023</t>
        </is>
      </c>
      <c r="J603" s="5" t="inlineStr"/>
      <c r="K603" s="5" t="inlineStr"/>
      <c r="L603" s="5" t="inlineStr">
        <is>
          <t>60%</t>
        </is>
      </c>
      <c r="M603" s="5" t="n">
        <v>1482</v>
      </c>
      <c r="N603" s="5" t="n">
        <v>1.56</v>
      </c>
      <c r="O603" s="5" t="n">
        <v>1420</v>
      </c>
      <c r="P603" s="5" t="n">
        <v>1.5</v>
      </c>
      <c r="Q603" s="5" t="inlineStr"/>
      <c r="R603" s="5" t="inlineStr">
        <is>
          <t>2023-08-06</t>
        </is>
      </c>
      <c r="S603" s="5" t="inlineStr"/>
      <c r="T603" s="5" t="inlineStr"/>
      <c r="U603" s="48" t="inlineStr">
        <is>
          <t>Rain</t>
        </is>
      </c>
    </row>
    <row r="604">
      <c r="A604" s="5" t="inlineStr">
        <is>
          <t>Bella Mirage</t>
        </is>
      </c>
      <c r="B604" s="5" t="inlineStr">
        <is>
          <t>Rain</t>
        </is>
      </c>
      <c r="C604" s="5" t="inlineStr">
        <is>
          <t>0237</t>
        </is>
      </c>
      <c r="D604" s="5" t="inlineStr"/>
      <c r="E604" s="5" t="n">
        <v>2</v>
      </c>
      <c r="F604" s="5" t="n">
        <v>2</v>
      </c>
      <c r="G604" s="5" t="inlineStr"/>
      <c r="H604" s="5" t="n">
        <v>947</v>
      </c>
      <c r="I604" s="5" t="inlineStr">
        <is>
          <t>2/1/2025</t>
        </is>
      </c>
      <c r="J604" s="5" t="n">
        <v>200</v>
      </c>
      <c r="K604" s="5" t="n">
        <v>12</v>
      </c>
      <c r="L604" s="5" t="inlineStr">
        <is>
          <t>60%</t>
        </is>
      </c>
      <c r="M604" s="5" t="n">
        <v>1422</v>
      </c>
      <c r="N604" s="5" t="n">
        <v>1.5</v>
      </c>
      <c r="O604" s="5" t="n">
        <v>1304</v>
      </c>
      <c r="P604" s="5" t="n">
        <v>1.38</v>
      </c>
      <c r="Q604" s="5" t="inlineStr">
        <is>
          <t>2024-05-05</t>
        </is>
      </c>
      <c r="R604" s="5" t="inlineStr">
        <is>
          <t>2025-04-16</t>
        </is>
      </c>
      <c r="S604" s="5" t="n">
        <v>347</v>
      </c>
      <c r="T604" s="5" t="n">
        <v>75</v>
      </c>
      <c r="U604" s="48" t="inlineStr">
        <is>
          <t>Rain</t>
        </is>
      </c>
    </row>
    <row r="605">
      <c r="A605" s="5" t="inlineStr">
        <is>
          <t>Bella Mirage</t>
        </is>
      </c>
      <c r="B605" s="5" t="inlineStr">
        <is>
          <t>Rain</t>
        </is>
      </c>
      <c r="C605" s="5" t="inlineStr">
        <is>
          <t>3232</t>
        </is>
      </c>
      <c r="D605" s="5" t="n">
        <v>3</v>
      </c>
      <c r="E605" s="5" t="n">
        <v>2</v>
      </c>
      <c r="F605" s="5" t="n">
        <v>2</v>
      </c>
      <c r="G605" s="5" t="inlineStr"/>
      <c r="H605" s="5" t="n">
        <v>947</v>
      </c>
      <c r="I605" s="5" t="inlineStr">
        <is>
          <t>1/21/2025</t>
        </is>
      </c>
      <c r="J605" s="5" t="n">
        <v>200</v>
      </c>
      <c r="K605" s="5" t="n">
        <v>12</v>
      </c>
      <c r="L605" s="5" t="inlineStr">
        <is>
          <t>60%</t>
        </is>
      </c>
      <c r="M605" s="5" t="n">
        <v>1427</v>
      </c>
      <c r="N605" s="5" t="n">
        <v>1.51</v>
      </c>
      <c r="O605" s="5" t="n">
        <v>1308</v>
      </c>
      <c r="P605" s="5" t="n">
        <v>1.38</v>
      </c>
      <c r="Q605" s="5" t="inlineStr">
        <is>
          <t>2024-11-21</t>
        </is>
      </c>
      <c r="R605" s="5" t="inlineStr">
        <is>
          <t>2025-03-13</t>
        </is>
      </c>
      <c r="S605" s="5" t="n">
        <v>113</v>
      </c>
      <c r="T605" s="5" t="n">
        <v>52</v>
      </c>
      <c r="U605" s="48" t="inlineStr">
        <is>
          <t>Rain</t>
        </is>
      </c>
    </row>
    <row r="606">
      <c r="A606" s="5" t="inlineStr">
        <is>
          <t>Bella Mirage</t>
        </is>
      </c>
      <c r="B606" s="5" t="inlineStr">
        <is>
          <t>Rain</t>
        </is>
      </c>
      <c r="C606" s="5" t="inlineStr">
        <is>
          <t>6333</t>
        </is>
      </c>
      <c r="D606" s="5" t="n">
        <v>3</v>
      </c>
      <c r="E606" s="5" t="n">
        <v>2</v>
      </c>
      <c r="F606" s="5" t="n">
        <v>2</v>
      </c>
      <c r="G606" s="5" t="inlineStr"/>
      <c r="H606" s="5" t="n">
        <v>947</v>
      </c>
      <c r="I606" s="5" t="inlineStr">
        <is>
          <t>6/17/2023</t>
        </is>
      </c>
      <c r="J606" s="5" t="inlineStr"/>
      <c r="K606" s="5" t="inlineStr"/>
      <c r="L606" s="5" t="inlineStr">
        <is>
          <t>60%</t>
        </is>
      </c>
      <c r="M606" s="5" t="n">
        <v>1478</v>
      </c>
      <c r="N606" s="5" t="n">
        <v>1.56</v>
      </c>
      <c r="O606" s="5" t="n">
        <v>1416</v>
      </c>
      <c r="P606" s="5" t="n">
        <v>1.5</v>
      </c>
      <c r="Q606" s="5" t="inlineStr"/>
      <c r="R606" s="5" t="inlineStr">
        <is>
          <t>2023-08-09</t>
        </is>
      </c>
      <c r="S606" s="5" t="inlineStr"/>
      <c r="T606" s="5" t="inlineStr"/>
      <c r="U606" s="48" t="inlineStr">
        <is>
          <t>Rain</t>
        </is>
      </c>
    </row>
    <row r="607">
      <c r="A607" s="5" t="inlineStr">
        <is>
          <t>Bella Mirage</t>
        </is>
      </c>
      <c r="B607" s="5" t="inlineStr">
        <is>
          <t>Rain</t>
        </is>
      </c>
      <c r="C607" s="5" t="inlineStr">
        <is>
          <t>6333</t>
        </is>
      </c>
      <c r="D607" s="5" t="n">
        <v>3</v>
      </c>
      <c r="E607" s="5" t="n">
        <v>2</v>
      </c>
      <c r="F607" s="5" t="n">
        <v>2</v>
      </c>
      <c r="G607" s="5" t="inlineStr"/>
      <c r="H607" s="5" t="n">
        <v>947</v>
      </c>
      <c r="I607" s="5" t="inlineStr">
        <is>
          <t>7/28/2024</t>
        </is>
      </c>
      <c r="J607" s="5" t="n">
        <v>200</v>
      </c>
      <c r="K607" s="5" t="n">
        <v>13</v>
      </c>
      <c r="L607" s="5" t="inlineStr">
        <is>
          <t>60%</t>
        </is>
      </c>
      <c r="M607" s="5" t="n">
        <v>1441</v>
      </c>
      <c r="N607" s="5" t="n">
        <v>1.52</v>
      </c>
      <c r="O607" s="5" t="n">
        <v>1330</v>
      </c>
      <c r="P607" s="5" t="n">
        <v>1.4</v>
      </c>
      <c r="Q607" s="5" t="inlineStr">
        <is>
          <t>2024-05-15</t>
        </is>
      </c>
      <c r="R607" s="5" t="inlineStr">
        <is>
          <t>2024-12-04</t>
        </is>
      </c>
      <c r="S607" s="5" t="n">
        <v>204</v>
      </c>
      <c r="T607" s="5" t="n">
        <v>130</v>
      </c>
      <c r="U607" s="48" t="inlineStr">
        <is>
          <t>Rain</t>
        </is>
      </c>
    </row>
    <row r="608">
      <c r="A608" s="5" t="inlineStr">
        <is>
          <t>Bella Mirage</t>
        </is>
      </c>
      <c r="B608" s="5" t="inlineStr">
        <is>
          <t>Rain</t>
        </is>
      </c>
      <c r="C608" s="5" t="inlineStr">
        <is>
          <t>1523</t>
        </is>
      </c>
      <c r="D608" s="5" t="n">
        <v>2</v>
      </c>
      <c r="E608" s="5" t="n">
        <v>2</v>
      </c>
      <c r="F608" s="5" t="n">
        <v>2</v>
      </c>
      <c r="G608" s="5" t="inlineStr"/>
      <c r="H608" s="5" t="n">
        <v>947</v>
      </c>
      <c r="I608" s="5" t="inlineStr">
        <is>
          <t>5/30/2024</t>
        </is>
      </c>
      <c r="J608" s="5" t="n">
        <v>200</v>
      </c>
      <c r="K608" s="5" t="n">
        <v>15</v>
      </c>
      <c r="L608" s="5" t="inlineStr">
        <is>
          <t>60%</t>
        </is>
      </c>
      <c r="M608" s="5" t="n">
        <v>1594</v>
      </c>
      <c r="N608" s="5" t="n">
        <v>1.68</v>
      </c>
      <c r="O608" s="5" t="n">
        <v>1594</v>
      </c>
      <c r="P608" s="5" t="n">
        <v>1.68</v>
      </c>
      <c r="Q608" s="5" t="inlineStr">
        <is>
          <t>2024-03-20</t>
        </is>
      </c>
      <c r="R608" s="5" t="inlineStr">
        <is>
          <t>2024-07-14</t>
        </is>
      </c>
      <c r="S608" s="5" t="n">
        <v>117</v>
      </c>
      <c r="T608" s="5" t="n">
        <v>46</v>
      </c>
      <c r="U608" s="48" t="inlineStr">
        <is>
          <t>Rain</t>
        </is>
      </c>
    </row>
    <row r="609">
      <c r="A609" s="5" t="inlineStr">
        <is>
          <t>Bella Mirage</t>
        </is>
      </c>
      <c r="B609" s="5" t="inlineStr">
        <is>
          <t>Rain</t>
        </is>
      </c>
      <c r="C609" s="5" t="inlineStr">
        <is>
          <t>2916</t>
        </is>
      </c>
      <c r="D609" s="5" t="inlineStr"/>
      <c r="E609" s="5" t="n">
        <v>2</v>
      </c>
      <c r="F609" s="5" t="n">
        <v>2</v>
      </c>
      <c r="G609" s="5" t="inlineStr"/>
      <c r="H609" s="5" t="n">
        <v>947</v>
      </c>
      <c r="I609" s="5" t="inlineStr">
        <is>
          <t>3/15/2026</t>
        </is>
      </c>
      <c r="J609" s="5" t="n">
        <v>300</v>
      </c>
      <c r="K609" s="5" t="n">
        <v>12</v>
      </c>
      <c r="L609" s="5" t="inlineStr">
        <is>
          <t>60%</t>
        </is>
      </c>
      <c r="M609" s="5" t="n">
        <v>1436</v>
      </c>
      <c r="N609" s="5" t="n">
        <v>1.52</v>
      </c>
      <c r="O609" s="5" t="n">
        <v>1436</v>
      </c>
      <c r="P609" s="5" t="n">
        <v>1.52</v>
      </c>
      <c r="Q609" s="5" t="inlineStr">
        <is>
          <t>2026-01-01</t>
        </is>
      </c>
      <c r="R609" s="5" t="inlineStr">
        <is>
          <t>2026-01-08</t>
        </is>
      </c>
      <c r="S609" s="5" t="n">
        <v>8</v>
      </c>
      <c r="T609" s="5" t="n">
        <v>0</v>
      </c>
      <c r="U609" s="48" t="inlineStr">
        <is>
          <t>Rain</t>
        </is>
      </c>
    </row>
    <row r="610">
      <c r="A610" s="5" t="inlineStr">
        <is>
          <t>Bella Mirage</t>
        </is>
      </c>
      <c r="B610" s="5" t="inlineStr">
        <is>
          <t>Rain</t>
        </is>
      </c>
      <c r="C610" s="5" t="inlineStr">
        <is>
          <t>2912</t>
        </is>
      </c>
      <c r="D610" s="5" t="inlineStr"/>
      <c r="E610" s="5" t="n">
        <v>2</v>
      </c>
      <c r="F610" s="5" t="n">
        <v>2</v>
      </c>
      <c r="G610" s="5" t="inlineStr"/>
      <c r="H610" s="5" t="n">
        <v>947</v>
      </c>
      <c r="I610" s="5" t="inlineStr">
        <is>
          <t>2/25/2025</t>
        </is>
      </c>
      <c r="J610" s="5" t="n">
        <v>200</v>
      </c>
      <c r="K610" s="5" t="n">
        <v>13</v>
      </c>
      <c r="L610" s="5" t="inlineStr">
        <is>
          <t>60%</t>
        </is>
      </c>
      <c r="M610" s="5" t="n">
        <v>1437</v>
      </c>
      <c r="N610" s="5" t="n">
        <v>1.52</v>
      </c>
      <c r="O610" s="5" t="n">
        <v>1326</v>
      </c>
      <c r="P610" s="5" t="n">
        <v>1.4</v>
      </c>
      <c r="Q610" s="5" t="inlineStr">
        <is>
          <t>2024-12-27</t>
        </is>
      </c>
      <c r="R610" s="5" t="inlineStr">
        <is>
          <t>2025-01-09</t>
        </is>
      </c>
      <c r="S610" s="5" t="n">
        <v>14</v>
      </c>
      <c r="T610" s="5" t="n">
        <v>0</v>
      </c>
      <c r="U610" s="48" t="inlineStr">
        <is>
          <t>Rain</t>
        </is>
      </c>
    </row>
    <row r="611">
      <c r="A611" s="5" t="inlineStr">
        <is>
          <t>Bella Mirage</t>
        </is>
      </c>
      <c r="B611" s="5" t="inlineStr">
        <is>
          <t>Rain</t>
        </is>
      </c>
      <c r="C611" s="5" t="inlineStr">
        <is>
          <t>0417</t>
        </is>
      </c>
      <c r="D611" s="5" t="inlineStr"/>
      <c r="E611" s="5" t="n">
        <v>2</v>
      </c>
      <c r="F611" s="5" t="n">
        <v>2</v>
      </c>
      <c r="G611" s="5" t="inlineStr"/>
      <c r="H611" s="5" t="n">
        <v>947</v>
      </c>
      <c r="I611" s="5" t="inlineStr">
        <is>
          <t>1/25/2025</t>
        </is>
      </c>
      <c r="J611" s="5" t="n">
        <v>200</v>
      </c>
      <c r="K611" s="5" t="n">
        <v>12</v>
      </c>
      <c r="L611" s="5" t="inlineStr">
        <is>
          <t>60%</t>
        </is>
      </c>
      <c r="M611" s="5" t="n">
        <v>1608</v>
      </c>
      <c r="N611" s="5" t="n">
        <v>1.7</v>
      </c>
      <c r="O611" s="5" t="n">
        <v>1474</v>
      </c>
      <c r="P611" s="5" t="n">
        <v>1.56</v>
      </c>
      <c r="Q611" s="5" t="inlineStr">
        <is>
          <t>2024-11-04</t>
        </is>
      </c>
      <c r="R611" s="5" t="inlineStr">
        <is>
          <t>2025-02-04</t>
        </is>
      </c>
      <c r="S611" s="5" t="n">
        <v>93</v>
      </c>
      <c r="T611" s="5" t="n">
        <v>11</v>
      </c>
      <c r="U611" s="48" t="inlineStr">
        <is>
          <t>Rain</t>
        </is>
      </c>
    </row>
    <row r="612">
      <c r="A612" s="5" t="inlineStr">
        <is>
          <t>Bella Mirage</t>
        </is>
      </c>
      <c r="B612" s="5" t="inlineStr">
        <is>
          <t>Rain</t>
        </is>
      </c>
      <c r="C612" s="5" t="inlineStr">
        <is>
          <t>3213</t>
        </is>
      </c>
      <c r="D612" s="5" t="n">
        <v>3</v>
      </c>
      <c r="E612" s="5" t="n">
        <v>2</v>
      </c>
      <c r="F612" s="5" t="n">
        <v>2</v>
      </c>
      <c r="G612" s="5" t="inlineStr"/>
      <c r="H612" s="5" t="n">
        <v>947</v>
      </c>
      <c r="I612" s="5" t="inlineStr">
        <is>
          <t>4/8/2025</t>
        </is>
      </c>
      <c r="J612" s="5" t="n">
        <v>200</v>
      </c>
      <c r="K612" s="5" t="n">
        <v>14</v>
      </c>
      <c r="L612" s="5" t="inlineStr">
        <is>
          <t>60%</t>
        </is>
      </c>
      <c r="M612" s="5" t="n">
        <v>1449</v>
      </c>
      <c r="N612" s="5" t="n">
        <v>1.53</v>
      </c>
      <c r="O612" s="5" t="n">
        <v>1346</v>
      </c>
      <c r="P612" s="5" t="n">
        <v>1.42</v>
      </c>
      <c r="Q612" s="5" t="inlineStr">
        <is>
          <t>2025-01-11</t>
        </is>
      </c>
      <c r="R612" s="5" t="inlineStr">
        <is>
          <t>2025-07-08</t>
        </is>
      </c>
      <c r="S612" s="5" t="n">
        <v>179</v>
      </c>
      <c r="T612" s="5" t="n">
        <v>92</v>
      </c>
      <c r="U612" s="48" t="inlineStr">
        <is>
          <t>Rain</t>
        </is>
      </c>
    </row>
    <row r="613">
      <c r="A613" s="5" t="inlineStr">
        <is>
          <t>Bella Mirage</t>
        </is>
      </c>
      <c r="B613" s="5" t="inlineStr">
        <is>
          <t>Rain</t>
        </is>
      </c>
      <c r="C613" s="5" t="inlineStr">
        <is>
          <t>1516</t>
        </is>
      </c>
      <c r="D613" s="5" t="inlineStr"/>
      <c r="E613" s="5" t="n">
        <v>2</v>
      </c>
      <c r="F613" s="5" t="n">
        <v>2</v>
      </c>
      <c r="G613" s="5" t="inlineStr"/>
      <c r="H613" s="5" t="n">
        <v>947</v>
      </c>
      <c r="I613" s="5" t="inlineStr">
        <is>
          <t>1/13/2025</t>
        </is>
      </c>
      <c r="J613" s="5" t="n">
        <v>200</v>
      </c>
      <c r="K613" s="5" t="n">
        <v>12</v>
      </c>
      <c r="L613" s="5" t="inlineStr">
        <is>
          <t>60%</t>
        </is>
      </c>
      <c r="M613" s="5" t="n">
        <v>1435</v>
      </c>
      <c r="N613" s="5" t="n">
        <v>1.52</v>
      </c>
      <c r="O613" s="5" t="n">
        <v>1315</v>
      </c>
      <c r="P613" s="5" t="n">
        <v>1.39</v>
      </c>
      <c r="Q613" s="5" t="inlineStr">
        <is>
          <t>2024-10-28</t>
        </is>
      </c>
      <c r="R613" s="5" t="inlineStr">
        <is>
          <t>2025-01-06</t>
        </is>
      </c>
      <c r="S613" s="5" t="n">
        <v>71</v>
      </c>
      <c r="T613" s="5" t="n">
        <v>0</v>
      </c>
      <c r="U613" s="48" t="inlineStr">
        <is>
          <t>Rain</t>
        </is>
      </c>
    </row>
    <row r="614">
      <c r="A614" s="5" t="inlineStr">
        <is>
          <t>Bella Mirage</t>
        </is>
      </c>
      <c r="B614" s="5" t="inlineStr">
        <is>
          <t>Rain</t>
        </is>
      </c>
      <c r="C614" s="5" t="inlineStr">
        <is>
          <t>1516</t>
        </is>
      </c>
      <c r="D614" s="5" t="inlineStr"/>
      <c r="E614" s="5" t="n">
        <v>2</v>
      </c>
      <c r="F614" s="5" t="n">
        <v>2</v>
      </c>
      <c r="G614" s="5" t="inlineStr"/>
      <c r="H614" s="5" t="n">
        <v>947</v>
      </c>
      <c r="I614" s="5" t="inlineStr">
        <is>
          <t>4/13/2026</t>
        </is>
      </c>
      <c r="J614" s="5" t="n">
        <v>300</v>
      </c>
      <c r="K614" s="5" t="n">
        <v>13</v>
      </c>
      <c r="L614" s="5" t="inlineStr">
        <is>
          <t>60%</t>
        </is>
      </c>
      <c r="M614" s="5" t="n">
        <v>1449</v>
      </c>
      <c r="N614" s="5" t="n">
        <v>1.53</v>
      </c>
      <c r="O614" s="5" t="n">
        <v>1449</v>
      </c>
      <c r="P614" s="5" t="n">
        <v>1.53</v>
      </c>
      <c r="Q614" s="5" t="inlineStr">
        <is>
          <t>2025-12-23</t>
        </is>
      </c>
      <c r="R614" s="5" t="inlineStr">
        <is>
          <t>2026-01-19</t>
        </is>
      </c>
      <c r="S614" s="5" t="n">
        <v>28</v>
      </c>
      <c r="T614" s="5" t="n">
        <v>0</v>
      </c>
      <c r="U614" s="48" t="inlineStr">
        <is>
          <t>Rain</t>
        </is>
      </c>
    </row>
    <row r="615">
      <c r="A615" s="5" t="inlineStr">
        <is>
          <t>Bella Mirage</t>
        </is>
      </c>
      <c r="B615" s="5" t="inlineStr">
        <is>
          <t>Rain</t>
        </is>
      </c>
      <c r="C615" s="5" t="inlineStr">
        <is>
          <t>3432</t>
        </is>
      </c>
      <c r="D615" s="5" t="n">
        <v>3</v>
      </c>
      <c r="E615" s="5" t="n">
        <v>2</v>
      </c>
      <c r="F615" s="5" t="n">
        <v>2</v>
      </c>
      <c r="G615" s="5" t="inlineStr"/>
      <c r="H615" s="5" t="n">
        <v>947</v>
      </c>
      <c r="I615" s="5" t="inlineStr">
        <is>
          <t>3/9/2024</t>
        </is>
      </c>
      <c r="J615" s="5" t="n">
        <v>200</v>
      </c>
      <c r="K615" s="5" t="n">
        <v>13</v>
      </c>
      <c r="L615" s="5" t="inlineStr">
        <is>
          <t>60%</t>
        </is>
      </c>
      <c r="M615" s="5" t="n">
        <v>1582</v>
      </c>
      <c r="N615" s="5" t="n">
        <v>1.67</v>
      </c>
      <c r="O615" s="5" t="n">
        <v>1460</v>
      </c>
      <c r="P615" s="5" t="n">
        <v>1.54</v>
      </c>
      <c r="Q615" s="5" t="inlineStr">
        <is>
          <t>2024-01-27</t>
        </is>
      </c>
      <c r="R615" s="5" t="inlineStr">
        <is>
          <t>2024-02-14</t>
        </is>
      </c>
      <c r="S615" s="5" t="n">
        <v>19</v>
      </c>
      <c r="T615" s="5" t="n">
        <v>0</v>
      </c>
      <c r="U615" s="48" t="inlineStr">
        <is>
          <t>Rain</t>
        </is>
      </c>
    </row>
    <row r="616">
      <c r="A616" s="5" t="inlineStr">
        <is>
          <t>Bella Mirage</t>
        </is>
      </c>
      <c r="B616" s="5" t="inlineStr">
        <is>
          <t>Rain</t>
        </is>
      </c>
      <c r="C616" s="5" t="inlineStr">
        <is>
          <t>3432</t>
        </is>
      </c>
      <c r="D616" s="5" t="n">
        <v>3</v>
      </c>
      <c r="E616" s="5" t="n">
        <v>2</v>
      </c>
      <c r="F616" s="5" t="n">
        <v>2</v>
      </c>
      <c r="G616" s="5" t="inlineStr"/>
      <c r="H616" s="5" t="n">
        <v>947</v>
      </c>
      <c r="I616" s="5" t="inlineStr">
        <is>
          <t>6/19/2025</t>
        </is>
      </c>
      <c r="J616" s="5" t="n">
        <v>200</v>
      </c>
      <c r="K616" s="5" t="n">
        <v>12</v>
      </c>
      <c r="L616" s="5" t="inlineStr">
        <is>
          <t>60%</t>
        </is>
      </c>
      <c r="M616" s="5" t="n">
        <v>1450</v>
      </c>
      <c r="N616" s="5" t="n">
        <v>1.53</v>
      </c>
      <c r="O616" s="5" t="n">
        <v>1329</v>
      </c>
      <c r="P616" s="5" t="n">
        <v>1.4</v>
      </c>
      <c r="Q616" s="5" t="inlineStr">
        <is>
          <t>2025-05-24</t>
        </is>
      </c>
      <c r="R616" s="5" t="inlineStr">
        <is>
          <t>2025-06-07</t>
        </is>
      </c>
      <c r="S616" s="5" t="n">
        <v>15</v>
      </c>
      <c r="T616" s="5" t="n">
        <v>0</v>
      </c>
      <c r="U616" s="48" t="inlineStr">
        <is>
          <t>Rain</t>
        </is>
      </c>
    </row>
    <row r="617">
      <c r="A617" s="5" t="inlineStr">
        <is>
          <t>Bella Mirage</t>
        </is>
      </c>
      <c r="B617" s="5" t="inlineStr">
        <is>
          <t>Rain</t>
        </is>
      </c>
      <c r="C617" s="5" t="inlineStr">
        <is>
          <t>3223</t>
        </is>
      </c>
      <c r="D617" s="5" t="n">
        <v>3</v>
      </c>
      <c r="E617" s="5" t="n">
        <v>2</v>
      </c>
      <c r="F617" s="5" t="n">
        <v>2</v>
      </c>
      <c r="G617" s="5" t="inlineStr"/>
      <c r="H617" s="5" t="n">
        <v>947</v>
      </c>
      <c r="I617" s="5" t="inlineStr">
        <is>
          <t>12/18/2024</t>
        </is>
      </c>
      <c r="J617" s="5" t="n">
        <v>200</v>
      </c>
      <c r="K617" s="5" t="n">
        <v>12</v>
      </c>
      <c r="L617" s="5" t="inlineStr">
        <is>
          <t>60%</t>
        </is>
      </c>
      <c r="M617" s="5" t="n">
        <v>1451</v>
      </c>
      <c r="N617" s="5" t="n">
        <v>1.53</v>
      </c>
      <c r="O617" s="5" t="n">
        <v>1330</v>
      </c>
      <c r="P617" s="5" t="n">
        <v>1.4</v>
      </c>
      <c r="Q617" s="5" t="inlineStr">
        <is>
          <t>2024-12-02</t>
        </is>
      </c>
      <c r="R617" s="5" t="inlineStr">
        <is>
          <t>2025-04-07</t>
        </is>
      </c>
      <c r="S617" s="5" t="n">
        <v>127</v>
      </c>
      <c r="T617" s="5" t="n">
        <v>111</v>
      </c>
      <c r="U617" s="48" t="inlineStr">
        <is>
          <t>Rain</t>
        </is>
      </c>
    </row>
    <row r="618">
      <c r="A618" s="5" t="inlineStr">
        <is>
          <t>Bella Mirage</t>
        </is>
      </c>
      <c r="B618" s="5" t="inlineStr">
        <is>
          <t>Rain</t>
        </is>
      </c>
      <c r="C618" s="5" t="inlineStr">
        <is>
          <t>3926</t>
        </is>
      </c>
      <c r="D618" s="5" t="inlineStr"/>
      <c r="E618" s="5" t="n">
        <v>2</v>
      </c>
      <c r="F618" s="5" t="n">
        <v>2</v>
      </c>
      <c r="G618" s="5" t="inlineStr"/>
      <c r="H618" s="5" t="n">
        <v>947</v>
      </c>
      <c r="I618" s="5" t="inlineStr">
        <is>
          <t>12/5/2023</t>
        </is>
      </c>
      <c r="J618" s="5" t="inlineStr"/>
      <c r="K618" s="5" t="inlineStr"/>
      <c r="L618" s="5" t="inlineStr">
        <is>
          <t>60%</t>
        </is>
      </c>
      <c r="M618" s="5" t="n">
        <v>1399</v>
      </c>
      <c r="N618" s="5" t="n">
        <v>1.48</v>
      </c>
      <c r="O618" s="5" t="n">
        <v>1282</v>
      </c>
      <c r="P618" s="5" t="n">
        <v>1.35</v>
      </c>
      <c r="Q618" s="5" t="inlineStr">
        <is>
          <t>2023-12-05</t>
        </is>
      </c>
      <c r="R618" s="5" t="inlineStr">
        <is>
          <t>2023-12-09</t>
        </is>
      </c>
      <c r="S618" s="5" t="n">
        <v>5</v>
      </c>
      <c r="T618" s="5" t="n">
        <v>5</v>
      </c>
      <c r="U618" s="48" t="inlineStr">
        <is>
          <t>Rain</t>
        </is>
      </c>
    </row>
    <row r="619">
      <c r="A619" s="5" t="inlineStr">
        <is>
          <t>Bella Mirage</t>
        </is>
      </c>
      <c r="B619" s="5" t="inlineStr">
        <is>
          <t>Rain</t>
        </is>
      </c>
      <c r="C619" s="5" t="inlineStr">
        <is>
          <t>3926</t>
        </is>
      </c>
      <c r="D619" s="5" t="inlineStr"/>
      <c r="E619" s="5" t="n">
        <v>2</v>
      </c>
      <c r="F619" s="5" t="n">
        <v>2</v>
      </c>
      <c r="G619" s="5" t="inlineStr"/>
      <c r="H619" s="5" t="n">
        <v>947</v>
      </c>
      <c r="I619" s="5" t="inlineStr">
        <is>
          <t>3/31/2025</t>
        </is>
      </c>
      <c r="J619" s="5" t="n">
        <v>200</v>
      </c>
      <c r="K619" s="5" t="n">
        <v>12</v>
      </c>
      <c r="L619" s="5" t="inlineStr">
        <is>
          <t>60%</t>
        </is>
      </c>
      <c r="M619" s="5" t="n">
        <v>1451</v>
      </c>
      <c r="N619" s="5" t="n">
        <v>1.53</v>
      </c>
      <c r="O619" s="5" t="n">
        <v>1330</v>
      </c>
      <c r="P619" s="5" t="n">
        <v>1.4</v>
      </c>
      <c r="Q619" s="5" t="inlineStr">
        <is>
          <t>2025-02-04</t>
        </is>
      </c>
      <c r="R619" s="5" t="inlineStr">
        <is>
          <t>2025-04-03</t>
        </is>
      </c>
      <c r="S619" s="5" t="n">
        <v>59</v>
      </c>
      <c r="T619" s="5" t="n">
        <v>4</v>
      </c>
      <c r="U619" s="48" t="inlineStr">
        <is>
          <t>Rain</t>
        </is>
      </c>
    </row>
    <row r="620">
      <c r="A620" s="5" t="inlineStr">
        <is>
          <t>Bella Mirage</t>
        </is>
      </c>
      <c r="B620" s="5" t="inlineStr">
        <is>
          <t>Rain</t>
        </is>
      </c>
      <c r="C620" s="5" t="inlineStr">
        <is>
          <t>3922</t>
        </is>
      </c>
      <c r="D620" s="5" t="inlineStr"/>
      <c r="E620" s="5" t="n">
        <v>2</v>
      </c>
      <c r="F620" s="5" t="n">
        <v>2</v>
      </c>
      <c r="G620" s="5" t="inlineStr"/>
      <c r="H620" s="5" t="n">
        <v>947</v>
      </c>
      <c r="I620" s="5" t="inlineStr">
        <is>
          <t>6/7/2025</t>
        </is>
      </c>
      <c r="J620" s="5" t="n">
        <v>200</v>
      </c>
      <c r="K620" s="5" t="n">
        <v>12</v>
      </c>
      <c r="L620" s="5" t="inlineStr">
        <is>
          <t>60%</t>
        </is>
      </c>
      <c r="M620" s="5" t="n">
        <v>1451</v>
      </c>
      <c r="N620" s="5" t="n">
        <v>1.53</v>
      </c>
      <c r="O620" s="5" t="n">
        <v>1330</v>
      </c>
      <c r="P620" s="5" t="n">
        <v>1.4</v>
      </c>
      <c r="Q620" s="5" t="inlineStr">
        <is>
          <t>2025-02-07</t>
        </is>
      </c>
      <c r="R620" s="5" t="inlineStr">
        <is>
          <t>2025-04-14</t>
        </is>
      </c>
      <c r="S620" s="5" t="n">
        <v>67</v>
      </c>
      <c r="T620" s="5" t="n">
        <v>0</v>
      </c>
      <c r="U620" s="48" t="inlineStr">
        <is>
          <t>Rain</t>
        </is>
      </c>
    </row>
    <row r="621">
      <c r="A621" s="5" t="inlineStr">
        <is>
          <t>Bella Mirage</t>
        </is>
      </c>
      <c r="B621" s="5" t="inlineStr">
        <is>
          <t>Rain</t>
        </is>
      </c>
      <c r="C621" s="5" t="inlineStr">
        <is>
          <t>1333</t>
        </is>
      </c>
      <c r="D621" s="5" t="inlineStr"/>
      <c r="E621" s="5" t="n">
        <v>2</v>
      </c>
      <c r="F621" s="5" t="n">
        <v>2</v>
      </c>
      <c r="G621" s="5" t="inlineStr"/>
      <c r="H621" s="5" t="n">
        <v>947</v>
      </c>
      <c r="I621" s="5" t="inlineStr">
        <is>
          <t>3/30/2024</t>
        </is>
      </c>
      <c r="J621" s="5" t="inlineStr"/>
      <c r="K621" s="5" t="inlineStr"/>
      <c r="L621" s="5" t="inlineStr">
        <is>
          <t>60%</t>
        </is>
      </c>
      <c r="M621" s="5" t="n">
        <v>1534</v>
      </c>
      <c r="N621" s="5" t="n">
        <v>1.62</v>
      </c>
      <c r="O621" s="5" t="n">
        <v>1406</v>
      </c>
      <c r="P621" s="5" t="n">
        <v>1.48</v>
      </c>
      <c r="Q621" s="5" t="inlineStr">
        <is>
          <t>2024-01-11</t>
        </is>
      </c>
      <c r="R621" s="5" t="inlineStr">
        <is>
          <t>2024-01-18</t>
        </is>
      </c>
      <c r="S621" s="5" t="n">
        <v>8</v>
      </c>
      <c r="T621" s="5" t="n">
        <v>0</v>
      </c>
      <c r="U621" s="48" t="inlineStr">
        <is>
          <t>Rain</t>
        </is>
      </c>
    </row>
    <row r="622">
      <c r="A622" s="5" t="inlineStr">
        <is>
          <t>Bella Mirage</t>
        </is>
      </c>
      <c r="B622" s="5" t="inlineStr">
        <is>
          <t>Rain</t>
        </is>
      </c>
      <c r="C622" s="5" t="inlineStr">
        <is>
          <t>1333</t>
        </is>
      </c>
      <c r="D622" s="5" t="inlineStr"/>
      <c r="E622" s="5" t="n">
        <v>2</v>
      </c>
      <c r="F622" s="5" t="n">
        <v>2</v>
      </c>
      <c r="G622" s="5" t="inlineStr"/>
      <c r="H622" s="5" t="n">
        <v>947</v>
      </c>
      <c r="I622" s="5" t="inlineStr">
        <is>
          <t>4/20/2025</t>
        </is>
      </c>
      <c r="J622" s="5" t="n">
        <v>200</v>
      </c>
      <c r="K622" s="5" t="n">
        <v>12</v>
      </c>
      <c r="L622" s="5" t="inlineStr">
        <is>
          <t>60%</t>
        </is>
      </c>
      <c r="M622" s="5" t="n">
        <v>1464</v>
      </c>
      <c r="N622" s="5" t="n">
        <v>1.55</v>
      </c>
      <c r="O622" s="5" t="n">
        <v>1342</v>
      </c>
      <c r="P622" s="5" t="n">
        <v>1.42</v>
      </c>
      <c r="Q622" s="5" t="inlineStr">
        <is>
          <t>2025-03-06</t>
        </is>
      </c>
      <c r="R622" s="5" t="inlineStr">
        <is>
          <t>2025-06-08</t>
        </is>
      </c>
      <c r="S622" s="5" t="n">
        <v>95</v>
      </c>
      <c r="T622" s="5" t="n">
        <v>50</v>
      </c>
      <c r="U622" s="48" t="inlineStr">
        <is>
          <t>Rain</t>
        </is>
      </c>
    </row>
    <row r="623">
      <c r="A623" s="5" t="inlineStr">
        <is>
          <t>Bella Mirage</t>
        </is>
      </c>
      <c r="B623" s="5" t="inlineStr">
        <is>
          <t>Rain</t>
        </is>
      </c>
      <c r="C623" s="5" t="inlineStr">
        <is>
          <t>4522</t>
        </is>
      </c>
      <c r="D623" s="5" t="n">
        <v>4</v>
      </c>
      <c r="E623" s="5" t="n">
        <v>2</v>
      </c>
      <c r="F623" s="5" t="n">
        <v>2</v>
      </c>
      <c r="G623" s="5" t="inlineStr"/>
      <c r="H623" s="5" t="n">
        <v>947</v>
      </c>
      <c r="I623" s="5" t="inlineStr">
        <is>
          <t>6/28/2024</t>
        </is>
      </c>
      <c r="J623" s="5" t="n">
        <v>200</v>
      </c>
      <c r="K623" s="5" t="n">
        <v>15</v>
      </c>
      <c r="L623" s="5" t="inlineStr">
        <is>
          <t>60%</t>
        </is>
      </c>
      <c r="M623" s="5" t="n">
        <v>1600</v>
      </c>
      <c r="N623" s="5" t="n">
        <v>1.69</v>
      </c>
      <c r="O623" s="5" t="n">
        <v>1600</v>
      </c>
      <c r="P623" s="5" t="n">
        <v>1.69</v>
      </c>
      <c r="Q623" s="5" t="inlineStr">
        <is>
          <t>2024-04-23</t>
        </is>
      </c>
      <c r="R623" s="5" t="inlineStr">
        <is>
          <t>2024-08-14</t>
        </is>
      </c>
      <c r="S623" s="5" t="n">
        <v>114</v>
      </c>
      <c r="T623" s="5" t="n">
        <v>48</v>
      </c>
      <c r="U623" s="48" t="inlineStr">
        <is>
          <t>Rain</t>
        </is>
      </c>
    </row>
    <row r="624">
      <c r="A624" s="5" t="inlineStr">
        <is>
          <t>Bella Mirage</t>
        </is>
      </c>
      <c r="B624" s="5" t="inlineStr">
        <is>
          <t>Rain</t>
        </is>
      </c>
      <c r="C624" s="5" t="inlineStr">
        <is>
          <t>4522</t>
        </is>
      </c>
      <c r="D624" s="5" t="n">
        <v>4</v>
      </c>
      <c r="E624" s="5" t="n">
        <v>2</v>
      </c>
      <c r="F624" s="5" t="n">
        <v>2</v>
      </c>
      <c r="G624" s="5" t="inlineStr"/>
      <c r="H624" s="5" t="n">
        <v>947</v>
      </c>
      <c r="I624" s="5" t="inlineStr">
        <is>
          <t>2/15/2025</t>
        </is>
      </c>
      <c r="J624" s="5" t="n">
        <v>200</v>
      </c>
      <c r="K624" s="5" t="n">
        <v>13</v>
      </c>
      <c r="L624" s="5" t="inlineStr">
        <is>
          <t>60%</t>
        </is>
      </c>
      <c r="M624" s="5" t="n">
        <v>1392</v>
      </c>
      <c r="N624" s="5" t="n">
        <v>1.47</v>
      </c>
      <c r="O624" s="5" t="n">
        <v>1285</v>
      </c>
      <c r="P624" s="5" t="n">
        <v>1.36</v>
      </c>
      <c r="Q624" s="5" t="inlineStr">
        <is>
          <t>2025-01-03</t>
        </is>
      </c>
      <c r="R624" s="5" t="inlineStr">
        <is>
          <t>2025-01-10</t>
        </is>
      </c>
      <c r="S624" s="5" t="n">
        <v>8</v>
      </c>
      <c r="T624" s="5" t="n">
        <v>0</v>
      </c>
      <c r="U624" s="48" t="inlineStr">
        <is>
          <t>Rain</t>
        </is>
      </c>
    </row>
    <row r="625">
      <c r="A625" s="5" t="inlineStr">
        <is>
          <t>Bella Mirage</t>
        </is>
      </c>
      <c r="B625" s="5" t="inlineStr">
        <is>
          <t>Rain</t>
        </is>
      </c>
      <c r="C625" s="5" t="inlineStr">
        <is>
          <t>4522</t>
        </is>
      </c>
      <c r="D625" s="5" t="n">
        <v>4</v>
      </c>
      <c r="E625" s="5" t="n">
        <v>2</v>
      </c>
      <c r="F625" s="5" t="n">
        <v>2</v>
      </c>
      <c r="G625" s="5" t="inlineStr"/>
      <c r="H625" s="5" t="n">
        <v>947</v>
      </c>
      <c r="I625" s="5" t="inlineStr">
        <is>
          <t>1/23/2026</t>
        </is>
      </c>
      <c r="J625" s="5" t="n">
        <v>300</v>
      </c>
      <c r="K625" s="5" t="n">
        <v>12</v>
      </c>
      <c r="L625" s="5" t="inlineStr">
        <is>
          <t>60%</t>
        </is>
      </c>
      <c r="M625" s="5" t="n">
        <v>1453</v>
      </c>
      <c r="N625" s="5" t="n">
        <v>1.53</v>
      </c>
      <c r="O625" s="5" t="n">
        <v>1453</v>
      </c>
      <c r="P625" s="5" t="n">
        <v>1.53</v>
      </c>
      <c r="Q625" s="5" t="inlineStr">
        <is>
          <t>2026-01-07</t>
        </is>
      </c>
      <c r="R625" s="5" t="inlineStr">
        <is>
          <t>2026-04-16</t>
        </is>
      </c>
      <c r="S625" s="5" t="n">
        <v>100</v>
      </c>
      <c r="T625" s="5" t="n">
        <v>84</v>
      </c>
      <c r="U625" s="48" t="inlineStr">
        <is>
          <t>Rain</t>
        </is>
      </c>
    </row>
    <row r="626">
      <c r="A626" s="5" t="inlineStr">
        <is>
          <t>Bella Mirage</t>
        </is>
      </c>
      <c r="B626" s="5" t="inlineStr">
        <is>
          <t>Rain</t>
        </is>
      </c>
      <c r="C626" s="5" t="inlineStr">
        <is>
          <t>6313</t>
        </is>
      </c>
      <c r="D626" s="5" t="inlineStr"/>
      <c r="E626" s="5" t="n">
        <v>2</v>
      </c>
      <c r="F626" s="5" t="n">
        <v>2</v>
      </c>
      <c r="G626" s="5" t="inlineStr"/>
      <c r="H626" s="5" t="n">
        <v>947</v>
      </c>
      <c r="I626" s="5" t="inlineStr">
        <is>
          <t>11/9/2025</t>
        </is>
      </c>
      <c r="J626" s="5" t="n">
        <v>300</v>
      </c>
      <c r="K626" s="5" t="n">
        <v>12</v>
      </c>
      <c r="L626" s="5" t="inlineStr">
        <is>
          <t>60%</t>
        </is>
      </c>
      <c r="M626" s="5" t="n">
        <v>1458</v>
      </c>
      <c r="N626" s="5" t="n">
        <v>1.54</v>
      </c>
      <c r="O626" s="5" t="n">
        <v>1458</v>
      </c>
      <c r="P626" s="5" t="n">
        <v>1.54</v>
      </c>
      <c r="Q626" s="5" t="inlineStr">
        <is>
          <t>2025-08-31</t>
        </is>
      </c>
      <c r="R626" s="5" t="inlineStr">
        <is>
          <t>2026-04-21</t>
        </is>
      </c>
      <c r="S626" s="5" t="n">
        <v>234</v>
      </c>
      <c r="T626" s="5" t="n">
        <v>164</v>
      </c>
      <c r="U626" s="48" t="inlineStr">
        <is>
          <t>Rain</t>
        </is>
      </c>
    </row>
    <row r="627">
      <c r="A627" s="5" t="inlineStr">
        <is>
          <t>Bella Mirage</t>
        </is>
      </c>
      <c r="B627" s="5" t="inlineStr">
        <is>
          <t>Rain</t>
        </is>
      </c>
      <c r="C627" s="5" t="inlineStr">
        <is>
          <t>0217</t>
        </is>
      </c>
      <c r="D627" s="5" t="inlineStr"/>
      <c r="E627" s="5" t="n">
        <v>2</v>
      </c>
      <c r="F627" s="5" t="n">
        <v>2</v>
      </c>
      <c r="G627" s="5" t="inlineStr"/>
      <c r="H627" s="5" t="n">
        <v>947</v>
      </c>
      <c r="I627" s="5" t="inlineStr">
        <is>
          <t>1/24/2025</t>
        </is>
      </c>
      <c r="J627" s="5" t="n">
        <v>200</v>
      </c>
      <c r="K627" s="5" t="n">
        <v>12</v>
      </c>
      <c r="L627" s="5" t="inlineStr">
        <is>
          <t>60%</t>
        </is>
      </c>
      <c r="M627" s="5" t="n">
        <v>1608</v>
      </c>
      <c r="N627" s="5" t="n">
        <v>1.7</v>
      </c>
      <c r="O627" s="5" t="n">
        <v>1474</v>
      </c>
      <c r="P627" s="5" t="n">
        <v>1.56</v>
      </c>
      <c r="Q627" s="5" t="inlineStr">
        <is>
          <t>2024-11-07</t>
        </is>
      </c>
      <c r="R627" s="5" t="inlineStr">
        <is>
          <t>2025-02-01</t>
        </is>
      </c>
      <c r="S627" s="5" t="n">
        <v>87</v>
      </c>
      <c r="T627" s="5" t="n">
        <v>9</v>
      </c>
      <c r="U627" s="48" t="inlineStr">
        <is>
          <t>Rain</t>
        </is>
      </c>
    </row>
    <row r="628">
      <c r="A628" s="5" t="inlineStr">
        <is>
          <t>Bella Mirage</t>
        </is>
      </c>
      <c r="B628" s="5" t="inlineStr">
        <is>
          <t>Rain</t>
        </is>
      </c>
      <c r="C628" s="5" t="inlineStr">
        <is>
          <t>0217</t>
        </is>
      </c>
      <c r="D628" s="5" t="inlineStr"/>
      <c r="E628" s="5" t="n">
        <v>2</v>
      </c>
      <c r="F628" s="5" t="n">
        <v>2</v>
      </c>
      <c r="G628" s="5" t="inlineStr"/>
      <c r="H628" s="5" t="n">
        <v>947</v>
      </c>
      <c r="I628" s="5" t="inlineStr">
        <is>
          <t>10/8/2025</t>
        </is>
      </c>
      <c r="J628" s="5" t="n">
        <v>300</v>
      </c>
      <c r="K628" s="5" t="n">
        <v>12</v>
      </c>
      <c r="L628" s="5" t="inlineStr">
        <is>
          <t>60%</t>
        </is>
      </c>
      <c r="M628" s="5" t="n">
        <v>1467</v>
      </c>
      <c r="N628" s="5" t="n">
        <v>1.55</v>
      </c>
      <c r="O628" s="5" t="n">
        <v>1345</v>
      </c>
      <c r="P628" s="5" t="n">
        <v>1.42</v>
      </c>
      <c r="Q628" s="5" t="inlineStr">
        <is>
          <t>2025-08-30</t>
        </is>
      </c>
      <c r="R628" s="5" t="inlineStr">
        <is>
          <t>2025-09-20</t>
        </is>
      </c>
      <c r="S628" s="5" t="n">
        <v>22</v>
      </c>
      <c r="T628" s="5" t="n">
        <v>0</v>
      </c>
      <c r="U628" s="48" t="inlineStr">
        <is>
          <t>Rain</t>
        </is>
      </c>
    </row>
    <row r="629">
      <c r="A629" s="5" t="inlineStr">
        <is>
          <t>Bella Mirage</t>
        </is>
      </c>
      <c r="B629" s="5" t="inlineStr">
        <is>
          <t>Rain</t>
        </is>
      </c>
      <c r="C629" s="5" t="inlineStr">
        <is>
          <t>3912</t>
        </is>
      </c>
      <c r="D629" s="5" t="n">
        <v>3</v>
      </c>
      <c r="E629" s="5" t="n">
        <v>2</v>
      </c>
      <c r="F629" s="5" t="n">
        <v>2</v>
      </c>
      <c r="G629" s="5" t="inlineStr"/>
      <c r="H629" s="5" t="n">
        <v>947</v>
      </c>
      <c r="I629" s="5" t="inlineStr">
        <is>
          <t>3/15/2025</t>
        </is>
      </c>
      <c r="J629" s="5" t="n">
        <v>200</v>
      </c>
      <c r="K629" s="5" t="n">
        <v>12</v>
      </c>
      <c r="L629" s="5" t="inlineStr">
        <is>
          <t>60%</t>
        </is>
      </c>
      <c r="M629" s="5" t="n">
        <v>1471</v>
      </c>
      <c r="N629" s="5" t="n">
        <v>1.55</v>
      </c>
      <c r="O629" s="5" t="n">
        <v>1348</v>
      </c>
      <c r="P629" s="5" t="n">
        <v>1.42</v>
      </c>
      <c r="Q629" s="5" t="inlineStr">
        <is>
          <t>2025-01-27</t>
        </is>
      </c>
      <c r="R629" s="5" t="inlineStr">
        <is>
          <t>2025-03-10</t>
        </is>
      </c>
      <c r="S629" s="5" t="n">
        <v>43</v>
      </c>
      <c r="T629" s="5" t="n">
        <v>0</v>
      </c>
      <c r="U629" s="48" t="inlineStr">
        <is>
          <t>Rain</t>
        </is>
      </c>
    </row>
    <row r="630">
      <c r="A630" s="5" t="inlineStr">
        <is>
          <t>Bella Mirage</t>
        </is>
      </c>
      <c r="B630" s="5" t="inlineStr">
        <is>
          <t>Rain</t>
        </is>
      </c>
      <c r="C630" s="5" t="inlineStr">
        <is>
          <t>3912</t>
        </is>
      </c>
      <c r="D630" s="5" t="n">
        <v>3</v>
      </c>
      <c r="E630" s="5" t="n">
        <v>2</v>
      </c>
      <c r="F630" s="5" t="n">
        <v>2</v>
      </c>
      <c r="G630" s="5" t="inlineStr"/>
      <c r="H630" s="5" t="n">
        <v>947</v>
      </c>
      <c r="I630" s="5" t="inlineStr">
        <is>
          <t>3/31/2026</t>
        </is>
      </c>
      <c r="J630" s="5" t="n">
        <v>300</v>
      </c>
      <c r="K630" s="5" t="n">
        <v>12</v>
      </c>
      <c r="L630" s="5" t="inlineStr">
        <is>
          <t>60%</t>
        </is>
      </c>
      <c r="M630" s="5" t="n">
        <v>1468</v>
      </c>
      <c r="N630" s="5" t="n">
        <v>1.55</v>
      </c>
      <c r="O630" s="5" t="n">
        <v>1468</v>
      </c>
      <c r="P630" s="5" t="n">
        <v>1.55</v>
      </c>
      <c r="Q630" s="5" t="inlineStr">
        <is>
          <t>2026-01-07</t>
        </is>
      </c>
      <c r="R630" s="5" t="inlineStr">
        <is>
          <t>2026-03-08</t>
        </is>
      </c>
      <c r="S630" s="5" t="n">
        <v>61</v>
      </c>
      <c r="T630" s="5" t="n">
        <v>0</v>
      </c>
      <c r="U630" s="48" t="inlineStr">
        <is>
          <t>Rain</t>
        </is>
      </c>
    </row>
    <row r="631">
      <c r="A631" s="5" t="inlineStr">
        <is>
          <t>Bella Mirage</t>
        </is>
      </c>
      <c r="B631" s="5" t="inlineStr">
        <is>
          <t>Rain</t>
        </is>
      </c>
      <c r="C631" s="5" t="inlineStr">
        <is>
          <t>0227</t>
        </is>
      </c>
      <c r="D631" s="5" t="inlineStr"/>
      <c r="E631" s="5" t="n">
        <v>2</v>
      </c>
      <c r="F631" s="5" t="n">
        <v>2</v>
      </c>
      <c r="G631" s="5" t="inlineStr"/>
      <c r="H631" s="5" t="n">
        <v>947</v>
      </c>
      <c r="I631" s="5" t="inlineStr">
        <is>
          <t>6/21/2024</t>
        </is>
      </c>
      <c r="J631" s="5" t="n">
        <v>200</v>
      </c>
      <c r="K631" s="5" t="n">
        <v>14</v>
      </c>
      <c r="L631" s="5" t="inlineStr">
        <is>
          <t>60%</t>
        </is>
      </c>
      <c r="M631" s="5" t="n">
        <v>1469</v>
      </c>
      <c r="N631" s="5" t="n">
        <v>1.55</v>
      </c>
      <c r="O631" s="5" t="n">
        <v>1469</v>
      </c>
      <c r="P631" s="5" t="n">
        <v>1.55</v>
      </c>
      <c r="Q631" s="5" t="inlineStr">
        <is>
          <t>2024-06-01</t>
        </is>
      </c>
      <c r="R631" s="5" t="inlineStr">
        <is>
          <t>2024-06-19</t>
        </is>
      </c>
      <c r="S631" s="5" t="n">
        <v>19</v>
      </c>
      <c r="T631" s="5" t="n">
        <v>0</v>
      </c>
      <c r="U631" s="48" t="inlineStr">
        <is>
          <t>Rain</t>
        </is>
      </c>
    </row>
    <row r="632">
      <c r="A632" s="5" t="inlineStr">
        <is>
          <t>Bella Mirage</t>
        </is>
      </c>
      <c r="B632" s="5" t="inlineStr">
        <is>
          <t>Rain</t>
        </is>
      </c>
      <c r="C632" s="5" t="inlineStr">
        <is>
          <t>0427</t>
        </is>
      </c>
      <c r="D632" s="5" t="inlineStr"/>
      <c r="E632" s="5" t="n">
        <v>2</v>
      </c>
      <c r="F632" s="5" t="n">
        <v>2</v>
      </c>
      <c r="G632" s="5" t="inlineStr"/>
      <c r="H632" s="5" t="n">
        <v>947</v>
      </c>
      <c r="I632" s="5" t="inlineStr">
        <is>
          <t>8/14/2024</t>
        </is>
      </c>
      <c r="J632" s="5" t="n">
        <v>200</v>
      </c>
      <c r="K632" s="5" t="n">
        <v>15</v>
      </c>
      <c r="L632" s="5" t="inlineStr">
        <is>
          <t>60%</t>
        </is>
      </c>
      <c r="M632" s="5" t="n">
        <v>1553</v>
      </c>
      <c r="N632" s="5" t="n">
        <v>1.64</v>
      </c>
      <c r="O632" s="5" t="n">
        <v>1553</v>
      </c>
      <c r="P632" s="5" t="n">
        <v>1.64</v>
      </c>
      <c r="Q632" s="5" t="inlineStr">
        <is>
          <t>2024-07-14</t>
        </is>
      </c>
      <c r="R632" s="5" t="inlineStr">
        <is>
          <t>2024-10-03</t>
        </is>
      </c>
      <c r="S632" s="5" t="n">
        <v>82</v>
      </c>
      <c r="T632" s="5" t="n">
        <v>51</v>
      </c>
      <c r="U632" s="48" t="inlineStr">
        <is>
          <t>Rain</t>
        </is>
      </c>
    </row>
    <row r="633">
      <c r="A633" s="5" t="inlineStr">
        <is>
          <t>Bella Mirage</t>
        </is>
      </c>
      <c r="B633" s="5" t="inlineStr">
        <is>
          <t>Rain</t>
        </is>
      </c>
      <c r="C633" s="5" t="inlineStr">
        <is>
          <t>0427</t>
        </is>
      </c>
      <c r="D633" s="5" t="inlineStr"/>
      <c r="E633" s="5" t="n">
        <v>2</v>
      </c>
      <c r="F633" s="5" t="n">
        <v>2</v>
      </c>
      <c r="G633" s="5" t="inlineStr"/>
      <c r="H633" s="5" t="n">
        <v>947</v>
      </c>
      <c r="I633" s="5" t="inlineStr">
        <is>
          <t>1/18/2026</t>
        </is>
      </c>
      <c r="J633" s="5" t="n">
        <v>300</v>
      </c>
      <c r="K633" s="5" t="n">
        <v>12</v>
      </c>
      <c r="L633" s="5" t="inlineStr">
        <is>
          <t>60%</t>
        </is>
      </c>
      <c r="M633" s="5" t="n">
        <v>1469</v>
      </c>
      <c r="N633" s="5" t="n">
        <v>1.55</v>
      </c>
      <c r="O633" s="5" t="n">
        <v>1469</v>
      </c>
      <c r="P633" s="5" t="n">
        <v>1.55</v>
      </c>
      <c r="Q633" s="5" t="inlineStr">
        <is>
          <t>2025-12-31</t>
        </is>
      </c>
      <c r="R633" s="5" t="inlineStr">
        <is>
          <t>2026-03-04</t>
        </is>
      </c>
      <c r="S633" s="5" t="n">
        <v>64</v>
      </c>
      <c r="T633" s="5" t="n">
        <v>46</v>
      </c>
      <c r="U633" s="48" t="inlineStr">
        <is>
          <t>Rain</t>
        </is>
      </c>
    </row>
    <row r="634">
      <c r="A634" s="5" t="inlineStr">
        <is>
          <t>Bella Mirage</t>
        </is>
      </c>
      <c r="B634" s="5" t="inlineStr">
        <is>
          <t>Rain</t>
        </is>
      </c>
      <c r="C634" s="5" t="inlineStr">
        <is>
          <t>4516</t>
        </is>
      </c>
      <c r="D634" s="5" t="inlineStr"/>
      <c r="E634" s="5" t="n">
        <v>2</v>
      </c>
      <c r="F634" s="5" t="n">
        <v>2</v>
      </c>
      <c r="G634" s="5" t="inlineStr"/>
      <c r="H634" s="5" t="n">
        <v>947</v>
      </c>
      <c r="I634" s="5" t="inlineStr">
        <is>
          <t>12/31/2025</t>
        </is>
      </c>
      <c r="J634" s="5" t="n">
        <v>300</v>
      </c>
      <c r="K634" s="5" t="n">
        <v>12</v>
      </c>
      <c r="L634" s="5" t="inlineStr">
        <is>
          <t>60%</t>
        </is>
      </c>
      <c r="M634" s="5" t="n">
        <v>1473</v>
      </c>
      <c r="N634" s="5" t="n">
        <v>1.56</v>
      </c>
      <c r="O634" s="5" t="n">
        <v>1473</v>
      </c>
      <c r="P634" s="5" t="n">
        <v>1.56</v>
      </c>
      <c r="Q634" s="5" t="inlineStr">
        <is>
          <t>2025-10-24</t>
        </is>
      </c>
      <c r="R634" s="5" t="inlineStr">
        <is>
          <t>2026-02-15</t>
        </is>
      </c>
      <c r="S634" s="5" t="n">
        <v>115</v>
      </c>
      <c r="T634" s="5" t="n">
        <v>47</v>
      </c>
      <c r="U634" s="48" t="inlineStr">
        <is>
          <t>Rain</t>
        </is>
      </c>
    </row>
    <row r="635">
      <c r="A635" s="5" t="inlineStr">
        <is>
          <t>Bella Mirage</t>
        </is>
      </c>
      <c r="B635" s="5" t="inlineStr">
        <is>
          <t>Rain</t>
        </is>
      </c>
      <c r="C635" s="5" t="inlineStr">
        <is>
          <t>0433</t>
        </is>
      </c>
      <c r="D635" s="5" t="inlineStr"/>
      <c r="E635" s="5" t="n">
        <v>2</v>
      </c>
      <c r="F635" s="5" t="n">
        <v>2</v>
      </c>
      <c r="G635" s="5" t="inlineStr"/>
      <c r="H635" s="5" t="n">
        <v>947</v>
      </c>
      <c r="I635" s="5" t="inlineStr">
        <is>
          <t>6/20/2023</t>
        </is>
      </c>
      <c r="J635" s="5" t="inlineStr"/>
      <c r="K635" s="5" t="inlineStr"/>
      <c r="L635" s="5" t="inlineStr">
        <is>
          <t>60%</t>
        </is>
      </c>
      <c r="M635" s="5" t="n">
        <v>1424</v>
      </c>
      <c r="N635" s="5" t="n">
        <v>1.5</v>
      </c>
      <c r="O635" s="5" t="n">
        <v>1362</v>
      </c>
      <c r="P635" s="5" t="n">
        <v>1.44</v>
      </c>
      <c r="Q635" s="5" t="inlineStr">
        <is>
          <t>2023-06-20</t>
        </is>
      </c>
      <c r="R635" s="5" t="inlineStr">
        <is>
          <t>2023-08-04</t>
        </is>
      </c>
      <c r="S635" s="5" t="n">
        <v>46</v>
      </c>
      <c r="T635" s="5" t="n">
        <v>46</v>
      </c>
      <c r="U635" s="48" t="inlineStr">
        <is>
          <t>Rain</t>
        </is>
      </c>
    </row>
    <row r="636">
      <c r="A636" s="5" t="inlineStr">
        <is>
          <t>Bella Mirage</t>
        </is>
      </c>
      <c r="B636" s="5" t="inlineStr">
        <is>
          <t>Rain</t>
        </is>
      </c>
      <c r="C636" s="5" t="inlineStr">
        <is>
          <t>0433</t>
        </is>
      </c>
      <c r="D636" s="5" t="inlineStr"/>
      <c r="E636" s="5" t="n">
        <v>2</v>
      </c>
      <c r="F636" s="5" t="n">
        <v>2</v>
      </c>
      <c r="G636" s="5" t="inlineStr"/>
      <c r="H636" s="5" t="n">
        <v>947</v>
      </c>
      <c r="I636" s="5" t="inlineStr">
        <is>
          <t>9/18/2025</t>
        </is>
      </c>
      <c r="J636" s="5" t="n">
        <v>300</v>
      </c>
      <c r="K636" s="5" t="n">
        <v>12</v>
      </c>
      <c r="L636" s="5" t="inlineStr">
        <is>
          <t>60%</t>
        </is>
      </c>
      <c r="M636" s="5" t="n">
        <v>1474</v>
      </c>
      <c r="N636" s="5" t="n">
        <v>1.56</v>
      </c>
      <c r="O636" s="5" t="n">
        <v>1351</v>
      </c>
      <c r="P636" s="5" t="n">
        <v>1.43</v>
      </c>
      <c r="Q636" s="5" t="inlineStr">
        <is>
          <t>2025-07-30</t>
        </is>
      </c>
      <c r="R636" s="5" t="inlineStr">
        <is>
          <t>2025-10-05</t>
        </is>
      </c>
      <c r="S636" s="5" t="n">
        <v>68</v>
      </c>
      <c r="T636" s="5" t="n">
        <v>18</v>
      </c>
      <c r="U636" s="48" t="inlineStr">
        <is>
          <t>Rain</t>
        </is>
      </c>
    </row>
    <row r="637">
      <c r="A637" s="5" t="inlineStr">
        <is>
          <t>Bella Mirage</t>
        </is>
      </c>
      <c r="B637" s="5" t="inlineStr">
        <is>
          <t>Rain</t>
        </is>
      </c>
      <c r="C637" s="5" t="inlineStr">
        <is>
          <t>4513</t>
        </is>
      </c>
      <c r="D637" s="5" t="n">
        <v>4</v>
      </c>
      <c r="E637" s="5" t="n">
        <v>2</v>
      </c>
      <c r="F637" s="5" t="n">
        <v>2</v>
      </c>
      <c r="G637" s="5" t="inlineStr"/>
      <c r="H637" s="5" t="n">
        <v>947</v>
      </c>
      <c r="I637" s="5" t="inlineStr">
        <is>
          <t>6/30/2026</t>
        </is>
      </c>
      <c r="J637" s="5" t="n">
        <v>300</v>
      </c>
      <c r="K637" s="5" t="n">
        <v>13</v>
      </c>
      <c r="L637" s="5" t="inlineStr">
        <is>
          <t>60%</t>
        </is>
      </c>
      <c r="M637" s="5" t="n">
        <v>1480</v>
      </c>
      <c r="N637" s="5" t="n">
        <v>1.56</v>
      </c>
      <c r="O637" s="5" t="n">
        <v>1480</v>
      </c>
      <c r="P637" s="5" t="n">
        <v>1.56</v>
      </c>
      <c r="Q637" s="5" t="inlineStr">
        <is>
          <t>2026-04-28</t>
        </is>
      </c>
      <c r="R637" s="5" t="inlineStr">
        <is>
          <t>2026-04-29</t>
        </is>
      </c>
      <c r="S637" s="5" t="n">
        <v>2</v>
      </c>
      <c r="T637" s="5" t="n">
        <v>0</v>
      </c>
      <c r="U637" s="48" t="inlineStr">
        <is>
          <t>Rain</t>
        </is>
      </c>
    </row>
    <row r="638">
      <c r="A638" s="5" t="inlineStr">
        <is>
          <t>Bella Mirage</t>
        </is>
      </c>
      <c r="B638" s="5" t="inlineStr">
        <is>
          <t>Rain</t>
        </is>
      </c>
      <c r="C638" s="5" t="inlineStr">
        <is>
          <t>1316</t>
        </is>
      </c>
      <c r="D638" s="5" t="inlineStr"/>
      <c r="E638" s="5" t="n">
        <v>2</v>
      </c>
      <c r="F638" s="5" t="n">
        <v>2</v>
      </c>
      <c r="G638" s="5" t="inlineStr"/>
      <c r="H638" s="5" t="n">
        <v>947</v>
      </c>
      <c r="I638" s="5" t="inlineStr">
        <is>
          <t>1/25/2025</t>
        </is>
      </c>
      <c r="J638" s="5" t="n">
        <v>200</v>
      </c>
      <c r="K638" s="5" t="n">
        <v>13</v>
      </c>
      <c r="L638" s="5" t="inlineStr">
        <is>
          <t>60%</t>
        </is>
      </c>
      <c r="M638" s="5" t="n">
        <v>1483</v>
      </c>
      <c r="N638" s="5" t="n">
        <v>1.57</v>
      </c>
      <c r="O638" s="5" t="n">
        <v>1369</v>
      </c>
      <c r="P638" s="5" t="n">
        <v>1.45</v>
      </c>
      <c r="Q638" s="5" t="inlineStr">
        <is>
          <t>2024-11-04</t>
        </is>
      </c>
      <c r="R638" s="5" t="inlineStr">
        <is>
          <t>2025-02-05</t>
        </is>
      </c>
      <c r="S638" s="5" t="n">
        <v>94</v>
      </c>
      <c r="T638" s="5" t="n">
        <v>12</v>
      </c>
      <c r="U638" s="48" t="inlineStr">
        <is>
          <t>Rain</t>
        </is>
      </c>
    </row>
    <row r="639">
      <c r="A639" s="5" t="inlineStr">
        <is>
          <t>Bella Mirage</t>
        </is>
      </c>
      <c r="B639" s="5" t="inlineStr">
        <is>
          <t>Rain</t>
        </is>
      </c>
      <c r="C639" s="5" t="inlineStr">
        <is>
          <t>2926</t>
        </is>
      </c>
      <c r="D639" s="5" t="inlineStr"/>
      <c r="E639" s="5" t="n">
        <v>2</v>
      </c>
      <c r="F639" s="5" t="n">
        <v>2</v>
      </c>
      <c r="G639" s="5" t="inlineStr"/>
      <c r="H639" s="5" t="n">
        <v>947</v>
      </c>
      <c r="I639" s="5" t="inlineStr">
        <is>
          <t>8/2/2025</t>
        </is>
      </c>
      <c r="J639" s="5" t="n">
        <v>300</v>
      </c>
      <c r="K639" s="5" t="n">
        <v>12</v>
      </c>
      <c r="L639" s="5" t="inlineStr">
        <is>
          <t>60%</t>
        </is>
      </c>
      <c r="M639" s="5" t="n">
        <v>1484</v>
      </c>
      <c r="N639" s="5" t="n">
        <v>1.57</v>
      </c>
      <c r="O639" s="5" t="n">
        <v>1484</v>
      </c>
      <c r="P639" s="5" t="n">
        <v>1.57</v>
      </c>
      <c r="Q639" s="5" t="inlineStr">
        <is>
          <t>2025-05-24</t>
        </is>
      </c>
      <c r="R639" s="5" t="inlineStr">
        <is>
          <t>2026-01-30</t>
        </is>
      </c>
      <c r="S639" s="5" t="n">
        <v>252</v>
      </c>
      <c r="T639" s="5" t="n">
        <v>182</v>
      </c>
      <c r="U639" s="48" t="inlineStr">
        <is>
          <t>Rain</t>
        </is>
      </c>
    </row>
    <row r="640">
      <c r="A640" s="5" t="inlineStr">
        <is>
          <t>Bella Mirage</t>
        </is>
      </c>
      <c r="B640" s="5" t="inlineStr">
        <is>
          <t>Rain</t>
        </is>
      </c>
      <c r="C640" s="5" t="inlineStr">
        <is>
          <t>5413</t>
        </is>
      </c>
      <c r="D640" s="5" t="inlineStr"/>
      <c r="E640" s="5" t="n">
        <v>2</v>
      </c>
      <c r="F640" s="5" t="n">
        <v>2</v>
      </c>
      <c r="G640" s="5" t="inlineStr"/>
      <c r="H640" s="5" t="n">
        <v>947</v>
      </c>
      <c r="I640" s="5" t="inlineStr">
        <is>
          <t>6/22/2026</t>
        </is>
      </c>
      <c r="J640" s="5" t="n">
        <v>300</v>
      </c>
      <c r="K640" s="5" t="n">
        <v>15</v>
      </c>
      <c r="L640" s="5" t="inlineStr">
        <is>
          <t>60%</t>
        </is>
      </c>
      <c r="M640" s="5" t="n">
        <v>1499</v>
      </c>
      <c r="N640" s="5" t="n">
        <v>1.58</v>
      </c>
      <c r="O640" s="5" t="n">
        <v>1499</v>
      </c>
      <c r="P640" s="5" t="n">
        <v>1.58</v>
      </c>
      <c r="Q640" s="5" t="inlineStr">
        <is>
          <t>2026-04-07</t>
        </is>
      </c>
      <c r="R640" s="5" t="inlineStr">
        <is>
          <t>2026-05-01</t>
        </is>
      </c>
      <c r="S640" s="5" t="n">
        <v>25</v>
      </c>
      <c r="T640" s="5" t="n">
        <v>0</v>
      </c>
      <c r="U640" s="48" t="inlineStr">
        <is>
          <t>Rain</t>
        </is>
      </c>
    </row>
    <row r="641">
      <c r="A641" s="5" t="inlineStr">
        <is>
          <t>Bella Mirage</t>
        </is>
      </c>
      <c r="B641" s="5" t="inlineStr">
        <is>
          <t>Rain</t>
        </is>
      </c>
      <c r="C641" s="5" t="inlineStr">
        <is>
          <t>6332</t>
        </is>
      </c>
      <c r="D641" s="5" t="inlineStr"/>
      <c r="E641" s="5" t="n">
        <v>2</v>
      </c>
      <c r="F641" s="5" t="n">
        <v>2</v>
      </c>
      <c r="G641" s="5" t="inlineStr"/>
      <c r="H641" s="5" t="n">
        <v>947</v>
      </c>
      <c r="I641" s="5" t="inlineStr">
        <is>
          <t>1/27/2024</t>
        </is>
      </c>
      <c r="J641" s="5" t="inlineStr"/>
      <c r="K641" s="5" t="inlineStr"/>
      <c r="L641" s="5" t="inlineStr">
        <is>
          <t>60%</t>
        </is>
      </c>
      <c r="M641" s="5" t="n">
        <v>1512</v>
      </c>
      <c r="N641" s="5" t="n">
        <v>1.6</v>
      </c>
      <c r="O641" s="5" t="n">
        <v>1386</v>
      </c>
      <c r="P641" s="5" t="n">
        <v>1.46</v>
      </c>
      <c r="Q641" s="5" t="inlineStr">
        <is>
          <t>2024-01-05</t>
        </is>
      </c>
      <c r="R641" s="5" t="inlineStr">
        <is>
          <t>2024-01-09</t>
        </is>
      </c>
      <c r="S641" s="5" t="n">
        <v>5</v>
      </c>
      <c r="T641" s="5" t="n">
        <v>0</v>
      </c>
      <c r="U641" s="48" t="inlineStr">
        <is>
          <t>Rain</t>
        </is>
      </c>
    </row>
    <row r="642">
      <c r="A642" s="5" t="inlineStr">
        <is>
          <t>Bella Mirage</t>
        </is>
      </c>
      <c r="B642" s="5" t="inlineStr">
        <is>
          <t>Rain</t>
        </is>
      </c>
      <c r="C642" s="5" t="inlineStr">
        <is>
          <t>6332</t>
        </is>
      </c>
      <c r="D642" s="5" t="inlineStr"/>
      <c r="E642" s="5" t="n">
        <v>2</v>
      </c>
      <c r="F642" s="5" t="n">
        <v>2</v>
      </c>
      <c r="G642" s="5" t="inlineStr"/>
      <c r="H642" s="5" t="n">
        <v>947</v>
      </c>
      <c r="I642" s="5" t="inlineStr">
        <is>
          <t>7/31/2024</t>
        </is>
      </c>
      <c r="J642" s="5" t="n">
        <v>200</v>
      </c>
      <c r="K642" s="5" t="n">
        <v>14</v>
      </c>
      <c r="L642" s="5" t="inlineStr">
        <is>
          <t>60%</t>
        </is>
      </c>
      <c r="M642" s="5" t="n">
        <v>1502</v>
      </c>
      <c r="N642" s="5" t="n">
        <v>1.59</v>
      </c>
      <c r="O642" s="5" t="n">
        <v>1502</v>
      </c>
      <c r="P642" s="5" t="n">
        <v>1.59</v>
      </c>
      <c r="Q642" s="5" t="inlineStr">
        <is>
          <t>2024-04-30</t>
        </is>
      </c>
      <c r="R642" s="5" t="inlineStr">
        <is>
          <t>2024-10-20</t>
        </is>
      </c>
      <c r="S642" s="5" t="n">
        <v>174</v>
      </c>
      <c r="T642" s="5" t="n">
        <v>82</v>
      </c>
      <c r="U642" s="48" t="inlineStr">
        <is>
          <t>Rain</t>
        </is>
      </c>
    </row>
    <row r="643">
      <c r="A643" s="5" t="inlineStr">
        <is>
          <t>Bella Mirage</t>
        </is>
      </c>
      <c r="B643" s="5" t="inlineStr">
        <is>
          <t>Rain</t>
        </is>
      </c>
      <c r="C643" s="5" t="inlineStr">
        <is>
          <t>3933</t>
        </is>
      </c>
      <c r="D643" s="5" t="inlineStr"/>
      <c r="E643" s="5" t="n">
        <v>2</v>
      </c>
      <c r="F643" s="5" t="n">
        <v>2</v>
      </c>
      <c r="G643" s="5" t="inlineStr"/>
      <c r="H643" s="5" t="n">
        <v>947</v>
      </c>
      <c r="I643" s="5" t="inlineStr">
        <is>
          <t>5/19/2025</t>
        </is>
      </c>
      <c r="J643" s="5" t="n">
        <v>200</v>
      </c>
      <c r="K643" s="5" t="n">
        <v>12</v>
      </c>
      <c r="L643" s="5" t="inlineStr">
        <is>
          <t>60%</t>
        </is>
      </c>
      <c r="M643" s="5" t="n">
        <v>1506</v>
      </c>
      <c r="N643" s="5" t="n">
        <v>1.59</v>
      </c>
      <c r="O643" s="5" t="n">
        <v>1506</v>
      </c>
      <c r="P643" s="5" t="n">
        <v>1.59</v>
      </c>
      <c r="Q643" s="5" t="inlineStr">
        <is>
          <t>2025-04-07</t>
        </is>
      </c>
      <c r="R643" s="5" t="inlineStr">
        <is>
          <t>2025-08-25</t>
        </is>
      </c>
      <c r="S643" s="5" t="n">
        <v>141</v>
      </c>
      <c r="T643" s="5" t="n">
        <v>99</v>
      </c>
      <c r="U643" s="48" t="inlineStr">
        <is>
          <t>Rain</t>
        </is>
      </c>
    </row>
    <row r="644">
      <c r="A644" s="5" t="inlineStr">
        <is>
          <t>Bella Mirage</t>
        </is>
      </c>
      <c r="B644" s="5" t="inlineStr">
        <is>
          <t>Rain</t>
        </is>
      </c>
      <c r="C644" s="5" t="inlineStr">
        <is>
          <t>2932</t>
        </is>
      </c>
      <c r="D644" s="5" t="inlineStr"/>
      <c r="E644" s="5" t="n">
        <v>2</v>
      </c>
      <c r="F644" s="5" t="n">
        <v>2</v>
      </c>
      <c r="G644" s="5" t="inlineStr"/>
      <c r="H644" s="5" t="n">
        <v>947</v>
      </c>
      <c r="I644" s="5" t="inlineStr">
        <is>
          <t>4/14/2024</t>
        </is>
      </c>
      <c r="J644" s="5" t="n">
        <v>200</v>
      </c>
      <c r="K644" s="5" t="n">
        <v>12</v>
      </c>
      <c r="L644" s="5" t="inlineStr">
        <is>
          <t>80%</t>
        </is>
      </c>
      <c r="M644" s="5" t="n">
        <v>1567</v>
      </c>
      <c r="N644" s="5" t="n">
        <v>1.65</v>
      </c>
      <c r="O644" s="5" t="n">
        <v>1567</v>
      </c>
      <c r="P644" s="5" t="n">
        <v>1.65</v>
      </c>
      <c r="Q644" s="5" t="inlineStr">
        <is>
          <t>2024-01-26</t>
        </is>
      </c>
      <c r="R644" s="5" t="inlineStr">
        <is>
          <t>2024-07-18</t>
        </is>
      </c>
      <c r="S644" s="5" t="n">
        <v>175</v>
      </c>
      <c r="T644" s="5" t="n">
        <v>96</v>
      </c>
      <c r="U644" s="48" t="inlineStr">
        <is>
          <t>Rain</t>
        </is>
      </c>
    </row>
    <row r="645">
      <c r="A645" s="5" t="inlineStr">
        <is>
          <t>Bella Mirage</t>
        </is>
      </c>
      <c r="B645" s="5" t="inlineStr">
        <is>
          <t>Rain</t>
        </is>
      </c>
      <c r="C645" s="5" t="inlineStr">
        <is>
          <t>2932</t>
        </is>
      </c>
      <c r="D645" s="5" t="inlineStr"/>
      <c r="E645" s="5" t="n">
        <v>2</v>
      </c>
      <c r="F645" s="5" t="n">
        <v>2</v>
      </c>
      <c r="G645" s="5" t="inlineStr"/>
      <c r="H645" s="5" t="n">
        <v>947</v>
      </c>
      <c r="I645" s="5" t="inlineStr">
        <is>
          <t>9/9/2025</t>
        </is>
      </c>
      <c r="J645" s="5" t="n">
        <v>300</v>
      </c>
      <c r="K645" s="5" t="n">
        <v>12</v>
      </c>
      <c r="L645" s="5" t="inlineStr">
        <is>
          <t>80%</t>
        </is>
      </c>
      <c r="M645" s="5" t="n">
        <v>1528</v>
      </c>
      <c r="N645" s="5" t="n">
        <v>1.61</v>
      </c>
      <c r="O645" s="5" t="n">
        <v>1401</v>
      </c>
      <c r="P645" s="5" t="n">
        <v>1.48</v>
      </c>
      <c r="Q645" s="5" t="inlineStr">
        <is>
          <t>2025-06-24</t>
        </is>
      </c>
      <c r="R645" s="5" t="inlineStr">
        <is>
          <t>2025-10-20</t>
        </is>
      </c>
      <c r="S645" s="5" t="n">
        <v>119</v>
      </c>
      <c r="T645" s="5" t="n">
        <v>42</v>
      </c>
      <c r="U645" s="48" t="inlineStr">
        <is>
          <t>Rain</t>
        </is>
      </c>
    </row>
    <row r="646">
      <c r="A646" s="5" t="inlineStr">
        <is>
          <t>Bella Mirage</t>
        </is>
      </c>
      <c r="B646" s="5" t="inlineStr">
        <is>
          <t>Rain</t>
        </is>
      </c>
      <c r="C646" s="5" t="inlineStr">
        <is>
          <t>1926</t>
        </is>
      </c>
      <c r="D646" s="5" t="n">
        <v>2</v>
      </c>
      <c r="E646" s="5" t="n">
        <v>2</v>
      </c>
      <c r="F646" s="5" t="n">
        <v>2</v>
      </c>
      <c r="G646" s="5" t="inlineStr"/>
      <c r="H646" s="5" t="n">
        <v>947</v>
      </c>
      <c r="I646" s="5" t="inlineStr">
        <is>
          <t>9/20/2024</t>
        </is>
      </c>
      <c r="J646" s="5" t="n">
        <v>200</v>
      </c>
      <c r="K646" s="5" t="n">
        <v>13</v>
      </c>
      <c r="L646" s="5" t="inlineStr">
        <is>
          <t>80%</t>
        </is>
      </c>
      <c r="M646" s="5" t="n">
        <v>1544</v>
      </c>
      <c r="N646" s="5" t="n">
        <v>1.63</v>
      </c>
      <c r="O646" s="5" t="n">
        <v>1544</v>
      </c>
      <c r="P646" s="5" t="n">
        <v>1.63</v>
      </c>
      <c r="Q646" s="5" t="inlineStr">
        <is>
          <t>2024-06-28</t>
        </is>
      </c>
      <c r="R646" s="5" t="inlineStr">
        <is>
          <t>2024-08-14</t>
        </is>
      </c>
      <c r="S646" s="5" t="n">
        <v>48</v>
      </c>
      <c r="T646" s="5" t="n">
        <v>0</v>
      </c>
      <c r="U646" s="48" t="inlineStr">
        <is>
          <t>Rain</t>
        </is>
      </c>
    </row>
    <row r="647">
      <c r="A647" s="5" t="inlineStr">
        <is>
          <t>Bella Mirage</t>
        </is>
      </c>
      <c r="B647" s="5" t="inlineStr">
        <is>
          <t>Rain</t>
        </is>
      </c>
      <c r="C647" s="5" t="inlineStr">
        <is>
          <t>6316</t>
        </is>
      </c>
      <c r="D647" s="5" t="inlineStr"/>
      <c r="E647" s="5" t="n">
        <v>2</v>
      </c>
      <c r="F647" s="5" t="n">
        <v>2</v>
      </c>
      <c r="G647" s="5" t="inlineStr"/>
      <c r="H647" s="5" t="n">
        <v>947</v>
      </c>
      <c r="I647" s="5" t="inlineStr">
        <is>
          <t>7/27/2024</t>
        </is>
      </c>
      <c r="J647" s="5" t="n">
        <v>200</v>
      </c>
      <c r="K647" s="5" t="n">
        <v>12</v>
      </c>
      <c r="L647" s="5" t="inlineStr">
        <is>
          <t>80%</t>
        </is>
      </c>
      <c r="M647" s="5" t="n">
        <v>1724</v>
      </c>
      <c r="N647" s="5" t="n">
        <v>1.82</v>
      </c>
      <c r="O647" s="5" t="n">
        <v>1580</v>
      </c>
      <c r="P647" s="5" t="n">
        <v>1.67</v>
      </c>
      <c r="Q647" s="5" t="inlineStr">
        <is>
          <t>2024-05-15</t>
        </is>
      </c>
      <c r="R647" s="5" t="inlineStr">
        <is>
          <t>2024-05-22</t>
        </is>
      </c>
      <c r="S647" s="5" t="n">
        <v>8</v>
      </c>
      <c r="T647" s="5" t="n">
        <v>0</v>
      </c>
      <c r="U647" s="48" t="inlineStr">
        <is>
          <t>Rain</t>
        </is>
      </c>
    </row>
    <row r="648">
      <c r="A648" s="5" t="inlineStr">
        <is>
          <t>Bella Mirage</t>
        </is>
      </c>
      <c r="B648" s="5" t="inlineStr">
        <is>
          <t>Rain</t>
        </is>
      </c>
      <c r="C648" s="5" t="inlineStr">
        <is>
          <t>6316</t>
        </is>
      </c>
      <c r="D648" s="5" t="inlineStr"/>
      <c r="E648" s="5" t="n">
        <v>2</v>
      </c>
      <c r="F648" s="5" t="n">
        <v>2</v>
      </c>
      <c r="G648" s="5" t="inlineStr"/>
      <c r="H648" s="5" t="n">
        <v>947</v>
      </c>
      <c r="I648" s="5" t="inlineStr">
        <is>
          <t>3/12/2025</t>
        </is>
      </c>
      <c r="J648" s="5" t="n">
        <v>200</v>
      </c>
      <c r="K648" s="5" t="n">
        <v>12</v>
      </c>
      <c r="L648" s="5" t="inlineStr">
        <is>
          <t>80%</t>
        </is>
      </c>
      <c r="M648" s="5" t="n">
        <v>1546</v>
      </c>
      <c r="N648" s="5" t="n">
        <v>1.63</v>
      </c>
      <c r="O648" s="5" t="n">
        <v>1417</v>
      </c>
      <c r="P648" s="5" t="n">
        <v>1.5</v>
      </c>
      <c r="Q648" s="5" t="inlineStr">
        <is>
          <t>2025-03-05</t>
        </is>
      </c>
      <c r="R648" s="5" t="inlineStr">
        <is>
          <t>2025-04-01</t>
        </is>
      </c>
      <c r="S648" s="5" t="n">
        <v>28</v>
      </c>
      <c r="T648" s="5" t="n">
        <v>21</v>
      </c>
      <c r="U648" s="48" t="inlineStr">
        <is>
          <t>Rain</t>
        </is>
      </c>
    </row>
    <row r="649">
      <c r="A649" s="5" t="inlineStr">
        <is>
          <t>Bella Mirage</t>
        </is>
      </c>
      <c r="B649" s="5" t="inlineStr">
        <is>
          <t>Rain</t>
        </is>
      </c>
      <c r="C649" s="5" t="inlineStr">
        <is>
          <t>5416</t>
        </is>
      </c>
      <c r="D649" s="5" t="inlineStr"/>
      <c r="E649" s="5" t="n">
        <v>2</v>
      </c>
      <c r="F649" s="5" t="n">
        <v>2</v>
      </c>
      <c r="G649" s="5" t="inlineStr"/>
      <c r="H649" s="5" t="n">
        <v>947</v>
      </c>
      <c r="I649" s="5" t="inlineStr">
        <is>
          <t>6/1/2025</t>
        </is>
      </c>
      <c r="J649" s="5" t="n">
        <v>200</v>
      </c>
      <c r="K649" s="5" t="n">
        <v>13</v>
      </c>
      <c r="L649" s="5" t="inlineStr">
        <is>
          <t>80%</t>
        </is>
      </c>
      <c r="M649" s="5" t="n">
        <v>1546</v>
      </c>
      <c r="N649" s="5" t="n">
        <v>1.63</v>
      </c>
      <c r="O649" s="5" t="n">
        <v>1427</v>
      </c>
      <c r="P649" s="5" t="n">
        <v>1.51</v>
      </c>
      <c r="Q649" s="5" t="inlineStr">
        <is>
          <t>2025-03-19</t>
        </is>
      </c>
      <c r="R649" s="5" t="inlineStr">
        <is>
          <t>2025-04-03</t>
        </is>
      </c>
      <c r="S649" s="5" t="n">
        <v>16</v>
      </c>
      <c r="T649" s="5" t="n">
        <v>0</v>
      </c>
      <c r="U649" s="48" t="inlineStr">
        <is>
          <t>Rain</t>
        </is>
      </c>
    </row>
    <row r="650">
      <c r="A650" s="5" t="inlineStr">
        <is>
          <t>Bella Mirage</t>
        </is>
      </c>
      <c r="B650" s="5" t="inlineStr">
        <is>
          <t>Rain</t>
        </is>
      </c>
      <c r="C650" s="5" t="inlineStr">
        <is>
          <t>0422</t>
        </is>
      </c>
      <c r="D650" s="5" t="n">
        <v>2</v>
      </c>
      <c r="E650" s="5" t="n">
        <v>2</v>
      </c>
      <c r="F650" s="5" t="n">
        <v>2</v>
      </c>
      <c r="G650" s="5" t="inlineStr"/>
      <c r="H650" s="5" t="n">
        <v>947</v>
      </c>
      <c r="I650" s="5" t="inlineStr">
        <is>
          <t>3/5/2024</t>
        </is>
      </c>
      <c r="J650" s="5" t="n">
        <v>200</v>
      </c>
      <c r="K650" s="5" t="n">
        <v>13</v>
      </c>
      <c r="L650" s="5" t="inlineStr">
        <is>
          <t>80%</t>
        </is>
      </c>
      <c r="M650" s="5" t="n">
        <v>1683</v>
      </c>
      <c r="N650" s="5" t="n">
        <v>1.78</v>
      </c>
      <c r="O650" s="5" t="n">
        <v>1554</v>
      </c>
      <c r="P650" s="5" t="n">
        <v>1.64</v>
      </c>
      <c r="Q650" s="5" t="inlineStr">
        <is>
          <t>2024-02-12</t>
        </is>
      </c>
      <c r="R650" s="5" t="inlineStr">
        <is>
          <t>2024-02-20</t>
        </is>
      </c>
      <c r="S650" s="5" t="n">
        <v>9</v>
      </c>
      <c r="T650" s="5" t="n">
        <v>0</v>
      </c>
      <c r="U650" s="48" t="inlineStr">
        <is>
          <t>Rain</t>
        </is>
      </c>
    </row>
    <row r="651">
      <c r="A651" s="5" t="inlineStr">
        <is>
          <t>Bella Mirage</t>
        </is>
      </c>
      <c r="B651" s="5" t="inlineStr">
        <is>
          <t>Rain</t>
        </is>
      </c>
      <c r="C651" s="5" t="inlineStr">
        <is>
          <t>0422</t>
        </is>
      </c>
      <c r="D651" s="5" t="n">
        <v>2</v>
      </c>
      <c r="E651" s="5" t="n">
        <v>2</v>
      </c>
      <c r="F651" s="5" t="n">
        <v>2</v>
      </c>
      <c r="G651" s="5" t="inlineStr"/>
      <c r="H651" s="5" t="n">
        <v>947</v>
      </c>
      <c r="I651" s="5" t="inlineStr">
        <is>
          <t>6/19/2025</t>
        </is>
      </c>
      <c r="J651" s="5" t="n">
        <v>200</v>
      </c>
      <c r="K651" s="5" t="n">
        <v>12</v>
      </c>
      <c r="L651" s="5" t="inlineStr">
        <is>
          <t>80%</t>
        </is>
      </c>
      <c r="M651" s="5" t="n">
        <v>1551</v>
      </c>
      <c r="N651" s="5" t="n">
        <v>1.64</v>
      </c>
      <c r="O651" s="5" t="n">
        <v>1422</v>
      </c>
      <c r="P651" s="5" t="n">
        <v>1.5</v>
      </c>
      <c r="Q651" s="5" t="inlineStr">
        <is>
          <t>2025-03-05</t>
        </is>
      </c>
      <c r="R651" s="5" t="inlineStr">
        <is>
          <t>2025-04-16</t>
        </is>
      </c>
      <c r="S651" s="5" t="n">
        <v>43</v>
      </c>
      <c r="T651" s="5" t="n">
        <v>0</v>
      </c>
      <c r="U651" s="48" t="inlineStr">
        <is>
          <t>Rain</t>
        </is>
      </c>
    </row>
    <row r="652">
      <c r="A652" s="5" t="inlineStr">
        <is>
          <t>Bella Mirage</t>
        </is>
      </c>
      <c r="B652" s="5" t="inlineStr">
        <is>
          <t>Rain</t>
        </is>
      </c>
      <c r="C652" s="5" t="inlineStr">
        <is>
          <t>1023</t>
        </is>
      </c>
      <c r="D652" s="5" t="inlineStr"/>
      <c r="E652" s="5" t="n">
        <v>2</v>
      </c>
      <c r="F652" s="5" t="n">
        <v>2</v>
      </c>
      <c r="G652" s="5" t="inlineStr"/>
      <c r="H652" s="5" t="n">
        <v>947</v>
      </c>
      <c r="I652" s="5" t="inlineStr">
        <is>
          <t>1/25/2025</t>
        </is>
      </c>
      <c r="J652" s="5" t="n">
        <v>200</v>
      </c>
      <c r="K652" s="5" t="n">
        <v>12</v>
      </c>
      <c r="L652" s="5" t="inlineStr">
        <is>
          <t>80%</t>
        </is>
      </c>
      <c r="M652" s="5" t="n">
        <v>1555</v>
      </c>
      <c r="N652" s="5" t="n">
        <v>1.64</v>
      </c>
      <c r="O652" s="5" t="n">
        <v>1425</v>
      </c>
      <c r="P652" s="5" t="n">
        <v>1.5</v>
      </c>
      <c r="Q652" s="5" t="inlineStr">
        <is>
          <t>2024-11-07</t>
        </is>
      </c>
      <c r="R652" s="5" t="inlineStr">
        <is>
          <t>2024-12-07</t>
        </is>
      </c>
      <c r="S652" s="5" t="n">
        <v>31</v>
      </c>
      <c r="T652" s="5" t="n">
        <v>0</v>
      </c>
      <c r="U652" s="48" t="inlineStr">
        <is>
          <t>Rain</t>
        </is>
      </c>
    </row>
    <row r="653">
      <c r="A653" s="5" t="inlineStr">
        <is>
          <t>Bella Mirage</t>
        </is>
      </c>
      <c r="B653" s="5" t="inlineStr">
        <is>
          <t>Rain</t>
        </is>
      </c>
      <c r="C653" s="5" t="inlineStr">
        <is>
          <t>1013</t>
        </is>
      </c>
      <c r="D653" s="5" t="n">
        <v>1</v>
      </c>
      <c r="E653" s="5" t="n">
        <v>2</v>
      </c>
      <c r="F653" s="5" t="n">
        <v>2</v>
      </c>
      <c r="G653" s="5" t="inlineStr"/>
      <c r="H653" s="5" t="n">
        <v>947</v>
      </c>
      <c r="I653" s="5" t="inlineStr">
        <is>
          <t>8/18/2023</t>
        </is>
      </c>
      <c r="J653" s="5" t="inlineStr"/>
      <c r="K653" s="5" t="inlineStr"/>
      <c r="L653" s="5" t="inlineStr">
        <is>
          <t>80%</t>
        </is>
      </c>
      <c r="M653" s="5" t="n">
        <v>1627</v>
      </c>
      <c r="N653" s="5" t="n">
        <v>1.72</v>
      </c>
      <c r="O653" s="5" t="n">
        <v>1564</v>
      </c>
      <c r="P653" s="5" t="n">
        <v>1.65</v>
      </c>
      <c r="Q653" s="5" t="inlineStr">
        <is>
          <t>2023-08-06</t>
        </is>
      </c>
      <c r="R653" s="5" t="inlineStr">
        <is>
          <t>2023-09-07</t>
        </is>
      </c>
      <c r="S653" s="5" t="n">
        <v>33</v>
      </c>
      <c r="T653" s="5" t="n">
        <v>21</v>
      </c>
      <c r="U653" s="48" t="inlineStr">
        <is>
          <t>Rain</t>
        </is>
      </c>
    </row>
    <row r="654">
      <c r="A654" s="5" t="inlineStr">
        <is>
          <t>Bella Mirage</t>
        </is>
      </c>
      <c r="B654" s="5" t="inlineStr">
        <is>
          <t>Rain</t>
        </is>
      </c>
      <c r="C654" s="5" t="inlineStr">
        <is>
          <t>1013</t>
        </is>
      </c>
      <c r="D654" s="5" t="n">
        <v>1</v>
      </c>
      <c r="E654" s="5" t="n">
        <v>2</v>
      </c>
      <c r="F654" s="5" t="n">
        <v>2</v>
      </c>
      <c r="G654" s="5" t="inlineStr"/>
      <c r="H654" s="5" t="n">
        <v>947</v>
      </c>
      <c r="I654" s="5" t="inlineStr">
        <is>
          <t>12/12/2024</t>
        </is>
      </c>
      <c r="J654" s="5" t="n">
        <v>200</v>
      </c>
      <c r="K654" s="5" t="n">
        <v>12</v>
      </c>
      <c r="L654" s="5" t="inlineStr">
        <is>
          <t>80%</t>
        </is>
      </c>
      <c r="M654" s="5" t="n">
        <v>1569</v>
      </c>
      <c r="N654" s="5" t="n">
        <v>1.66</v>
      </c>
      <c r="O654" s="5" t="n">
        <v>1569</v>
      </c>
      <c r="P654" s="5" t="n">
        <v>1.66</v>
      </c>
      <c r="Q654" s="5" t="inlineStr">
        <is>
          <t>2024-10-27</t>
        </is>
      </c>
      <c r="R654" s="5" t="inlineStr">
        <is>
          <t>2024-10-29</t>
        </is>
      </c>
      <c r="S654" s="5" t="n">
        <v>3</v>
      </c>
      <c r="T654" s="5" t="n">
        <v>0</v>
      </c>
      <c r="U654" s="48" t="inlineStr">
        <is>
          <t>Rain</t>
        </is>
      </c>
    </row>
    <row r="655">
      <c r="A655" s="5" t="inlineStr">
        <is>
          <t>Bella Mirage</t>
        </is>
      </c>
      <c r="B655" s="5" t="inlineStr">
        <is>
          <t>Rain</t>
        </is>
      </c>
      <c r="C655" s="5" t="inlineStr">
        <is>
          <t>0216</t>
        </is>
      </c>
      <c r="D655" s="5" t="inlineStr"/>
      <c r="E655" s="5" t="n">
        <v>2</v>
      </c>
      <c r="F655" s="5" t="n">
        <v>2</v>
      </c>
      <c r="G655" s="5" t="inlineStr"/>
      <c r="H655" s="5" t="n">
        <v>947</v>
      </c>
      <c r="I655" s="5" t="inlineStr">
        <is>
          <t>1/14/2024</t>
        </is>
      </c>
      <c r="J655" s="5" t="inlineStr"/>
      <c r="K655" s="5" t="inlineStr"/>
      <c r="L655" s="5" t="inlineStr">
        <is>
          <t>80%</t>
        </is>
      </c>
      <c r="M655" s="5" t="n">
        <v>1698</v>
      </c>
      <c r="N655" s="5" t="n">
        <v>1.79</v>
      </c>
      <c r="O655" s="5" t="n">
        <v>1556</v>
      </c>
      <c r="P655" s="5" t="n">
        <v>1.64</v>
      </c>
      <c r="Q655" s="5" t="inlineStr">
        <is>
          <t>2023-12-20</t>
        </is>
      </c>
      <c r="R655" s="5" t="inlineStr">
        <is>
          <t>2024-01-26</t>
        </is>
      </c>
      <c r="S655" s="5" t="n">
        <v>38</v>
      </c>
      <c r="T655" s="5" t="n">
        <v>13</v>
      </c>
      <c r="U655" s="48" t="inlineStr">
        <is>
          <t>Rain</t>
        </is>
      </c>
    </row>
    <row r="656">
      <c r="A656" s="5" t="inlineStr">
        <is>
          <t>Bella Mirage</t>
        </is>
      </c>
      <c r="B656" s="5" t="inlineStr">
        <is>
          <t>Rain</t>
        </is>
      </c>
      <c r="C656" s="5" t="inlineStr">
        <is>
          <t>0216</t>
        </is>
      </c>
      <c r="D656" s="5" t="inlineStr"/>
      <c r="E656" s="5" t="n">
        <v>2</v>
      </c>
      <c r="F656" s="5" t="n">
        <v>2</v>
      </c>
      <c r="G656" s="5" t="inlineStr"/>
      <c r="H656" s="5" t="n">
        <v>947</v>
      </c>
      <c r="I656" s="5" t="inlineStr">
        <is>
          <t>5/20/2025</t>
        </is>
      </c>
      <c r="J656" s="5" t="n">
        <v>200</v>
      </c>
      <c r="K656" s="5" t="n">
        <v>13</v>
      </c>
      <c r="L656" s="5" t="inlineStr">
        <is>
          <t>80%</t>
        </is>
      </c>
      <c r="M656" s="5" t="n">
        <v>1571</v>
      </c>
      <c r="N656" s="5" t="n">
        <v>1.66</v>
      </c>
      <c r="O656" s="5" t="n">
        <v>1450</v>
      </c>
      <c r="P656" s="5" t="n">
        <v>1.53</v>
      </c>
      <c r="Q656" s="5" t="inlineStr">
        <is>
          <t>2025-02-21</t>
        </is>
      </c>
      <c r="R656" s="5" t="inlineStr">
        <is>
          <t>2025-03-25</t>
        </is>
      </c>
      <c r="S656" s="5" t="n">
        <v>33</v>
      </c>
      <c r="T656" s="5" t="n">
        <v>0</v>
      </c>
      <c r="U656" s="48" t="inlineStr">
        <is>
          <t>Rain</t>
        </is>
      </c>
    </row>
    <row r="657">
      <c r="A657" s="5" t="inlineStr">
        <is>
          <t>Bella Mirage</t>
        </is>
      </c>
      <c r="B657" s="5" t="inlineStr">
        <is>
          <t>Rain</t>
        </is>
      </c>
      <c r="C657" s="5" t="inlineStr">
        <is>
          <t>0412</t>
        </is>
      </c>
      <c r="D657" s="5" t="n">
        <v>1</v>
      </c>
      <c r="E657" s="5" t="n">
        <v>2</v>
      </c>
      <c r="F657" s="5" t="n">
        <v>2</v>
      </c>
      <c r="G657" s="5" t="inlineStr"/>
      <c r="H657" s="5" t="n">
        <v>947</v>
      </c>
      <c r="I657" s="5" t="inlineStr">
        <is>
          <t>8/1/2024</t>
        </is>
      </c>
      <c r="J657" s="5" t="n">
        <v>200</v>
      </c>
      <c r="K657" s="5" t="n">
        <v>15</v>
      </c>
      <c r="L657" s="5" t="inlineStr">
        <is>
          <t>80%</t>
        </is>
      </c>
      <c r="M657" s="5" t="n">
        <v>1733</v>
      </c>
      <c r="N657" s="5" t="n">
        <v>1.83</v>
      </c>
      <c r="O657" s="5" t="n">
        <v>1733</v>
      </c>
      <c r="P657" s="5" t="n">
        <v>1.83</v>
      </c>
      <c r="Q657" s="5" t="inlineStr">
        <is>
          <t>2024-07-12</t>
        </is>
      </c>
      <c r="R657" s="5" t="inlineStr">
        <is>
          <t>2024-09-01</t>
        </is>
      </c>
      <c r="S657" s="5" t="n">
        <v>52</v>
      </c>
      <c r="T657" s="5" t="n">
        <v>32</v>
      </c>
      <c r="U657" s="48" t="inlineStr">
        <is>
          <t>Rain</t>
        </is>
      </c>
    </row>
    <row r="658">
      <c r="A658" s="5" t="inlineStr">
        <is>
          <t>Bella Mirage</t>
        </is>
      </c>
      <c r="B658" s="5" t="inlineStr">
        <is>
          <t>Rain</t>
        </is>
      </c>
      <c r="C658" s="5" t="inlineStr">
        <is>
          <t>0412</t>
        </is>
      </c>
      <c r="D658" s="5" t="n">
        <v>1</v>
      </c>
      <c r="E658" s="5" t="n">
        <v>2</v>
      </c>
      <c r="F658" s="5" t="n">
        <v>2</v>
      </c>
      <c r="G658" s="5" t="inlineStr"/>
      <c r="H658" s="5" t="n">
        <v>947</v>
      </c>
      <c r="I658" s="5" t="inlineStr">
        <is>
          <t>6/19/2025</t>
        </is>
      </c>
      <c r="J658" s="5" t="n">
        <v>200</v>
      </c>
      <c r="K658" s="5" t="n">
        <v>12</v>
      </c>
      <c r="L658" s="5" t="inlineStr">
        <is>
          <t>80%</t>
        </is>
      </c>
      <c r="M658" s="5" t="n">
        <v>1571</v>
      </c>
      <c r="N658" s="5" t="n">
        <v>1.66</v>
      </c>
      <c r="O658" s="5" t="n">
        <v>1440</v>
      </c>
      <c r="P658" s="5" t="n">
        <v>1.52</v>
      </c>
      <c r="Q658" s="5" t="inlineStr">
        <is>
          <t>2025-04-19</t>
        </is>
      </c>
      <c r="R658" s="5" t="inlineStr">
        <is>
          <t>2025-04-22</t>
        </is>
      </c>
      <c r="S658" s="5" t="n">
        <v>4</v>
      </c>
      <c r="T658" s="5" t="n">
        <v>0</v>
      </c>
      <c r="U658" s="48" t="inlineStr">
        <is>
          <t>Rain</t>
        </is>
      </c>
    </row>
    <row r="659">
      <c r="A659" s="5" t="inlineStr">
        <is>
          <t>Bella Mirage</t>
        </is>
      </c>
      <c r="B659" s="5" t="inlineStr">
        <is>
          <t>Rain</t>
        </is>
      </c>
      <c r="C659" s="5" t="inlineStr">
        <is>
          <t>4532</t>
        </is>
      </c>
      <c r="D659" s="5" t="n">
        <v>3</v>
      </c>
      <c r="E659" s="5" t="n">
        <v>2</v>
      </c>
      <c r="F659" s="5" t="n">
        <v>2</v>
      </c>
      <c r="G659" s="5" t="inlineStr"/>
      <c r="H659" s="5" t="n">
        <v>947</v>
      </c>
      <c r="I659" s="5" t="inlineStr">
        <is>
          <t>1/4/2025</t>
        </is>
      </c>
      <c r="J659" s="5" t="n">
        <v>200</v>
      </c>
      <c r="K659" s="5" t="n">
        <v>12</v>
      </c>
      <c r="L659" s="5" t="inlineStr">
        <is>
          <t>80%</t>
        </is>
      </c>
      <c r="M659" s="5" t="n">
        <v>1574</v>
      </c>
      <c r="N659" s="5" t="n">
        <v>1.66</v>
      </c>
      <c r="O659" s="5" t="n">
        <v>1574</v>
      </c>
      <c r="P659" s="5" t="n">
        <v>1.66</v>
      </c>
      <c r="Q659" s="5" t="inlineStr">
        <is>
          <t>2024-10-22</t>
        </is>
      </c>
      <c r="R659" s="5" t="inlineStr">
        <is>
          <t>2024-10-27</t>
        </is>
      </c>
      <c r="S659" s="5" t="n">
        <v>6</v>
      </c>
      <c r="T659" s="5" t="n">
        <v>0</v>
      </c>
      <c r="U659" s="48" t="inlineStr">
        <is>
          <t>Rain</t>
        </is>
      </c>
    </row>
    <row r="660">
      <c r="A660" s="5" t="inlineStr">
        <is>
          <t>Bella Mirage</t>
        </is>
      </c>
      <c r="B660" s="5" t="inlineStr">
        <is>
          <t>Rain</t>
        </is>
      </c>
      <c r="C660" s="5" t="inlineStr">
        <is>
          <t>5422</t>
        </is>
      </c>
      <c r="D660" s="5" t="inlineStr"/>
      <c r="E660" s="5" t="n">
        <v>2</v>
      </c>
      <c r="F660" s="5" t="n">
        <v>2</v>
      </c>
      <c r="G660" s="5" t="inlineStr"/>
      <c r="H660" s="5" t="n">
        <v>947</v>
      </c>
      <c r="I660" s="5" t="inlineStr">
        <is>
          <t>7/8/2023</t>
        </is>
      </c>
      <c r="J660" s="5" t="inlineStr"/>
      <c r="K660" s="5" t="inlineStr"/>
      <c r="L660" s="5" t="inlineStr">
        <is>
          <t>80%</t>
        </is>
      </c>
      <c r="M660" s="5" t="n">
        <v>1657</v>
      </c>
      <c r="N660" s="5" t="n">
        <v>1.75</v>
      </c>
      <c r="O660" s="5" t="n">
        <v>1594</v>
      </c>
      <c r="P660" s="5" t="n">
        <v>1.68</v>
      </c>
      <c r="Q660" s="5" t="inlineStr">
        <is>
          <t>2023-07-08</t>
        </is>
      </c>
      <c r="R660" s="5" t="inlineStr">
        <is>
          <t>2023-07-11</t>
        </is>
      </c>
      <c r="S660" s="5" t="n">
        <v>4</v>
      </c>
      <c r="T660" s="5" t="n">
        <v>4</v>
      </c>
      <c r="U660" s="48" t="inlineStr">
        <is>
          <t>Rain</t>
        </is>
      </c>
    </row>
    <row r="661">
      <c r="A661" s="5" t="inlineStr">
        <is>
          <t>Bella Mirage</t>
        </is>
      </c>
      <c r="B661" s="5" t="inlineStr">
        <is>
          <t>Rain</t>
        </is>
      </c>
      <c r="C661" s="5" t="inlineStr">
        <is>
          <t>5422</t>
        </is>
      </c>
      <c r="D661" s="5" t="inlineStr"/>
      <c r="E661" s="5" t="n">
        <v>2</v>
      </c>
      <c r="F661" s="5" t="n">
        <v>2</v>
      </c>
      <c r="G661" s="5" t="inlineStr"/>
      <c r="H661" s="5" t="n">
        <v>947</v>
      </c>
      <c r="I661" s="5" t="inlineStr">
        <is>
          <t>3/15/2024</t>
        </is>
      </c>
      <c r="J661" s="5" t="n">
        <v>200</v>
      </c>
      <c r="K661" s="5" t="n">
        <v>12</v>
      </c>
      <c r="L661" s="5" t="inlineStr">
        <is>
          <t>80%</t>
        </is>
      </c>
      <c r="M661" s="5" t="n">
        <v>1574</v>
      </c>
      <c r="N661" s="5" t="n">
        <v>1.66</v>
      </c>
      <c r="O661" s="5" t="n">
        <v>1443</v>
      </c>
      <c r="P661" s="5" t="n">
        <v>1.52</v>
      </c>
      <c r="Q661" s="5" t="inlineStr">
        <is>
          <t>2024-01-27</t>
        </is>
      </c>
      <c r="R661" s="5" t="inlineStr">
        <is>
          <t>2024-03-07</t>
        </is>
      </c>
      <c r="S661" s="5" t="n">
        <v>41</v>
      </c>
      <c r="T661" s="5" t="n">
        <v>0</v>
      </c>
      <c r="U661" s="48" t="inlineStr">
        <is>
          <t>Rain</t>
        </is>
      </c>
    </row>
    <row r="662">
      <c r="A662" s="5" t="inlineStr">
        <is>
          <t>Bella Mirage</t>
        </is>
      </c>
      <c r="B662" s="5" t="inlineStr">
        <is>
          <t>Rain</t>
        </is>
      </c>
      <c r="C662" s="5" t="inlineStr">
        <is>
          <t>1027</t>
        </is>
      </c>
      <c r="D662" s="5" t="inlineStr"/>
      <c r="E662" s="5" t="n">
        <v>2</v>
      </c>
      <c r="F662" s="5" t="n">
        <v>2</v>
      </c>
      <c r="G662" s="5" t="inlineStr"/>
      <c r="H662" s="5" t="n">
        <v>947</v>
      </c>
      <c r="I662" s="5" t="inlineStr">
        <is>
          <t>3/4/2025</t>
        </is>
      </c>
      <c r="J662" s="5" t="n">
        <v>200</v>
      </c>
      <c r="K662" s="5" t="n">
        <v>12</v>
      </c>
      <c r="L662" s="5" t="inlineStr">
        <is>
          <t>80%</t>
        </is>
      </c>
      <c r="M662" s="5" t="n">
        <v>1577</v>
      </c>
      <c r="N662" s="5" t="n">
        <v>1.67</v>
      </c>
      <c r="O662" s="5" t="n">
        <v>1446</v>
      </c>
      <c r="P662" s="5" t="n">
        <v>1.53</v>
      </c>
      <c r="Q662" s="5" t="inlineStr">
        <is>
          <t>2025-02-10</t>
        </is>
      </c>
      <c r="R662" s="5" t="inlineStr">
        <is>
          <t>2025-02-19</t>
        </is>
      </c>
      <c r="S662" s="5" t="n">
        <v>10</v>
      </c>
      <c r="T662" s="5" t="n">
        <v>0</v>
      </c>
      <c r="U662" s="48" t="inlineStr">
        <is>
          <t>Rain</t>
        </is>
      </c>
    </row>
    <row r="663">
      <c r="A663" s="5" t="inlineStr">
        <is>
          <t>Bella Mirage</t>
        </is>
      </c>
      <c r="B663" s="5" t="inlineStr">
        <is>
          <t>Rain</t>
        </is>
      </c>
      <c r="C663" s="5" t="inlineStr">
        <is>
          <t>1522</t>
        </is>
      </c>
      <c r="D663" s="5" t="n">
        <v>1</v>
      </c>
      <c r="E663" s="5" t="n">
        <v>2</v>
      </c>
      <c r="F663" s="5" t="n">
        <v>2</v>
      </c>
      <c r="G663" s="5" t="inlineStr"/>
      <c r="H663" s="5" t="n">
        <v>947</v>
      </c>
      <c r="I663" s="5" t="inlineStr">
        <is>
          <t>2/12/2024</t>
        </is>
      </c>
      <c r="J663" s="5" t="n">
        <v>200</v>
      </c>
      <c r="K663" s="5" t="n">
        <v>13</v>
      </c>
      <c r="L663" s="5" t="inlineStr">
        <is>
          <t>80%</t>
        </is>
      </c>
      <c r="M663" s="5" t="n">
        <v>1571</v>
      </c>
      <c r="N663" s="5" t="n">
        <v>1.66</v>
      </c>
      <c r="O663" s="5" t="n">
        <v>1450</v>
      </c>
      <c r="P663" s="5" t="n">
        <v>1.53</v>
      </c>
      <c r="Q663" s="5" t="inlineStr">
        <is>
          <t>2023-12-29</t>
        </is>
      </c>
      <c r="R663" s="5" t="inlineStr">
        <is>
          <t>2024-04-12</t>
        </is>
      </c>
      <c r="S663" s="5" t="n">
        <v>106</v>
      </c>
      <c r="T663" s="5" t="n">
        <v>61</v>
      </c>
      <c r="U663" s="48" t="inlineStr">
        <is>
          <t>Rain</t>
        </is>
      </c>
    </row>
    <row r="664">
      <c r="A664" s="5" t="inlineStr">
        <is>
          <t>Bella Mirage</t>
        </is>
      </c>
      <c r="B664" s="5" t="inlineStr">
        <is>
          <t>Rain</t>
        </is>
      </c>
      <c r="C664" s="5" t="inlineStr">
        <is>
          <t>1522</t>
        </is>
      </c>
      <c r="D664" s="5" t="n">
        <v>1</v>
      </c>
      <c r="E664" s="5" t="n">
        <v>2</v>
      </c>
      <c r="F664" s="5" t="n">
        <v>2</v>
      </c>
      <c r="G664" s="5" t="inlineStr"/>
      <c r="H664" s="5" t="n">
        <v>947</v>
      </c>
      <c r="I664" s="5" t="inlineStr">
        <is>
          <t>8/7/2025</t>
        </is>
      </c>
      <c r="J664" s="5" t="n">
        <v>200</v>
      </c>
      <c r="K664" s="5" t="n">
        <v>15</v>
      </c>
      <c r="L664" s="5" t="inlineStr">
        <is>
          <t>80%</t>
        </is>
      </c>
      <c r="M664" s="5" t="n">
        <v>1587</v>
      </c>
      <c r="N664" s="5" t="n">
        <v>1.68</v>
      </c>
      <c r="O664" s="5" t="n">
        <v>1587</v>
      </c>
      <c r="P664" s="5" t="n">
        <v>1.68</v>
      </c>
      <c r="Q664" s="5" t="inlineStr">
        <is>
          <t>2025-05-28</t>
        </is>
      </c>
      <c r="R664" s="5" t="inlineStr">
        <is>
          <t>2025-08-15</t>
        </is>
      </c>
      <c r="S664" s="5" t="n">
        <v>80</v>
      </c>
      <c r="T664" s="5" t="n">
        <v>9</v>
      </c>
      <c r="U664" s="48" t="inlineStr">
        <is>
          <t>Rain</t>
        </is>
      </c>
    </row>
    <row r="665">
      <c r="A665" s="5" t="inlineStr">
        <is>
          <t>Bella Mirage</t>
        </is>
      </c>
      <c r="B665" s="5" t="inlineStr">
        <is>
          <t>Rain</t>
        </is>
      </c>
      <c r="C665" s="5" t="inlineStr">
        <is>
          <t>1512</t>
        </is>
      </c>
      <c r="D665" s="5" t="n">
        <v>1</v>
      </c>
      <c r="E665" s="5" t="n">
        <v>2</v>
      </c>
      <c r="F665" s="5" t="n">
        <v>2</v>
      </c>
      <c r="G665" s="5" t="inlineStr"/>
      <c r="H665" s="5" t="n">
        <v>947</v>
      </c>
      <c r="I665" s="5" t="inlineStr">
        <is>
          <t>3/2/2024</t>
        </is>
      </c>
      <c r="J665" s="5" t="n">
        <v>200</v>
      </c>
      <c r="K665" s="5" t="n">
        <v>15</v>
      </c>
      <c r="L665" s="5" t="inlineStr">
        <is>
          <t>80%</t>
        </is>
      </c>
      <c r="M665" s="5" t="n">
        <v>1598</v>
      </c>
      <c r="N665" s="5" t="n">
        <v>1.69</v>
      </c>
      <c r="O665" s="5" t="n">
        <v>1598</v>
      </c>
      <c r="P665" s="5" t="n">
        <v>1.69</v>
      </c>
      <c r="Q665" s="5" t="inlineStr">
        <is>
          <t>2024-02-24</t>
        </is>
      </c>
      <c r="R665" s="5" t="inlineStr">
        <is>
          <t>2024-06-21</t>
        </is>
      </c>
      <c r="S665" s="5" t="n">
        <v>119</v>
      </c>
      <c r="T665" s="5" t="n">
        <v>112</v>
      </c>
      <c r="U665" s="48" t="inlineStr">
        <is>
          <t>Rain</t>
        </is>
      </c>
    </row>
    <row r="666">
      <c r="A666" s="5" t="inlineStr">
        <is>
          <t>Bella Mirage</t>
        </is>
      </c>
      <c r="B666" s="5" t="inlineStr">
        <is>
          <t>Rain</t>
        </is>
      </c>
      <c r="C666" s="5" t="inlineStr">
        <is>
          <t>1512</t>
        </is>
      </c>
      <c r="D666" s="5" t="n">
        <v>1</v>
      </c>
      <c r="E666" s="5" t="n">
        <v>2</v>
      </c>
      <c r="F666" s="5" t="n">
        <v>2</v>
      </c>
      <c r="G666" s="5" t="inlineStr"/>
      <c r="H666" s="5" t="n">
        <v>947</v>
      </c>
      <c r="I666" s="5" t="inlineStr">
        <is>
          <t>10/10/2025</t>
        </is>
      </c>
      <c r="J666" s="5" t="n">
        <v>200</v>
      </c>
      <c r="K666" s="5" t="n">
        <v>13</v>
      </c>
      <c r="L666" s="5" t="inlineStr">
        <is>
          <t>80%</t>
        </is>
      </c>
      <c r="M666" s="5" t="n">
        <v>1626</v>
      </c>
      <c r="N666" s="5" t="n">
        <v>1.72</v>
      </c>
      <c r="O666" s="5" t="n">
        <v>1626</v>
      </c>
      <c r="P666" s="5" t="n">
        <v>1.72</v>
      </c>
      <c r="Q666" s="5" t="inlineStr">
        <is>
          <t>2025-07-17</t>
        </is>
      </c>
      <c r="R666" s="5" t="inlineStr">
        <is>
          <t>2025-08-17</t>
        </is>
      </c>
      <c r="S666" s="5" t="n">
        <v>32</v>
      </c>
      <c r="T666" s="5" t="n">
        <v>0</v>
      </c>
      <c r="U666" s="48" t="inlineStr">
        <is>
          <t>Rain</t>
        </is>
      </c>
    </row>
    <row r="667">
      <c r="A667" s="5" t="inlineStr">
        <is>
          <t>Bella Mirage</t>
        </is>
      </c>
      <c r="B667" s="5" t="inlineStr">
        <is>
          <t>Rain</t>
        </is>
      </c>
      <c r="C667" s="5" t="inlineStr">
        <is>
          <t>5436</t>
        </is>
      </c>
      <c r="D667" s="5" t="inlineStr"/>
      <c r="E667" s="5" t="n">
        <v>2</v>
      </c>
      <c r="F667" s="5" t="n">
        <v>2</v>
      </c>
      <c r="G667" s="5" t="inlineStr"/>
      <c r="H667" s="5" t="n">
        <v>947</v>
      </c>
      <c r="I667" s="5" t="inlineStr">
        <is>
          <t>9/2/2023</t>
        </is>
      </c>
      <c r="J667" s="5" t="inlineStr"/>
      <c r="K667" s="5" t="inlineStr"/>
      <c r="L667" s="5" t="inlineStr">
        <is>
          <t>60%</t>
        </is>
      </c>
      <c r="M667" s="5" t="n">
        <v>1321</v>
      </c>
      <c r="N667" s="5" t="n">
        <v>1.39</v>
      </c>
      <c r="O667" s="5" t="n">
        <v>1211</v>
      </c>
      <c r="P667" s="5" t="n">
        <v>1.28</v>
      </c>
      <c r="Q667" s="5" t="inlineStr">
        <is>
          <t>2023-08-06</t>
        </is>
      </c>
      <c r="R667" s="5" t="inlineStr">
        <is>
          <t>2023-11-18</t>
        </is>
      </c>
      <c r="S667" s="5" t="n">
        <v>105</v>
      </c>
      <c r="T667" s="5" t="n">
        <v>78</v>
      </c>
      <c r="U667" s="48" t="inlineStr">
        <is>
          <t>Rain</t>
        </is>
      </c>
    </row>
    <row r="668">
      <c r="A668" s="5" t="inlineStr">
        <is>
          <t>Bella Mirage</t>
        </is>
      </c>
      <c r="B668" s="5" t="inlineStr">
        <is>
          <t>Rain</t>
        </is>
      </c>
      <c r="C668" s="5" t="inlineStr">
        <is>
          <t>6336</t>
        </is>
      </c>
      <c r="D668" s="5" t="inlineStr"/>
      <c r="E668" s="5" t="n">
        <v>2</v>
      </c>
      <c r="F668" s="5" t="n">
        <v>2</v>
      </c>
      <c r="G668" s="5" t="inlineStr"/>
      <c r="H668" s="5" t="n">
        <v>947</v>
      </c>
      <c r="I668" s="5" t="inlineStr">
        <is>
          <t>7/1/2023</t>
        </is>
      </c>
      <c r="J668" s="5" t="inlineStr"/>
      <c r="K668" s="5" t="inlineStr"/>
      <c r="L668" s="5" t="inlineStr">
        <is>
          <t>60%</t>
        </is>
      </c>
      <c r="M668" s="5" t="n">
        <v>1330</v>
      </c>
      <c r="N668" s="5" t="n">
        <v>1.4</v>
      </c>
      <c r="O668" s="5" t="n">
        <v>1268</v>
      </c>
      <c r="P668" s="5" t="n">
        <v>1.34</v>
      </c>
      <c r="Q668" s="5" t="inlineStr">
        <is>
          <t>2023-07-01</t>
        </is>
      </c>
      <c r="R668" s="5" t="inlineStr">
        <is>
          <t>2023-08-04</t>
        </is>
      </c>
      <c r="S668" s="5" t="n">
        <v>35</v>
      </c>
      <c r="T668" s="5" t="n">
        <v>35</v>
      </c>
      <c r="U668" s="48" t="inlineStr">
        <is>
          <t>Rain</t>
        </is>
      </c>
    </row>
    <row r="669">
      <c r="A669" s="5" t="inlineStr">
        <is>
          <t>Bella Mirage</t>
        </is>
      </c>
      <c r="B669" s="5" t="inlineStr">
        <is>
          <t>Rain</t>
        </is>
      </c>
      <c r="C669" s="5" t="inlineStr">
        <is>
          <t>0213</t>
        </is>
      </c>
      <c r="D669" s="5" t="inlineStr"/>
      <c r="E669" s="5" t="n">
        <v>2</v>
      </c>
      <c r="F669" s="5" t="n">
        <v>2</v>
      </c>
      <c r="G669" s="5" t="inlineStr"/>
      <c r="H669" s="5" t="n">
        <v>947</v>
      </c>
      <c r="I669" s="5" t="inlineStr">
        <is>
          <t>11/6/2023</t>
        </is>
      </c>
      <c r="J669" s="5" t="inlineStr"/>
      <c r="K669" s="5" t="inlineStr"/>
      <c r="L669" s="5" t="inlineStr">
        <is>
          <t>60%</t>
        </is>
      </c>
      <c r="M669" s="5" t="n">
        <v>1378</v>
      </c>
      <c r="N669" s="5" t="n">
        <v>1.46</v>
      </c>
      <c r="O669" s="5" t="n">
        <v>1263</v>
      </c>
      <c r="P669" s="5" t="n">
        <v>1.33</v>
      </c>
      <c r="Q669" s="5" t="inlineStr">
        <is>
          <t>2023-11-06</t>
        </is>
      </c>
      <c r="R669" s="5" t="inlineStr">
        <is>
          <t>2023-11-15</t>
        </is>
      </c>
      <c r="S669" s="5" t="n">
        <v>10</v>
      </c>
      <c r="T669" s="5" t="n">
        <v>10</v>
      </c>
      <c r="U669" s="48" t="inlineStr">
        <is>
          <t>Rain</t>
        </is>
      </c>
    </row>
    <row r="670">
      <c r="A670" s="5" t="inlineStr">
        <is>
          <t>Bella Mirage</t>
        </is>
      </c>
      <c r="B670" s="5" t="inlineStr">
        <is>
          <t>Rain</t>
        </is>
      </c>
      <c r="C670" s="5" t="inlineStr">
        <is>
          <t>1533</t>
        </is>
      </c>
      <c r="D670" s="5" t="n">
        <v>3</v>
      </c>
      <c r="E670" s="5" t="n">
        <v>2</v>
      </c>
      <c r="F670" s="5" t="n">
        <v>2</v>
      </c>
      <c r="G670" s="5" t="inlineStr"/>
      <c r="H670" s="5" t="n">
        <v>947</v>
      </c>
      <c r="I670" s="5" t="inlineStr">
        <is>
          <t>11/19/2023</t>
        </is>
      </c>
      <c r="J670" s="5" t="inlineStr"/>
      <c r="K670" s="5" t="inlineStr"/>
      <c r="L670" s="5" t="inlineStr">
        <is>
          <t>60%</t>
        </is>
      </c>
      <c r="M670" s="5" t="n">
        <v>1431</v>
      </c>
      <c r="N670" s="5" t="n">
        <v>1.51</v>
      </c>
      <c r="O670" s="5" t="n">
        <v>1312</v>
      </c>
      <c r="P670" s="5" t="n">
        <v>1.39</v>
      </c>
      <c r="Q670" s="5" t="inlineStr">
        <is>
          <t>2023-11-19</t>
        </is>
      </c>
      <c r="R670" s="5" t="inlineStr">
        <is>
          <t>2023-12-06</t>
        </is>
      </c>
      <c r="S670" s="5" t="n">
        <v>18</v>
      </c>
      <c r="T670" s="5" t="n">
        <v>18</v>
      </c>
      <c r="U670" s="48" t="inlineStr">
        <is>
          <t>Rain</t>
        </is>
      </c>
    </row>
    <row r="671">
      <c r="A671" s="5" t="inlineStr">
        <is>
          <t>Bella Mirage</t>
        </is>
      </c>
      <c r="B671" s="5" t="inlineStr">
        <is>
          <t>Rain</t>
        </is>
      </c>
      <c r="C671" s="5" t="inlineStr">
        <is>
          <t>4537</t>
        </is>
      </c>
      <c r="D671" s="5" t="n">
        <v>3</v>
      </c>
      <c r="E671" s="5" t="n">
        <v>2</v>
      </c>
      <c r="F671" s="5" t="n">
        <v>2</v>
      </c>
      <c r="G671" s="5" t="inlineStr"/>
      <c r="H671" s="5" t="n">
        <v>947</v>
      </c>
      <c r="I671" s="5" t="inlineStr">
        <is>
          <t>12/6/2023</t>
        </is>
      </c>
      <c r="J671" s="5" t="inlineStr"/>
      <c r="K671" s="5" t="inlineStr"/>
      <c r="L671" s="5" t="inlineStr">
        <is>
          <t>60%</t>
        </is>
      </c>
      <c r="M671" s="5" t="n">
        <v>1434</v>
      </c>
      <c r="N671" s="5" t="n">
        <v>1.51</v>
      </c>
      <c r="O671" s="5" t="n">
        <v>1314</v>
      </c>
      <c r="P671" s="5" t="n">
        <v>1.39</v>
      </c>
      <c r="Q671" s="5" t="inlineStr">
        <is>
          <t>2023-11-20</t>
        </is>
      </c>
      <c r="R671" s="5" t="inlineStr">
        <is>
          <t>2023-12-22</t>
        </is>
      </c>
      <c r="S671" s="5" t="n">
        <v>33</v>
      </c>
      <c r="T671" s="5" t="n">
        <v>17</v>
      </c>
      <c r="U671" s="48" t="inlineStr">
        <is>
          <t>Rain</t>
        </is>
      </c>
    </row>
    <row r="672">
      <c r="A672" s="5" t="inlineStr">
        <is>
          <t>Bella Mirage</t>
        </is>
      </c>
      <c r="B672" s="5" t="inlineStr">
        <is>
          <t>Rain</t>
        </is>
      </c>
      <c r="C672" s="5" t="inlineStr">
        <is>
          <t>3412</t>
        </is>
      </c>
      <c r="D672" s="5" t="inlineStr"/>
      <c r="E672" s="5" t="n">
        <v>2</v>
      </c>
      <c r="F672" s="5" t="n">
        <v>2</v>
      </c>
      <c r="G672" s="5" t="inlineStr"/>
      <c r="H672" s="5" t="n">
        <v>947</v>
      </c>
      <c r="I672" s="5" t="inlineStr">
        <is>
          <t>12/20/2023</t>
        </is>
      </c>
      <c r="J672" s="5" t="inlineStr"/>
      <c r="K672" s="5" t="inlineStr"/>
      <c r="L672" s="5" t="inlineStr">
        <is>
          <t>60%</t>
        </is>
      </c>
      <c r="M672" s="5" t="n">
        <v>1454</v>
      </c>
      <c r="N672" s="5" t="n">
        <v>1.54</v>
      </c>
      <c r="O672" s="5" t="n">
        <v>1333</v>
      </c>
      <c r="P672" s="5" t="n">
        <v>1.41</v>
      </c>
      <c r="Q672" s="5" t="inlineStr">
        <is>
          <t>2023-12-12</t>
        </is>
      </c>
      <c r="R672" s="5" t="inlineStr">
        <is>
          <t>2023-12-29</t>
        </is>
      </c>
      <c r="S672" s="5" t="n">
        <v>18</v>
      </c>
      <c r="T672" s="5" t="n">
        <v>10</v>
      </c>
      <c r="U672" s="48" t="inlineStr">
        <is>
          <t>Rain</t>
        </is>
      </c>
    </row>
    <row r="673">
      <c r="A673" s="5" t="inlineStr">
        <is>
          <t>Bella Mirage</t>
        </is>
      </c>
      <c r="B673" s="5" t="inlineStr">
        <is>
          <t>Rain</t>
        </is>
      </c>
      <c r="C673" s="5" t="inlineStr">
        <is>
          <t>1922</t>
        </is>
      </c>
      <c r="D673" s="5" t="inlineStr"/>
      <c r="E673" s="5" t="n">
        <v>2</v>
      </c>
      <c r="F673" s="5" t="n">
        <v>2</v>
      </c>
      <c r="G673" s="5" t="inlineStr"/>
      <c r="H673" s="5" t="n">
        <v>947</v>
      </c>
      <c r="I673" s="5" t="inlineStr">
        <is>
          <t>3/18/2024</t>
        </is>
      </c>
      <c r="J673" s="5" t="inlineStr"/>
      <c r="K673" s="5" t="inlineStr"/>
      <c r="L673" s="5" t="inlineStr">
        <is>
          <t>60%</t>
        </is>
      </c>
      <c r="M673" s="5" t="n">
        <v>1474</v>
      </c>
      <c r="N673" s="5" t="n">
        <v>1.56</v>
      </c>
      <c r="O673" s="5" t="n">
        <v>1351</v>
      </c>
      <c r="P673" s="5" t="n">
        <v>1.43</v>
      </c>
      <c r="Q673" s="5" t="inlineStr">
        <is>
          <t>2024-01-20</t>
        </is>
      </c>
      <c r="R673" s="5" t="inlineStr">
        <is>
          <t>2024-01-27</t>
        </is>
      </c>
      <c r="S673" s="5" t="n">
        <v>8</v>
      </c>
      <c r="T673" s="5" t="n">
        <v>0</v>
      </c>
      <c r="U673" s="48" t="inlineStr">
        <is>
          <t>Rain</t>
        </is>
      </c>
    </row>
    <row r="674">
      <c r="A674" s="5" t="inlineStr">
        <is>
          <t>Bella Mirage</t>
        </is>
      </c>
      <c r="B674" s="5" t="inlineStr">
        <is>
          <t>Rain</t>
        </is>
      </c>
      <c r="C674" s="5" t="inlineStr">
        <is>
          <t>1917</t>
        </is>
      </c>
      <c r="D674" s="5" t="n">
        <v>1</v>
      </c>
      <c r="E674" s="5" t="n">
        <v>2</v>
      </c>
      <c r="F674" s="5" t="n">
        <v>2</v>
      </c>
      <c r="G674" s="5" t="inlineStr"/>
      <c r="H674" s="5" t="n">
        <v>947</v>
      </c>
      <c r="I674" s="5" t="inlineStr">
        <is>
          <t>9/11/2023</t>
        </is>
      </c>
      <c r="J674" s="5" t="inlineStr"/>
      <c r="K674" s="5" t="inlineStr"/>
      <c r="L674" s="5" t="inlineStr">
        <is>
          <t>60%</t>
        </is>
      </c>
      <c r="M674" s="5" t="n">
        <v>1490</v>
      </c>
      <c r="N674" s="5" t="n">
        <v>1.57</v>
      </c>
      <c r="O674" s="5" t="n">
        <v>1366</v>
      </c>
      <c r="P674" s="5" t="n">
        <v>1.44</v>
      </c>
      <c r="Q674" s="5" t="inlineStr">
        <is>
          <t>2023-08-26</t>
        </is>
      </c>
      <c r="R674" s="5" t="inlineStr">
        <is>
          <t>2023-11-09</t>
        </is>
      </c>
      <c r="S674" s="5" t="n">
        <v>76</v>
      </c>
      <c r="T674" s="5" t="n">
        <v>60</v>
      </c>
      <c r="U674" s="48" t="inlineStr">
        <is>
          <t>Rain</t>
        </is>
      </c>
    </row>
    <row r="675">
      <c r="A675" s="5" t="inlineStr">
        <is>
          <t>Bella Mirage</t>
        </is>
      </c>
      <c r="B675" s="5" t="inlineStr">
        <is>
          <t>Rain</t>
        </is>
      </c>
      <c r="C675" s="5" t="inlineStr">
        <is>
          <t>3222</t>
        </is>
      </c>
      <c r="D675" s="5" t="n">
        <v>3</v>
      </c>
      <c r="E675" s="5" t="n">
        <v>2</v>
      </c>
      <c r="F675" s="5" t="n">
        <v>2</v>
      </c>
      <c r="G675" s="5" t="inlineStr"/>
      <c r="H675" s="5" t="n">
        <v>947</v>
      </c>
      <c r="I675" s="5" t="inlineStr">
        <is>
          <t>6/17/2023</t>
        </is>
      </c>
      <c r="J675" s="5" t="inlineStr"/>
      <c r="K675" s="5" t="inlineStr"/>
      <c r="L675" s="5" t="inlineStr">
        <is>
          <t>80%</t>
        </is>
      </c>
      <c r="M675" s="5" t="n">
        <v>1616</v>
      </c>
      <c r="N675" s="5" t="n">
        <v>1.71</v>
      </c>
      <c r="O675" s="5" t="n">
        <v>1554</v>
      </c>
      <c r="P675" s="5" t="n">
        <v>1.64</v>
      </c>
      <c r="Q675" s="5" t="inlineStr"/>
      <c r="R675" s="5" t="inlineStr">
        <is>
          <t>2023-06-28</t>
        </is>
      </c>
      <c r="S675" s="5" t="inlineStr"/>
      <c r="T675" s="5" t="inlineStr"/>
      <c r="U675" s="48" t="inlineStr">
        <is>
          <t>Rain</t>
        </is>
      </c>
    </row>
    <row r="676">
      <c r="A676" s="5" t="inlineStr">
        <is>
          <t>Bella Mirage</t>
        </is>
      </c>
      <c r="B676" s="5" t="inlineStr">
        <is>
          <t>Isla</t>
        </is>
      </c>
      <c r="C676" s="5" t="inlineStr">
        <is>
          <t>2221</t>
        </is>
      </c>
      <c r="D676" s="5" t="n">
        <v>2</v>
      </c>
      <c r="E676" s="5" t="n">
        <v>2</v>
      </c>
      <c r="F676" s="5" t="n">
        <v>2</v>
      </c>
      <c r="G676" s="5" t="inlineStr"/>
      <c r="H676" s="5" t="n">
        <v>1040</v>
      </c>
      <c r="I676" s="5" t="inlineStr">
        <is>
          <t>7/28/2024</t>
        </is>
      </c>
      <c r="J676" s="5" t="n">
        <v>200</v>
      </c>
      <c r="K676" s="5" t="n">
        <v>12</v>
      </c>
      <c r="L676" s="5" t="inlineStr">
        <is>
          <t>60%</t>
        </is>
      </c>
      <c r="M676" s="5" t="n">
        <v>1662</v>
      </c>
      <c r="N676" s="5" t="n">
        <v>1.6</v>
      </c>
      <c r="O676" s="5" t="n">
        <v>1662</v>
      </c>
      <c r="P676" s="5" t="n">
        <v>1.6</v>
      </c>
      <c r="Q676" s="5" t="inlineStr">
        <is>
          <t>2024-05-16</t>
        </is>
      </c>
      <c r="R676" s="5" t="inlineStr">
        <is>
          <t>2024-07-04</t>
        </is>
      </c>
      <c r="S676" s="5" t="n">
        <v>50</v>
      </c>
      <c r="T676" s="5" t="n">
        <v>0</v>
      </c>
      <c r="U676" s="48" t="inlineStr">
        <is>
          <t>Isla</t>
        </is>
      </c>
    </row>
    <row r="677">
      <c r="A677" s="5" t="inlineStr">
        <is>
          <t>Bella Mirage</t>
        </is>
      </c>
      <c r="B677" s="5" t="inlineStr">
        <is>
          <t>Isla</t>
        </is>
      </c>
      <c r="C677" s="5" t="inlineStr">
        <is>
          <t>2221</t>
        </is>
      </c>
      <c r="D677" s="5" t="n">
        <v>2</v>
      </c>
      <c r="E677" s="5" t="n">
        <v>2</v>
      </c>
      <c r="F677" s="5" t="n">
        <v>2</v>
      </c>
      <c r="G677" s="5" t="inlineStr"/>
      <c r="H677" s="5" t="n">
        <v>1040</v>
      </c>
      <c r="I677" s="5" t="inlineStr">
        <is>
          <t>4/15/2026</t>
        </is>
      </c>
      <c r="J677" s="5" t="n">
        <v>300</v>
      </c>
      <c r="K677" s="5" t="n">
        <v>13</v>
      </c>
      <c r="L677" s="5" t="inlineStr">
        <is>
          <t>60%</t>
        </is>
      </c>
      <c r="M677" s="5" t="n">
        <v>1381</v>
      </c>
      <c r="N677" s="5" t="n">
        <v>1.33</v>
      </c>
      <c r="O677" s="5" t="n">
        <v>1381</v>
      </c>
      <c r="P677" s="5" t="n">
        <v>1.33</v>
      </c>
      <c r="Q677" s="5" t="inlineStr">
        <is>
          <t>2026-01-25</t>
        </is>
      </c>
      <c r="R677" s="5" t="inlineStr">
        <is>
          <t>2026-01-27</t>
        </is>
      </c>
      <c r="S677" s="5" t="n">
        <v>3</v>
      </c>
      <c r="T677" s="5" t="n">
        <v>0</v>
      </c>
      <c r="U677" s="48" t="inlineStr">
        <is>
          <t>Isla</t>
        </is>
      </c>
    </row>
    <row r="678">
      <c r="A678" s="5" t="inlineStr">
        <is>
          <t>Bella Mirage</t>
        </is>
      </c>
      <c r="B678" s="5" t="inlineStr">
        <is>
          <t>Isla</t>
        </is>
      </c>
      <c r="C678" s="5" t="inlineStr">
        <is>
          <t>1422</t>
        </is>
      </c>
      <c r="D678" s="5" t="n">
        <v>2</v>
      </c>
      <c r="E678" s="5" t="n">
        <v>2</v>
      </c>
      <c r="F678" s="5" t="n">
        <v>2</v>
      </c>
      <c r="G678" s="5" t="inlineStr"/>
      <c r="H678" s="5" t="n">
        <v>1040</v>
      </c>
      <c r="I678" s="5" t="inlineStr">
        <is>
          <t>3/10/2024</t>
        </is>
      </c>
      <c r="J678" s="5" t="n">
        <v>200</v>
      </c>
      <c r="K678" s="5" t="n">
        <v>12</v>
      </c>
      <c r="L678" s="5" t="inlineStr">
        <is>
          <t>60%</t>
        </is>
      </c>
      <c r="M678" s="5" t="n">
        <v>1663</v>
      </c>
      <c r="N678" s="5" t="n">
        <v>1.6</v>
      </c>
      <c r="O678" s="5" t="n">
        <v>1524</v>
      </c>
      <c r="P678" s="5" t="n">
        <v>1.47</v>
      </c>
      <c r="Q678" s="5" t="inlineStr">
        <is>
          <t>2024-01-27</t>
        </is>
      </c>
      <c r="R678" s="5" t="inlineStr">
        <is>
          <t>2024-03-09</t>
        </is>
      </c>
      <c r="S678" s="5" t="n">
        <v>43</v>
      </c>
      <c r="T678" s="5" t="n">
        <v>0</v>
      </c>
      <c r="U678" s="48" t="inlineStr">
        <is>
          <t>Isla</t>
        </is>
      </c>
    </row>
    <row r="679">
      <c r="A679" s="5" t="inlineStr">
        <is>
          <t>Bella Mirage</t>
        </is>
      </c>
      <c r="B679" s="5" t="inlineStr">
        <is>
          <t>Isla</t>
        </is>
      </c>
      <c r="C679" s="5" t="inlineStr">
        <is>
          <t>1422</t>
        </is>
      </c>
      <c r="D679" s="5" t="n">
        <v>2</v>
      </c>
      <c r="E679" s="5" t="n">
        <v>2</v>
      </c>
      <c r="F679" s="5" t="n">
        <v>2</v>
      </c>
      <c r="G679" s="5" t="inlineStr"/>
      <c r="H679" s="5" t="n">
        <v>1040</v>
      </c>
      <c r="I679" s="5" t="inlineStr">
        <is>
          <t>9/8/2025</t>
        </is>
      </c>
      <c r="J679" s="5" t="n">
        <v>200</v>
      </c>
      <c r="K679" s="5" t="n">
        <v>12</v>
      </c>
      <c r="L679" s="5" t="inlineStr">
        <is>
          <t>60%</t>
        </is>
      </c>
      <c r="M679" s="5" t="n">
        <v>1476</v>
      </c>
      <c r="N679" s="5" t="n">
        <v>1.42</v>
      </c>
      <c r="O679" s="5" t="n">
        <v>1353</v>
      </c>
      <c r="P679" s="5" t="n">
        <v>1.3</v>
      </c>
      <c r="Q679" s="5" t="inlineStr">
        <is>
          <t>2025-06-26</t>
        </is>
      </c>
      <c r="R679" s="5" t="inlineStr">
        <is>
          <t>2025-07-08</t>
        </is>
      </c>
      <c r="S679" s="5" t="n">
        <v>13</v>
      </c>
      <c r="T679" s="5" t="n">
        <v>0</v>
      </c>
      <c r="U679" s="48" t="inlineStr">
        <is>
          <t>Isla</t>
        </is>
      </c>
    </row>
    <row r="680">
      <c r="A680" s="5" t="inlineStr">
        <is>
          <t>Bella Mirage</t>
        </is>
      </c>
      <c r="B680" s="5" t="inlineStr">
        <is>
          <t>Isla</t>
        </is>
      </c>
      <c r="C680" s="5" t="inlineStr">
        <is>
          <t>2322</t>
        </is>
      </c>
      <c r="D680" s="5" t="inlineStr"/>
      <c r="E680" s="5" t="n">
        <v>2</v>
      </c>
      <c r="F680" s="5" t="n">
        <v>2</v>
      </c>
      <c r="G680" s="5" t="inlineStr"/>
      <c r="H680" s="5" t="n">
        <v>1040</v>
      </c>
      <c r="I680" s="5" t="inlineStr">
        <is>
          <t>9/19/2023</t>
        </is>
      </c>
      <c r="J680" s="5" t="inlineStr"/>
      <c r="K680" s="5" t="inlineStr"/>
      <c r="L680" s="5" t="inlineStr">
        <is>
          <t>60%</t>
        </is>
      </c>
      <c r="M680" s="5" t="n">
        <v>1793</v>
      </c>
      <c r="N680" s="5" t="n">
        <v>1.72</v>
      </c>
      <c r="O680" s="5" t="n">
        <v>1793</v>
      </c>
      <c r="P680" s="5" t="n">
        <v>1.72</v>
      </c>
      <c r="Q680" s="5" t="inlineStr">
        <is>
          <t>2023-08-02</t>
        </is>
      </c>
      <c r="R680" s="5" t="inlineStr">
        <is>
          <t>2023-09-04</t>
        </is>
      </c>
      <c r="S680" s="5" t="n">
        <v>34</v>
      </c>
      <c r="T680" s="5" t="n">
        <v>0</v>
      </c>
      <c r="U680" s="48" t="inlineStr">
        <is>
          <t>Isla</t>
        </is>
      </c>
    </row>
    <row r="681">
      <c r="A681" s="5" t="inlineStr">
        <is>
          <t>Bella Mirage</t>
        </is>
      </c>
      <c r="B681" s="5" t="inlineStr">
        <is>
          <t>Isla</t>
        </is>
      </c>
      <c r="C681" s="5" t="inlineStr">
        <is>
          <t>2322</t>
        </is>
      </c>
      <c r="D681" s="5" t="inlineStr"/>
      <c r="E681" s="5" t="n">
        <v>2</v>
      </c>
      <c r="F681" s="5" t="n">
        <v>2</v>
      </c>
      <c r="G681" s="5" t="inlineStr"/>
      <c r="H681" s="5" t="n">
        <v>1040</v>
      </c>
      <c r="I681" s="5" t="inlineStr">
        <is>
          <t>1/2/2025</t>
        </is>
      </c>
      <c r="J681" s="5" t="n">
        <v>200</v>
      </c>
      <c r="K681" s="5" t="n">
        <v>12</v>
      </c>
      <c r="L681" s="5" t="inlineStr">
        <is>
          <t>60%</t>
        </is>
      </c>
      <c r="M681" s="5" t="n">
        <v>1463</v>
      </c>
      <c r="N681" s="5" t="n">
        <v>1.41</v>
      </c>
      <c r="O681" s="5" t="n">
        <v>1463</v>
      </c>
      <c r="P681" s="5" t="n">
        <v>1.41</v>
      </c>
      <c r="Q681" s="5" t="inlineStr">
        <is>
          <t>2024-10-31</t>
        </is>
      </c>
      <c r="R681" s="5" t="inlineStr">
        <is>
          <t>2024-11-02</t>
        </is>
      </c>
      <c r="S681" s="5" t="n">
        <v>3</v>
      </c>
      <c r="T681" s="5" t="n">
        <v>0</v>
      </c>
      <c r="U681" s="48" t="inlineStr">
        <is>
          <t>Isla</t>
        </is>
      </c>
    </row>
    <row r="682">
      <c r="A682" s="5" t="inlineStr">
        <is>
          <t>Bella Mirage</t>
        </is>
      </c>
      <c r="B682" s="5" t="inlineStr">
        <is>
          <t>Isla</t>
        </is>
      </c>
      <c r="C682" s="5" t="inlineStr">
        <is>
          <t>0321</t>
        </is>
      </c>
      <c r="D682" s="5" t="inlineStr"/>
      <c r="E682" s="5" t="n">
        <v>2</v>
      </c>
      <c r="F682" s="5" t="n">
        <v>2</v>
      </c>
      <c r="G682" s="5" t="inlineStr"/>
      <c r="H682" s="5" t="n">
        <v>1040</v>
      </c>
      <c r="I682" s="5" t="inlineStr">
        <is>
          <t>7/19/2025</t>
        </is>
      </c>
      <c r="J682" s="5" t="n">
        <v>200</v>
      </c>
      <c r="K682" s="5" t="n">
        <v>13</v>
      </c>
      <c r="L682" s="5" t="inlineStr">
        <is>
          <t>60%</t>
        </is>
      </c>
      <c r="M682" s="5" t="n">
        <v>1502</v>
      </c>
      <c r="N682" s="5" t="n">
        <v>1.44</v>
      </c>
      <c r="O682" s="5" t="n">
        <v>1386</v>
      </c>
      <c r="P682" s="5" t="n">
        <v>1.33</v>
      </c>
      <c r="Q682" s="5" t="inlineStr">
        <is>
          <t>2025-06-11</t>
        </is>
      </c>
      <c r="R682" s="5" t="inlineStr">
        <is>
          <t>2025-06-12</t>
        </is>
      </c>
      <c r="S682" s="5" t="n">
        <v>2</v>
      </c>
      <c r="T682" s="5" t="n">
        <v>0</v>
      </c>
      <c r="U682" s="48" t="inlineStr">
        <is>
          <t>Isla</t>
        </is>
      </c>
    </row>
    <row r="683">
      <c r="A683" s="5" t="inlineStr">
        <is>
          <t>Bella Mirage</t>
        </is>
      </c>
      <c r="B683" s="5" t="inlineStr">
        <is>
          <t>Isla</t>
        </is>
      </c>
      <c r="C683" s="5" t="inlineStr">
        <is>
          <t>2121</t>
        </is>
      </c>
      <c r="D683" s="5" t="n">
        <v>2</v>
      </c>
      <c r="E683" s="5" t="n">
        <v>2</v>
      </c>
      <c r="F683" s="5" t="n">
        <v>2</v>
      </c>
      <c r="G683" s="5" t="inlineStr"/>
      <c r="H683" s="5" t="n">
        <v>1040</v>
      </c>
      <c r="I683" s="5" t="inlineStr">
        <is>
          <t>4/2/2024</t>
        </is>
      </c>
      <c r="J683" s="5" t="n">
        <v>200</v>
      </c>
      <c r="K683" s="5" t="n">
        <v>12</v>
      </c>
      <c r="L683" s="5" t="inlineStr">
        <is>
          <t>60%</t>
        </is>
      </c>
      <c r="M683" s="5" t="n">
        <v>1654</v>
      </c>
      <c r="N683" s="5" t="n">
        <v>1.59</v>
      </c>
      <c r="O683" s="5" t="n">
        <v>1516</v>
      </c>
      <c r="P683" s="5" t="n">
        <v>1.46</v>
      </c>
      <c r="Q683" s="5" t="inlineStr">
        <is>
          <t>2024-01-20</t>
        </is>
      </c>
      <c r="R683" s="5" t="inlineStr">
        <is>
          <t>2024-04-29</t>
        </is>
      </c>
      <c r="S683" s="5" t="n">
        <v>101</v>
      </c>
      <c r="T683" s="5" t="n">
        <v>28</v>
      </c>
      <c r="U683" s="48" t="inlineStr">
        <is>
          <t>Isla</t>
        </is>
      </c>
    </row>
    <row r="684">
      <c r="A684" s="5" t="inlineStr">
        <is>
          <t>Bella Mirage</t>
        </is>
      </c>
      <c r="B684" s="5" t="inlineStr">
        <is>
          <t>Isla</t>
        </is>
      </c>
      <c r="C684" s="5" t="inlineStr">
        <is>
          <t>2121</t>
        </is>
      </c>
      <c r="D684" s="5" t="n">
        <v>2</v>
      </c>
      <c r="E684" s="5" t="n">
        <v>2</v>
      </c>
      <c r="F684" s="5" t="n">
        <v>2</v>
      </c>
      <c r="G684" s="5" t="inlineStr"/>
      <c r="H684" s="5" t="n">
        <v>1040</v>
      </c>
      <c r="I684" s="5" t="inlineStr">
        <is>
          <t>8/11/2025</t>
        </is>
      </c>
      <c r="J684" s="5" t="n">
        <v>200</v>
      </c>
      <c r="K684" s="5" t="n">
        <v>13</v>
      </c>
      <c r="L684" s="5" t="inlineStr">
        <is>
          <t>60%</t>
        </is>
      </c>
      <c r="M684" s="5" t="n">
        <v>1505</v>
      </c>
      <c r="N684" s="5" t="n">
        <v>1.45</v>
      </c>
      <c r="O684" s="5" t="n">
        <v>1389</v>
      </c>
      <c r="P684" s="5" t="n">
        <v>1.34</v>
      </c>
      <c r="Q684" s="5" t="inlineStr">
        <is>
          <t>2025-05-28</t>
        </is>
      </c>
      <c r="R684" s="5" t="inlineStr">
        <is>
          <t>2025-06-09</t>
        </is>
      </c>
      <c r="S684" s="5" t="n">
        <v>13</v>
      </c>
      <c r="T684" s="5" t="n">
        <v>0</v>
      </c>
      <c r="U684" s="48" t="inlineStr">
        <is>
          <t>Isla</t>
        </is>
      </c>
    </row>
    <row r="685">
      <c r="A685" s="5" t="inlineStr">
        <is>
          <t>Bella Mirage</t>
        </is>
      </c>
      <c r="B685" s="5" t="inlineStr">
        <is>
          <t>Isla</t>
        </is>
      </c>
      <c r="C685" s="5" t="inlineStr">
        <is>
          <t>2222</t>
        </is>
      </c>
      <c r="D685" s="5" t="n">
        <v>2</v>
      </c>
      <c r="E685" s="5" t="n">
        <v>2</v>
      </c>
      <c r="F685" s="5" t="n">
        <v>2</v>
      </c>
      <c r="G685" s="5" t="inlineStr"/>
      <c r="H685" s="5" t="n">
        <v>1040</v>
      </c>
      <c r="I685" s="5" t="inlineStr">
        <is>
          <t>3/30/2024</t>
        </is>
      </c>
      <c r="J685" s="5" t="inlineStr"/>
      <c r="K685" s="5" t="inlineStr"/>
      <c r="L685" s="5" t="inlineStr">
        <is>
          <t>80%</t>
        </is>
      </c>
      <c r="M685" s="5" t="n">
        <v>1665</v>
      </c>
      <c r="N685" s="5" t="n">
        <v>1.6</v>
      </c>
      <c r="O685" s="5" t="n">
        <v>1526</v>
      </c>
      <c r="P685" s="5" t="n">
        <v>1.47</v>
      </c>
      <c r="Q685" s="5" t="inlineStr">
        <is>
          <t>2024-01-09</t>
        </is>
      </c>
      <c r="R685" s="5" t="inlineStr">
        <is>
          <t>2024-01-18</t>
        </is>
      </c>
      <c r="S685" s="5" t="n">
        <v>10</v>
      </c>
      <c r="T685" s="5" t="n">
        <v>0</v>
      </c>
      <c r="U685" s="48" t="inlineStr">
        <is>
          <t>Isla</t>
        </is>
      </c>
    </row>
    <row r="686">
      <c r="A686" s="5" t="inlineStr">
        <is>
          <t>Bella Mirage</t>
        </is>
      </c>
      <c r="B686" s="5" t="inlineStr">
        <is>
          <t>Isla</t>
        </is>
      </c>
      <c r="C686" s="5" t="inlineStr">
        <is>
          <t>2222</t>
        </is>
      </c>
      <c r="D686" s="5" t="n">
        <v>2</v>
      </c>
      <c r="E686" s="5" t="n">
        <v>2</v>
      </c>
      <c r="F686" s="5" t="n">
        <v>2</v>
      </c>
      <c r="G686" s="5" t="inlineStr"/>
      <c r="H686" s="5" t="n">
        <v>1040</v>
      </c>
      <c r="I686" s="5" t="inlineStr">
        <is>
          <t>5/7/2025</t>
        </is>
      </c>
      <c r="J686" s="5" t="n">
        <v>200</v>
      </c>
      <c r="K686" s="5" t="n">
        <v>12</v>
      </c>
      <c r="L686" s="5" t="inlineStr">
        <is>
          <t>80%</t>
        </is>
      </c>
      <c r="M686" s="5" t="n">
        <v>1544</v>
      </c>
      <c r="N686" s="5" t="n">
        <v>1.48</v>
      </c>
      <c r="O686" s="5" t="n">
        <v>1415</v>
      </c>
      <c r="P686" s="5" t="n">
        <v>1.36</v>
      </c>
      <c r="Q686" s="5" t="inlineStr">
        <is>
          <t>2025-02-25</t>
        </is>
      </c>
      <c r="R686" s="5" t="inlineStr">
        <is>
          <t>2025-03-13</t>
        </is>
      </c>
      <c r="S686" s="5" t="n">
        <v>17</v>
      </c>
      <c r="T686" s="5" t="n">
        <v>0</v>
      </c>
      <c r="U686" s="48" t="inlineStr">
        <is>
          <t>Isla</t>
        </is>
      </c>
    </row>
    <row r="687">
      <c r="A687" s="5" t="inlineStr">
        <is>
          <t>Bella Mirage</t>
        </is>
      </c>
      <c r="B687" s="5" t="inlineStr">
        <is>
          <t>Isla</t>
        </is>
      </c>
      <c r="C687" s="5" t="inlineStr">
        <is>
          <t>5022</t>
        </is>
      </c>
      <c r="D687" s="5" t="inlineStr"/>
      <c r="E687" s="5" t="n">
        <v>2</v>
      </c>
      <c r="F687" s="5" t="n">
        <v>2</v>
      </c>
      <c r="G687" s="5" t="inlineStr"/>
      <c r="H687" s="5" t="n">
        <v>1040</v>
      </c>
      <c r="I687" s="5" t="inlineStr">
        <is>
          <t>8/5/2025</t>
        </is>
      </c>
      <c r="J687" s="5" t="n">
        <v>200</v>
      </c>
      <c r="K687" s="5" t="n">
        <v>12</v>
      </c>
      <c r="L687" s="5" t="inlineStr">
        <is>
          <t>80%</t>
        </is>
      </c>
      <c r="M687" s="5" t="n">
        <v>1566</v>
      </c>
      <c r="N687" s="5" t="n">
        <v>1.51</v>
      </c>
      <c r="O687" s="5" t="n">
        <v>1436</v>
      </c>
      <c r="P687" s="5" t="n">
        <v>1.38</v>
      </c>
      <c r="Q687" s="5" t="inlineStr">
        <is>
          <t>2025-05-16</t>
        </is>
      </c>
      <c r="R687" s="5" t="inlineStr">
        <is>
          <t>2025-05-21</t>
        </is>
      </c>
      <c r="S687" s="5" t="n">
        <v>6</v>
      </c>
      <c r="T687" s="5" t="n">
        <v>0</v>
      </c>
      <c r="U687" s="48" t="inlineStr">
        <is>
          <t>Isla</t>
        </is>
      </c>
    </row>
    <row r="688">
      <c r="A688" s="5" t="inlineStr">
        <is>
          <t>Bella Mirage</t>
        </is>
      </c>
      <c r="B688" s="5" t="inlineStr">
        <is>
          <t>Isla</t>
        </is>
      </c>
      <c r="C688" s="5" t="inlineStr">
        <is>
          <t>0722</t>
        </is>
      </c>
      <c r="D688" s="5" t="inlineStr"/>
      <c r="E688" s="5" t="n">
        <v>2</v>
      </c>
      <c r="F688" s="5" t="n">
        <v>2</v>
      </c>
      <c r="G688" s="5" t="inlineStr"/>
      <c r="H688" s="5" t="n">
        <v>1040</v>
      </c>
      <c r="I688" s="5" t="inlineStr">
        <is>
          <t>4/19/2024</t>
        </is>
      </c>
      <c r="J688" s="5" t="n">
        <v>200</v>
      </c>
      <c r="K688" s="5" t="n">
        <v>12</v>
      </c>
      <c r="L688" s="5" t="inlineStr">
        <is>
          <t>80%</t>
        </is>
      </c>
      <c r="M688" s="5" t="n">
        <v>1568</v>
      </c>
      <c r="N688" s="5" t="n">
        <v>1.51</v>
      </c>
      <c r="O688" s="5" t="n">
        <v>1437</v>
      </c>
      <c r="P688" s="5" t="n">
        <v>1.38</v>
      </c>
      <c r="Q688" s="5" t="inlineStr">
        <is>
          <t>2024-02-29</t>
        </is>
      </c>
      <c r="R688" s="5" t="inlineStr">
        <is>
          <t>2024-03-05</t>
        </is>
      </c>
      <c r="S688" s="5" t="n">
        <v>6</v>
      </c>
      <c r="T688" s="5" t="n">
        <v>0</v>
      </c>
      <c r="U688" s="48" t="inlineStr">
        <is>
          <t>Isla</t>
        </is>
      </c>
    </row>
    <row r="689">
      <c r="A689" s="5" t="inlineStr">
        <is>
          <t>Bella Mirage</t>
        </is>
      </c>
      <c r="B689" s="5" t="inlineStr">
        <is>
          <t>Isla</t>
        </is>
      </c>
      <c r="C689" s="5" t="inlineStr">
        <is>
          <t>1421</t>
        </is>
      </c>
      <c r="D689" s="5" t="n">
        <v>1</v>
      </c>
      <c r="E689" s="5" t="n">
        <v>2</v>
      </c>
      <c r="F689" s="5" t="n">
        <v>2</v>
      </c>
      <c r="G689" s="5" t="inlineStr"/>
      <c r="H689" s="5" t="n">
        <v>1040</v>
      </c>
      <c r="I689" s="5" t="inlineStr">
        <is>
          <t>4/28/2026</t>
        </is>
      </c>
      <c r="J689" s="5" t="n">
        <v>300</v>
      </c>
      <c r="K689" s="5" t="n">
        <v>12</v>
      </c>
      <c r="L689" s="5" t="inlineStr">
        <is>
          <t>80%</t>
        </is>
      </c>
      <c r="M689" s="5" t="n">
        <v>1578</v>
      </c>
      <c r="N689" s="5" t="n">
        <v>1.52</v>
      </c>
      <c r="O689" s="5" t="n">
        <v>1578</v>
      </c>
      <c r="P689" s="5" t="n">
        <v>1.52</v>
      </c>
      <c r="Q689" s="5" t="inlineStr">
        <is>
          <t>2026-04-07</t>
        </is>
      </c>
      <c r="R689" s="5" t="inlineStr">
        <is>
          <t>2026-04-12</t>
        </is>
      </c>
      <c r="S689" s="5" t="n">
        <v>6</v>
      </c>
      <c r="T689" s="5" t="n">
        <v>0</v>
      </c>
      <c r="U689" s="48" t="inlineStr">
        <is>
          <t>Isla</t>
        </is>
      </c>
    </row>
    <row r="690">
      <c r="A690" s="5" t="inlineStr">
        <is>
          <t>Bella Mirage</t>
        </is>
      </c>
      <c r="B690" s="5" t="inlineStr">
        <is>
          <t>Isla</t>
        </is>
      </c>
      <c r="C690" s="5" t="inlineStr">
        <is>
          <t>5121</t>
        </is>
      </c>
      <c r="D690" s="5" t="inlineStr"/>
      <c r="E690" s="5" t="n">
        <v>2</v>
      </c>
      <c r="F690" s="5" t="n">
        <v>2</v>
      </c>
      <c r="G690" s="5" t="inlineStr"/>
      <c r="H690" s="5" t="n">
        <v>1040</v>
      </c>
      <c r="I690" s="5" t="inlineStr">
        <is>
          <t>2/1/2025</t>
        </is>
      </c>
      <c r="J690" s="5" t="n">
        <v>200</v>
      </c>
      <c r="K690" s="5" t="n">
        <v>12</v>
      </c>
      <c r="L690" s="5" t="inlineStr">
        <is>
          <t>80%</t>
        </is>
      </c>
      <c r="M690" s="5" t="n">
        <v>1488</v>
      </c>
      <c r="N690" s="5" t="n">
        <v>1.43</v>
      </c>
      <c r="O690" s="5" t="n">
        <v>1364</v>
      </c>
      <c r="P690" s="5" t="n">
        <v>1.31</v>
      </c>
      <c r="Q690" s="5" t="inlineStr">
        <is>
          <t>2024-11-07</t>
        </is>
      </c>
      <c r="R690" s="5" t="inlineStr">
        <is>
          <t>2024-11-19</t>
        </is>
      </c>
      <c r="S690" s="5" t="n">
        <v>13</v>
      </c>
      <c r="T690" s="5" t="n">
        <v>0</v>
      </c>
      <c r="U690" s="48" t="inlineStr">
        <is>
          <t>Isla</t>
        </is>
      </c>
    </row>
    <row r="691">
      <c r="A691" s="5" t="inlineStr">
        <is>
          <t>Bella Mirage</t>
        </is>
      </c>
      <c r="B691" s="5" t="inlineStr">
        <is>
          <t>Isla</t>
        </is>
      </c>
      <c r="C691" s="5" t="inlineStr">
        <is>
          <t>5121</t>
        </is>
      </c>
      <c r="D691" s="5" t="inlineStr"/>
      <c r="E691" s="5" t="n">
        <v>2</v>
      </c>
      <c r="F691" s="5" t="n">
        <v>2</v>
      </c>
      <c r="G691" s="5" t="inlineStr"/>
      <c r="H691" s="5" t="n">
        <v>1040</v>
      </c>
      <c r="I691" s="5" t="inlineStr">
        <is>
          <t>6/30/2026</t>
        </is>
      </c>
      <c r="J691" s="5" t="n">
        <v>300</v>
      </c>
      <c r="K691" s="5" t="n">
        <v>15</v>
      </c>
      <c r="L691" s="5" t="inlineStr">
        <is>
          <t>80%</t>
        </is>
      </c>
      <c r="M691" s="5" t="n">
        <v>1580</v>
      </c>
      <c r="N691" s="5" t="n">
        <v>1.52</v>
      </c>
      <c r="O691" s="5" t="n">
        <v>1580</v>
      </c>
      <c r="P691" s="5" t="n">
        <v>1.52</v>
      </c>
      <c r="Q691" s="5" t="inlineStr">
        <is>
          <t>2026-05-01</t>
        </is>
      </c>
      <c r="R691" s="5" t="inlineStr">
        <is>
          <t>2026-05-07</t>
        </is>
      </c>
      <c r="S691" s="5" t="n">
        <v>7</v>
      </c>
      <c r="T691" s="5" t="n">
        <v>0</v>
      </c>
      <c r="U691" s="48" t="inlineStr">
        <is>
          <t>Isla</t>
        </is>
      </c>
    </row>
    <row r="692">
      <c r="A692" s="5" t="inlineStr">
        <is>
          <t>Bella Mirage</t>
        </is>
      </c>
      <c r="B692" s="5" t="inlineStr">
        <is>
          <t>Isla</t>
        </is>
      </c>
      <c r="C692" s="5" t="inlineStr">
        <is>
          <t>2021</t>
        </is>
      </c>
      <c r="D692" s="5" t="n">
        <v>2</v>
      </c>
      <c r="E692" s="5" t="n">
        <v>2</v>
      </c>
      <c r="F692" s="5" t="n">
        <v>2</v>
      </c>
      <c r="G692" s="5" t="inlineStr"/>
      <c r="H692" s="5" t="n">
        <v>1040</v>
      </c>
      <c r="I692" s="5" t="inlineStr">
        <is>
          <t>12/1/2024</t>
        </is>
      </c>
      <c r="J692" s="5" t="n">
        <v>200</v>
      </c>
      <c r="K692" s="5" t="n">
        <v>13</v>
      </c>
      <c r="L692" s="5" t="inlineStr">
        <is>
          <t>80%</t>
        </is>
      </c>
      <c r="M692" s="5" t="n">
        <v>1587</v>
      </c>
      <c r="N692" s="5" t="n">
        <v>1.53</v>
      </c>
      <c r="O692" s="5" t="n">
        <v>1587</v>
      </c>
      <c r="P692" s="5" t="n">
        <v>1.53</v>
      </c>
      <c r="Q692" s="5" t="inlineStr">
        <is>
          <t>2024-09-18</t>
        </is>
      </c>
      <c r="R692" s="5" t="inlineStr">
        <is>
          <t>2024-09-29</t>
        </is>
      </c>
      <c r="S692" s="5" t="n">
        <v>12</v>
      </c>
      <c r="T692" s="5" t="n">
        <v>0</v>
      </c>
      <c r="U692" s="48" t="inlineStr">
        <is>
          <t>Isla</t>
        </is>
      </c>
    </row>
    <row r="693">
      <c r="A693" s="5" t="inlineStr">
        <is>
          <t>Bella Mirage</t>
        </is>
      </c>
      <c r="B693" s="5" t="inlineStr">
        <is>
          <t>Isla</t>
        </is>
      </c>
      <c r="C693" s="5" t="inlineStr">
        <is>
          <t>5021</t>
        </is>
      </c>
      <c r="D693" s="5" t="inlineStr"/>
      <c r="E693" s="5" t="n">
        <v>2</v>
      </c>
      <c r="F693" s="5" t="n">
        <v>2</v>
      </c>
      <c r="G693" s="5" t="inlineStr"/>
      <c r="H693" s="5" t="n">
        <v>1040</v>
      </c>
      <c r="I693" s="5" t="inlineStr">
        <is>
          <t>10/9/2023</t>
        </is>
      </c>
      <c r="J693" s="5" t="inlineStr"/>
      <c r="K693" s="5" t="inlineStr"/>
      <c r="L693" s="5" t="inlineStr">
        <is>
          <t>80%</t>
        </is>
      </c>
      <c r="M693" s="5" t="n">
        <v>1655</v>
      </c>
      <c r="N693" s="5" t="n">
        <v>1.59</v>
      </c>
      <c r="O693" s="5" t="n">
        <v>1517</v>
      </c>
      <c r="P693" s="5" t="n">
        <v>1.46</v>
      </c>
      <c r="Q693" s="5" t="inlineStr">
        <is>
          <t>2023-10-03</t>
        </is>
      </c>
      <c r="R693" s="5" t="inlineStr">
        <is>
          <t>2023-12-09</t>
        </is>
      </c>
      <c r="S693" s="5" t="n">
        <v>68</v>
      </c>
      <c r="T693" s="5" t="n">
        <v>62</v>
      </c>
      <c r="U693" s="48" t="inlineStr">
        <is>
          <t>Isla</t>
        </is>
      </c>
    </row>
    <row r="694">
      <c r="A694" s="5" t="inlineStr">
        <is>
          <t>Bella Mirage</t>
        </is>
      </c>
      <c r="B694" s="5" t="inlineStr">
        <is>
          <t>Isla</t>
        </is>
      </c>
      <c r="C694" s="5" t="inlineStr">
        <is>
          <t>5021</t>
        </is>
      </c>
      <c r="D694" s="5" t="inlineStr"/>
      <c r="E694" s="5" t="n">
        <v>2</v>
      </c>
      <c r="F694" s="5" t="n">
        <v>2</v>
      </c>
      <c r="G694" s="5" t="inlineStr"/>
      <c r="H694" s="5" t="n">
        <v>1040</v>
      </c>
      <c r="I694" s="5" t="inlineStr">
        <is>
          <t>1/22/2025</t>
        </is>
      </c>
      <c r="J694" s="5" t="n">
        <v>200</v>
      </c>
      <c r="K694" s="5" t="n">
        <v>12</v>
      </c>
      <c r="L694" s="5" t="inlineStr">
        <is>
          <t>80%</t>
        </is>
      </c>
      <c r="M694" s="5" t="n">
        <v>1488</v>
      </c>
      <c r="N694" s="5" t="n">
        <v>1.43</v>
      </c>
      <c r="O694" s="5" t="n">
        <v>1364</v>
      </c>
      <c r="P694" s="5" t="n">
        <v>1.31</v>
      </c>
      <c r="Q694" s="5" t="inlineStr">
        <is>
          <t>2024-11-08</t>
        </is>
      </c>
      <c r="R694" s="5" t="inlineStr">
        <is>
          <t>2024-11-21</t>
        </is>
      </c>
      <c r="S694" s="5" t="n">
        <v>14</v>
      </c>
      <c r="T694" s="5" t="n">
        <v>0</v>
      </c>
      <c r="U694" s="48" t="inlineStr">
        <is>
          <t>Isla</t>
        </is>
      </c>
    </row>
    <row r="695">
      <c r="A695" s="5" t="inlineStr">
        <is>
          <t>Bella Mirage</t>
        </is>
      </c>
      <c r="B695" s="5" t="inlineStr">
        <is>
          <t>Isla</t>
        </is>
      </c>
      <c r="C695" s="5" t="inlineStr">
        <is>
          <t>5021</t>
        </is>
      </c>
      <c r="D695" s="5" t="inlineStr"/>
      <c r="E695" s="5" t="n">
        <v>2</v>
      </c>
      <c r="F695" s="5" t="n">
        <v>2</v>
      </c>
      <c r="G695" s="5" t="inlineStr"/>
      <c r="H695" s="5" t="n">
        <v>1040</v>
      </c>
      <c r="I695" s="5" t="inlineStr">
        <is>
          <t>5/6/2026</t>
        </is>
      </c>
      <c r="J695" s="5" t="n">
        <v>300</v>
      </c>
      <c r="K695" s="5" t="n">
        <v>12</v>
      </c>
      <c r="L695" s="5" t="inlineStr">
        <is>
          <t>80%</t>
        </is>
      </c>
      <c r="M695" s="5" t="n">
        <v>1603</v>
      </c>
      <c r="N695" s="5" t="n">
        <v>1.54</v>
      </c>
      <c r="O695" s="5" t="n">
        <v>1603</v>
      </c>
      <c r="P695" s="5" t="n">
        <v>1.54</v>
      </c>
      <c r="Q695" s="5" t="inlineStr">
        <is>
          <t>2026-02-16</t>
        </is>
      </c>
      <c r="R695" s="5" t="inlineStr">
        <is>
          <t>2026-03-05</t>
        </is>
      </c>
      <c r="S695" s="5" t="n">
        <v>18</v>
      </c>
      <c r="T695" s="5" t="n">
        <v>0</v>
      </c>
      <c r="U695" s="48" t="inlineStr">
        <is>
          <t>Isla</t>
        </is>
      </c>
    </row>
    <row r="696">
      <c r="A696" s="5" t="inlineStr">
        <is>
          <t>Bella Mirage</t>
        </is>
      </c>
      <c r="B696" s="5" t="inlineStr">
        <is>
          <t>Isla</t>
        </is>
      </c>
      <c r="C696" s="5" t="inlineStr">
        <is>
          <t>5122</t>
        </is>
      </c>
      <c r="D696" s="5" t="inlineStr"/>
      <c r="E696" s="5" t="n">
        <v>2</v>
      </c>
      <c r="F696" s="5" t="n">
        <v>2</v>
      </c>
      <c r="G696" s="5" t="inlineStr"/>
      <c r="H696" s="5" t="n">
        <v>1040</v>
      </c>
      <c r="I696" s="5" t="inlineStr">
        <is>
          <t>10/5/2023</t>
        </is>
      </c>
      <c r="J696" s="5" t="inlineStr"/>
      <c r="K696" s="5" t="inlineStr"/>
      <c r="L696" s="5" t="inlineStr">
        <is>
          <t>80%</t>
        </is>
      </c>
      <c r="M696" s="5" t="n">
        <v>1739</v>
      </c>
      <c r="N696" s="5" t="n">
        <v>1.67</v>
      </c>
      <c r="O696" s="5" t="n">
        <v>1739</v>
      </c>
      <c r="P696" s="5" t="n">
        <v>1.67</v>
      </c>
      <c r="Q696" s="5" t="inlineStr">
        <is>
          <t>2023-08-08</t>
        </is>
      </c>
      <c r="R696" s="5" t="inlineStr">
        <is>
          <t>2023-08-17</t>
        </is>
      </c>
      <c r="S696" s="5" t="n">
        <v>10</v>
      </c>
      <c r="T696" s="5" t="n">
        <v>0</v>
      </c>
      <c r="U696" s="48" t="inlineStr">
        <is>
          <t>Isla</t>
        </is>
      </c>
    </row>
    <row r="697">
      <c r="A697" s="5" t="inlineStr">
        <is>
          <t>Bella Mirage</t>
        </is>
      </c>
      <c r="B697" s="5" t="inlineStr">
        <is>
          <t>Isla</t>
        </is>
      </c>
      <c r="C697" s="5" t="inlineStr">
        <is>
          <t>5122</t>
        </is>
      </c>
      <c r="D697" s="5" t="inlineStr"/>
      <c r="E697" s="5" t="n">
        <v>2</v>
      </c>
      <c r="F697" s="5" t="n">
        <v>2</v>
      </c>
      <c r="G697" s="5" t="inlineStr"/>
      <c r="H697" s="5" t="n">
        <v>1040</v>
      </c>
      <c r="I697" s="5" t="inlineStr">
        <is>
          <t>11/7/2025</t>
        </is>
      </c>
      <c r="J697" s="5" t="n">
        <v>300</v>
      </c>
      <c r="K697" s="5" t="n">
        <v>14</v>
      </c>
      <c r="L697" s="5" t="inlineStr">
        <is>
          <t>80%</t>
        </is>
      </c>
      <c r="M697" s="5" t="n">
        <v>1623</v>
      </c>
      <c r="N697" s="5" t="n">
        <v>1.56</v>
      </c>
      <c r="O697" s="5" t="n">
        <v>1507</v>
      </c>
      <c r="P697" s="5" t="n">
        <v>1.45</v>
      </c>
      <c r="Q697" s="5" t="inlineStr">
        <is>
          <t>2025-10-08</t>
        </is>
      </c>
      <c r="R697" s="5" t="inlineStr">
        <is>
          <t>2025-10-16</t>
        </is>
      </c>
      <c r="S697" s="5" t="n">
        <v>9</v>
      </c>
      <c r="T697" s="5" t="n">
        <v>0</v>
      </c>
      <c r="U697" s="48" t="inlineStr">
        <is>
          <t>Isla</t>
        </is>
      </c>
    </row>
    <row r="698">
      <c r="A698" s="5" t="inlineStr">
        <is>
          <t>Bella Mirage</t>
        </is>
      </c>
      <c r="B698" s="5" t="inlineStr">
        <is>
          <t>Isla</t>
        </is>
      </c>
      <c r="C698" s="5" t="inlineStr">
        <is>
          <t>2122</t>
        </is>
      </c>
      <c r="D698" s="5" t="n">
        <v>2</v>
      </c>
      <c r="E698" s="5" t="n">
        <v>2</v>
      </c>
      <c r="F698" s="5" t="n">
        <v>2</v>
      </c>
      <c r="G698" s="5" t="inlineStr"/>
      <c r="H698" s="5" t="n">
        <v>1040</v>
      </c>
      <c r="I698" s="5" t="inlineStr">
        <is>
          <t>9/20/2024</t>
        </is>
      </c>
      <c r="J698" s="5" t="n">
        <v>200</v>
      </c>
      <c r="K698" s="5" t="n">
        <v>14</v>
      </c>
      <c r="L698" s="5" t="inlineStr">
        <is>
          <t>80%</t>
        </is>
      </c>
      <c r="M698" s="5" t="n">
        <v>1688</v>
      </c>
      <c r="N698" s="5" t="n">
        <v>1.62</v>
      </c>
      <c r="O698" s="5" t="n">
        <v>1688</v>
      </c>
      <c r="P698" s="5" t="n">
        <v>1.62</v>
      </c>
      <c r="Q698" s="5" t="inlineStr">
        <is>
          <t>2024-07-02</t>
        </is>
      </c>
      <c r="R698" s="5" t="inlineStr">
        <is>
          <t>2024-08-02</t>
        </is>
      </c>
      <c r="S698" s="5" t="n">
        <v>32</v>
      </c>
      <c r="T698" s="5" t="n">
        <v>0</v>
      </c>
      <c r="U698" s="48" t="inlineStr">
        <is>
          <t>Isla</t>
        </is>
      </c>
    </row>
    <row r="699">
      <c r="A699" s="5" t="inlineStr">
        <is>
          <t>Bella Mirage</t>
        </is>
      </c>
      <c r="B699" s="5" t="inlineStr">
        <is>
          <t>Isla</t>
        </is>
      </c>
      <c r="C699" s="5" t="inlineStr">
        <is>
          <t>0721</t>
        </is>
      </c>
      <c r="D699" s="5" t="n">
        <v>2</v>
      </c>
      <c r="E699" s="5" t="n">
        <v>2</v>
      </c>
      <c r="F699" s="5" t="n">
        <v>2</v>
      </c>
      <c r="G699" s="5" t="inlineStr"/>
      <c r="H699" s="5" t="n">
        <v>1040</v>
      </c>
      <c r="I699" s="5" t="inlineStr">
        <is>
          <t>3/28/2026</t>
        </is>
      </c>
      <c r="J699" s="5" t="n">
        <v>300</v>
      </c>
      <c r="K699" s="5" t="n">
        <v>12</v>
      </c>
      <c r="L699" s="5" t="inlineStr">
        <is>
          <t>80%</t>
        </is>
      </c>
      <c r="M699" s="5" t="n">
        <v>1813</v>
      </c>
      <c r="N699" s="5" t="n">
        <v>1.74</v>
      </c>
      <c r="O699" s="5" t="n">
        <v>1813</v>
      </c>
      <c r="P699" s="5" t="n">
        <v>1.74</v>
      </c>
      <c r="Q699" s="5" t="inlineStr">
        <is>
          <t>2026-02-14</t>
        </is>
      </c>
      <c r="R699" s="5" t="inlineStr">
        <is>
          <t>2026-04-12</t>
        </is>
      </c>
      <c r="S699" s="5" t="n">
        <v>58</v>
      </c>
      <c r="T699" s="5" t="n">
        <v>16</v>
      </c>
      <c r="U699" s="48" t="inlineStr">
        <is>
          <t>Isla</t>
        </is>
      </c>
    </row>
    <row r="700">
      <c r="A700" s="5" t="inlineStr">
        <is>
          <t>Bella Mirage</t>
        </is>
      </c>
      <c r="B700" s="5" t="inlineStr">
        <is>
          <t>Isla</t>
        </is>
      </c>
      <c r="C700" s="5" t="inlineStr">
        <is>
          <t>1221</t>
        </is>
      </c>
      <c r="D700" s="5" t="inlineStr"/>
      <c r="E700" s="5" t="n">
        <v>2</v>
      </c>
      <c r="F700" s="5" t="n">
        <v>2</v>
      </c>
      <c r="G700" s="5" t="inlineStr"/>
      <c r="H700" s="5" t="n">
        <v>1040</v>
      </c>
      <c r="I700" s="5" t="inlineStr">
        <is>
          <t>7/19/2024</t>
        </is>
      </c>
      <c r="J700" s="5" t="n">
        <v>200</v>
      </c>
      <c r="K700" s="5" t="n">
        <v>12</v>
      </c>
      <c r="L700" s="5" t="inlineStr">
        <is>
          <t>80%</t>
        </is>
      </c>
      <c r="M700" s="5" t="n">
        <v>1878</v>
      </c>
      <c r="N700" s="5" t="n">
        <v>1.81</v>
      </c>
      <c r="O700" s="5" t="n">
        <v>1878</v>
      </c>
      <c r="P700" s="5" t="n">
        <v>1.81</v>
      </c>
      <c r="Q700" s="5" t="inlineStr">
        <is>
          <t>2024-05-17</t>
        </is>
      </c>
      <c r="R700" s="5" t="inlineStr">
        <is>
          <t>2024-07-21</t>
        </is>
      </c>
      <c r="S700" s="5" t="n">
        <v>66</v>
      </c>
      <c r="T700" s="5" t="n">
        <v>3</v>
      </c>
      <c r="U700" s="48" t="inlineStr">
        <is>
          <t>Isla</t>
        </is>
      </c>
    </row>
    <row r="701">
      <c r="A701" s="5" t="inlineStr">
        <is>
          <t>Bella Mirage</t>
        </is>
      </c>
      <c r="B701" s="5" t="inlineStr">
        <is>
          <t>Isla</t>
        </is>
      </c>
      <c r="C701" s="5" t="inlineStr">
        <is>
          <t>1622</t>
        </is>
      </c>
      <c r="D701" s="5" t="n">
        <v>2</v>
      </c>
      <c r="E701" s="5" t="n">
        <v>2</v>
      </c>
      <c r="F701" s="5" t="n">
        <v>2</v>
      </c>
      <c r="G701" s="5" t="inlineStr"/>
      <c r="H701" s="5" t="n">
        <v>1040</v>
      </c>
      <c r="I701" s="5" t="inlineStr">
        <is>
          <t>10/13/2023</t>
        </is>
      </c>
      <c r="J701" s="5" t="inlineStr"/>
      <c r="K701" s="5" t="inlineStr"/>
      <c r="L701" s="5" t="inlineStr">
        <is>
          <t>80%</t>
        </is>
      </c>
      <c r="M701" s="5" t="n">
        <v>1641</v>
      </c>
      <c r="N701" s="5" t="n">
        <v>1.58</v>
      </c>
      <c r="O701" s="5" t="n">
        <v>1641</v>
      </c>
      <c r="P701" s="5" t="n">
        <v>1.58</v>
      </c>
      <c r="Q701" s="5" t="inlineStr">
        <is>
          <t>2023-07-29</t>
        </is>
      </c>
      <c r="R701" s="5" t="inlineStr">
        <is>
          <t>2023-08-21</t>
        </is>
      </c>
      <c r="S701" s="5" t="n">
        <v>24</v>
      </c>
      <c r="T701" s="5" t="n">
        <v>0</v>
      </c>
      <c r="U701" s="48" t="inlineStr">
        <is>
          <t>Isla</t>
        </is>
      </c>
    </row>
    <row r="702">
      <c r="A702" s="5" t="inlineStr">
        <is>
          <t>Bella Mirage</t>
        </is>
      </c>
      <c r="B702" s="5" t="inlineStr">
        <is>
          <t>Isla</t>
        </is>
      </c>
      <c r="C702" s="5" t="inlineStr">
        <is>
          <t>1721</t>
        </is>
      </c>
      <c r="D702" s="5" t="inlineStr"/>
      <c r="E702" s="5" t="n">
        <v>2</v>
      </c>
      <c r="F702" s="5" t="n">
        <v>2</v>
      </c>
      <c r="G702" s="5" t="inlineStr"/>
      <c r="H702" s="5" t="n">
        <v>1040</v>
      </c>
      <c r="I702" s="5" t="inlineStr">
        <is>
          <t>8/3/2023</t>
        </is>
      </c>
      <c r="J702" s="5" t="inlineStr"/>
      <c r="K702" s="5" t="inlineStr"/>
      <c r="L702" s="5" t="inlineStr">
        <is>
          <t>80%</t>
        </is>
      </c>
      <c r="M702" s="5" t="n">
        <v>1706</v>
      </c>
      <c r="N702" s="5" t="n">
        <v>1.64</v>
      </c>
      <c r="O702" s="5" t="n">
        <v>1644</v>
      </c>
      <c r="P702" s="5" t="n">
        <v>1.58</v>
      </c>
      <c r="Q702" s="5" t="inlineStr">
        <is>
          <t>2023-08-03</t>
        </is>
      </c>
      <c r="R702" s="5" t="inlineStr">
        <is>
          <t>2023-08-20</t>
        </is>
      </c>
      <c r="S702" s="5" t="n">
        <v>18</v>
      </c>
      <c r="T702" s="5" t="n">
        <v>18</v>
      </c>
      <c r="U702" s="48" t="inlineStr">
        <is>
          <t>Isla</t>
        </is>
      </c>
    </row>
    <row r="703">
      <c r="A703" s="5" t="inlineStr">
        <is>
          <t>Bella Mirage</t>
        </is>
      </c>
      <c r="B703" s="5" t="inlineStr">
        <is>
          <t>Isla</t>
        </is>
      </c>
      <c r="C703" s="5" t="inlineStr">
        <is>
          <t>2321</t>
        </is>
      </c>
      <c r="D703" s="5" t="inlineStr"/>
      <c r="E703" s="5" t="n">
        <v>2</v>
      </c>
      <c r="F703" s="5" t="n">
        <v>2</v>
      </c>
      <c r="G703" s="5" t="inlineStr"/>
      <c r="H703" s="5" t="n">
        <v>1040</v>
      </c>
      <c r="I703" s="5" t="inlineStr">
        <is>
          <t>8/8/2023</t>
        </is>
      </c>
      <c r="J703" s="5" t="inlineStr"/>
      <c r="K703" s="5" t="inlineStr"/>
      <c r="L703" s="5" t="inlineStr">
        <is>
          <t>80%</t>
        </is>
      </c>
      <c r="M703" s="5" t="n">
        <v>1752</v>
      </c>
      <c r="N703" s="5" t="n">
        <v>1.68</v>
      </c>
      <c r="O703" s="5" t="n">
        <v>1752</v>
      </c>
      <c r="P703" s="5" t="n">
        <v>1.68</v>
      </c>
      <c r="Q703" s="5" t="inlineStr">
        <is>
          <t>2023-07-15</t>
        </is>
      </c>
      <c r="R703" s="5" t="inlineStr">
        <is>
          <t>2023-07-17</t>
        </is>
      </c>
      <c r="S703" s="5" t="n">
        <v>3</v>
      </c>
      <c r="T703" s="5" t="n">
        <v>0</v>
      </c>
      <c r="U703" s="48" t="inlineStr">
        <is>
          <t>Isla</t>
        </is>
      </c>
    </row>
    <row r="704">
      <c r="A704" s="5" t="inlineStr">
        <is>
          <t>Bella Mirage</t>
        </is>
      </c>
      <c r="B704" s="5" t="inlineStr">
        <is>
          <t>Harbor</t>
        </is>
      </c>
      <c r="C704" s="5" t="inlineStr">
        <is>
          <t>4811</t>
        </is>
      </c>
      <c r="D704" s="5" t="n">
        <v>4</v>
      </c>
      <c r="E704" s="5" t="n">
        <v>2</v>
      </c>
      <c r="F704" s="5" t="n">
        <v>2</v>
      </c>
      <c r="G704" s="5" t="inlineStr"/>
      <c r="H704" s="5" t="n">
        <v>1173</v>
      </c>
      <c r="I704" s="5" t="inlineStr">
        <is>
          <t>10/29/2024</t>
        </is>
      </c>
      <c r="J704" s="5" t="n">
        <v>200</v>
      </c>
      <c r="K704" s="5" t="n">
        <v>14</v>
      </c>
      <c r="L704" s="5" t="inlineStr">
        <is>
          <t>80%</t>
        </is>
      </c>
      <c r="M704" s="5" t="n">
        <v>1830</v>
      </c>
      <c r="N704" s="5" t="n">
        <v>1.56</v>
      </c>
      <c r="O704" s="5" t="n">
        <v>1830</v>
      </c>
      <c r="P704" s="5" t="n">
        <v>1.56</v>
      </c>
      <c r="Q704" s="5" t="inlineStr">
        <is>
          <t>2024-07-18</t>
        </is>
      </c>
      <c r="R704" s="5" t="inlineStr">
        <is>
          <t>2024-10-04</t>
        </is>
      </c>
      <c r="S704" s="5" t="n">
        <v>79</v>
      </c>
      <c r="T704" s="5" t="n">
        <v>0</v>
      </c>
      <c r="U704" s="48" t="inlineStr">
        <is>
          <t>Harbor</t>
        </is>
      </c>
    </row>
    <row r="705">
      <c r="A705" s="5" t="inlineStr">
        <is>
          <t>Bella Mirage</t>
        </is>
      </c>
      <c r="B705" s="5" t="inlineStr">
        <is>
          <t>Harbor</t>
        </is>
      </c>
      <c r="C705" s="5" t="inlineStr">
        <is>
          <t>4811</t>
        </is>
      </c>
      <c r="D705" s="5" t="n">
        <v>4</v>
      </c>
      <c r="E705" s="5" t="n">
        <v>2</v>
      </c>
      <c r="F705" s="5" t="n">
        <v>2</v>
      </c>
      <c r="G705" s="5" t="inlineStr"/>
      <c r="H705" s="5" t="n">
        <v>1173</v>
      </c>
      <c r="I705" s="5" t="inlineStr">
        <is>
          <t>2/9/2026</t>
        </is>
      </c>
      <c r="J705" s="5" t="n">
        <v>300</v>
      </c>
      <c r="K705" s="5" t="n">
        <v>13</v>
      </c>
      <c r="L705" s="5" t="inlineStr">
        <is>
          <t>80%</t>
        </is>
      </c>
      <c r="M705" s="5" t="n">
        <v>1543</v>
      </c>
      <c r="N705" s="5" t="n">
        <v>1.32</v>
      </c>
      <c r="O705" s="5" t="n">
        <v>1543</v>
      </c>
      <c r="P705" s="5" t="n">
        <v>1.32</v>
      </c>
      <c r="Q705" s="5" t="inlineStr">
        <is>
          <t>2025-12-13</t>
        </is>
      </c>
      <c r="R705" s="5" t="inlineStr">
        <is>
          <t>2025-12-17</t>
        </is>
      </c>
      <c r="S705" s="5" t="n">
        <v>5</v>
      </c>
      <c r="T705" s="5" t="n">
        <v>0</v>
      </c>
      <c r="U705" s="48" t="inlineStr">
        <is>
          <t>Harbor</t>
        </is>
      </c>
    </row>
    <row r="706">
      <c r="A706" s="5" t="inlineStr">
        <is>
          <t>Bella Mirage</t>
        </is>
      </c>
      <c r="B706" s="5" t="inlineStr">
        <is>
          <t>Harbor</t>
        </is>
      </c>
      <c r="C706" s="5" t="inlineStr">
        <is>
          <t>4813</t>
        </is>
      </c>
      <c r="D706" s="5" t="inlineStr"/>
      <c r="E706" s="5" t="n">
        <v>2</v>
      </c>
      <c r="F706" s="5" t="n">
        <v>2</v>
      </c>
      <c r="G706" s="5" t="inlineStr"/>
      <c r="H706" s="5" t="n">
        <v>1173</v>
      </c>
      <c r="I706" s="5" t="inlineStr">
        <is>
          <t>4/1/2025</t>
        </is>
      </c>
      <c r="J706" s="5" t="n">
        <v>200</v>
      </c>
      <c r="K706" s="5" t="n">
        <v>14</v>
      </c>
      <c r="L706" s="5" t="inlineStr">
        <is>
          <t>80%</t>
        </is>
      </c>
      <c r="M706" s="5" t="n">
        <v>1742</v>
      </c>
      <c r="N706" s="5" t="n">
        <v>1.49</v>
      </c>
      <c r="O706" s="5" t="n">
        <v>1618</v>
      </c>
      <c r="P706" s="5" t="n">
        <v>1.38</v>
      </c>
      <c r="Q706" s="5" t="inlineStr">
        <is>
          <t>2025-01-27</t>
        </is>
      </c>
      <c r="R706" s="5" t="inlineStr">
        <is>
          <t>2025-04-02</t>
        </is>
      </c>
      <c r="S706" s="5" t="n">
        <v>66</v>
      </c>
      <c r="T706" s="5" t="n">
        <v>2</v>
      </c>
      <c r="U706" s="48" t="inlineStr">
        <is>
          <t>Harbor</t>
        </is>
      </c>
    </row>
    <row r="707">
      <c r="A707" s="5" t="inlineStr">
        <is>
          <t>Bella Mirage</t>
        </is>
      </c>
      <c r="B707" s="5" t="inlineStr">
        <is>
          <t>Harbor</t>
        </is>
      </c>
      <c r="C707" s="5" t="inlineStr">
        <is>
          <t>4813</t>
        </is>
      </c>
      <c r="D707" s="5" t="inlineStr"/>
      <c r="E707" s="5" t="n">
        <v>2</v>
      </c>
      <c r="F707" s="5" t="n">
        <v>2</v>
      </c>
      <c r="G707" s="5" t="inlineStr"/>
      <c r="H707" s="5" t="n">
        <v>1173</v>
      </c>
      <c r="I707" s="5" t="inlineStr">
        <is>
          <t>8/31/2025</t>
        </is>
      </c>
      <c r="J707" s="5" t="n">
        <v>200</v>
      </c>
      <c r="K707" s="5" t="n">
        <v>12</v>
      </c>
      <c r="L707" s="5" t="inlineStr">
        <is>
          <t>80%</t>
        </is>
      </c>
      <c r="M707" s="5" t="n">
        <v>1578</v>
      </c>
      <c r="N707" s="5" t="n">
        <v>1.35</v>
      </c>
      <c r="O707" s="5" t="n">
        <v>1446</v>
      </c>
      <c r="P707" s="5" t="n">
        <v>1.23</v>
      </c>
      <c r="Q707" s="5" t="inlineStr">
        <is>
          <t>2025-07-06</t>
        </is>
      </c>
      <c r="R707" s="5" t="inlineStr">
        <is>
          <t>2025-07-15</t>
        </is>
      </c>
      <c r="S707" s="5" t="n">
        <v>10</v>
      </c>
      <c r="T707" s="5" t="n">
        <v>0</v>
      </c>
      <c r="U707" s="48" t="inlineStr">
        <is>
          <t>Harbor</t>
        </is>
      </c>
    </row>
    <row r="708">
      <c r="A708" s="5" t="inlineStr">
        <is>
          <t>Bella Mirage</t>
        </is>
      </c>
      <c r="B708" s="5" t="inlineStr">
        <is>
          <t>Harbor</t>
        </is>
      </c>
      <c r="C708" s="5" t="inlineStr">
        <is>
          <t>4813</t>
        </is>
      </c>
      <c r="D708" s="5" t="inlineStr"/>
      <c r="E708" s="5" t="n">
        <v>2</v>
      </c>
      <c r="F708" s="5" t="n">
        <v>2</v>
      </c>
      <c r="G708" s="5" t="inlineStr"/>
      <c r="H708" s="5" t="n">
        <v>1173</v>
      </c>
      <c r="I708" s="5" t="inlineStr">
        <is>
          <t>1/31/2026</t>
        </is>
      </c>
      <c r="J708" s="5" t="n">
        <v>300</v>
      </c>
      <c r="K708" s="5" t="n">
        <v>12</v>
      </c>
      <c r="L708" s="5" t="inlineStr">
        <is>
          <t>80%</t>
        </is>
      </c>
      <c r="M708" s="5" t="n">
        <v>1617</v>
      </c>
      <c r="N708" s="5" t="n">
        <v>1.38</v>
      </c>
      <c r="O708" s="5" t="n">
        <v>1617</v>
      </c>
      <c r="P708" s="5" t="n">
        <v>1.38</v>
      </c>
      <c r="Q708" s="5" t="inlineStr">
        <is>
          <t>2025-11-04</t>
        </is>
      </c>
      <c r="R708" s="5" t="inlineStr">
        <is>
          <t>2026-01-09</t>
        </is>
      </c>
      <c r="S708" s="5" t="n">
        <v>67</v>
      </c>
      <c r="T708" s="5" t="n">
        <v>0</v>
      </c>
      <c r="U708" s="48" t="inlineStr">
        <is>
          <t>Harbor</t>
        </is>
      </c>
    </row>
    <row r="709">
      <c r="A709" s="5" t="inlineStr">
        <is>
          <t>Bella Mirage</t>
        </is>
      </c>
      <c r="B709" s="5" t="inlineStr">
        <is>
          <t>Harbor</t>
        </is>
      </c>
      <c r="C709" s="5" t="inlineStr">
        <is>
          <t>3714</t>
        </is>
      </c>
      <c r="D709" s="5" t="n">
        <v>3</v>
      </c>
      <c r="E709" s="5" t="n">
        <v>2</v>
      </c>
      <c r="F709" s="5" t="n">
        <v>2</v>
      </c>
      <c r="G709" s="5" t="inlineStr"/>
      <c r="H709" s="5" t="n">
        <v>1173</v>
      </c>
      <c r="I709" s="5" t="inlineStr">
        <is>
          <t>10/14/2024</t>
        </is>
      </c>
      <c r="J709" s="5" t="n">
        <v>200</v>
      </c>
      <c r="K709" s="5" t="n">
        <v>13</v>
      </c>
      <c r="L709" s="5" t="inlineStr">
        <is>
          <t>80%</t>
        </is>
      </c>
      <c r="M709" s="5" t="n">
        <v>1618</v>
      </c>
      <c r="N709" s="5" t="n">
        <v>1.38</v>
      </c>
      <c r="O709" s="5" t="n">
        <v>1618</v>
      </c>
      <c r="P709" s="5" t="n">
        <v>1.38</v>
      </c>
      <c r="Q709" s="5" t="inlineStr">
        <is>
          <t>2024-07-29</t>
        </is>
      </c>
      <c r="R709" s="5" t="inlineStr">
        <is>
          <t>2024-11-04</t>
        </is>
      </c>
      <c r="S709" s="5" t="n">
        <v>99</v>
      </c>
      <c r="T709" s="5" t="n">
        <v>22</v>
      </c>
      <c r="U709" s="48" t="inlineStr">
        <is>
          <t>Harbor</t>
        </is>
      </c>
    </row>
    <row r="710">
      <c r="A710" s="5" t="inlineStr">
        <is>
          <t>Bella Mirage</t>
        </is>
      </c>
      <c r="B710" s="5" t="inlineStr">
        <is>
          <t>Harbor</t>
        </is>
      </c>
      <c r="C710" s="5" t="inlineStr">
        <is>
          <t>3715</t>
        </is>
      </c>
      <c r="D710" s="5" t="n">
        <v>3</v>
      </c>
      <c r="E710" s="5" t="n">
        <v>2</v>
      </c>
      <c r="F710" s="5" t="n">
        <v>2</v>
      </c>
      <c r="G710" s="5" t="inlineStr"/>
      <c r="H710" s="5" t="n">
        <v>1173</v>
      </c>
      <c r="I710" s="5" t="inlineStr">
        <is>
          <t>12/16/2024</t>
        </is>
      </c>
      <c r="J710" s="5" t="n">
        <v>200</v>
      </c>
      <c r="K710" s="5" t="n">
        <v>12</v>
      </c>
      <c r="L710" s="5" t="inlineStr">
        <is>
          <t>80%</t>
        </is>
      </c>
      <c r="M710" s="5" t="n">
        <v>1618</v>
      </c>
      <c r="N710" s="5" t="n">
        <v>1.38</v>
      </c>
      <c r="O710" s="5" t="n">
        <v>1618</v>
      </c>
      <c r="P710" s="5" t="n">
        <v>1.38</v>
      </c>
      <c r="Q710" s="5" t="inlineStr">
        <is>
          <t>2024-10-28</t>
        </is>
      </c>
      <c r="R710" s="5" t="inlineStr">
        <is>
          <t>2024-11-03</t>
        </is>
      </c>
      <c r="S710" s="5" t="n">
        <v>7</v>
      </c>
      <c r="T710" s="5" t="n">
        <v>0</v>
      </c>
      <c r="U710" s="48" t="inlineStr">
        <is>
          <t>Harbor</t>
        </is>
      </c>
    </row>
    <row r="711">
      <c r="A711" s="5" t="inlineStr">
        <is>
          <t>Bella Mirage</t>
        </is>
      </c>
      <c r="B711" s="5" t="inlineStr">
        <is>
          <t>Harbor</t>
        </is>
      </c>
      <c r="C711" s="5" t="inlineStr">
        <is>
          <t>4812</t>
        </is>
      </c>
      <c r="D711" s="5" t="n">
        <v>1</v>
      </c>
      <c r="E711" s="5" t="n">
        <v>2</v>
      </c>
      <c r="F711" s="5" t="n">
        <v>2</v>
      </c>
      <c r="G711" s="5" t="inlineStr"/>
      <c r="H711" s="5" t="n">
        <v>1173</v>
      </c>
      <c r="I711" s="5" t="inlineStr">
        <is>
          <t>6/22/2024</t>
        </is>
      </c>
      <c r="J711" s="5" t="n">
        <v>200</v>
      </c>
      <c r="K711" s="5" t="n">
        <v>12</v>
      </c>
      <c r="L711" s="5" t="inlineStr">
        <is>
          <t>80%</t>
        </is>
      </c>
      <c r="M711" s="5" t="n">
        <v>1868</v>
      </c>
      <c r="N711" s="5" t="n">
        <v>1.59</v>
      </c>
      <c r="O711" s="5" t="n">
        <v>1712</v>
      </c>
      <c r="P711" s="5" t="n">
        <v>1.46</v>
      </c>
      <c r="Q711" s="5" t="inlineStr">
        <is>
          <t>2024-03-29</t>
        </is>
      </c>
      <c r="R711" s="5" t="inlineStr">
        <is>
          <t>2024-05-17</t>
        </is>
      </c>
      <c r="S711" s="5" t="n">
        <v>50</v>
      </c>
      <c r="T711" s="5" t="n">
        <v>0</v>
      </c>
      <c r="U711" s="48" t="inlineStr">
        <is>
          <t>Harbor</t>
        </is>
      </c>
    </row>
    <row r="712">
      <c r="A712" s="5" t="inlineStr">
        <is>
          <t>Bella Mirage</t>
        </is>
      </c>
      <c r="B712" s="5" t="inlineStr">
        <is>
          <t>Harbor</t>
        </is>
      </c>
      <c r="C712" s="5" t="inlineStr">
        <is>
          <t>4812</t>
        </is>
      </c>
      <c r="D712" s="5" t="n">
        <v>1</v>
      </c>
      <c r="E712" s="5" t="n">
        <v>2</v>
      </c>
      <c r="F712" s="5" t="n">
        <v>2</v>
      </c>
      <c r="G712" s="5" t="inlineStr"/>
      <c r="H712" s="5" t="n">
        <v>1173</v>
      </c>
      <c r="I712" s="5" t="inlineStr">
        <is>
          <t>10/6/2025</t>
        </is>
      </c>
      <c r="J712" s="5" t="n">
        <v>200</v>
      </c>
      <c r="K712" s="5" t="n">
        <v>12</v>
      </c>
      <c r="L712" s="5" t="inlineStr">
        <is>
          <t>80%</t>
        </is>
      </c>
      <c r="M712" s="5" t="n">
        <v>1654</v>
      </c>
      <c r="N712" s="5" t="n">
        <v>1.41</v>
      </c>
      <c r="O712" s="5" t="n">
        <v>1516</v>
      </c>
      <c r="P712" s="5" t="n">
        <v>1.29</v>
      </c>
      <c r="Q712" s="5" t="inlineStr">
        <is>
          <t>2025-07-22</t>
        </is>
      </c>
      <c r="R712" s="5" t="inlineStr">
        <is>
          <t>2025-07-23</t>
        </is>
      </c>
      <c r="S712" s="5" t="n">
        <v>2</v>
      </c>
      <c r="T712" s="5" t="n">
        <v>0</v>
      </c>
      <c r="U712" s="48" t="inlineStr">
        <is>
          <t>Harbor</t>
        </is>
      </c>
    </row>
    <row r="713">
      <c r="A713" s="5" t="inlineStr">
        <is>
          <t>Bella Mirage</t>
        </is>
      </c>
      <c r="B713" s="5" t="inlineStr">
        <is>
          <t>Harbor</t>
        </is>
      </c>
      <c r="C713" s="5" t="inlineStr">
        <is>
          <t>4711</t>
        </is>
      </c>
      <c r="D713" s="5" t="n">
        <v>4</v>
      </c>
      <c r="E713" s="5" t="n">
        <v>2</v>
      </c>
      <c r="F713" s="5" t="n">
        <v>2</v>
      </c>
      <c r="G713" s="5" t="inlineStr"/>
      <c r="H713" s="5" t="n">
        <v>1173</v>
      </c>
      <c r="I713" s="5" t="inlineStr">
        <is>
          <t>4/1/2024</t>
        </is>
      </c>
      <c r="J713" s="5" t="n">
        <v>200</v>
      </c>
      <c r="K713" s="5" t="n">
        <v>13</v>
      </c>
      <c r="L713" s="5" t="inlineStr">
        <is>
          <t>80%</t>
        </is>
      </c>
      <c r="M713" s="5" t="n">
        <v>1793</v>
      </c>
      <c r="N713" s="5" t="n">
        <v>1.53</v>
      </c>
      <c r="O713" s="5" t="n">
        <v>1655</v>
      </c>
      <c r="P713" s="5" t="n">
        <v>1.41</v>
      </c>
      <c r="Q713" s="5" t="inlineStr">
        <is>
          <t>2024-01-30</t>
        </is>
      </c>
      <c r="R713" s="5" t="inlineStr">
        <is>
          <t>2024-03-07</t>
        </is>
      </c>
      <c r="S713" s="5" t="n">
        <v>38</v>
      </c>
      <c r="T713" s="5" t="n">
        <v>0</v>
      </c>
      <c r="U713" s="48" t="inlineStr">
        <is>
          <t>Harbor</t>
        </is>
      </c>
    </row>
    <row r="714">
      <c r="A714" s="5" t="inlineStr">
        <is>
          <t>Bella Mirage</t>
        </is>
      </c>
      <c r="B714" s="5" t="inlineStr">
        <is>
          <t>Harbor</t>
        </is>
      </c>
      <c r="C714" s="5" t="inlineStr">
        <is>
          <t>4711</t>
        </is>
      </c>
      <c r="D714" s="5" t="n">
        <v>4</v>
      </c>
      <c r="E714" s="5" t="n">
        <v>2</v>
      </c>
      <c r="F714" s="5" t="n">
        <v>2</v>
      </c>
      <c r="G714" s="5" t="inlineStr"/>
      <c r="H714" s="5" t="n">
        <v>1173</v>
      </c>
      <c r="I714" s="5" t="inlineStr">
        <is>
          <t>8/18/2024</t>
        </is>
      </c>
      <c r="J714" s="5" t="n">
        <v>200</v>
      </c>
      <c r="K714" s="5" t="n">
        <v>12</v>
      </c>
      <c r="L714" s="5" t="inlineStr">
        <is>
          <t>80%</t>
        </is>
      </c>
      <c r="M714" s="5" t="n">
        <v>1914</v>
      </c>
      <c r="N714" s="5" t="n">
        <v>1.63</v>
      </c>
      <c r="O714" s="5" t="n">
        <v>1914</v>
      </c>
      <c r="P714" s="5" t="n">
        <v>1.63</v>
      </c>
      <c r="Q714" s="5" t="inlineStr">
        <is>
          <t>2024-07-27</t>
        </is>
      </c>
      <c r="R714" s="5" t="inlineStr">
        <is>
          <t>2024-09-01</t>
        </is>
      </c>
      <c r="S714" s="5" t="n">
        <v>37</v>
      </c>
      <c r="T714" s="5" t="n">
        <v>15</v>
      </c>
      <c r="U714" s="48" t="inlineStr">
        <is>
          <t>Harbor</t>
        </is>
      </c>
    </row>
    <row r="715">
      <c r="A715" s="5" t="inlineStr">
        <is>
          <t>Bella Mirage</t>
        </is>
      </c>
      <c r="B715" s="5" t="inlineStr">
        <is>
          <t>Harbor</t>
        </is>
      </c>
      <c r="C715" s="5" t="inlineStr">
        <is>
          <t>4711</t>
        </is>
      </c>
      <c r="D715" s="5" t="n">
        <v>4</v>
      </c>
      <c r="E715" s="5" t="n">
        <v>2</v>
      </c>
      <c r="F715" s="5" t="n">
        <v>2</v>
      </c>
      <c r="G715" s="5" t="inlineStr"/>
      <c r="H715" s="5" t="n">
        <v>1173</v>
      </c>
      <c r="I715" s="5" t="inlineStr">
        <is>
          <t>12/20/2024</t>
        </is>
      </c>
      <c r="J715" s="5" t="n">
        <v>200</v>
      </c>
      <c r="K715" s="5" t="n">
        <v>14</v>
      </c>
      <c r="L715" s="5" t="inlineStr">
        <is>
          <t>80%</t>
        </is>
      </c>
      <c r="M715" s="5" t="n">
        <v>1594</v>
      </c>
      <c r="N715" s="5" t="n">
        <v>1.36</v>
      </c>
      <c r="O715" s="5" t="n">
        <v>1480</v>
      </c>
      <c r="P715" s="5" t="n">
        <v>1.26</v>
      </c>
      <c r="Q715" s="5" t="inlineStr">
        <is>
          <t>2024-12-04</t>
        </is>
      </c>
      <c r="R715" s="5" t="inlineStr">
        <is>
          <t>2024-12-30</t>
        </is>
      </c>
      <c r="S715" s="5" t="n">
        <v>27</v>
      </c>
      <c r="T715" s="5" t="n">
        <v>11</v>
      </c>
      <c r="U715" s="48" t="inlineStr">
        <is>
          <t>Harbor</t>
        </is>
      </c>
    </row>
    <row r="716">
      <c r="A716" s="5" t="inlineStr">
        <is>
          <t>Bella Mirage</t>
        </is>
      </c>
      <c r="B716" s="5" t="inlineStr">
        <is>
          <t>Harbor</t>
        </is>
      </c>
      <c r="C716" s="5" t="inlineStr">
        <is>
          <t>4711</t>
        </is>
      </c>
      <c r="D716" s="5" t="n">
        <v>4</v>
      </c>
      <c r="E716" s="5" t="n">
        <v>2</v>
      </c>
      <c r="F716" s="5" t="n">
        <v>2</v>
      </c>
      <c r="G716" s="5" t="inlineStr"/>
      <c r="H716" s="5" t="n">
        <v>1173</v>
      </c>
      <c r="I716" s="5" t="inlineStr">
        <is>
          <t>1/31/2026</t>
        </is>
      </c>
      <c r="J716" s="5" t="n">
        <v>300</v>
      </c>
      <c r="K716" s="5" t="n">
        <v>12</v>
      </c>
      <c r="L716" s="5" t="inlineStr">
        <is>
          <t>80%</t>
        </is>
      </c>
      <c r="M716" s="5" t="n">
        <v>1655</v>
      </c>
      <c r="N716" s="5" t="n">
        <v>1.41</v>
      </c>
      <c r="O716" s="5" t="n">
        <v>1655</v>
      </c>
      <c r="P716" s="5" t="n">
        <v>1.41</v>
      </c>
      <c r="Q716" s="5" t="inlineStr">
        <is>
          <t>2025-11-04</t>
        </is>
      </c>
      <c r="R716" s="5" t="inlineStr">
        <is>
          <t>2025-11-06</t>
        </is>
      </c>
      <c r="S716" s="5" t="n">
        <v>3</v>
      </c>
      <c r="T716" s="5" t="n">
        <v>0</v>
      </c>
      <c r="U716" s="48" t="inlineStr">
        <is>
          <t>Harbor</t>
        </is>
      </c>
    </row>
    <row r="717">
      <c r="A717" s="5" t="inlineStr">
        <is>
          <t>Bella Mirage</t>
        </is>
      </c>
      <c r="B717" s="5" t="inlineStr">
        <is>
          <t>Harbor</t>
        </is>
      </c>
      <c r="C717" s="5" t="inlineStr">
        <is>
          <t>4713</t>
        </is>
      </c>
      <c r="D717" s="5" t="n">
        <v>4</v>
      </c>
      <c r="E717" s="5" t="n">
        <v>2</v>
      </c>
      <c r="F717" s="5" t="n">
        <v>2</v>
      </c>
      <c r="G717" s="5" t="inlineStr"/>
      <c r="H717" s="5" t="n">
        <v>1173</v>
      </c>
      <c r="I717" s="5" t="inlineStr">
        <is>
          <t>7/29/2023</t>
        </is>
      </c>
      <c r="J717" s="5" t="inlineStr"/>
      <c r="K717" s="5" t="inlineStr"/>
      <c r="L717" s="5" t="inlineStr">
        <is>
          <t>80%</t>
        </is>
      </c>
      <c r="M717" s="5" t="n">
        <v>1824</v>
      </c>
      <c r="N717" s="5" t="n">
        <v>1.55</v>
      </c>
      <c r="O717" s="5" t="n">
        <v>1762</v>
      </c>
      <c r="P717" s="5" t="n">
        <v>1.5</v>
      </c>
      <c r="Q717" s="5" t="inlineStr">
        <is>
          <t>2023-06-20</t>
        </is>
      </c>
      <c r="R717" s="5" t="inlineStr">
        <is>
          <t>2023-09-07</t>
        </is>
      </c>
      <c r="S717" s="5" t="n">
        <v>80</v>
      </c>
      <c r="T717" s="5" t="n">
        <v>41</v>
      </c>
      <c r="U717" s="48" t="inlineStr">
        <is>
          <t>Harbor</t>
        </is>
      </c>
    </row>
    <row r="718">
      <c r="A718" s="5" t="inlineStr">
        <is>
          <t>Bella Mirage</t>
        </is>
      </c>
      <c r="B718" s="5" t="inlineStr">
        <is>
          <t>Harbor</t>
        </is>
      </c>
      <c r="C718" s="5" t="inlineStr">
        <is>
          <t>4713</t>
        </is>
      </c>
      <c r="D718" s="5" t="n">
        <v>4</v>
      </c>
      <c r="E718" s="5" t="n">
        <v>2</v>
      </c>
      <c r="F718" s="5" t="n">
        <v>2</v>
      </c>
      <c r="G718" s="5" t="inlineStr"/>
      <c r="H718" s="5" t="n">
        <v>1173</v>
      </c>
      <c r="I718" s="5" t="inlineStr">
        <is>
          <t>12/20/2024</t>
        </is>
      </c>
      <c r="J718" s="5" t="n">
        <v>200</v>
      </c>
      <c r="K718" s="5" t="n">
        <v>12</v>
      </c>
      <c r="L718" s="5" t="inlineStr">
        <is>
          <t>80%</t>
        </is>
      </c>
      <c r="M718" s="5" t="n">
        <v>1687</v>
      </c>
      <c r="N718" s="5" t="n">
        <v>1.44</v>
      </c>
      <c r="O718" s="5" t="n">
        <v>1546</v>
      </c>
      <c r="P718" s="5" t="n">
        <v>1.32</v>
      </c>
      <c r="Q718" s="5" t="inlineStr">
        <is>
          <t>2024-08-25</t>
        </is>
      </c>
      <c r="R718" s="5" t="inlineStr">
        <is>
          <t>2025-03-09</t>
        </is>
      </c>
      <c r="S718" s="5" t="n">
        <v>197</v>
      </c>
      <c r="T718" s="5" t="n">
        <v>80</v>
      </c>
      <c r="U718" s="48" t="inlineStr">
        <is>
          <t>Harbor</t>
        </is>
      </c>
    </row>
    <row r="719">
      <c r="A719" s="5" t="inlineStr">
        <is>
          <t>Bella Mirage</t>
        </is>
      </c>
      <c r="B719" s="5" t="inlineStr">
        <is>
          <t>Harbor</t>
        </is>
      </c>
      <c r="C719" s="5" t="inlineStr">
        <is>
          <t>3712</t>
        </is>
      </c>
      <c r="D719" s="5" t="n">
        <v>3</v>
      </c>
      <c r="E719" s="5" t="n">
        <v>2</v>
      </c>
      <c r="F719" s="5" t="n">
        <v>2</v>
      </c>
      <c r="G719" s="5" t="inlineStr"/>
      <c r="H719" s="5" t="n">
        <v>1173</v>
      </c>
      <c r="I719" s="5" t="inlineStr">
        <is>
          <t>8/11/2025</t>
        </is>
      </c>
      <c r="J719" s="5" t="n">
        <v>200</v>
      </c>
      <c r="K719" s="5" t="n">
        <v>13</v>
      </c>
      <c r="L719" s="5" t="inlineStr">
        <is>
          <t>80%</t>
        </is>
      </c>
      <c r="M719" s="5" t="n">
        <v>1696</v>
      </c>
      <c r="N719" s="5" t="n">
        <v>1.45</v>
      </c>
      <c r="O719" s="5" t="n">
        <v>1566</v>
      </c>
      <c r="P719" s="5" t="n">
        <v>1.34</v>
      </c>
      <c r="Q719" s="5" t="inlineStr">
        <is>
          <t>2025-05-09</t>
        </is>
      </c>
      <c r="R719" s="5" t="inlineStr">
        <is>
          <t>2025-05-17</t>
        </is>
      </c>
      <c r="S719" s="5" t="n">
        <v>9</v>
      </c>
      <c r="T719" s="5" t="n">
        <v>0</v>
      </c>
      <c r="U719" s="48" t="inlineStr">
        <is>
          <t>Harbor</t>
        </is>
      </c>
    </row>
    <row r="720">
      <c r="A720" s="5" t="inlineStr">
        <is>
          <t>Bella Mirage</t>
        </is>
      </c>
      <c r="B720" s="5" t="inlineStr">
        <is>
          <t>Harbor</t>
        </is>
      </c>
      <c r="C720" s="5" t="inlineStr">
        <is>
          <t>4714</t>
        </is>
      </c>
      <c r="D720" s="5" t="n">
        <v>4</v>
      </c>
      <c r="E720" s="5" t="n">
        <v>2</v>
      </c>
      <c r="F720" s="5" t="n">
        <v>2</v>
      </c>
      <c r="G720" s="5" t="inlineStr"/>
      <c r="H720" s="5" t="n">
        <v>1173</v>
      </c>
      <c r="I720" s="5" t="inlineStr">
        <is>
          <t>1/27/2024</t>
        </is>
      </c>
      <c r="J720" s="5" t="n">
        <v>200</v>
      </c>
      <c r="K720" s="5" t="n">
        <v>14</v>
      </c>
      <c r="L720" s="5" t="inlineStr">
        <is>
          <t>80%</t>
        </is>
      </c>
      <c r="M720" s="5" t="n">
        <v>1802</v>
      </c>
      <c r="N720" s="5" t="n">
        <v>1.54</v>
      </c>
      <c r="O720" s="5" t="n">
        <v>1673</v>
      </c>
      <c r="P720" s="5" t="n">
        <v>1.43</v>
      </c>
      <c r="Q720" s="5" t="inlineStr">
        <is>
          <t>2023-12-16</t>
        </is>
      </c>
      <c r="R720" s="5" t="inlineStr">
        <is>
          <t>2024-03-12</t>
        </is>
      </c>
      <c r="S720" s="5" t="n">
        <v>88</v>
      </c>
      <c r="T720" s="5" t="n">
        <v>46</v>
      </c>
      <c r="U720" s="48" t="inlineStr">
        <is>
          <t>Harbor</t>
        </is>
      </c>
    </row>
    <row r="721">
      <c r="A721" s="5" t="inlineStr">
        <is>
          <t>Bella Mirage</t>
        </is>
      </c>
      <c r="B721" s="5" t="inlineStr">
        <is>
          <t>Harbor</t>
        </is>
      </c>
      <c r="C721" s="5" t="inlineStr">
        <is>
          <t>4714</t>
        </is>
      </c>
      <c r="D721" s="5" t="n">
        <v>4</v>
      </c>
      <c r="E721" s="5" t="n">
        <v>2</v>
      </c>
      <c r="F721" s="5" t="n">
        <v>2</v>
      </c>
      <c r="G721" s="5" t="inlineStr"/>
      <c r="H721" s="5" t="n">
        <v>1173</v>
      </c>
      <c r="I721" s="5" t="inlineStr">
        <is>
          <t>3/14/2025</t>
        </is>
      </c>
      <c r="J721" s="5" t="n">
        <v>200</v>
      </c>
      <c r="K721" s="5" t="n">
        <v>12</v>
      </c>
      <c r="L721" s="5" t="inlineStr">
        <is>
          <t>80%</t>
        </is>
      </c>
      <c r="M721" s="5" t="n">
        <v>1724</v>
      </c>
      <c r="N721" s="5" t="n">
        <v>1.47</v>
      </c>
      <c r="O721" s="5" t="n">
        <v>1580</v>
      </c>
      <c r="P721" s="5" t="n">
        <v>1.35</v>
      </c>
      <c r="Q721" s="5" t="inlineStr">
        <is>
          <t>2025-03-26</t>
        </is>
      </c>
      <c r="R721" s="5" t="inlineStr">
        <is>
          <t>2025-04-12</t>
        </is>
      </c>
      <c r="S721" s="5" t="n">
        <v>18</v>
      </c>
      <c r="T721" s="5" t="n">
        <v>18</v>
      </c>
      <c r="U721" s="48" t="inlineStr">
        <is>
          <t>Harbor</t>
        </is>
      </c>
    </row>
    <row r="722">
      <c r="A722" s="5" t="inlineStr">
        <is>
          <t>Bella Mirage</t>
        </is>
      </c>
      <c r="B722" s="5" t="inlineStr">
        <is>
          <t>Harbor</t>
        </is>
      </c>
      <c r="C722" s="5" t="inlineStr">
        <is>
          <t>4715</t>
        </is>
      </c>
      <c r="D722" s="5" t="inlineStr"/>
      <c r="E722" s="5" t="n">
        <v>2</v>
      </c>
      <c r="F722" s="5" t="n">
        <v>2</v>
      </c>
      <c r="G722" s="5" t="inlineStr"/>
      <c r="H722" s="5" t="n">
        <v>1173</v>
      </c>
      <c r="I722" s="5" t="inlineStr">
        <is>
          <t>5/24/2025</t>
        </is>
      </c>
      <c r="J722" s="5" t="n">
        <v>200</v>
      </c>
      <c r="K722" s="5" t="n">
        <v>13</v>
      </c>
      <c r="L722" s="5" t="inlineStr">
        <is>
          <t>80%</t>
        </is>
      </c>
      <c r="M722" s="5" t="n">
        <v>1738</v>
      </c>
      <c r="N722" s="5" t="n">
        <v>1.48</v>
      </c>
      <c r="O722" s="5" t="n">
        <v>1604</v>
      </c>
      <c r="P722" s="5" t="n">
        <v>1.37</v>
      </c>
      <c r="Q722" s="5" t="inlineStr">
        <is>
          <t>2025-02-01</t>
        </is>
      </c>
      <c r="R722" s="5" t="inlineStr">
        <is>
          <t>2025-04-04</t>
        </is>
      </c>
      <c r="S722" s="5" t="n">
        <v>63</v>
      </c>
      <c r="T722" s="5" t="n">
        <v>0</v>
      </c>
      <c r="U722" s="48" t="inlineStr">
        <is>
          <t>Harbor</t>
        </is>
      </c>
    </row>
    <row r="723">
      <c r="A723" s="5" t="inlineStr">
        <is>
          <t>Bella Mirage</t>
        </is>
      </c>
      <c r="B723" s="5" t="inlineStr">
        <is>
          <t>Harbor</t>
        </is>
      </c>
      <c r="C723" s="5" t="inlineStr">
        <is>
          <t>4715</t>
        </is>
      </c>
      <c r="D723" s="5" t="inlineStr"/>
      <c r="E723" s="5" t="n">
        <v>2</v>
      </c>
      <c r="F723" s="5" t="n">
        <v>2</v>
      </c>
      <c r="G723" s="5" t="inlineStr"/>
      <c r="H723" s="5" t="n">
        <v>1173</v>
      </c>
      <c r="I723" s="5" t="inlineStr">
        <is>
          <t>5/5/2026</t>
        </is>
      </c>
      <c r="J723" s="5" t="n">
        <v>300</v>
      </c>
      <c r="K723" s="5" t="n">
        <v>12</v>
      </c>
      <c r="L723" s="5" t="inlineStr">
        <is>
          <t>80%</t>
        </is>
      </c>
      <c r="M723" s="5" t="n">
        <v>1780</v>
      </c>
      <c r="N723" s="5" t="n">
        <v>1.52</v>
      </c>
      <c r="O723" s="5" t="n">
        <v>1780</v>
      </c>
      <c r="P723" s="5" t="n">
        <v>1.52</v>
      </c>
      <c r="Q723" s="5" t="inlineStr">
        <is>
          <t>2026-04-02</t>
        </is>
      </c>
      <c r="R723" s="5" t="inlineStr">
        <is>
          <t>2026-05-17</t>
        </is>
      </c>
      <c r="S723" s="5" t="n">
        <v>46</v>
      </c>
      <c r="T723" s="5" t="n">
        <v>13</v>
      </c>
      <c r="U723" s="48" t="inlineStr">
        <is>
          <t>Harbor</t>
        </is>
      </c>
    </row>
    <row r="724">
      <c r="A724" s="5" t="inlineStr">
        <is>
          <t>Bella Mirage</t>
        </is>
      </c>
      <c r="B724" s="5" t="inlineStr">
        <is>
          <t>Harbor</t>
        </is>
      </c>
      <c r="C724" s="5" t="inlineStr">
        <is>
          <t>4712</t>
        </is>
      </c>
      <c r="D724" s="5" t="inlineStr"/>
      <c r="E724" s="5" t="n">
        <v>2</v>
      </c>
      <c r="F724" s="5" t="n">
        <v>2</v>
      </c>
      <c r="G724" s="5" t="inlineStr"/>
      <c r="H724" s="5" t="n">
        <v>1173</v>
      </c>
      <c r="I724" s="5" t="inlineStr">
        <is>
          <t>11/15/2023</t>
        </is>
      </c>
      <c r="J724" s="5" t="inlineStr"/>
      <c r="K724" s="5" t="inlineStr"/>
      <c r="L724" s="5" t="inlineStr">
        <is>
          <t>80%</t>
        </is>
      </c>
      <c r="M724" s="5" t="n">
        <v>1878</v>
      </c>
      <c r="N724" s="5" t="n">
        <v>1.6</v>
      </c>
      <c r="O724" s="5" t="n">
        <v>1722</v>
      </c>
      <c r="P724" s="5" t="n">
        <v>1.47</v>
      </c>
      <c r="Q724" s="5" t="inlineStr">
        <is>
          <t>2023-10-06</t>
        </is>
      </c>
      <c r="R724" s="5" t="inlineStr">
        <is>
          <t>2023-11-10</t>
        </is>
      </c>
      <c r="S724" s="5" t="n">
        <v>36</v>
      </c>
      <c r="T724" s="5" t="n">
        <v>0</v>
      </c>
      <c r="U724" s="48" t="inlineStr">
        <is>
          <t>Harbor</t>
        </is>
      </c>
    </row>
    <row r="725">
      <c r="A725" s="5" t="inlineStr">
        <is>
          <t>Bella Mirage</t>
        </is>
      </c>
      <c r="B725" s="5" t="inlineStr">
        <is>
          <t>Maya</t>
        </is>
      </c>
      <c r="C725" s="5" t="inlineStr">
        <is>
          <t>1525</t>
        </is>
      </c>
      <c r="D725" s="5" t="n">
        <v>1</v>
      </c>
      <c r="E725" s="5" t="n">
        <v>2</v>
      </c>
      <c r="F725" s="5" t="n">
        <v>2</v>
      </c>
      <c r="G725" s="5" t="inlineStr"/>
      <c r="H725" s="5" t="n">
        <v>1187</v>
      </c>
      <c r="I725" s="5" t="inlineStr">
        <is>
          <t>6/29/2024</t>
        </is>
      </c>
      <c r="J725" s="5" t="n">
        <v>200</v>
      </c>
      <c r="K725" s="5" t="n">
        <v>12</v>
      </c>
      <c r="L725" s="5" t="inlineStr">
        <is>
          <t>50%</t>
        </is>
      </c>
      <c r="M725" s="5" t="n">
        <v>1683</v>
      </c>
      <c r="N725" s="5" t="n">
        <v>1.42</v>
      </c>
      <c r="O725" s="5" t="n">
        <v>1543</v>
      </c>
      <c r="P725" s="5" t="n">
        <v>1.3</v>
      </c>
      <c r="Q725" s="5" t="inlineStr">
        <is>
          <t>2024-04-08</t>
        </is>
      </c>
      <c r="R725" s="5" t="inlineStr">
        <is>
          <t>2024-05-23</t>
        </is>
      </c>
      <c r="S725" s="5" t="n">
        <v>46</v>
      </c>
      <c r="T725" s="5" t="n">
        <v>0</v>
      </c>
      <c r="U725" s="48" t="inlineStr">
        <is>
          <t>Maya</t>
        </is>
      </c>
    </row>
    <row r="726">
      <c r="A726" s="5" t="inlineStr">
        <is>
          <t>Bella Mirage</t>
        </is>
      </c>
      <c r="B726" s="5" t="inlineStr">
        <is>
          <t>Maya</t>
        </is>
      </c>
      <c r="C726" s="5" t="inlineStr">
        <is>
          <t>1525</t>
        </is>
      </c>
      <c r="D726" s="5" t="n">
        <v>1</v>
      </c>
      <c r="E726" s="5" t="n">
        <v>2</v>
      </c>
      <c r="F726" s="5" t="n">
        <v>2</v>
      </c>
      <c r="G726" s="5" t="inlineStr"/>
      <c r="H726" s="5" t="n">
        <v>1187</v>
      </c>
      <c r="I726" s="5" t="inlineStr">
        <is>
          <t>9/8/2025</t>
        </is>
      </c>
      <c r="J726" s="5" t="n">
        <v>300</v>
      </c>
      <c r="K726" s="5" t="n">
        <v>12</v>
      </c>
      <c r="L726" s="5" t="inlineStr">
        <is>
          <t>50%</t>
        </is>
      </c>
      <c r="M726" s="5" t="n">
        <v>1214</v>
      </c>
      <c r="N726" s="5" t="n">
        <v>1.02</v>
      </c>
      <c r="O726" s="5" t="n">
        <v>1214</v>
      </c>
      <c r="P726" s="5" t="n">
        <v>1.02</v>
      </c>
      <c r="Q726" s="5" t="inlineStr">
        <is>
          <t>2025-07-03</t>
        </is>
      </c>
      <c r="R726" s="5" t="inlineStr">
        <is>
          <t>2025-12-01</t>
        </is>
      </c>
      <c r="S726" s="5" t="n">
        <v>152</v>
      </c>
      <c r="T726" s="5" t="n">
        <v>85</v>
      </c>
      <c r="U726" s="48" t="inlineStr">
        <is>
          <t>Maya</t>
        </is>
      </c>
    </row>
    <row r="727">
      <c r="A727" s="5" t="inlineStr">
        <is>
          <t>Bella Mirage</t>
        </is>
      </c>
      <c r="B727" s="5" t="inlineStr">
        <is>
          <t>Maya</t>
        </is>
      </c>
      <c r="C727" s="5" t="inlineStr">
        <is>
          <t>1915</t>
        </is>
      </c>
      <c r="D727" s="5" t="inlineStr"/>
      <c r="E727" s="5" t="n">
        <v>2</v>
      </c>
      <c r="F727" s="5" t="n">
        <v>2</v>
      </c>
      <c r="G727" s="5" t="inlineStr"/>
      <c r="H727" s="5" t="n">
        <v>1187</v>
      </c>
      <c r="I727" s="5" t="inlineStr">
        <is>
          <t>1/12/2024</t>
        </is>
      </c>
      <c r="J727" s="5" t="inlineStr"/>
      <c r="K727" s="5" t="inlineStr"/>
      <c r="L727" s="5" t="inlineStr">
        <is>
          <t>60%</t>
        </is>
      </c>
      <c r="M727" s="5" t="n">
        <v>1673</v>
      </c>
      <c r="N727" s="5" t="n">
        <v>1.41</v>
      </c>
      <c r="O727" s="5" t="n">
        <v>1534</v>
      </c>
      <c r="P727" s="5" t="n">
        <v>1.29</v>
      </c>
      <c r="Q727" s="5" t="inlineStr">
        <is>
          <t>2024-01-12</t>
        </is>
      </c>
      <c r="R727" s="5" t="inlineStr">
        <is>
          <t>2024-01-28</t>
        </is>
      </c>
      <c r="S727" s="5" t="n">
        <v>17</v>
      </c>
      <c r="T727" s="5" t="n">
        <v>17</v>
      </c>
      <c r="U727" s="48" t="inlineStr">
        <is>
          <t>Maya</t>
        </is>
      </c>
    </row>
    <row r="728">
      <c r="A728" s="5" t="inlineStr">
        <is>
          <t>Bella Mirage</t>
        </is>
      </c>
      <c r="B728" s="5" t="inlineStr">
        <is>
          <t>Maya</t>
        </is>
      </c>
      <c r="C728" s="5" t="inlineStr">
        <is>
          <t>1915</t>
        </is>
      </c>
      <c r="D728" s="5" t="inlineStr"/>
      <c r="E728" s="5" t="n">
        <v>2</v>
      </c>
      <c r="F728" s="5" t="n">
        <v>2</v>
      </c>
      <c r="G728" s="5" t="inlineStr"/>
      <c r="H728" s="5" t="n">
        <v>1187</v>
      </c>
      <c r="I728" s="5" t="inlineStr">
        <is>
          <t>4/29/2025</t>
        </is>
      </c>
      <c r="J728" s="5" t="n">
        <v>300</v>
      </c>
      <c r="K728" s="5" t="n">
        <v>14</v>
      </c>
      <c r="L728" s="5" t="inlineStr">
        <is>
          <t>60%</t>
        </is>
      </c>
      <c r="M728" s="5" t="n">
        <v>1335</v>
      </c>
      <c r="N728" s="5" t="n">
        <v>1.12</v>
      </c>
      <c r="O728" s="5" t="n">
        <v>1335</v>
      </c>
      <c r="P728" s="5" t="n">
        <v>1.12</v>
      </c>
      <c r="Q728" s="5" t="inlineStr">
        <is>
          <t>2025-02-21</t>
        </is>
      </c>
      <c r="R728" s="5" t="inlineStr">
        <is>
          <t>2025-11-21</t>
        </is>
      </c>
      <c r="S728" s="5" t="n">
        <v>274</v>
      </c>
      <c r="T728" s="5" t="n">
        <v>207</v>
      </c>
      <c r="U728" s="48" t="inlineStr">
        <is>
          <t>Maya</t>
        </is>
      </c>
    </row>
    <row r="729">
      <c r="A729" s="5" t="inlineStr">
        <is>
          <t>Bella Mirage</t>
        </is>
      </c>
      <c r="B729" s="5" t="inlineStr">
        <is>
          <t>Maya</t>
        </is>
      </c>
      <c r="C729" s="5" t="inlineStr">
        <is>
          <t>1524</t>
        </is>
      </c>
      <c r="D729" s="5" t="n">
        <v>2</v>
      </c>
      <c r="E729" s="5" t="n">
        <v>2</v>
      </c>
      <c r="F729" s="5" t="n">
        <v>2</v>
      </c>
      <c r="G729" s="5" t="inlineStr"/>
      <c r="H729" s="5" t="n">
        <v>1187</v>
      </c>
      <c r="I729" s="5" t="inlineStr">
        <is>
          <t>1/11/2024</t>
        </is>
      </c>
      <c r="J729" s="5" t="inlineStr"/>
      <c r="K729" s="5" t="inlineStr"/>
      <c r="L729" s="5" t="inlineStr">
        <is>
          <t>60%</t>
        </is>
      </c>
      <c r="M729" s="5" t="n">
        <v>1568</v>
      </c>
      <c r="N729" s="5" t="n">
        <v>1.32</v>
      </c>
      <c r="O729" s="5" t="n">
        <v>1437</v>
      </c>
      <c r="P729" s="5" t="n">
        <v>1.21</v>
      </c>
      <c r="Q729" s="5" t="inlineStr">
        <is>
          <t>2024-01-11</t>
        </is>
      </c>
      <c r="R729" s="5" t="inlineStr">
        <is>
          <t>2024-01-15</t>
        </is>
      </c>
      <c r="S729" s="5" t="n">
        <v>5</v>
      </c>
      <c r="T729" s="5" t="n">
        <v>5</v>
      </c>
      <c r="U729" s="48" t="inlineStr">
        <is>
          <t>Maya</t>
        </is>
      </c>
    </row>
    <row r="730">
      <c r="A730" s="5" t="inlineStr">
        <is>
          <t>Bella Mirage</t>
        </is>
      </c>
      <c r="B730" s="5" t="inlineStr">
        <is>
          <t>Maya</t>
        </is>
      </c>
      <c r="C730" s="5" t="inlineStr">
        <is>
          <t>1524</t>
        </is>
      </c>
      <c r="D730" s="5" t="n">
        <v>2</v>
      </c>
      <c r="E730" s="5" t="n">
        <v>2</v>
      </c>
      <c r="F730" s="5" t="n">
        <v>2</v>
      </c>
      <c r="G730" s="5" t="inlineStr"/>
      <c r="H730" s="5" t="n">
        <v>1187</v>
      </c>
      <c r="I730" s="5" t="inlineStr">
        <is>
          <t>12/5/2025</t>
        </is>
      </c>
      <c r="J730" s="5" t="n">
        <v>300</v>
      </c>
      <c r="K730" s="5" t="n">
        <v>13</v>
      </c>
      <c r="L730" s="5" t="inlineStr">
        <is>
          <t>60%</t>
        </is>
      </c>
      <c r="M730" s="5" t="n">
        <v>1338</v>
      </c>
      <c r="N730" s="5" t="n">
        <v>1.13</v>
      </c>
      <c r="O730" s="5" t="n">
        <v>1338</v>
      </c>
      <c r="P730" s="5" t="n">
        <v>1.13</v>
      </c>
      <c r="Q730" s="5" t="inlineStr">
        <is>
          <t>2025-11-02</t>
        </is>
      </c>
      <c r="R730" s="5" t="inlineStr">
        <is>
          <t>2025-12-15</t>
        </is>
      </c>
      <c r="S730" s="5" t="n">
        <v>44</v>
      </c>
      <c r="T730" s="5" t="n">
        <v>11</v>
      </c>
      <c r="U730" s="48" t="inlineStr">
        <is>
          <t>Maya</t>
        </is>
      </c>
    </row>
    <row r="731">
      <c r="A731" s="5" t="inlineStr">
        <is>
          <t>Bella Mirage</t>
        </is>
      </c>
      <c r="B731" s="5" t="inlineStr">
        <is>
          <t>Maya</t>
        </is>
      </c>
      <c r="C731" s="5" t="inlineStr">
        <is>
          <t>1925</t>
        </is>
      </c>
      <c r="D731" s="5" t="n">
        <v>1</v>
      </c>
      <c r="E731" s="5" t="n">
        <v>2</v>
      </c>
      <c r="F731" s="5" t="n">
        <v>2</v>
      </c>
      <c r="G731" s="5" t="inlineStr"/>
      <c r="H731" s="5" t="n">
        <v>1187</v>
      </c>
      <c r="I731" s="5" t="inlineStr">
        <is>
          <t>6/8/2025</t>
        </is>
      </c>
      <c r="J731" s="5" t="n">
        <v>200</v>
      </c>
      <c r="K731" s="5" t="n">
        <v>14</v>
      </c>
      <c r="L731" s="5" t="inlineStr">
        <is>
          <t>60%</t>
        </is>
      </c>
      <c r="M731" s="5" t="n">
        <v>1548</v>
      </c>
      <c r="N731" s="5" t="n">
        <v>1.3</v>
      </c>
      <c r="O731" s="5" t="n">
        <v>1437</v>
      </c>
      <c r="P731" s="5" t="n">
        <v>1.21</v>
      </c>
      <c r="Q731" s="5" t="inlineStr">
        <is>
          <t>2025-06-01</t>
        </is>
      </c>
      <c r="R731" s="5" t="inlineStr">
        <is>
          <t>2025-07-04</t>
        </is>
      </c>
      <c r="S731" s="5" t="n">
        <v>34</v>
      </c>
      <c r="T731" s="5" t="n">
        <v>27</v>
      </c>
      <c r="U731" s="48" t="inlineStr">
        <is>
          <t>Maya</t>
        </is>
      </c>
    </row>
    <row r="732">
      <c r="A732" s="5" t="inlineStr">
        <is>
          <t>Bella Mirage</t>
        </is>
      </c>
      <c r="B732" s="5" t="inlineStr">
        <is>
          <t>Maya</t>
        </is>
      </c>
      <c r="C732" s="5" t="inlineStr">
        <is>
          <t>3431</t>
        </is>
      </c>
      <c r="D732" s="5" t="n">
        <v>3</v>
      </c>
      <c r="E732" s="5" t="n">
        <v>2</v>
      </c>
      <c r="F732" s="5" t="n">
        <v>2</v>
      </c>
      <c r="G732" s="5" t="inlineStr"/>
      <c r="H732" s="5" t="n">
        <v>1187</v>
      </c>
      <c r="I732" s="5" t="inlineStr">
        <is>
          <t>5/16/2025</t>
        </is>
      </c>
      <c r="J732" s="5" t="n">
        <v>200</v>
      </c>
      <c r="K732" s="5" t="n">
        <v>14</v>
      </c>
      <c r="L732" s="5" t="inlineStr">
        <is>
          <t>60%</t>
        </is>
      </c>
      <c r="M732" s="5" t="n">
        <v>1372</v>
      </c>
      <c r="N732" s="5" t="n">
        <v>1.16</v>
      </c>
      <c r="O732" s="5" t="n">
        <v>1274</v>
      </c>
      <c r="P732" s="5" t="n">
        <v>1.07</v>
      </c>
      <c r="Q732" s="5" t="inlineStr">
        <is>
          <t>2025-03-06</t>
        </is>
      </c>
      <c r="R732" s="5" t="inlineStr">
        <is>
          <t>2025-07-06</t>
        </is>
      </c>
      <c r="S732" s="5" t="n">
        <v>123</v>
      </c>
      <c r="T732" s="5" t="n">
        <v>52</v>
      </c>
      <c r="U732" s="48" t="inlineStr">
        <is>
          <t>Maya</t>
        </is>
      </c>
    </row>
    <row r="733">
      <c r="A733" s="5" t="inlineStr">
        <is>
          <t>Bella Mirage</t>
        </is>
      </c>
      <c r="B733" s="5" t="inlineStr">
        <is>
          <t>Maya</t>
        </is>
      </c>
      <c r="C733" s="5" t="inlineStr">
        <is>
          <t>3215</t>
        </is>
      </c>
      <c r="D733" s="5" t="n">
        <v>3</v>
      </c>
      <c r="E733" s="5" t="n">
        <v>2</v>
      </c>
      <c r="F733" s="5" t="n">
        <v>2</v>
      </c>
      <c r="G733" s="5" t="inlineStr"/>
      <c r="H733" s="5" t="n">
        <v>1187</v>
      </c>
      <c r="I733" s="5" t="inlineStr">
        <is>
          <t>4/15/2024</t>
        </is>
      </c>
      <c r="J733" s="5" t="n">
        <v>200</v>
      </c>
      <c r="K733" s="5" t="n">
        <v>13</v>
      </c>
      <c r="L733" s="5" t="inlineStr">
        <is>
          <t>60%</t>
        </is>
      </c>
      <c r="M733" s="5" t="n">
        <v>1778</v>
      </c>
      <c r="N733" s="5" t="n">
        <v>1.5</v>
      </c>
      <c r="O733" s="5" t="n">
        <v>1641</v>
      </c>
      <c r="P733" s="5" t="n">
        <v>1.38</v>
      </c>
      <c r="Q733" s="5" t="inlineStr">
        <is>
          <t>2024-03-23</t>
        </is>
      </c>
      <c r="R733" s="5" t="inlineStr">
        <is>
          <t>2024-03-30</t>
        </is>
      </c>
      <c r="S733" s="5" t="n">
        <v>8</v>
      </c>
      <c r="T733" s="5" t="n">
        <v>0</v>
      </c>
      <c r="U733" s="48" t="inlineStr">
        <is>
          <t>Maya</t>
        </is>
      </c>
    </row>
    <row r="734">
      <c r="A734" s="5" t="inlineStr">
        <is>
          <t>Bella Mirage</t>
        </is>
      </c>
      <c r="B734" s="5" t="inlineStr">
        <is>
          <t>Maya</t>
        </is>
      </c>
      <c r="C734" s="5" t="inlineStr">
        <is>
          <t>3215</t>
        </is>
      </c>
      <c r="D734" s="5" t="n">
        <v>3</v>
      </c>
      <c r="E734" s="5" t="n">
        <v>2</v>
      </c>
      <c r="F734" s="5" t="n">
        <v>2</v>
      </c>
      <c r="G734" s="5" t="inlineStr"/>
      <c r="H734" s="5" t="n">
        <v>1187</v>
      </c>
      <c r="I734" s="5" t="inlineStr">
        <is>
          <t>11/11/2025</t>
        </is>
      </c>
      <c r="J734" s="5" t="n">
        <v>300</v>
      </c>
      <c r="K734" s="5" t="n">
        <v>14</v>
      </c>
      <c r="L734" s="5" t="inlineStr">
        <is>
          <t>60%</t>
        </is>
      </c>
      <c r="M734" s="5" t="n">
        <v>1372</v>
      </c>
      <c r="N734" s="5" t="n">
        <v>1.16</v>
      </c>
      <c r="O734" s="5" t="n">
        <v>1372</v>
      </c>
      <c r="P734" s="5" t="n">
        <v>1.16</v>
      </c>
      <c r="Q734" s="5" t="inlineStr">
        <is>
          <t>2025-09-11</t>
        </is>
      </c>
      <c r="R734" s="5" t="inlineStr">
        <is>
          <t>2026-01-24</t>
        </is>
      </c>
      <c r="S734" s="5" t="n">
        <v>136</v>
      </c>
      <c r="T734" s="5" t="n">
        <v>75</v>
      </c>
      <c r="U734" s="48" t="inlineStr">
        <is>
          <t>Maya</t>
        </is>
      </c>
    </row>
    <row r="735">
      <c r="A735" s="5" t="inlineStr">
        <is>
          <t>Bella Mirage</t>
        </is>
      </c>
      <c r="B735" s="5" t="inlineStr">
        <is>
          <t>Maya</t>
        </is>
      </c>
      <c r="C735" s="5" t="inlineStr">
        <is>
          <t>0221</t>
        </is>
      </c>
      <c r="D735" s="5" t="n">
        <v>2</v>
      </c>
      <c r="E735" s="5" t="n">
        <v>2</v>
      </c>
      <c r="F735" s="5" t="n">
        <v>2</v>
      </c>
      <c r="G735" s="5" t="inlineStr"/>
      <c r="H735" s="5" t="n">
        <v>1187</v>
      </c>
      <c r="I735" s="5" t="inlineStr">
        <is>
          <t>6/27/2025</t>
        </is>
      </c>
      <c r="J735" s="5" t="n">
        <v>200</v>
      </c>
      <c r="K735" s="5" t="n">
        <v>13</v>
      </c>
      <c r="L735" s="5" t="inlineStr">
        <is>
          <t>60%</t>
        </is>
      </c>
      <c r="M735" s="5" t="n">
        <v>1404</v>
      </c>
      <c r="N735" s="5" t="n">
        <v>1.18</v>
      </c>
      <c r="O735" s="5" t="n">
        <v>1296</v>
      </c>
      <c r="P735" s="5" t="n">
        <v>1.09</v>
      </c>
      <c r="Q735" s="5" t="inlineStr">
        <is>
          <t>2025-04-20</t>
        </is>
      </c>
      <c r="R735" s="5" t="inlineStr">
        <is>
          <t>2025-07-09</t>
        </is>
      </c>
      <c r="S735" s="5" t="n">
        <v>81</v>
      </c>
      <c r="T735" s="5" t="n">
        <v>13</v>
      </c>
      <c r="U735" s="48" t="inlineStr">
        <is>
          <t>Maya</t>
        </is>
      </c>
    </row>
    <row r="736">
      <c r="A736" s="5" t="inlineStr">
        <is>
          <t>Bella Mirage</t>
        </is>
      </c>
      <c r="B736" s="5" t="inlineStr">
        <is>
          <t>Maya</t>
        </is>
      </c>
      <c r="C736" s="5" t="inlineStr">
        <is>
          <t>1321</t>
        </is>
      </c>
      <c r="D736" s="5" t="n">
        <v>1</v>
      </c>
      <c r="E736" s="5" t="n">
        <v>2</v>
      </c>
      <c r="F736" s="5" t="n">
        <v>2</v>
      </c>
      <c r="G736" s="5" t="inlineStr"/>
      <c r="H736" s="5" t="n">
        <v>1187</v>
      </c>
      <c r="I736" s="5" t="inlineStr">
        <is>
          <t>2/28/2025</t>
        </is>
      </c>
      <c r="J736" s="5" t="n">
        <v>200</v>
      </c>
      <c r="K736" s="5" t="n">
        <v>13</v>
      </c>
      <c r="L736" s="5" t="inlineStr">
        <is>
          <t>60%</t>
        </is>
      </c>
      <c r="M736" s="5" t="n">
        <v>1757</v>
      </c>
      <c r="N736" s="5" t="n">
        <v>1.48</v>
      </c>
      <c r="O736" s="5" t="n">
        <v>1622</v>
      </c>
      <c r="P736" s="5" t="n">
        <v>1.37</v>
      </c>
      <c r="Q736" s="5" t="inlineStr">
        <is>
          <t>2024-12-04</t>
        </is>
      </c>
      <c r="R736" s="5" t="inlineStr">
        <is>
          <t>2025-03-30</t>
        </is>
      </c>
      <c r="S736" s="5" t="n">
        <v>117</v>
      </c>
      <c r="T736" s="5" t="n">
        <v>31</v>
      </c>
      <c r="U736" s="48" t="inlineStr">
        <is>
          <t>Maya</t>
        </is>
      </c>
    </row>
    <row r="737">
      <c r="A737" s="5" t="inlineStr">
        <is>
          <t>Bella Mirage</t>
        </is>
      </c>
      <c r="B737" s="5" t="inlineStr">
        <is>
          <t>Maya</t>
        </is>
      </c>
      <c r="C737" s="5" t="inlineStr">
        <is>
          <t>1321</t>
        </is>
      </c>
      <c r="D737" s="5" t="n">
        <v>1</v>
      </c>
      <c r="E737" s="5" t="n">
        <v>2</v>
      </c>
      <c r="F737" s="5" t="n">
        <v>2</v>
      </c>
      <c r="G737" s="5" t="inlineStr"/>
      <c r="H737" s="5" t="n">
        <v>1187</v>
      </c>
      <c r="I737" s="5" t="inlineStr">
        <is>
          <t>10/11/2025</t>
        </is>
      </c>
      <c r="J737" s="5" t="n">
        <v>300</v>
      </c>
      <c r="K737" s="5" t="n">
        <v>12</v>
      </c>
      <c r="L737" s="5" t="inlineStr">
        <is>
          <t>60%</t>
        </is>
      </c>
      <c r="M737" s="5" t="n">
        <v>1397</v>
      </c>
      <c r="N737" s="5" t="n">
        <v>1.18</v>
      </c>
      <c r="O737" s="5" t="n">
        <v>1397</v>
      </c>
      <c r="P737" s="5" t="n">
        <v>1.18</v>
      </c>
      <c r="Q737" s="5" t="inlineStr">
        <is>
          <t>2025-10-01</t>
        </is>
      </c>
      <c r="R737" s="5" t="inlineStr">
        <is>
          <t>2025-12-03</t>
        </is>
      </c>
      <c r="S737" s="5" t="n">
        <v>64</v>
      </c>
      <c r="T737" s="5" t="n">
        <v>54</v>
      </c>
      <c r="U737" s="48" t="inlineStr">
        <is>
          <t>Maya</t>
        </is>
      </c>
    </row>
    <row r="738">
      <c r="A738" s="5" t="inlineStr">
        <is>
          <t>Bella Mirage</t>
        </is>
      </c>
      <c r="B738" s="5" t="inlineStr">
        <is>
          <t>Maya</t>
        </is>
      </c>
      <c r="C738" s="5" t="inlineStr">
        <is>
          <t>2924</t>
        </is>
      </c>
      <c r="D738" s="5" t="n">
        <v>2</v>
      </c>
      <c r="E738" s="5" t="n">
        <v>2</v>
      </c>
      <c r="F738" s="5" t="n">
        <v>2</v>
      </c>
      <c r="G738" s="5" t="inlineStr"/>
      <c r="H738" s="5" t="n">
        <v>1187</v>
      </c>
      <c r="I738" s="5" t="inlineStr">
        <is>
          <t>2/25/2025</t>
        </is>
      </c>
      <c r="J738" s="5" t="n">
        <v>200</v>
      </c>
      <c r="K738" s="5" t="n">
        <v>12</v>
      </c>
      <c r="L738" s="5" t="inlineStr">
        <is>
          <t>60%</t>
        </is>
      </c>
      <c r="M738" s="5" t="n">
        <v>1405</v>
      </c>
      <c r="N738" s="5" t="n">
        <v>1.18</v>
      </c>
      <c r="O738" s="5" t="n">
        <v>1288</v>
      </c>
      <c r="P738" s="5" t="n">
        <v>1.09</v>
      </c>
      <c r="Q738" s="5" t="inlineStr">
        <is>
          <t>2024-12-06</t>
        </is>
      </c>
      <c r="R738" s="5" t="inlineStr">
        <is>
          <t>2024-12-27</t>
        </is>
      </c>
      <c r="S738" s="5" t="n">
        <v>22</v>
      </c>
      <c r="T738" s="5" t="n">
        <v>0</v>
      </c>
      <c r="U738" s="48" t="inlineStr">
        <is>
          <t>Maya</t>
        </is>
      </c>
    </row>
    <row r="739">
      <c r="A739" s="5" t="inlineStr">
        <is>
          <t>Bella Mirage</t>
        </is>
      </c>
      <c r="B739" s="5" t="inlineStr">
        <is>
          <t>Maya</t>
        </is>
      </c>
      <c r="C739" s="5" t="inlineStr">
        <is>
          <t>1315</t>
        </is>
      </c>
      <c r="D739" s="5" t="n">
        <v>1</v>
      </c>
      <c r="E739" s="5" t="n">
        <v>2</v>
      </c>
      <c r="F739" s="5" t="n">
        <v>2</v>
      </c>
      <c r="G739" s="5" t="inlineStr"/>
      <c r="H739" s="5" t="n">
        <v>1187</v>
      </c>
      <c r="I739" s="5" t="inlineStr">
        <is>
          <t>8/6/2023</t>
        </is>
      </c>
      <c r="J739" s="5" t="inlineStr"/>
      <c r="K739" s="5" t="inlineStr"/>
      <c r="L739" s="5" t="inlineStr">
        <is>
          <t>60%</t>
        </is>
      </c>
      <c r="M739" s="5" t="n">
        <v>1676</v>
      </c>
      <c r="N739" s="5" t="n">
        <v>1.41</v>
      </c>
      <c r="O739" s="5" t="n">
        <v>1536</v>
      </c>
      <c r="P739" s="5" t="n">
        <v>1.29</v>
      </c>
      <c r="Q739" s="5" t="inlineStr">
        <is>
          <t>2023-07-24</t>
        </is>
      </c>
      <c r="R739" s="5" t="inlineStr">
        <is>
          <t>2023-11-28</t>
        </is>
      </c>
      <c r="S739" s="5" t="n">
        <v>128</v>
      </c>
      <c r="T739" s="5" t="n">
        <v>115</v>
      </c>
      <c r="U739" s="48" t="inlineStr">
        <is>
          <t>Maya</t>
        </is>
      </c>
    </row>
    <row r="740">
      <c r="A740" s="5" t="inlineStr">
        <is>
          <t>Bella Mirage</t>
        </is>
      </c>
      <c r="B740" s="5" t="inlineStr">
        <is>
          <t>Maya</t>
        </is>
      </c>
      <c r="C740" s="5" t="inlineStr">
        <is>
          <t>1315</t>
        </is>
      </c>
      <c r="D740" s="5" t="n">
        <v>1</v>
      </c>
      <c r="E740" s="5" t="n">
        <v>2</v>
      </c>
      <c r="F740" s="5" t="n">
        <v>2</v>
      </c>
      <c r="G740" s="5" t="inlineStr"/>
      <c r="H740" s="5" t="n">
        <v>1187</v>
      </c>
      <c r="I740" s="5" t="inlineStr">
        <is>
          <t>3/14/2025</t>
        </is>
      </c>
      <c r="J740" s="5" t="n">
        <v>200</v>
      </c>
      <c r="K740" s="5" t="n">
        <v>12</v>
      </c>
      <c r="L740" s="5" t="inlineStr">
        <is>
          <t>60%</t>
        </is>
      </c>
      <c r="M740" s="5" t="n">
        <v>1500</v>
      </c>
      <c r="N740" s="5" t="n">
        <v>1.26</v>
      </c>
      <c r="O740" s="5" t="n">
        <v>1375</v>
      </c>
      <c r="P740" s="5" t="n">
        <v>1.16</v>
      </c>
      <c r="Q740" s="5" t="inlineStr">
        <is>
          <t>2024-12-19</t>
        </is>
      </c>
      <c r="R740" s="5" t="inlineStr">
        <is>
          <t>2025-01-05</t>
        </is>
      </c>
      <c r="S740" s="5" t="n">
        <v>18</v>
      </c>
      <c r="T740" s="5" t="n">
        <v>0</v>
      </c>
      <c r="U740" s="48" t="inlineStr">
        <is>
          <t>Maya</t>
        </is>
      </c>
    </row>
    <row r="741">
      <c r="A741" s="5" t="inlineStr">
        <is>
          <t>Bella Mirage</t>
        </is>
      </c>
      <c r="B741" s="5" t="inlineStr">
        <is>
          <t>Maya</t>
        </is>
      </c>
      <c r="C741" s="5" t="inlineStr">
        <is>
          <t>0424</t>
        </is>
      </c>
      <c r="D741" s="5" t="inlineStr"/>
      <c r="E741" s="5" t="n">
        <v>2</v>
      </c>
      <c r="F741" s="5" t="n">
        <v>2</v>
      </c>
      <c r="G741" s="5" t="inlineStr"/>
      <c r="H741" s="5" t="n">
        <v>1187</v>
      </c>
      <c r="I741" s="5" t="inlineStr">
        <is>
          <t>12/31/2024</t>
        </is>
      </c>
      <c r="J741" s="5" t="n">
        <v>200</v>
      </c>
      <c r="K741" s="5" t="n">
        <v>12</v>
      </c>
      <c r="L741" s="5" t="inlineStr">
        <is>
          <t>60%</t>
        </is>
      </c>
      <c r="M741" s="5" t="n">
        <v>1818</v>
      </c>
      <c r="N741" s="5" t="n">
        <v>1.53</v>
      </c>
      <c r="O741" s="5" t="n">
        <v>1666</v>
      </c>
      <c r="P741" s="5" t="n">
        <v>1.4</v>
      </c>
      <c r="Q741" s="5" t="inlineStr">
        <is>
          <t>2024-10-22</t>
        </is>
      </c>
      <c r="R741" s="5" t="inlineStr">
        <is>
          <t>2025-02-11</t>
        </is>
      </c>
      <c r="S741" s="5" t="n">
        <v>113</v>
      </c>
      <c r="T741" s="5" t="n">
        <v>43</v>
      </c>
      <c r="U741" s="48" t="inlineStr">
        <is>
          <t>Maya</t>
        </is>
      </c>
    </row>
    <row r="742">
      <c r="A742" s="5" t="inlineStr">
        <is>
          <t>Bella Mirage</t>
        </is>
      </c>
      <c r="B742" s="5" t="inlineStr">
        <is>
          <t>Maya</t>
        </is>
      </c>
      <c r="C742" s="5" t="inlineStr">
        <is>
          <t>6328</t>
        </is>
      </c>
      <c r="D742" s="5" t="inlineStr"/>
      <c r="E742" s="5" t="n">
        <v>2</v>
      </c>
      <c r="F742" s="5" t="n">
        <v>2</v>
      </c>
      <c r="G742" s="5" t="inlineStr"/>
      <c r="H742" s="5" t="n">
        <v>1187</v>
      </c>
      <c r="I742" s="5" t="inlineStr">
        <is>
          <t>6/29/2024</t>
        </is>
      </c>
      <c r="J742" s="5" t="n">
        <v>200</v>
      </c>
      <c r="K742" s="5" t="n">
        <v>12</v>
      </c>
      <c r="L742" s="5" t="inlineStr">
        <is>
          <t>60%</t>
        </is>
      </c>
      <c r="M742" s="5" t="n">
        <v>1783</v>
      </c>
      <c r="N742" s="5" t="n">
        <v>1.5</v>
      </c>
      <c r="O742" s="5" t="n">
        <v>1634</v>
      </c>
      <c r="P742" s="5" t="n">
        <v>1.38</v>
      </c>
      <c r="Q742" s="5" t="inlineStr">
        <is>
          <t>2024-05-02</t>
        </is>
      </c>
      <c r="R742" s="5" t="inlineStr">
        <is>
          <t>2024-05-09</t>
        </is>
      </c>
      <c r="S742" s="5" t="n">
        <v>8</v>
      </c>
      <c r="T742" s="5" t="n">
        <v>0</v>
      </c>
      <c r="U742" s="48" t="inlineStr">
        <is>
          <t>Maya</t>
        </is>
      </c>
    </row>
    <row r="743">
      <c r="A743" s="5" t="inlineStr">
        <is>
          <t>Bella Mirage</t>
        </is>
      </c>
      <c r="B743" s="5" t="inlineStr">
        <is>
          <t>Maya</t>
        </is>
      </c>
      <c r="C743" s="5" t="inlineStr">
        <is>
          <t>6328</t>
        </is>
      </c>
      <c r="D743" s="5" t="inlineStr"/>
      <c r="E743" s="5" t="n">
        <v>2</v>
      </c>
      <c r="F743" s="5" t="n">
        <v>2</v>
      </c>
      <c r="G743" s="5" t="inlineStr"/>
      <c r="H743" s="5" t="n">
        <v>1187</v>
      </c>
      <c r="I743" s="5" t="inlineStr">
        <is>
          <t>8/14/2025</t>
        </is>
      </c>
      <c r="J743" s="5" t="n">
        <v>200</v>
      </c>
      <c r="K743" s="5" t="n">
        <v>13</v>
      </c>
      <c r="L743" s="5" t="inlineStr">
        <is>
          <t>60%</t>
        </is>
      </c>
      <c r="M743" s="5" t="n">
        <v>1661</v>
      </c>
      <c r="N743" s="5" t="n">
        <v>1.4</v>
      </c>
      <c r="O743" s="5" t="n">
        <v>1533</v>
      </c>
      <c r="P743" s="5" t="n">
        <v>1.29</v>
      </c>
      <c r="Q743" s="5" t="inlineStr">
        <is>
          <t>2025-07-29</t>
        </is>
      </c>
      <c r="R743" s="5" t="inlineStr">
        <is>
          <t>2025-08-08</t>
        </is>
      </c>
      <c r="S743" s="5" t="n">
        <v>11</v>
      </c>
      <c r="T743" s="5" t="n">
        <v>0</v>
      </c>
      <c r="U743" s="48" t="inlineStr">
        <is>
          <t>Maya</t>
        </is>
      </c>
    </row>
    <row r="744">
      <c r="A744" s="5" t="inlineStr">
        <is>
          <t>Bella Mirage</t>
        </is>
      </c>
      <c r="B744" s="5" t="inlineStr">
        <is>
          <t>Maya</t>
        </is>
      </c>
      <c r="C744" s="5" t="inlineStr">
        <is>
          <t>2911</t>
        </is>
      </c>
      <c r="D744" s="5" t="n">
        <v>1</v>
      </c>
      <c r="E744" s="5" t="n">
        <v>2</v>
      </c>
      <c r="F744" s="5" t="n">
        <v>2</v>
      </c>
      <c r="G744" s="5" t="inlineStr"/>
      <c r="H744" s="5" t="n">
        <v>1187</v>
      </c>
      <c r="I744" s="5" t="inlineStr">
        <is>
          <t>10/9/2024</t>
        </is>
      </c>
      <c r="J744" s="5" t="n">
        <v>200</v>
      </c>
      <c r="K744" s="5" t="n">
        <v>14</v>
      </c>
      <c r="L744" s="5" t="inlineStr">
        <is>
          <t>60%</t>
        </is>
      </c>
      <c r="M744" s="5" t="n">
        <v>1669</v>
      </c>
      <c r="N744" s="5" t="n">
        <v>1.41</v>
      </c>
      <c r="O744" s="5" t="n">
        <v>1550</v>
      </c>
      <c r="P744" s="5" t="n">
        <v>1.31</v>
      </c>
      <c r="Q744" s="5" t="inlineStr">
        <is>
          <t>2024-10-02</t>
        </is>
      </c>
      <c r="R744" s="5" t="inlineStr">
        <is>
          <t>2024-11-07</t>
        </is>
      </c>
      <c r="S744" s="5" t="n">
        <v>37</v>
      </c>
      <c r="T744" s="5" t="n">
        <v>30</v>
      </c>
      <c r="U744" s="48" t="inlineStr">
        <is>
          <t>Maya</t>
        </is>
      </c>
    </row>
    <row r="745">
      <c r="A745" s="5" t="inlineStr">
        <is>
          <t>Bella Mirage</t>
        </is>
      </c>
      <c r="B745" s="5" t="inlineStr">
        <is>
          <t>Maya</t>
        </is>
      </c>
      <c r="C745" s="5" t="inlineStr">
        <is>
          <t>2911</t>
        </is>
      </c>
      <c r="D745" s="5" t="n">
        <v>1</v>
      </c>
      <c r="E745" s="5" t="n">
        <v>2</v>
      </c>
      <c r="F745" s="5" t="n">
        <v>2</v>
      </c>
      <c r="G745" s="5" t="inlineStr"/>
      <c r="H745" s="5" t="n">
        <v>1187</v>
      </c>
      <c r="I745" s="5" t="inlineStr">
        <is>
          <t>9/29/2025</t>
        </is>
      </c>
      <c r="J745" s="5" t="n">
        <v>300</v>
      </c>
      <c r="K745" s="5" t="n">
        <v>12</v>
      </c>
      <c r="L745" s="5" t="inlineStr">
        <is>
          <t>60%</t>
        </is>
      </c>
      <c r="M745" s="5" t="n">
        <v>1415</v>
      </c>
      <c r="N745" s="5" t="n">
        <v>1.19</v>
      </c>
      <c r="O745" s="5" t="n">
        <v>1415</v>
      </c>
      <c r="P745" s="5" t="n">
        <v>1.19</v>
      </c>
      <c r="Q745" s="5" t="inlineStr">
        <is>
          <t>2025-08-11</t>
        </is>
      </c>
      <c r="R745" s="5" t="inlineStr">
        <is>
          <t>2025-11-30</t>
        </is>
      </c>
      <c r="S745" s="5" t="n">
        <v>112</v>
      </c>
      <c r="T745" s="5" t="n">
        <v>63</v>
      </c>
      <c r="U745" s="48" t="inlineStr">
        <is>
          <t>Maya</t>
        </is>
      </c>
    </row>
    <row r="746">
      <c r="A746" s="5" t="inlineStr">
        <is>
          <t>Bella Mirage</t>
        </is>
      </c>
      <c r="B746" s="5" t="inlineStr">
        <is>
          <t>Maya</t>
        </is>
      </c>
      <c r="C746" s="5" t="inlineStr">
        <is>
          <t>1924</t>
        </is>
      </c>
      <c r="D746" s="5" t="n">
        <v>1</v>
      </c>
      <c r="E746" s="5" t="n">
        <v>2</v>
      </c>
      <c r="F746" s="5" t="n">
        <v>2</v>
      </c>
      <c r="G746" s="5" t="inlineStr"/>
      <c r="H746" s="5" t="n">
        <v>1187</v>
      </c>
      <c r="I746" s="5" t="inlineStr">
        <is>
          <t>4/7/2025</t>
        </is>
      </c>
      <c r="J746" s="5" t="n">
        <v>200</v>
      </c>
      <c r="K746" s="5" t="n">
        <v>12</v>
      </c>
      <c r="L746" s="5" t="inlineStr">
        <is>
          <t>60%</t>
        </is>
      </c>
      <c r="M746" s="5" t="n">
        <v>1408</v>
      </c>
      <c r="N746" s="5" t="n">
        <v>1.19</v>
      </c>
      <c r="O746" s="5" t="n">
        <v>1291</v>
      </c>
      <c r="P746" s="5" t="n">
        <v>1.09</v>
      </c>
      <c r="Q746" s="5" t="inlineStr">
        <is>
          <t>2025-01-22</t>
        </is>
      </c>
      <c r="R746" s="5" t="inlineStr">
        <is>
          <t>2025-07-07</t>
        </is>
      </c>
      <c r="S746" s="5" t="n">
        <v>167</v>
      </c>
      <c r="T746" s="5" t="n">
        <v>92</v>
      </c>
      <c r="U746" s="48" t="inlineStr">
        <is>
          <t>Maya</t>
        </is>
      </c>
    </row>
    <row r="747">
      <c r="A747" s="5" t="inlineStr">
        <is>
          <t>Bella Mirage</t>
        </is>
      </c>
      <c r="B747" s="5" t="inlineStr">
        <is>
          <t>Maya</t>
        </is>
      </c>
      <c r="C747" s="5" t="inlineStr">
        <is>
          <t>0224</t>
        </is>
      </c>
      <c r="D747" s="5" t="inlineStr"/>
      <c r="E747" s="5" t="n">
        <v>2</v>
      </c>
      <c r="F747" s="5" t="n">
        <v>2</v>
      </c>
      <c r="G747" s="5" t="inlineStr"/>
      <c r="H747" s="5" t="n">
        <v>1187</v>
      </c>
      <c r="I747" s="5" t="inlineStr">
        <is>
          <t>12/26/2024</t>
        </is>
      </c>
      <c r="J747" s="5" t="n">
        <v>200</v>
      </c>
      <c r="K747" s="5" t="n">
        <v>12</v>
      </c>
      <c r="L747" s="5" t="inlineStr">
        <is>
          <t>60%</t>
        </is>
      </c>
      <c r="M747" s="5" t="n">
        <v>1433</v>
      </c>
      <c r="N747" s="5" t="n">
        <v>1.21</v>
      </c>
      <c r="O747" s="5" t="n">
        <v>1433</v>
      </c>
      <c r="P747" s="5" t="n">
        <v>1.21</v>
      </c>
      <c r="Q747" s="5" t="inlineStr">
        <is>
          <t>2024-11-02</t>
        </is>
      </c>
      <c r="R747" s="5" t="inlineStr">
        <is>
          <t>2024-11-03</t>
        </is>
      </c>
      <c r="S747" s="5" t="n">
        <v>2</v>
      </c>
      <c r="T747" s="5" t="n">
        <v>0</v>
      </c>
      <c r="U747" s="48" t="inlineStr">
        <is>
          <t>Maya</t>
        </is>
      </c>
    </row>
    <row r="748">
      <c r="A748" s="5" t="inlineStr">
        <is>
          <t>Bella Mirage</t>
        </is>
      </c>
      <c r="B748" s="5" t="inlineStr">
        <is>
          <t>Maya</t>
        </is>
      </c>
      <c r="C748" s="5" t="inlineStr">
        <is>
          <t>6321</t>
        </is>
      </c>
      <c r="D748" s="5" t="inlineStr"/>
      <c r="E748" s="5" t="n">
        <v>2</v>
      </c>
      <c r="F748" s="5" t="n">
        <v>2</v>
      </c>
      <c r="G748" s="5" t="inlineStr"/>
      <c r="H748" s="5" t="n">
        <v>1187</v>
      </c>
      <c r="I748" s="5" t="inlineStr">
        <is>
          <t>2/14/2024</t>
        </is>
      </c>
      <c r="J748" s="5" t="n">
        <v>200</v>
      </c>
      <c r="K748" s="5" t="n">
        <v>14</v>
      </c>
      <c r="L748" s="5" t="inlineStr">
        <is>
          <t>60%</t>
        </is>
      </c>
      <c r="M748" s="5" t="n">
        <v>1716</v>
      </c>
      <c r="N748" s="5" t="n">
        <v>1.45</v>
      </c>
      <c r="O748" s="5" t="n">
        <v>1593</v>
      </c>
      <c r="P748" s="5" t="n">
        <v>1.34</v>
      </c>
      <c r="Q748" s="5" t="inlineStr">
        <is>
          <t>2024-01-28</t>
        </is>
      </c>
      <c r="R748" s="5" t="inlineStr">
        <is>
          <t>2024-02-17</t>
        </is>
      </c>
      <c r="S748" s="5" t="n">
        <v>21</v>
      </c>
      <c r="T748" s="5" t="n">
        <v>4</v>
      </c>
      <c r="U748" s="48" t="inlineStr">
        <is>
          <t>Maya</t>
        </is>
      </c>
    </row>
    <row r="749">
      <c r="A749" s="5" t="inlineStr">
        <is>
          <t>Bella Mirage</t>
        </is>
      </c>
      <c r="B749" s="5" t="inlineStr">
        <is>
          <t>Maya</t>
        </is>
      </c>
      <c r="C749" s="5" t="inlineStr">
        <is>
          <t>6321</t>
        </is>
      </c>
      <c r="D749" s="5" t="inlineStr"/>
      <c r="E749" s="5" t="n">
        <v>2</v>
      </c>
      <c r="F749" s="5" t="n">
        <v>2</v>
      </c>
      <c r="G749" s="5" t="inlineStr"/>
      <c r="H749" s="5" t="n">
        <v>1187</v>
      </c>
      <c r="I749" s="5" t="inlineStr">
        <is>
          <t>8/2/2024</t>
        </is>
      </c>
      <c r="J749" s="5" t="n">
        <v>200</v>
      </c>
      <c r="K749" s="5" t="n">
        <v>13</v>
      </c>
      <c r="L749" s="5" t="inlineStr">
        <is>
          <t>60%</t>
        </is>
      </c>
      <c r="M749" s="5" t="n">
        <v>1441</v>
      </c>
      <c r="N749" s="5" t="n">
        <v>1.21</v>
      </c>
      <c r="O749" s="5" t="n">
        <v>1330</v>
      </c>
      <c r="P749" s="5" t="n">
        <v>1.12</v>
      </c>
      <c r="Q749" s="5" t="inlineStr">
        <is>
          <t>2024-07-02</t>
        </is>
      </c>
      <c r="R749" s="5" t="inlineStr">
        <is>
          <t>2024-12-08</t>
        </is>
      </c>
      <c r="S749" s="5" t="n">
        <v>160</v>
      </c>
      <c r="T749" s="5" t="n">
        <v>129</v>
      </c>
      <c r="U749" s="48" t="inlineStr">
        <is>
          <t>Maya</t>
        </is>
      </c>
    </row>
    <row r="750">
      <c r="A750" s="5" t="inlineStr">
        <is>
          <t>Bella Mirage</t>
        </is>
      </c>
      <c r="B750" s="5" t="inlineStr">
        <is>
          <t>Maya</t>
        </is>
      </c>
      <c r="C750" s="5" t="inlineStr">
        <is>
          <t>5424</t>
        </is>
      </c>
      <c r="D750" s="5" t="inlineStr"/>
      <c r="E750" s="5" t="n">
        <v>2</v>
      </c>
      <c r="F750" s="5" t="n">
        <v>2</v>
      </c>
      <c r="G750" s="5" t="inlineStr"/>
      <c r="H750" s="5" t="n">
        <v>1187</v>
      </c>
      <c r="I750" s="5" t="inlineStr">
        <is>
          <t>9/16/2024</t>
        </is>
      </c>
      <c r="J750" s="5" t="n">
        <v>200</v>
      </c>
      <c r="K750" s="5" t="n">
        <v>13</v>
      </c>
      <c r="L750" s="5" t="inlineStr">
        <is>
          <t>60%</t>
        </is>
      </c>
      <c r="M750" s="5" t="n">
        <v>1496</v>
      </c>
      <c r="N750" s="5" t="n">
        <v>1.26</v>
      </c>
      <c r="O750" s="5" t="n">
        <v>1381</v>
      </c>
      <c r="P750" s="5" t="n">
        <v>1.16</v>
      </c>
      <c r="Q750" s="5" t="inlineStr">
        <is>
          <t>2024-08-02</t>
        </is>
      </c>
      <c r="R750" s="5" t="inlineStr">
        <is>
          <t>2024-12-17</t>
        </is>
      </c>
      <c r="S750" s="5" t="n">
        <v>138</v>
      </c>
      <c r="T750" s="5" t="n">
        <v>93</v>
      </c>
      <c r="U750" s="48" t="inlineStr">
        <is>
          <t>Maya</t>
        </is>
      </c>
    </row>
    <row r="751">
      <c r="A751" s="5" t="inlineStr">
        <is>
          <t>Bella Mirage</t>
        </is>
      </c>
      <c r="B751" s="5" t="inlineStr">
        <is>
          <t>Maya</t>
        </is>
      </c>
      <c r="C751" s="5" t="inlineStr">
        <is>
          <t>5424</t>
        </is>
      </c>
      <c r="D751" s="5" t="inlineStr"/>
      <c r="E751" s="5" t="n">
        <v>2</v>
      </c>
      <c r="F751" s="5" t="n">
        <v>2</v>
      </c>
      <c r="G751" s="5" t="inlineStr"/>
      <c r="H751" s="5" t="n">
        <v>1187</v>
      </c>
      <c r="I751" s="5" t="inlineStr">
        <is>
          <t>1/15/2026</t>
        </is>
      </c>
      <c r="J751" s="5" t="n">
        <v>300</v>
      </c>
      <c r="K751" s="5" t="n">
        <v>12</v>
      </c>
      <c r="L751" s="5" t="inlineStr">
        <is>
          <t>60%</t>
        </is>
      </c>
      <c r="M751" s="5" t="n">
        <v>1444</v>
      </c>
      <c r="N751" s="5" t="n">
        <v>1.22</v>
      </c>
      <c r="O751" s="5" t="n">
        <v>1444</v>
      </c>
      <c r="P751" s="5" t="n">
        <v>1.22</v>
      </c>
      <c r="Q751" s="5" t="inlineStr">
        <is>
          <t>2025-11-30</t>
        </is>
      </c>
      <c r="R751" s="5" t="inlineStr">
        <is>
          <t>2025-12-03</t>
        </is>
      </c>
      <c r="S751" s="5" t="n">
        <v>4</v>
      </c>
      <c r="T751" s="5" t="n">
        <v>0</v>
      </c>
      <c r="U751" s="48" t="inlineStr">
        <is>
          <t>Maya</t>
        </is>
      </c>
    </row>
    <row r="752">
      <c r="A752" s="5" t="inlineStr">
        <is>
          <t>Bella Mirage</t>
        </is>
      </c>
      <c r="B752" s="5" t="inlineStr">
        <is>
          <t>Maya</t>
        </is>
      </c>
      <c r="C752" s="5" t="inlineStr">
        <is>
          <t>1914</t>
        </is>
      </c>
      <c r="D752" s="5" t="n">
        <v>1</v>
      </c>
      <c r="E752" s="5" t="n">
        <v>2</v>
      </c>
      <c r="F752" s="5" t="n">
        <v>2</v>
      </c>
      <c r="G752" s="5" t="inlineStr"/>
      <c r="H752" s="5" t="n">
        <v>1187</v>
      </c>
      <c r="I752" s="5" t="inlineStr">
        <is>
          <t>12/2/2023</t>
        </is>
      </c>
      <c r="J752" s="5" t="inlineStr"/>
      <c r="K752" s="5" t="inlineStr"/>
      <c r="L752" s="5" t="inlineStr">
        <is>
          <t>60%</t>
        </is>
      </c>
      <c r="M752" s="5" t="n">
        <v>1805</v>
      </c>
      <c r="N752" s="5" t="n">
        <v>1.52</v>
      </c>
      <c r="O752" s="5" t="n">
        <v>1655</v>
      </c>
      <c r="P752" s="5" t="n">
        <v>1.39</v>
      </c>
      <c r="Q752" s="5" t="inlineStr">
        <is>
          <t>2023-12-02</t>
        </is>
      </c>
      <c r="R752" s="5" t="inlineStr">
        <is>
          <t>2023-12-07</t>
        </is>
      </c>
      <c r="S752" s="5" t="n">
        <v>6</v>
      </c>
      <c r="T752" s="5" t="n">
        <v>6</v>
      </c>
      <c r="U752" s="48" t="inlineStr">
        <is>
          <t>Maya</t>
        </is>
      </c>
    </row>
    <row r="753">
      <c r="A753" s="5" t="inlineStr">
        <is>
          <t>Bella Mirage</t>
        </is>
      </c>
      <c r="B753" s="5" t="inlineStr">
        <is>
          <t>Maya</t>
        </is>
      </c>
      <c r="C753" s="5" t="inlineStr">
        <is>
          <t>1914</t>
        </is>
      </c>
      <c r="D753" s="5" t="n">
        <v>1</v>
      </c>
      <c r="E753" s="5" t="n">
        <v>2</v>
      </c>
      <c r="F753" s="5" t="n">
        <v>2</v>
      </c>
      <c r="G753" s="5" t="inlineStr"/>
      <c r="H753" s="5" t="n">
        <v>1187</v>
      </c>
      <c r="I753" s="5" t="inlineStr">
        <is>
          <t>4/15/2025</t>
        </is>
      </c>
      <c r="J753" s="5" t="n">
        <v>200</v>
      </c>
      <c r="K753" s="5" t="n">
        <v>14</v>
      </c>
      <c r="L753" s="5" t="inlineStr">
        <is>
          <t>60%</t>
        </is>
      </c>
      <c r="M753" s="5" t="n">
        <v>1569</v>
      </c>
      <c r="N753" s="5" t="n">
        <v>1.32</v>
      </c>
      <c r="O753" s="5" t="n">
        <v>1457</v>
      </c>
      <c r="P753" s="5" t="n">
        <v>1.23</v>
      </c>
      <c r="Q753" s="5" t="inlineStr">
        <is>
          <t>2025-03-07</t>
        </is>
      </c>
      <c r="R753" s="5" t="inlineStr">
        <is>
          <t>2025-05-08</t>
        </is>
      </c>
      <c r="S753" s="5" t="n">
        <v>63</v>
      </c>
      <c r="T753" s="5" t="n">
        <v>24</v>
      </c>
      <c r="U753" s="48" t="inlineStr">
        <is>
          <t>Maya</t>
        </is>
      </c>
    </row>
    <row r="754">
      <c r="A754" s="5" t="inlineStr">
        <is>
          <t>Bella Mirage</t>
        </is>
      </c>
      <c r="B754" s="5" t="inlineStr">
        <is>
          <t>Maya</t>
        </is>
      </c>
      <c r="C754" s="5" t="inlineStr">
        <is>
          <t>1914</t>
        </is>
      </c>
      <c r="D754" s="5" t="n">
        <v>1</v>
      </c>
      <c r="E754" s="5" t="n">
        <v>2</v>
      </c>
      <c r="F754" s="5" t="n">
        <v>2</v>
      </c>
      <c r="G754" s="5" t="inlineStr"/>
      <c r="H754" s="5" t="n">
        <v>1187</v>
      </c>
      <c r="I754" s="5" t="inlineStr">
        <is>
          <t>11/19/2025</t>
        </is>
      </c>
      <c r="J754" s="5" t="n">
        <v>300</v>
      </c>
      <c r="K754" s="5" t="n">
        <v>14</v>
      </c>
      <c r="L754" s="5" t="inlineStr">
        <is>
          <t>60%</t>
        </is>
      </c>
      <c r="M754" s="5" t="n">
        <v>1444</v>
      </c>
      <c r="N754" s="5" t="n">
        <v>1.22</v>
      </c>
      <c r="O754" s="5" t="n">
        <v>1444</v>
      </c>
      <c r="P754" s="5" t="n">
        <v>1.22</v>
      </c>
      <c r="Q754" s="5" t="inlineStr">
        <is>
          <t>2025-11-04</t>
        </is>
      </c>
      <c r="R754" s="5" t="inlineStr">
        <is>
          <t>2026-01-23</t>
        </is>
      </c>
      <c r="S754" s="5" t="n">
        <v>81</v>
      </c>
      <c r="T754" s="5" t="n">
        <v>66</v>
      </c>
      <c r="U754" s="48" t="inlineStr">
        <is>
          <t>Maya</t>
        </is>
      </c>
    </row>
    <row r="755">
      <c r="A755" s="5" t="inlineStr">
        <is>
          <t>Bella Mirage</t>
        </is>
      </c>
      <c r="B755" s="5" t="inlineStr">
        <is>
          <t>Maya</t>
        </is>
      </c>
      <c r="C755" s="5" t="inlineStr">
        <is>
          <t>0428</t>
        </is>
      </c>
      <c r="D755" s="5" t="n">
        <v>2</v>
      </c>
      <c r="E755" s="5" t="n">
        <v>2</v>
      </c>
      <c r="F755" s="5" t="n">
        <v>2</v>
      </c>
      <c r="G755" s="5" t="inlineStr"/>
      <c r="H755" s="5" t="n">
        <v>1187</v>
      </c>
      <c r="I755" s="5" t="inlineStr">
        <is>
          <t>12/27/2024</t>
        </is>
      </c>
      <c r="J755" s="5" t="n">
        <v>200</v>
      </c>
      <c r="K755" s="5" t="n">
        <v>12</v>
      </c>
      <c r="L755" s="5" t="inlineStr">
        <is>
          <t>60%</t>
        </is>
      </c>
      <c r="M755" s="5" t="n">
        <v>1505</v>
      </c>
      <c r="N755" s="5" t="n">
        <v>1.27</v>
      </c>
      <c r="O755" s="5" t="n">
        <v>1380</v>
      </c>
      <c r="P755" s="5" t="n">
        <v>1.16</v>
      </c>
      <c r="Q755" s="5" t="inlineStr">
        <is>
          <t>2024-10-22</t>
        </is>
      </c>
      <c r="R755" s="5" t="inlineStr">
        <is>
          <t>2024-12-27</t>
        </is>
      </c>
      <c r="S755" s="5" t="n">
        <v>67</v>
      </c>
      <c r="T755" s="5" t="n">
        <v>1</v>
      </c>
      <c r="U755" s="48" t="inlineStr">
        <is>
          <t>Maya</t>
        </is>
      </c>
    </row>
    <row r="756">
      <c r="A756" s="5" t="inlineStr">
        <is>
          <t>Bella Mirage</t>
        </is>
      </c>
      <c r="B756" s="5" t="inlineStr">
        <is>
          <t>Maya</t>
        </is>
      </c>
      <c r="C756" s="5" t="inlineStr">
        <is>
          <t>0428</t>
        </is>
      </c>
      <c r="D756" s="5" t="n">
        <v>2</v>
      </c>
      <c r="E756" s="5" t="n">
        <v>2</v>
      </c>
      <c r="F756" s="5" t="n">
        <v>2</v>
      </c>
      <c r="G756" s="5" t="inlineStr"/>
      <c r="H756" s="5" t="n">
        <v>1187</v>
      </c>
      <c r="I756" s="5" t="inlineStr">
        <is>
          <t>7/6/2025</t>
        </is>
      </c>
      <c r="J756" s="5" t="n">
        <v>200</v>
      </c>
      <c r="K756" s="5" t="n">
        <v>13</v>
      </c>
      <c r="L756" s="5" t="inlineStr">
        <is>
          <t>60%</t>
        </is>
      </c>
      <c r="M756" s="5" t="n">
        <v>1493</v>
      </c>
      <c r="N756" s="5" t="n">
        <v>1.26</v>
      </c>
      <c r="O756" s="5" t="n">
        <v>1378</v>
      </c>
      <c r="P756" s="5" t="n">
        <v>1.16</v>
      </c>
      <c r="Q756" s="5" t="inlineStr">
        <is>
          <t>2025-05-28</t>
        </is>
      </c>
      <c r="R756" s="5" t="inlineStr">
        <is>
          <t>2025-07-07</t>
        </is>
      </c>
      <c r="S756" s="5" t="n">
        <v>41</v>
      </c>
      <c r="T756" s="5" t="n">
        <v>2</v>
      </c>
      <c r="U756" s="48" t="inlineStr">
        <is>
          <t>Maya</t>
        </is>
      </c>
    </row>
    <row r="757">
      <c r="A757" s="5" t="inlineStr">
        <is>
          <t>Bella Mirage</t>
        </is>
      </c>
      <c r="B757" s="5" t="inlineStr">
        <is>
          <t>Maya</t>
        </is>
      </c>
      <c r="C757" s="5" t="inlineStr">
        <is>
          <t>0428</t>
        </is>
      </c>
      <c r="D757" s="5" t="n">
        <v>2</v>
      </c>
      <c r="E757" s="5" t="n">
        <v>2</v>
      </c>
      <c r="F757" s="5" t="n">
        <v>2</v>
      </c>
      <c r="G757" s="5" t="inlineStr"/>
      <c r="H757" s="5" t="n">
        <v>1187</v>
      </c>
      <c r="I757" s="5" t="inlineStr">
        <is>
          <t>8/26/2026</t>
        </is>
      </c>
      <c r="J757" s="5" t="n">
        <v>300</v>
      </c>
      <c r="K757" s="5" t="n">
        <v>15</v>
      </c>
      <c r="L757" s="5" t="inlineStr">
        <is>
          <t>60%</t>
        </is>
      </c>
      <c r="M757" s="5" t="n">
        <v>1455</v>
      </c>
      <c r="N757" s="5" t="n">
        <v>1.23</v>
      </c>
      <c r="O757" s="5" t="n">
        <v>1455</v>
      </c>
      <c r="P757" s="5" t="n">
        <v>1.23</v>
      </c>
      <c r="Q757" s="5" t="inlineStr">
        <is>
          <t>2026-06-04</t>
        </is>
      </c>
      <c r="R757" s="5" t="inlineStr">
        <is>
          <t>2026-06-16</t>
        </is>
      </c>
      <c r="S757" s="5" t="n">
        <v>13</v>
      </c>
      <c r="T757" s="5" t="n">
        <v>0</v>
      </c>
      <c r="U757" s="48" t="inlineStr">
        <is>
          <t>Maya</t>
        </is>
      </c>
    </row>
    <row r="758">
      <c r="A758" s="5" t="inlineStr">
        <is>
          <t>Bella Mirage</t>
        </is>
      </c>
      <c r="B758" s="5" t="inlineStr">
        <is>
          <t>Maya</t>
        </is>
      </c>
      <c r="C758" s="5" t="inlineStr">
        <is>
          <t>1311</t>
        </is>
      </c>
      <c r="D758" s="5" t="inlineStr"/>
      <c r="E758" s="5" t="n">
        <v>2</v>
      </c>
      <c r="F758" s="5" t="n">
        <v>2</v>
      </c>
      <c r="G758" s="5" t="inlineStr"/>
      <c r="H758" s="5" t="n">
        <v>1187</v>
      </c>
      <c r="I758" s="5" t="inlineStr">
        <is>
          <t>7/29/2024</t>
        </is>
      </c>
      <c r="J758" s="5" t="n">
        <v>200</v>
      </c>
      <c r="K758" s="5" t="n">
        <v>12</v>
      </c>
      <c r="L758" s="5" t="inlineStr">
        <is>
          <t>60%</t>
        </is>
      </c>
      <c r="M758" s="5" t="n">
        <v>1778</v>
      </c>
      <c r="N758" s="5" t="n">
        <v>1.5</v>
      </c>
      <c r="O758" s="5" t="n">
        <v>1630</v>
      </c>
      <c r="P758" s="5" t="n">
        <v>1.37</v>
      </c>
      <c r="Q758" s="5" t="inlineStr">
        <is>
          <t>2024-05-17</t>
        </is>
      </c>
      <c r="R758" s="5" t="inlineStr">
        <is>
          <t>2024-05-26</t>
        </is>
      </c>
      <c r="S758" s="5" t="n">
        <v>10</v>
      </c>
      <c r="T758" s="5" t="n">
        <v>0</v>
      </c>
      <c r="U758" s="48" t="inlineStr">
        <is>
          <t>Maya</t>
        </is>
      </c>
    </row>
    <row r="759">
      <c r="A759" s="5" t="inlineStr">
        <is>
          <t>Bella Mirage</t>
        </is>
      </c>
      <c r="B759" s="5" t="inlineStr">
        <is>
          <t>Maya</t>
        </is>
      </c>
      <c r="C759" s="5" t="inlineStr">
        <is>
          <t>1311</t>
        </is>
      </c>
      <c r="D759" s="5" t="inlineStr"/>
      <c r="E759" s="5" t="n">
        <v>2</v>
      </c>
      <c r="F759" s="5" t="n">
        <v>2</v>
      </c>
      <c r="G759" s="5" t="inlineStr"/>
      <c r="H759" s="5" t="n">
        <v>1187</v>
      </c>
      <c r="I759" s="5" t="inlineStr">
        <is>
          <t>11/9/2025</t>
        </is>
      </c>
      <c r="J759" s="5" t="n">
        <v>300</v>
      </c>
      <c r="K759" s="5" t="n">
        <v>14</v>
      </c>
      <c r="L759" s="5" t="inlineStr">
        <is>
          <t>60%</t>
        </is>
      </c>
      <c r="M759" s="5" t="n">
        <v>1455</v>
      </c>
      <c r="N759" s="5" t="n">
        <v>1.23</v>
      </c>
      <c r="O759" s="5" t="n">
        <v>1455</v>
      </c>
      <c r="P759" s="5" t="n">
        <v>1.23</v>
      </c>
      <c r="Q759" s="5" t="inlineStr">
        <is>
          <t>2025-08-16</t>
        </is>
      </c>
      <c r="R759" s="5" t="inlineStr">
        <is>
          <t>2025-11-24</t>
        </is>
      </c>
      <c r="S759" s="5" t="n">
        <v>101</v>
      </c>
      <c r="T759" s="5" t="n">
        <v>16</v>
      </c>
      <c r="U759" s="48" t="inlineStr">
        <is>
          <t>Maya</t>
        </is>
      </c>
    </row>
    <row r="760">
      <c r="A760" s="5" t="inlineStr">
        <is>
          <t>Bella Mirage</t>
        </is>
      </c>
      <c r="B760" s="5" t="inlineStr">
        <is>
          <t>Maya</t>
        </is>
      </c>
      <c r="C760" s="5" t="inlineStr">
        <is>
          <t>0215</t>
        </is>
      </c>
      <c r="D760" s="5" t="inlineStr"/>
      <c r="E760" s="5" t="n">
        <v>2</v>
      </c>
      <c r="F760" s="5" t="n">
        <v>2</v>
      </c>
      <c r="G760" s="5" t="inlineStr"/>
      <c r="H760" s="5" t="n">
        <v>1187</v>
      </c>
      <c r="I760" s="5" t="inlineStr">
        <is>
          <t>4/1/2024</t>
        </is>
      </c>
      <c r="J760" s="5" t="n">
        <v>200</v>
      </c>
      <c r="K760" s="5" t="n">
        <v>12</v>
      </c>
      <c r="L760" s="5" t="inlineStr">
        <is>
          <t>60%</t>
        </is>
      </c>
      <c r="M760" s="5" t="n">
        <v>1685</v>
      </c>
      <c r="N760" s="5" t="n">
        <v>1.42</v>
      </c>
      <c r="O760" s="5" t="n">
        <v>1545</v>
      </c>
      <c r="P760" s="5" t="n">
        <v>1.3</v>
      </c>
      <c r="Q760" s="5" t="inlineStr">
        <is>
          <t>2024-02-12</t>
        </is>
      </c>
      <c r="R760" s="5" t="inlineStr">
        <is>
          <t>2024-06-09</t>
        </is>
      </c>
      <c r="S760" s="5" t="n">
        <v>119</v>
      </c>
      <c r="T760" s="5" t="n">
        <v>70</v>
      </c>
      <c r="U760" s="48" t="inlineStr">
        <is>
          <t>Maya</t>
        </is>
      </c>
    </row>
    <row r="761">
      <c r="A761" s="5" t="inlineStr">
        <is>
          <t>Bella Mirage</t>
        </is>
      </c>
      <c r="B761" s="5" t="inlineStr">
        <is>
          <t>Maya</t>
        </is>
      </c>
      <c r="C761" s="5" t="inlineStr">
        <is>
          <t>0215</t>
        </is>
      </c>
      <c r="D761" s="5" t="inlineStr"/>
      <c r="E761" s="5" t="n">
        <v>2</v>
      </c>
      <c r="F761" s="5" t="n">
        <v>2</v>
      </c>
      <c r="G761" s="5" t="inlineStr"/>
      <c r="H761" s="5" t="n">
        <v>1187</v>
      </c>
      <c r="I761" s="5" t="inlineStr">
        <is>
          <t>10/15/2025</t>
        </is>
      </c>
      <c r="J761" s="5" t="n">
        <v>300</v>
      </c>
      <c r="K761" s="5" t="n">
        <v>14</v>
      </c>
      <c r="L761" s="5" t="inlineStr">
        <is>
          <t>60%</t>
        </is>
      </c>
      <c r="M761" s="5" t="n">
        <v>1456</v>
      </c>
      <c r="N761" s="5" t="n">
        <v>1.23</v>
      </c>
      <c r="O761" s="5" t="n">
        <v>1456</v>
      </c>
      <c r="P761" s="5" t="n">
        <v>1.23</v>
      </c>
      <c r="Q761" s="5" t="inlineStr">
        <is>
          <t>2025-08-10</t>
        </is>
      </c>
      <c r="R761" s="5" t="inlineStr">
        <is>
          <t>2025-11-13</t>
        </is>
      </c>
      <c r="S761" s="5" t="n">
        <v>96</v>
      </c>
      <c r="T761" s="5" t="n">
        <v>30</v>
      </c>
      <c r="U761" s="48" t="inlineStr">
        <is>
          <t>Maya</t>
        </is>
      </c>
    </row>
    <row r="762">
      <c r="A762" s="5" t="inlineStr">
        <is>
          <t>Bella Mirage</t>
        </is>
      </c>
      <c r="B762" s="5" t="inlineStr">
        <is>
          <t>Maya</t>
        </is>
      </c>
      <c r="C762" s="5" t="inlineStr">
        <is>
          <t>3924</t>
        </is>
      </c>
      <c r="D762" s="5" t="inlineStr"/>
      <c r="E762" s="5" t="n">
        <v>2</v>
      </c>
      <c r="F762" s="5" t="n">
        <v>2</v>
      </c>
      <c r="G762" s="5" t="inlineStr"/>
      <c r="H762" s="5" t="n">
        <v>1187</v>
      </c>
      <c r="I762" s="5" t="inlineStr">
        <is>
          <t>7/8/2023</t>
        </is>
      </c>
      <c r="J762" s="5" t="inlineStr"/>
      <c r="K762" s="5" t="inlineStr"/>
      <c r="L762" s="5" t="inlineStr">
        <is>
          <t>60%</t>
        </is>
      </c>
      <c r="M762" s="5" t="n">
        <v>1640</v>
      </c>
      <c r="N762" s="5" t="n">
        <v>1.38</v>
      </c>
      <c r="O762" s="5" t="n">
        <v>1578</v>
      </c>
      <c r="P762" s="5" t="n">
        <v>1.33</v>
      </c>
      <c r="Q762" s="5" t="inlineStr">
        <is>
          <t>2023-07-08</t>
        </is>
      </c>
      <c r="R762" s="5" t="inlineStr">
        <is>
          <t>2023-07-30</t>
        </is>
      </c>
      <c r="S762" s="5" t="n">
        <v>23</v>
      </c>
      <c r="T762" s="5" t="n">
        <v>23</v>
      </c>
      <c r="U762" s="48" t="inlineStr">
        <is>
          <t>Maya</t>
        </is>
      </c>
    </row>
    <row r="763">
      <c r="A763" s="5" t="inlineStr">
        <is>
          <t>Bella Mirage</t>
        </is>
      </c>
      <c r="B763" s="5" t="inlineStr">
        <is>
          <t>Maya</t>
        </is>
      </c>
      <c r="C763" s="5" t="inlineStr">
        <is>
          <t>3924</t>
        </is>
      </c>
      <c r="D763" s="5" t="inlineStr"/>
      <c r="E763" s="5" t="n">
        <v>2</v>
      </c>
      <c r="F763" s="5" t="n">
        <v>2</v>
      </c>
      <c r="G763" s="5" t="inlineStr"/>
      <c r="H763" s="5" t="n">
        <v>1187</v>
      </c>
      <c r="I763" s="5" t="inlineStr">
        <is>
          <t>11/11/2024</t>
        </is>
      </c>
      <c r="J763" s="5" t="n">
        <v>200</v>
      </c>
      <c r="K763" s="5" t="n">
        <v>13</v>
      </c>
      <c r="L763" s="5" t="inlineStr">
        <is>
          <t>60%</t>
        </is>
      </c>
      <c r="M763" s="5" t="n">
        <v>1473</v>
      </c>
      <c r="N763" s="5" t="n">
        <v>1.24</v>
      </c>
      <c r="O763" s="5" t="n">
        <v>1360</v>
      </c>
      <c r="P763" s="5" t="n">
        <v>1.15</v>
      </c>
      <c r="Q763" s="5" t="inlineStr">
        <is>
          <t>2024-08-31</t>
        </is>
      </c>
      <c r="R763" s="5" t="inlineStr">
        <is>
          <t>2024-12-14</t>
        </is>
      </c>
      <c r="S763" s="5" t="n">
        <v>106</v>
      </c>
      <c r="T763" s="5" t="n">
        <v>34</v>
      </c>
      <c r="U763" s="48" t="inlineStr">
        <is>
          <t>Maya</t>
        </is>
      </c>
    </row>
    <row r="764">
      <c r="A764" s="5" t="inlineStr">
        <is>
          <t>Bella Mirage</t>
        </is>
      </c>
      <c r="B764" s="5" t="inlineStr">
        <is>
          <t>Maya</t>
        </is>
      </c>
      <c r="C764" s="5" t="inlineStr">
        <is>
          <t>4518</t>
        </is>
      </c>
      <c r="D764" s="5" t="n">
        <v>4</v>
      </c>
      <c r="E764" s="5" t="n">
        <v>2</v>
      </c>
      <c r="F764" s="5" t="n">
        <v>2</v>
      </c>
      <c r="G764" s="5" t="inlineStr"/>
      <c r="H764" s="5" t="n">
        <v>1187</v>
      </c>
      <c r="I764" s="5" t="inlineStr">
        <is>
          <t>4/30/2024</t>
        </is>
      </c>
      <c r="J764" s="5" t="n">
        <v>200</v>
      </c>
      <c r="K764" s="5" t="n">
        <v>12</v>
      </c>
      <c r="L764" s="5" t="inlineStr">
        <is>
          <t>60%</t>
        </is>
      </c>
      <c r="M764" s="5" t="n">
        <v>1822</v>
      </c>
      <c r="N764" s="5" t="n">
        <v>1.53</v>
      </c>
      <c r="O764" s="5" t="n">
        <v>1670</v>
      </c>
      <c r="P764" s="5" t="n">
        <v>1.41</v>
      </c>
      <c r="Q764" s="5" t="inlineStr">
        <is>
          <t>2024-04-05</t>
        </is>
      </c>
      <c r="R764" s="5" t="inlineStr">
        <is>
          <t>2024-06-08</t>
        </is>
      </c>
      <c r="S764" s="5" t="n">
        <v>65</v>
      </c>
      <c r="T764" s="5" t="n">
        <v>40</v>
      </c>
      <c r="U764" s="48" t="inlineStr">
        <is>
          <t>Maya</t>
        </is>
      </c>
    </row>
    <row r="765">
      <c r="A765" s="5" t="inlineStr">
        <is>
          <t>Bella Mirage</t>
        </is>
      </c>
      <c r="B765" s="5" t="inlineStr">
        <is>
          <t>Maya</t>
        </is>
      </c>
      <c r="C765" s="5" t="inlineStr">
        <is>
          <t>4518</t>
        </is>
      </c>
      <c r="D765" s="5" t="n">
        <v>4</v>
      </c>
      <c r="E765" s="5" t="n">
        <v>2</v>
      </c>
      <c r="F765" s="5" t="n">
        <v>2</v>
      </c>
      <c r="G765" s="5" t="inlineStr"/>
      <c r="H765" s="5" t="n">
        <v>1187</v>
      </c>
      <c r="I765" s="5" t="inlineStr">
        <is>
          <t>7/21/2025</t>
        </is>
      </c>
      <c r="J765" s="5" t="n">
        <v>300</v>
      </c>
      <c r="K765" s="5" t="n">
        <v>14</v>
      </c>
      <c r="L765" s="5" t="inlineStr">
        <is>
          <t>60%</t>
        </is>
      </c>
      <c r="M765" s="5" t="n">
        <v>1464</v>
      </c>
      <c r="N765" s="5" t="n">
        <v>1.23</v>
      </c>
      <c r="O765" s="5" t="n">
        <v>1464</v>
      </c>
      <c r="P765" s="5" t="n">
        <v>1.23</v>
      </c>
      <c r="Q765" s="5" t="inlineStr">
        <is>
          <t>2025-06-10</t>
        </is>
      </c>
      <c r="R765" s="5" t="inlineStr">
        <is>
          <t>2025-11-22</t>
        </is>
      </c>
      <c r="S765" s="5" t="n">
        <v>166</v>
      </c>
      <c r="T765" s="5" t="n">
        <v>125</v>
      </c>
      <c r="U765" s="48" t="inlineStr">
        <is>
          <t>Maya</t>
        </is>
      </c>
    </row>
    <row r="766">
      <c r="A766" s="5" t="inlineStr">
        <is>
          <t>Bella Mirage</t>
        </is>
      </c>
      <c r="B766" s="5" t="inlineStr">
        <is>
          <t>Maya</t>
        </is>
      </c>
      <c r="C766" s="5" t="inlineStr">
        <is>
          <t>4515</t>
        </is>
      </c>
      <c r="D766" s="5" t="n">
        <v>4</v>
      </c>
      <c r="E766" s="5" t="n">
        <v>2</v>
      </c>
      <c r="F766" s="5" t="n">
        <v>2</v>
      </c>
      <c r="G766" s="5" t="inlineStr"/>
      <c r="H766" s="5" t="n">
        <v>1187</v>
      </c>
      <c r="I766" s="5" t="inlineStr">
        <is>
          <t>6/17/2023</t>
        </is>
      </c>
      <c r="J766" s="5" t="inlineStr"/>
      <c r="K766" s="5" t="inlineStr"/>
      <c r="L766" s="5" t="inlineStr">
        <is>
          <t>60%</t>
        </is>
      </c>
      <c r="M766" s="5" t="n">
        <v>1795</v>
      </c>
      <c r="N766" s="5" t="n">
        <v>1.51</v>
      </c>
      <c r="O766" s="5" t="n">
        <v>1732</v>
      </c>
      <c r="P766" s="5" t="n">
        <v>1.46</v>
      </c>
      <c r="Q766" s="5" t="inlineStr"/>
      <c r="R766" s="5" t="inlineStr">
        <is>
          <t>2023-07-26</t>
        </is>
      </c>
      <c r="S766" s="5" t="inlineStr"/>
      <c r="T766" s="5" t="inlineStr"/>
      <c r="U766" s="48" t="inlineStr">
        <is>
          <t>Maya</t>
        </is>
      </c>
    </row>
    <row r="767">
      <c r="A767" s="5" t="inlineStr">
        <is>
          <t>Bella Mirage</t>
        </is>
      </c>
      <c r="B767" s="5" t="inlineStr">
        <is>
          <t>Maya</t>
        </is>
      </c>
      <c r="C767" s="5" t="inlineStr">
        <is>
          <t>4515</t>
        </is>
      </c>
      <c r="D767" s="5" t="n">
        <v>4</v>
      </c>
      <c r="E767" s="5" t="n">
        <v>2</v>
      </c>
      <c r="F767" s="5" t="n">
        <v>2</v>
      </c>
      <c r="G767" s="5" t="inlineStr"/>
      <c r="H767" s="5" t="n">
        <v>1187</v>
      </c>
      <c r="I767" s="5" t="inlineStr">
        <is>
          <t>8/15/2025</t>
        </is>
      </c>
      <c r="J767" s="5" t="n">
        <v>200</v>
      </c>
      <c r="K767" s="5" t="n">
        <v>13</v>
      </c>
      <c r="L767" s="5" t="inlineStr">
        <is>
          <t>60%</t>
        </is>
      </c>
      <c r="M767" s="5" t="n">
        <v>1706</v>
      </c>
      <c r="N767" s="5" t="n">
        <v>1.44</v>
      </c>
      <c r="O767" s="5" t="n">
        <v>1575</v>
      </c>
      <c r="P767" s="5" t="n">
        <v>1.33</v>
      </c>
      <c r="Q767" s="5" t="inlineStr">
        <is>
          <t>2025-05-02</t>
        </is>
      </c>
      <c r="R767" s="5" t="inlineStr">
        <is>
          <t>2025-05-23</t>
        </is>
      </c>
      <c r="S767" s="5" t="n">
        <v>22</v>
      </c>
      <c r="T767" s="5" t="n">
        <v>0</v>
      </c>
      <c r="U767" s="48" t="inlineStr">
        <is>
          <t>Maya</t>
        </is>
      </c>
    </row>
    <row r="768">
      <c r="A768" s="5" t="inlineStr">
        <is>
          <t>Bella Mirage</t>
        </is>
      </c>
      <c r="B768" s="5" t="inlineStr">
        <is>
          <t>Maya</t>
        </is>
      </c>
      <c r="C768" s="5" t="inlineStr">
        <is>
          <t>1521</t>
        </is>
      </c>
      <c r="D768" s="5" t="inlineStr"/>
      <c r="E768" s="5" t="n">
        <v>2</v>
      </c>
      <c r="F768" s="5" t="n">
        <v>2</v>
      </c>
      <c r="G768" s="5" t="inlineStr"/>
      <c r="H768" s="5" t="n">
        <v>1187</v>
      </c>
      <c r="I768" s="5" t="inlineStr">
        <is>
          <t>9/3/2025</t>
        </is>
      </c>
      <c r="J768" s="5" t="n">
        <v>200</v>
      </c>
      <c r="K768" s="5" t="n">
        <v>12</v>
      </c>
      <c r="L768" s="5" t="inlineStr">
        <is>
          <t>60%</t>
        </is>
      </c>
      <c r="M768" s="5" t="n">
        <v>1481</v>
      </c>
      <c r="N768" s="5" t="n">
        <v>1.25</v>
      </c>
      <c r="O768" s="5" t="n">
        <v>1358</v>
      </c>
      <c r="P768" s="5" t="n">
        <v>1.14</v>
      </c>
      <c r="Q768" s="5" t="inlineStr">
        <is>
          <t>2025-06-04</t>
        </is>
      </c>
      <c r="R768" s="5" t="inlineStr">
        <is>
          <t>2025-07-30</t>
        </is>
      </c>
      <c r="S768" s="5" t="n">
        <v>57</v>
      </c>
      <c r="T768" s="5" t="n">
        <v>0</v>
      </c>
      <c r="U768" s="48" t="inlineStr">
        <is>
          <t>Maya</t>
        </is>
      </c>
    </row>
    <row r="769">
      <c r="A769" s="5" t="inlineStr">
        <is>
          <t>Bella Mirage</t>
        </is>
      </c>
      <c r="B769" s="5" t="inlineStr">
        <is>
          <t>Maya</t>
        </is>
      </c>
      <c r="C769" s="5" t="inlineStr">
        <is>
          <t>1018</t>
        </is>
      </c>
      <c r="D769" s="5" t="inlineStr"/>
      <c r="E769" s="5" t="n">
        <v>2</v>
      </c>
      <c r="F769" s="5" t="n">
        <v>2</v>
      </c>
      <c r="G769" s="5" t="inlineStr"/>
      <c r="H769" s="5" t="n">
        <v>1187</v>
      </c>
      <c r="I769" s="5" t="inlineStr">
        <is>
          <t>6/17/2023</t>
        </is>
      </c>
      <c r="J769" s="5" t="inlineStr"/>
      <c r="K769" s="5" t="inlineStr"/>
      <c r="L769" s="5" t="inlineStr">
        <is>
          <t>60%</t>
        </is>
      </c>
      <c r="M769" s="5" t="n">
        <v>1741</v>
      </c>
      <c r="N769" s="5" t="n">
        <v>1.47</v>
      </c>
      <c r="O769" s="5" t="n">
        <v>1678</v>
      </c>
      <c r="P769" s="5" t="n">
        <v>1.41</v>
      </c>
      <c r="Q769" s="5" t="inlineStr"/>
      <c r="R769" s="5" t="inlineStr">
        <is>
          <t>2023-07-13</t>
        </is>
      </c>
      <c r="S769" s="5" t="inlineStr"/>
      <c r="T769" s="5" t="inlineStr"/>
      <c r="U769" s="48" t="inlineStr">
        <is>
          <t>Maya</t>
        </is>
      </c>
    </row>
    <row r="770">
      <c r="A770" s="5" t="inlineStr">
        <is>
          <t>Bella Mirage</t>
        </is>
      </c>
      <c r="B770" s="5" t="inlineStr">
        <is>
          <t>Maya</t>
        </is>
      </c>
      <c r="C770" s="5" t="inlineStr">
        <is>
          <t>1018</t>
        </is>
      </c>
      <c r="D770" s="5" t="inlineStr"/>
      <c r="E770" s="5" t="n">
        <v>2</v>
      </c>
      <c r="F770" s="5" t="n">
        <v>2</v>
      </c>
      <c r="G770" s="5" t="inlineStr"/>
      <c r="H770" s="5" t="n">
        <v>1187</v>
      </c>
      <c r="I770" s="5" t="inlineStr">
        <is>
          <t>1/20/2024</t>
        </is>
      </c>
      <c r="J770" s="5" t="inlineStr"/>
      <c r="K770" s="5" t="inlineStr"/>
      <c r="L770" s="5" t="inlineStr">
        <is>
          <t>60%</t>
        </is>
      </c>
      <c r="M770" s="5" t="n">
        <v>1604</v>
      </c>
      <c r="N770" s="5" t="n">
        <v>1.35</v>
      </c>
      <c r="O770" s="5" t="n">
        <v>1470</v>
      </c>
      <c r="P770" s="5" t="n">
        <v>1.24</v>
      </c>
      <c r="Q770" s="5" t="inlineStr">
        <is>
          <t>2024-01-20</t>
        </is>
      </c>
      <c r="R770" s="5" t="inlineStr">
        <is>
          <t>2024-02-12</t>
        </is>
      </c>
      <c r="S770" s="5" t="n">
        <v>24</v>
      </c>
      <c r="T770" s="5" t="n">
        <v>24</v>
      </c>
      <c r="U770" s="48" t="inlineStr">
        <is>
          <t>Maya</t>
        </is>
      </c>
    </row>
    <row r="771">
      <c r="A771" s="5" t="inlineStr">
        <is>
          <t>Bella Mirage</t>
        </is>
      </c>
      <c r="B771" s="5" t="inlineStr">
        <is>
          <t>Maya</t>
        </is>
      </c>
      <c r="C771" s="5" t="inlineStr">
        <is>
          <t>1018</t>
        </is>
      </c>
      <c r="D771" s="5" t="inlineStr"/>
      <c r="E771" s="5" t="n">
        <v>2</v>
      </c>
      <c r="F771" s="5" t="n">
        <v>2</v>
      </c>
      <c r="G771" s="5" t="inlineStr"/>
      <c r="H771" s="5" t="n">
        <v>1187</v>
      </c>
      <c r="I771" s="5" t="inlineStr">
        <is>
          <t>12/31/2024</t>
        </is>
      </c>
      <c r="J771" s="5" t="n">
        <v>200</v>
      </c>
      <c r="K771" s="5" t="n">
        <v>12</v>
      </c>
      <c r="L771" s="5" t="inlineStr">
        <is>
          <t>60%</t>
        </is>
      </c>
      <c r="M771" s="5" t="n">
        <v>1652</v>
      </c>
      <c r="N771" s="5" t="n">
        <v>1.39</v>
      </c>
      <c r="O771" s="5" t="n">
        <v>1652</v>
      </c>
      <c r="P771" s="5" t="n">
        <v>1.39</v>
      </c>
      <c r="Q771" s="5" t="inlineStr">
        <is>
          <t>2024-09-27</t>
        </is>
      </c>
      <c r="R771" s="5" t="inlineStr">
        <is>
          <t>2024-10-12</t>
        </is>
      </c>
      <c r="S771" s="5" t="n">
        <v>16</v>
      </c>
      <c r="T771" s="5" t="n">
        <v>0</v>
      </c>
      <c r="U771" s="48" t="inlineStr">
        <is>
          <t>Maya</t>
        </is>
      </c>
    </row>
    <row r="772">
      <c r="A772" s="5" t="inlineStr">
        <is>
          <t>Bella Mirage</t>
        </is>
      </c>
      <c r="B772" s="5" t="inlineStr">
        <is>
          <t>Maya</t>
        </is>
      </c>
      <c r="C772" s="5" t="inlineStr">
        <is>
          <t>1528</t>
        </is>
      </c>
      <c r="D772" s="5" t="n">
        <v>1</v>
      </c>
      <c r="E772" s="5" t="n">
        <v>2</v>
      </c>
      <c r="F772" s="5" t="n">
        <v>2</v>
      </c>
      <c r="G772" s="5" t="inlineStr"/>
      <c r="H772" s="5" t="n">
        <v>1187</v>
      </c>
      <c r="I772" s="5" t="inlineStr">
        <is>
          <t>7/9/2024</t>
        </is>
      </c>
      <c r="J772" s="5" t="n">
        <v>200</v>
      </c>
      <c r="K772" s="5" t="n">
        <v>13</v>
      </c>
      <c r="L772" s="5" t="inlineStr">
        <is>
          <t>60%</t>
        </is>
      </c>
      <c r="M772" s="5" t="n">
        <v>1486</v>
      </c>
      <c r="N772" s="5" t="n">
        <v>1.25</v>
      </c>
      <c r="O772" s="5" t="n">
        <v>1372</v>
      </c>
      <c r="P772" s="5" t="n">
        <v>1.16</v>
      </c>
      <c r="Q772" s="5" t="inlineStr">
        <is>
          <t>2024-05-12</t>
        </is>
      </c>
      <c r="R772" s="5" t="inlineStr">
        <is>
          <t>2024-11-18</t>
        </is>
      </c>
      <c r="S772" s="5" t="n">
        <v>191</v>
      </c>
      <c r="T772" s="5" t="n">
        <v>133</v>
      </c>
      <c r="U772" s="48" t="inlineStr">
        <is>
          <t>Maya</t>
        </is>
      </c>
    </row>
    <row r="773">
      <c r="A773" s="5" t="inlineStr">
        <is>
          <t>Bella Mirage</t>
        </is>
      </c>
      <c r="B773" s="5" t="inlineStr">
        <is>
          <t>Maya</t>
        </is>
      </c>
      <c r="C773" s="5" t="inlineStr">
        <is>
          <t>6324</t>
        </is>
      </c>
      <c r="D773" s="5" t="inlineStr"/>
      <c r="E773" s="5" t="n">
        <v>2</v>
      </c>
      <c r="F773" s="5" t="n">
        <v>2</v>
      </c>
      <c r="G773" s="5" t="inlineStr"/>
      <c r="H773" s="5" t="n">
        <v>1187</v>
      </c>
      <c r="I773" s="5" t="inlineStr">
        <is>
          <t>3/18/2024</t>
        </is>
      </c>
      <c r="J773" s="5" t="n">
        <v>200</v>
      </c>
      <c r="K773" s="5" t="n">
        <v>13</v>
      </c>
      <c r="L773" s="5" t="inlineStr">
        <is>
          <t>60%</t>
        </is>
      </c>
      <c r="M773" s="5" t="n">
        <v>1858</v>
      </c>
      <c r="N773" s="5" t="n">
        <v>1.57</v>
      </c>
      <c r="O773" s="5" t="n">
        <v>1715</v>
      </c>
      <c r="P773" s="5" t="n">
        <v>1.44</v>
      </c>
      <c r="Q773" s="5" t="inlineStr">
        <is>
          <t>2024-02-12</t>
        </is>
      </c>
      <c r="R773" s="5" t="inlineStr">
        <is>
          <t>2024-04-14</t>
        </is>
      </c>
      <c r="S773" s="5" t="n">
        <v>63</v>
      </c>
      <c r="T773" s="5" t="n">
        <v>28</v>
      </c>
      <c r="U773" s="48" t="inlineStr">
        <is>
          <t>Maya</t>
        </is>
      </c>
    </row>
    <row r="774">
      <c r="A774" s="5" t="inlineStr">
        <is>
          <t>Bella Mirage</t>
        </is>
      </c>
      <c r="B774" s="5" t="inlineStr">
        <is>
          <t>Maya</t>
        </is>
      </c>
      <c r="C774" s="5" t="inlineStr">
        <is>
          <t>0421</t>
        </is>
      </c>
      <c r="D774" s="5" t="inlineStr"/>
      <c r="E774" s="5" t="n">
        <v>2</v>
      </c>
      <c r="F774" s="5" t="n">
        <v>2</v>
      </c>
      <c r="G774" s="5" t="inlineStr"/>
      <c r="H774" s="5" t="n">
        <v>1187</v>
      </c>
      <c r="I774" s="5" t="inlineStr">
        <is>
          <t>7/2/2023</t>
        </is>
      </c>
      <c r="J774" s="5" t="inlineStr"/>
      <c r="K774" s="5" t="inlineStr"/>
      <c r="L774" s="5" t="inlineStr">
        <is>
          <t>60%</t>
        </is>
      </c>
      <c r="M774" s="5" t="n">
        <v>1616</v>
      </c>
      <c r="N774" s="5" t="n">
        <v>1.36</v>
      </c>
      <c r="O774" s="5" t="n">
        <v>1554</v>
      </c>
      <c r="P774" s="5" t="n">
        <v>1.31</v>
      </c>
      <c r="Q774" s="5" t="inlineStr">
        <is>
          <t>2023-07-02</t>
        </is>
      </c>
      <c r="R774" s="5" t="inlineStr">
        <is>
          <t>2023-07-24</t>
        </is>
      </c>
      <c r="S774" s="5" t="n">
        <v>23</v>
      </c>
      <c r="T774" s="5" t="n">
        <v>23</v>
      </c>
      <c r="U774" s="48" t="inlineStr">
        <is>
          <t>Maya</t>
        </is>
      </c>
    </row>
    <row r="775">
      <c r="A775" s="5" t="inlineStr">
        <is>
          <t>Bella Mirage</t>
        </is>
      </c>
      <c r="B775" s="5" t="inlineStr">
        <is>
          <t>Maya</t>
        </is>
      </c>
      <c r="C775" s="5" t="inlineStr">
        <is>
          <t>0421</t>
        </is>
      </c>
      <c r="D775" s="5" t="inlineStr"/>
      <c r="E775" s="5" t="n">
        <v>2</v>
      </c>
      <c r="F775" s="5" t="n">
        <v>2</v>
      </c>
      <c r="G775" s="5" t="inlineStr"/>
      <c r="H775" s="5" t="n">
        <v>1187</v>
      </c>
      <c r="I775" s="5" t="inlineStr">
        <is>
          <t>4/13/2024</t>
        </is>
      </c>
      <c r="J775" s="5" t="n">
        <v>200</v>
      </c>
      <c r="K775" s="5" t="n">
        <v>12</v>
      </c>
      <c r="L775" s="5" t="inlineStr">
        <is>
          <t>60%</t>
        </is>
      </c>
      <c r="M775" s="5" t="n">
        <v>1661</v>
      </c>
      <c r="N775" s="5" t="n">
        <v>1.4</v>
      </c>
      <c r="O775" s="5" t="n">
        <v>1523</v>
      </c>
      <c r="P775" s="5" t="n">
        <v>1.28</v>
      </c>
      <c r="Q775" s="5" t="inlineStr">
        <is>
          <t>2024-03-24</t>
        </is>
      </c>
      <c r="R775" s="5" t="inlineStr">
        <is>
          <t>2024-06-10</t>
        </is>
      </c>
      <c r="S775" s="5" t="n">
        <v>79</v>
      </c>
      <c r="T775" s="5" t="n">
        <v>59</v>
      </c>
      <c r="U775" s="48" t="inlineStr">
        <is>
          <t>Maya</t>
        </is>
      </c>
    </row>
    <row r="776">
      <c r="A776" s="5" t="inlineStr">
        <is>
          <t>Bella Mirage</t>
        </is>
      </c>
      <c r="B776" s="5" t="inlineStr">
        <is>
          <t>Maya</t>
        </is>
      </c>
      <c r="C776" s="5" t="inlineStr">
        <is>
          <t>0421</t>
        </is>
      </c>
      <c r="D776" s="5" t="inlineStr"/>
      <c r="E776" s="5" t="n">
        <v>2</v>
      </c>
      <c r="F776" s="5" t="n">
        <v>2</v>
      </c>
      <c r="G776" s="5" t="inlineStr"/>
      <c r="H776" s="5" t="n">
        <v>1187</v>
      </c>
      <c r="I776" s="5" t="inlineStr">
        <is>
          <t>11/11/2024</t>
        </is>
      </c>
      <c r="J776" s="5" t="n">
        <v>200</v>
      </c>
      <c r="K776" s="5" t="n">
        <v>12</v>
      </c>
      <c r="L776" s="5" t="inlineStr">
        <is>
          <t>60%</t>
        </is>
      </c>
      <c r="M776" s="5" t="n">
        <v>1491</v>
      </c>
      <c r="N776" s="5" t="n">
        <v>1.26</v>
      </c>
      <c r="O776" s="5" t="n">
        <v>1367</v>
      </c>
      <c r="P776" s="5" t="n">
        <v>1.15</v>
      </c>
      <c r="Q776" s="5" t="inlineStr">
        <is>
          <t>2024-10-22</t>
        </is>
      </c>
      <c r="R776" s="5" t="inlineStr">
        <is>
          <t>2025-01-16</t>
        </is>
      </c>
      <c r="S776" s="5" t="n">
        <v>87</v>
      </c>
      <c r="T776" s="5" t="n">
        <v>67</v>
      </c>
      <c r="U776" s="48" t="inlineStr">
        <is>
          <t>Maya</t>
        </is>
      </c>
    </row>
    <row r="777">
      <c r="A777" s="5" t="inlineStr">
        <is>
          <t>Bella Mirage</t>
        </is>
      </c>
      <c r="B777" s="5" t="inlineStr">
        <is>
          <t>Maya</t>
        </is>
      </c>
      <c r="C777" s="5" t="inlineStr">
        <is>
          <t>4521</t>
        </is>
      </c>
      <c r="D777" s="5" t="n">
        <v>4</v>
      </c>
      <c r="E777" s="5" t="n">
        <v>2</v>
      </c>
      <c r="F777" s="5" t="n">
        <v>2</v>
      </c>
      <c r="G777" s="5" t="inlineStr"/>
      <c r="H777" s="5" t="n">
        <v>1187</v>
      </c>
      <c r="I777" s="5" t="inlineStr">
        <is>
          <t>10/18/2024</t>
        </is>
      </c>
      <c r="J777" s="5" t="n">
        <v>200</v>
      </c>
      <c r="K777" s="5" t="n">
        <v>13</v>
      </c>
      <c r="L777" s="5" t="inlineStr">
        <is>
          <t>60%</t>
        </is>
      </c>
      <c r="M777" s="5" t="n">
        <v>1782</v>
      </c>
      <c r="N777" s="5" t="n">
        <v>1.5</v>
      </c>
      <c r="O777" s="5" t="n">
        <v>1782</v>
      </c>
      <c r="P777" s="5" t="n">
        <v>1.5</v>
      </c>
      <c r="Q777" s="5" t="inlineStr">
        <is>
          <t>2024-08-09</t>
        </is>
      </c>
      <c r="R777" s="5" t="inlineStr">
        <is>
          <t>2024-09-18</t>
        </is>
      </c>
      <c r="S777" s="5" t="n">
        <v>41</v>
      </c>
      <c r="T777" s="5" t="n">
        <v>0</v>
      </c>
      <c r="U777" s="48" t="inlineStr">
        <is>
          <t>Maya</t>
        </is>
      </c>
    </row>
    <row r="778">
      <c r="A778" s="5" t="inlineStr">
        <is>
          <t>Bella Mirage</t>
        </is>
      </c>
      <c r="B778" s="5" t="inlineStr">
        <is>
          <t>Maya</t>
        </is>
      </c>
      <c r="C778" s="5" t="inlineStr">
        <is>
          <t>4521</t>
        </is>
      </c>
      <c r="D778" s="5" t="n">
        <v>4</v>
      </c>
      <c r="E778" s="5" t="n">
        <v>2</v>
      </c>
      <c r="F778" s="5" t="n">
        <v>2</v>
      </c>
      <c r="G778" s="5" t="inlineStr"/>
      <c r="H778" s="5" t="n">
        <v>1187</v>
      </c>
      <c r="I778" s="5" t="inlineStr">
        <is>
          <t>12/7/2025</t>
        </is>
      </c>
      <c r="J778" s="5" t="n">
        <v>300</v>
      </c>
      <c r="K778" s="5" t="n">
        <v>12</v>
      </c>
      <c r="L778" s="5" t="inlineStr">
        <is>
          <t>60%</t>
        </is>
      </c>
      <c r="M778" s="5" t="n">
        <v>1497</v>
      </c>
      <c r="N778" s="5" t="n">
        <v>1.26</v>
      </c>
      <c r="O778" s="5" t="n">
        <v>1497</v>
      </c>
      <c r="P778" s="5" t="n">
        <v>1.26</v>
      </c>
      <c r="Q778" s="5" t="inlineStr">
        <is>
          <t>2025-09-19</t>
        </is>
      </c>
      <c r="R778" s="5" t="inlineStr">
        <is>
          <t>2026-01-04</t>
        </is>
      </c>
      <c r="S778" s="5" t="n">
        <v>108</v>
      </c>
      <c r="T778" s="5" t="n">
        <v>29</v>
      </c>
      <c r="U778" s="48" t="inlineStr">
        <is>
          <t>Maya</t>
        </is>
      </c>
    </row>
    <row r="779">
      <c r="A779" s="5" t="inlineStr">
        <is>
          <t>Bella Mirage</t>
        </is>
      </c>
      <c r="B779" s="5" t="inlineStr">
        <is>
          <t>Maya</t>
        </is>
      </c>
      <c r="C779" s="5" t="inlineStr">
        <is>
          <t>0218</t>
        </is>
      </c>
      <c r="D779" s="5" t="inlineStr"/>
      <c r="E779" s="5" t="n">
        <v>2</v>
      </c>
      <c r="F779" s="5" t="n">
        <v>2</v>
      </c>
      <c r="G779" s="5" t="inlineStr"/>
      <c r="H779" s="5" t="n">
        <v>1187</v>
      </c>
      <c r="I779" s="5" t="inlineStr">
        <is>
          <t>12/5/2023</t>
        </is>
      </c>
      <c r="J779" s="5" t="inlineStr"/>
      <c r="K779" s="5" t="inlineStr"/>
      <c r="L779" s="5" t="inlineStr">
        <is>
          <t>60%</t>
        </is>
      </c>
      <c r="M779" s="5" t="n">
        <v>1677</v>
      </c>
      <c r="N779" s="5" t="n">
        <v>1.41</v>
      </c>
      <c r="O779" s="5" t="n">
        <v>1537</v>
      </c>
      <c r="P779" s="5" t="n">
        <v>1.29</v>
      </c>
      <c r="Q779" s="5" t="inlineStr">
        <is>
          <t>2023-12-05</t>
        </is>
      </c>
      <c r="R779" s="5" t="inlineStr">
        <is>
          <t>2024-01-23</t>
        </is>
      </c>
      <c r="S779" s="5" t="n">
        <v>50</v>
      </c>
      <c r="T779" s="5" t="n">
        <v>50</v>
      </c>
      <c r="U779" s="48" t="inlineStr">
        <is>
          <t>Maya</t>
        </is>
      </c>
    </row>
    <row r="780">
      <c r="A780" s="5" t="inlineStr">
        <is>
          <t>Bella Mirage</t>
        </is>
      </c>
      <c r="B780" s="5" t="inlineStr">
        <is>
          <t>Maya</t>
        </is>
      </c>
      <c r="C780" s="5" t="inlineStr">
        <is>
          <t>5425</t>
        </is>
      </c>
      <c r="D780" s="5" t="inlineStr"/>
      <c r="E780" s="5" t="n">
        <v>2</v>
      </c>
      <c r="F780" s="5" t="n">
        <v>2</v>
      </c>
      <c r="G780" s="5" t="inlineStr"/>
      <c r="H780" s="5" t="n">
        <v>1187</v>
      </c>
      <c r="I780" s="5" t="inlineStr">
        <is>
          <t>8/2/2023</t>
        </is>
      </c>
      <c r="J780" s="5" t="inlineStr"/>
      <c r="K780" s="5" t="inlineStr"/>
      <c r="L780" s="5" t="inlineStr">
        <is>
          <t>60%</t>
        </is>
      </c>
      <c r="M780" s="5" t="n">
        <v>1659</v>
      </c>
      <c r="N780" s="5" t="n">
        <v>1.4</v>
      </c>
      <c r="O780" s="5" t="n">
        <v>1521</v>
      </c>
      <c r="P780" s="5" t="n">
        <v>1.28</v>
      </c>
      <c r="Q780" s="5" t="inlineStr">
        <is>
          <t>2023-07-24</t>
        </is>
      </c>
      <c r="R780" s="5" t="inlineStr">
        <is>
          <t>2024-01-05</t>
        </is>
      </c>
      <c r="S780" s="5" t="n">
        <v>166</v>
      </c>
      <c r="T780" s="5" t="n">
        <v>157</v>
      </c>
      <c r="U780" s="48" t="inlineStr">
        <is>
          <t>Maya</t>
        </is>
      </c>
    </row>
    <row r="781">
      <c r="A781" s="5" t="inlineStr">
        <is>
          <t>Bella Mirage</t>
        </is>
      </c>
      <c r="B781" s="5" t="inlineStr">
        <is>
          <t>Maya</t>
        </is>
      </c>
      <c r="C781" s="5" t="inlineStr">
        <is>
          <t>5425</t>
        </is>
      </c>
      <c r="D781" s="5" t="inlineStr"/>
      <c r="E781" s="5" t="n">
        <v>2</v>
      </c>
      <c r="F781" s="5" t="n">
        <v>2</v>
      </c>
      <c r="G781" s="5" t="inlineStr"/>
      <c r="H781" s="5" t="n">
        <v>1187</v>
      </c>
      <c r="I781" s="5" t="inlineStr">
        <is>
          <t>12/30/2024</t>
        </is>
      </c>
      <c r="J781" s="5" t="n">
        <v>200</v>
      </c>
      <c r="K781" s="5" t="n">
        <v>12</v>
      </c>
      <c r="L781" s="5" t="inlineStr">
        <is>
          <t>60%</t>
        </is>
      </c>
      <c r="M781" s="5" t="n">
        <v>1505</v>
      </c>
      <c r="N781" s="5" t="n">
        <v>1.27</v>
      </c>
      <c r="O781" s="5" t="n">
        <v>1380</v>
      </c>
      <c r="P781" s="5" t="n">
        <v>1.16</v>
      </c>
      <c r="Q781" s="5" t="inlineStr">
        <is>
          <t>2024-11-26</t>
        </is>
      </c>
      <c r="R781" s="5" t="inlineStr">
        <is>
          <t>2024-12-11</t>
        </is>
      </c>
      <c r="S781" s="5" t="n">
        <v>16</v>
      </c>
      <c r="T781" s="5" t="n">
        <v>0</v>
      </c>
      <c r="U781" s="48" t="inlineStr">
        <is>
          <t>Maya</t>
        </is>
      </c>
    </row>
    <row r="782">
      <c r="A782" s="5" t="inlineStr">
        <is>
          <t>Bella Mirage</t>
        </is>
      </c>
      <c r="B782" s="5" t="inlineStr">
        <is>
          <t>Maya</t>
        </is>
      </c>
      <c r="C782" s="5" t="inlineStr">
        <is>
          <t>3925</t>
        </is>
      </c>
      <c r="D782" s="5" t="inlineStr"/>
      <c r="E782" s="5" t="n">
        <v>2</v>
      </c>
      <c r="F782" s="5" t="n">
        <v>2</v>
      </c>
      <c r="G782" s="5" t="inlineStr"/>
      <c r="H782" s="5" t="n">
        <v>1187</v>
      </c>
      <c r="I782" s="5" t="inlineStr">
        <is>
          <t>1/21/2025</t>
        </is>
      </c>
      <c r="J782" s="5" t="n">
        <v>200</v>
      </c>
      <c r="K782" s="5" t="n">
        <v>12</v>
      </c>
      <c r="L782" s="5" t="inlineStr">
        <is>
          <t>60%</t>
        </is>
      </c>
      <c r="M782" s="5" t="n">
        <v>1505</v>
      </c>
      <c r="N782" s="5" t="n">
        <v>1.27</v>
      </c>
      <c r="O782" s="5" t="n">
        <v>1380</v>
      </c>
      <c r="P782" s="5" t="n">
        <v>1.16</v>
      </c>
      <c r="Q782" s="5" t="inlineStr">
        <is>
          <t>2024-11-21</t>
        </is>
      </c>
      <c r="R782" s="5" t="inlineStr">
        <is>
          <t>2024-12-11</t>
        </is>
      </c>
      <c r="S782" s="5" t="n">
        <v>21</v>
      </c>
      <c r="T782" s="5" t="n">
        <v>0</v>
      </c>
      <c r="U782" s="48" t="inlineStr">
        <is>
          <t>Maya</t>
        </is>
      </c>
    </row>
    <row r="783">
      <c r="A783" s="5" t="inlineStr">
        <is>
          <t>Bella Mirage</t>
        </is>
      </c>
      <c r="B783" s="5" t="inlineStr">
        <is>
          <t>Maya</t>
        </is>
      </c>
      <c r="C783" s="5" t="inlineStr">
        <is>
          <t>3218</t>
        </is>
      </c>
      <c r="D783" s="5" t="inlineStr"/>
      <c r="E783" s="5" t="n">
        <v>2</v>
      </c>
      <c r="F783" s="5" t="n">
        <v>2</v>
      </c>
      <c r="G783" s="5" t="inlineStr"/>
      <c r="H783" s="5" t="n">
        <v>1187</v>
      </c>
      <c r="I783" s="5" t="inlineStr">
        <is>
          <t>8/5/2024</t>
        </is>
      </c>
      <c r="J783" s="5" t="n">
        <v>200</v>
      </c>
      <c r="K783" s="5" t="n">
        <v>14</v>
      </c>
      <c r="L783" s="5" t="inlineStr">
        <is>
          <t>60%</t>
        </is>
      </c>
      <c r="M783" s="5" t="n">
        <v>1508</v>
      </c>
      <c r="N783" s="5" t="n">
        <v>1.27</v>
      </c>
      <c r="O783" s="5" t="n">
        <v>1400</v>
      </c>
      <c r="P783" s="5" t="n">
        <v>1.18</v>
      </c>
      <c r="Q783" s="5" t="inlineStr">
        <is>
          <t>2024-06-09</t>
        </is>
      </c>
      <c r="R783" s="5" t="inlineStr">
        <is>
          <t>2024-11-08</t>
        </is>
      </c>
      <c r="S783" s="5" t="n">
        <v>153</v>
      </c>
      <c r="T783" s="5" t="n">
        <v>96</v>
      </c>
      <c r="U783" s="48" t="inlineStr">
        <is>
          <t>Maya</t>
        </is>
      </c>
    </row>
    <row r="784">
      <c r="A784" s="5" t="inlineStr">
        <is>
          <t>Bella Mirage</t>
        </is>
      </c>
      <c r="B784" s="5" t="inlineStr">
        <is>
          <t>Maya</t>
        </is>
      </c>
      <c r="C784" s="5" t="inlineStr">
        <is>
          <t>5428</t>
        </is>
      </c>
      <c r="D784" s="5" t="inlineStr"/>
      <c r="E784" s="5" t="n">
        <v>2</v>
      </c>
      <c r="F784" s="5" t="n">
        <v>2</v>
      </c>
      <c r="G784" s="5" t="inlineStr"/>
      <c r="H784" s="5" t="n">
        <v>1187</v>
      </c>
      <c r="I784" s="5" t="inlineStr">
        <is>
          <t>1/29/2025</t>
        </is>
      </c>
      <c r="J784" s="5" t="n">
        <v>200</v>
      </c>
      <c r="K784" s="5" t="n">
        <v>13</v>
      </c>
      <c r="L784" s="5" t="inlineStr">
        <is>
          <t>60%</t>
        </is>
      </c>
      <c r="M784" s="5" t="n">
        <v>1510</v>
      </c>
      <c r="N784" s="5" t="n">
        <v>1.27</v>
      </c>
      <c r="O784" s="5" t="n">
        <v>1394</v>
      </c>
      <c r="P784" s="5" t="n">
        <v>1.17</v>
      </c>
      <c r="Q784" s="5" t="inlineStr">
        <is>
          <t>2024-11-04</t>
        </is>
      </c>
      <c r="R784" s="5" t="inlineStr">
        <is>
          <t>2025-01-06</t>
        </is>
      </c>
      <c r="S784" s="5" t="n">
        <v>64</v>
      </c>
      <c r="T784" s="5" t="n">
        <v>0</v>
      </c>
      <c r="U784" s="48" t="inlineStr">
        <is>
          <t>Maya</t>
        </is>
      </c>
    </row>
    <row r="785">
      <c r="A785" s="5" t="inlineStr">
        <is>
          <t>Bella Mirage</t>
        </is>
      </c>
      <c r="B785" s="5" t="inlineStr">
        <is>
          <t>Maya</t>
        </is>
      </c>
      <c r="C785" s="5" t="inlineStr">
        <is>
          <t>0228</t>
        </is>
      </c>
      <c r="D785" s="5" t="inlineStr"/>
      <c r="E785" s="5" t="n">
        <v>2</v>
      </c>
      <c r="F785" s="5" t="n">
        <v>2</v>
      </c>
      <c r="G785" s="5" t="inlineStr"/>
      <c r="H785" s="5" t="n">
        <v>1187</v>
      </c>
      <c r="I785" s="5" t="inlineStr">
        <is>
          <t>8/27/2024</t>
        </is>
      </c>
      <c r="J785" s="5" t="n">
        <v>200</v>
      </c>
      <c r="K785" s="5" t="n">
        <v>14</v>
      </c>
      <c r="L785" s="5" t="inlineStr">
        <is>
          <t>60%</t>
        </is>
      </c>
      <c r="M785" s="5" t="n">
        <v>1513</v>
      </c>
      <c r="N785" s="5" t="n">
        <v>1.27</v>
      </c>
      <c r="O785" s="5" t="n">
        <v>1405</v>
      </c>
      <c r="P785" s="5" t="n">
        <v>1.18</v>
      </c>
      <c r="Q785" s="5" t="inlineStr">
        <is>
          <t>2024-06-20</t>
        </is>
      </c>
      <c r="R785" s="5" t="inlineStr">
        <is>
          <t>2024-11-08</t>
        </is>
      </c>
      <c r="S785" s="5" t="n">
        <v>142</v>
      </c>
      <c r="T785" s="5" t="n">
        <v>74</v>
      </c>
      <c r="U785" s="48" t="inlineStr">
        <is>
          <t>Maya</t>
        </is>
      </c>
    </row>
    <row r="786">
      <c r="A786" s="5" t="inlineStr">
        <is>
          <t>Bella Mirage</t>
        </is>
      </c>
      <c r="B786" s="5" t="inlineStr">
        <is>
          <t>Maya</t>
        </is>
      </c>
      <c r="C786" s="5" t="inlineStr">
        <is>
          <t>3915</t>
        </is>
      </c>
      <c r="D786" s="5" t="n">
        <v>3</v>
      </c>
      <c r="E786" s="5" t="n">
        <v>2</v>
      </c>
      <c r="F786" s="5" t="n">
        <v>2</v>
      </c>
      <c r="G786" s="5" t="inlineStr"/>
      <c r="H786" s="5" t="n">
        <v>1187</v>
      </c>
      <c r="I786" s="5" t="inlineStr">
        <is>
          <t>9/15/2025</t>
        </is>
      </c>
      <c r="J786" s="5" t="n">
        <v>200</v>
      </c>
      <c r="K786" s="5" t="n">
        <v>12</v>
      </c>
      <c r="L786" s="5" t="inlineStr">
        <is>
          <t>60%</t>
        </is>
      </c>
      <c r="M786" s="5" t="n">
        <v>1513</v>
      </c>
      <c r="N786" s="5" t="n">
        <v>1.27</v>
      </c>
      <c r="O786" s="5" t="n">
        <v>1387</v>
      </c>
      <c r="P786" s="5" t="n">
        <v>1.17</v>
      </c>
      <c r="Q786" s="5" t="inlineStr">
        <is>
          <t>2025-07-02</t>
        </is>
      </c>
      <c r="R786" s="5" t="inlineStr">
        <is>
          <t>2025-07-16</t>
        </is>
      </c>
      <c r="S786" s="5" t="n">
        <v>15</v>
      </c>
      <c r="T786" s="5" t="n">
        <v>0</v>
      </c>
      <c r="U786" s="48" t="inlineStr">
        <is>
          <t>Maya</t>
        </is>
      </c>
    </row>
    <row r="787">
      <c r="A787" s="5" t="inlineStr">
        <is>
          <t>Bella Mirage</t>
        </is>
      </c>
      <c r="B787" s="5" t="inlineStr">
        <is>
          <t>Maya</t>
        </is>
      </c>
      <c r="C787" s="5" t="inlineStr">
        <is>
          <t>2915</t>
        </is>
      </c>
      <c r="D787" s="5" t="n">
        <v>1</v>
      </c>
      <c r="E787" s="5" t="n">
        <v>2</v>
      </c>
      <c r="F787" s="5" t="n">
        <v>2</v>
      </c>
      <c r="G787" s="5" t="inlineStr"/>
      <c r="H787" s="5" t="n">
        <v>1187</v>
      </c>
      <c r="I787" s="5" t="inlineStr">
        <is>
          <t>8/15/2024</t>
        </is>
      </c>
      <c r="J787" s="5" t="n">
        <v>200</v>
      </c>
      <c r="K787" s="5" t="n">
        <v>14</v>
      </c>
      <c r="L787" s="5" t="inlineStr">
        <is>
          <t>80%</t>
        </is>
      </c>
      <c r="M787" s="5" t="n">
        <v>1519</v>
      </c>
      <c r="N787" s="5" t="n">
        <v>1.28</v>
      </c>
      <c r="O787" s="5" t="n">
        <v>1519</v>
      </c>
      <c r="P787" s="5" t="n">
        <v>1.28</v>
      </c>
      <c r="Q787" s="5" t="inlineStr">
        <is>
          <t>2024-07-23</t>
        </is>
      </c>
      <c r="R787" s="5" t="inlineStr">
        <is>
          <t>2024-11-02</t>
        </is>
      </c>
      <c r="S787" s="5" t="n">
        <v>103</v>
      </c>
      <c r="T787" s="5" t="n">
        <v>80</v>
      </c>
      <c r="U787" s="48" t="inlineStr">
        <is>
          <t>Maya</t>
        </is>
      </c>
    </row>
    <row r="788">
      <c r="A788" s="5" t="inlineStr">
        <is>
          <t>Bella Mirage</t>
        </is>
      </c>
      <c r="B788" s="5" t="inlineStr">
        <is>
          <t>Maya</t>
        </is>
      </c>
      <c r="C788" s="5" t="inlineStr">
        <is>
          <t>1024</t>
        </is>
      </c>
      <c r="D788" s="5" t="inlineStr"/>
      <c r="E788" s="5" t="n">
        <v>2</v>
      </c>
      <c r="F788" s="5" t="n">
        <v>2</v>
      </c>
      <c r="G788" s="5" t="inlineStr"/>
      <c r="H788" s="5" t="n">
        <v>1187</v>
      </c>
      <c r="I788" s="5" t="inlineStr">
        <is>
          <t>6/17/2023</t>
        </is>
      </c>
      <c r="J788" s="5" t="inlineStr"/>
      <c r="K788" s="5" t="inlineStr"/>
      <c r="L788" s="5" t="inlineStr">
        <is>
          <t>80%</t>
        </is>
      </c>
      <c r="M788" s="5" t="n">
        <v>1914</v>
      </c>
      <c r="N788" s="5" t="n">
        <v>1.61</v>
      </c>
      <c r="O788" s="5" t="n">
        <v>1852</v>
      </c>
      <c r="P788" s="5" t="n">
        <v>1.56</v>
      </c>
      <c r="Q788" s="5" t="inlineStr"/>
      <c r="R788" s="5" t="inlineStr">
        <is>
          <t>2023-07-02</t>
        </is>
      </c>
      <c r="S788" s="5" t="inlineStr"/>
      <c r="T788" s="5" t="inlineStr"/>
      <c r="U788" s="48" t="inlineStr">
        <is>
          <t>Maya</t>
        </is>
      </c>
    </row>
    <row r="789">
      <c r="A789" s="5" t="inlineStr">
        <is>
          <t>Bella Mirage</t>
        </is>
      </c>
      <c r="B789" s="5" t="inlineStr">
        <is>
          <t>Maya</t>
        </is>
      </c>
      <c r="C789" s="5" t="inlineStr">
        <is>
          <t>1024</t>
        </is>
      </c>
      <c r="D789" s="5" t="inlineStr"/>
      <c r="E789" s="5" t="n">
        <v>2</v>
      </c>
      <c r="F789" s="5" t="n">
        <v>2</v>
      </c>
      <c r="G789" s="5" t="inlineStr"/>
      <c r="H789" s="5" t="n">
        <v>1187</v>
      </c>
      <c r="I789" s="5" t="inlineStr">
        <is>
          <t>9/29/2024</t>
        </is>
      </c>
      <c r="J789" s="5" t="n">
        <v>200</v>
      </c>
      <c r="K789" s="5" t="n">
        <v>14</v>
      </c>
      <c r="L789" s="5" t="inlineStr">
        <is>
          <t>80%</t>
        </is>
      </c>
      <c r="M789" s="5" t="n">
        <v>1601</v>
      </c>
      <c r="N789" s="5" t="n">
        <v>1.35</v>
      </c>
      <c r="O789" s="5" t="n">
        <v>1487</v>
      </c>
      <c r="P789" s="5" t="n">
        <v>1.25</v>
      </c>
      <c r="Q789" s="5" t="inlineStr">
        <is>
          <t>2024-09-16</t>
        </is>
      </c>
      <c r="R789" s="5" t="inlineStr">
        <is>
          <t>2024-11-07</t>
        </is>
      </c>
      <c r="S789" s="5" t="n">
        <v>53</v>
      </c>
      <c r="T789" s="5" t="n">
        <v>40</v>
      </c>
      <c r="U789" s="48" t="inlineStr">
        <is>
          <t>Maya</t>
        </is>
      </c>
    </row>
    <row r="790">
      <c r="A790" s="5" t="inlineStr">
        <is>
          <t>Bella Mirage</t>
        </is>
      </c>
      <c r="B790" s="5" t="inlineStr">
        <is>
          <t>Maya</t>
        </is>
      </c>
      <c r="C790" s="5" t="inlineStr">
        <is>
          <t>1024</t>
        </is>
      </c>
      <c r="D790" s="5" t="inlineStr"/>
      <c r="E790" s="5" t="n">
        <v>2</v>
      </c>
      <c r="F790" s="5" t="n">
        <v>2</v>
      </c>
      <c r="G790" s="5" t="inlineStr"/>
      <c r="H790" s="5" t="n">
        <v>1187</v>
      </c>
      <c r="I790" s="5" t="inlineStr">
        <is>
          <t>3/4/2026</t>
        </is>
      </c>
      <c r="J790" s="5" t="n">
        <v>300</v>
      </c>
      <c r="K790" s="5" t="n">
        <v>12</v>
      </c>
      <c r="L790" s="5" t="inlineStr">
        <is>
          <t>80%</t>
        </is>
      </c>
      <c r="M790" s="5" t="n">
        <v>1523</v>
      </c>
      <c r="N790" s="5" t="n">
        <v>1.28</v>
      </c>
      <c r="O790" s="5" t="n">
        <v>1523</v>
      </c>
      <c r="P790" s="5" t="n">
        <v>1.28</v>
      </c>
      <c r="Q790" s="5" t="inlineStr">
        <is>
          <t>2025-12-20</t>
        </is>
      </c>
      <c r="R790" s="5" t="inlineStr">
        <is>
          <t>2025-12-21</t>
        </is>
      </c>
      <c r="S790" s="5" t="n">
        <v>2</v>
      </c>
      <c r="T790" s="5" t="n">
        <v>0</v>
      </c>
      <c r="U790" s="48" t="inlineStr">
        <is>
          <t>Maya</t>
        </is>
      </c>
    </row>
    <row r="791">
      <c r="A791" s="5" t="inlineStr">
        <is>
          <t>Bella Mirage</t>
        </is>
      </c>
      <c r="B791" s="5" t="inlineStr">
        <is>
          <t>Maya</t>
        </is>
      </c>
      <c r="C791" s="5" t="inlineStr">
        <is>
          <t>0214</t>
        </is>
      </c>
      <c r="D791" s="5" t="inlineStr"/>
      <c r="E791" s="5" t="n">
        <v>2</v>
      </c>
      <c r="F791" s="5" t="n">
        <v>2</v>
      </c>
      <c r="G791" s="5" t="inlineStr"/>
      <c r="H791" s="5" t="n">
        <v>1187</v>
      </c>
      <c r="I791" s="5" t="inlineStr">
        <is>
          <t>3/30/2024</t>
        </is>
      </c>
      <c r="J791" s="5" t="n">
        <v>200</v>
      </c>
      <c r="K791" s="5" t="n">
        <v>12</v>
      </c>
      <c r="L791" s="5" t="inlineStr">
        <is>
          <t>80%</t>
        </is>
      </c>
      <c r="M791" s="5" t="n">
        <v>1753</v>
      </c>
      <c r="N791" s="5" t="n">
        <v>1.48</v>
      </c>
      <c r="O791" s="5" t="n">
        <v>1607</v>
      </c>
      <c r="P791" s="5" t="n">
        <v>1.35</v>
      </c>
      <c r="Q791" s="5" t="inlineStr">
        <is>
          <t>2024-02-12</t>
        </is>
      </c>
      <c r="R791" s="5" t="inlineStr">
        <is>
          <t>2024-03-26</t>
        </is>
      </c>
      <c r="S791" s="5" t="n">
        <v>44</v>
      </c>
      <c r="T791" s="5" t="n">
        <v>0</v>
      </c>
      <c r="U791" s="48" t="inlineStr">
        <is>
          <t>Maya</t>
        </is>
      </c>
    </row>
    <row r="792">
      <c r="A792" s="5" t="inlineStr">
        <is>
          <t>Bella Mirage</t>
        </is>
      </c>
      <c r="B792" s="5" t="inlineStr">
        <is>
          <t>Maya</t>
        </is>
      </c>
      <c r="C792" s="5" t="inlineStr">
        <is>
          <t>0214</t>
        </is>
      </c>
      <c r="D792" s="5" t="inlineStr"/>
      <c r="E792" s="5" t="n">
        <v>2</v>
      </c>
      <c r="F792" s="5" t="n">
        <v>2</v>
      </c>
      <c r="G792" s="5" t="inlineStr"/>
      <c r="H792" s="5" t="n">
        <v>1187</v>
      </c>
      <c r="I792" s="5" t="inlineStr">
        <is>
          <t>3/10/2025</t>
        </is>
      </c>
      <c r="J792" s="5" t="n">
        <v>200</v>
      </c>
      <c r="K792" s="5" t="n">
        <v>12</v>
      </c>
      <c r="L792" s="5" t="inlineStr">
        <is>
          <t>80%</t>
        </is>
      </c>
      <c r="M792" s="5" t="n">
        <v>1543</v>
      </c>
      <c r="N792" s="5" t="n">
        <v>1.3</v>
      </c>
      <c r="O792" s="5" t="n">
        <v>1414</v>
      </c>
      <c r="P792" s="5" t="n">
        <v>1.19</v>
      </c>
      <c r="Q792" s="5" t="inlineStr">
        <is>
          <t>2025-02-04</t>
        </is>
      </c>
      <c r="R792" s="5" t="inlineStr">
        <is>
          <t>2025-04-28</t>
        </is>
      </c>
      <c r="S792" s="5" t="n">
        <v>84</v>
      </c>
      <c r="T792" s="5" t="n">
        <v>50</v>
      </c>
      <c r="U792" s="48" t="inlineStr">
        <is>
          <t>Maya</t>
        </is>
      </c>
    </row>
    <row r="793">
      <c r="A793" s="5" t="inlineStr">
        <is>
          <t>Bella Mirage</t>
        </is>
      </c>
      <c r="B793" s="5" t="inlineStr">
        <is>
          <t>Maya</t>
        </is>
      </c>
      <c r="C793" s="5" t="inlineStr">
        <is>
          <t>2921</t>
        </is>
      </c>
      <c r="D793" s="5" t="inlineStr"/>
      <c r="E793" s="5" t="n">
        <v>2</v>
      </c>
      <c r="F793" s="5" t="n">
        <v>2</v>
      </c>
      <c r="G793" s="5" t="inlineStr"/>
      <c r="H793" s="5" t="n">
        <v>1187</v>
      </c>
      <c r="I793" s="5" t="inlineStr">
        <is>
          <t>7/13/2024</t>
        </is>
      </c>
      <c r="J793" s="5" t="n">
        <v>200</v>
      </c>
      <c r="K793" s="5" t="n">
        <v>15</v>
      </c>
      <c r="L793" s="5" t="inlineStr">
        <is>
          <t>80%</t>
        </is>
      </c>
      <c r="M793" s="5" t="n">
        <v>1525</v>
      </c>
      <c r="N793" s="5" t="n">
        <v>1.28</v>
      </c>
      <c r="O793" s="5" t="n">
        <v>1525</v>
      </c>
      <c r="P793" s="5" t="n">
        <v>1.28</v>
      </c>
      <c r="Q793" s="5" t="inlineStr">
        <is>
          <t>2024-05-17</t>
        </is>
      </c>
      <c r="R793" s="5" t="inlineStr">
        <is>
          <t>2024-10-01</t>
        </is>
      </c>
      <c r="S793" s="5" t="n">
        <v>138</v>
      </c>
      <c r="T793" s="5" t="n">
        <v>81</v>
      </c>
      <c r="U793" s="48" t="inlineStr">
        <is>
          <t>Maya</t>
        </is>
      </c>
    </row>
    <row r="794">
      <c r="A794" s="5" t="inlineStr">
        <is>
          <t>Bella Mirage</t>
        </is>
      </c>
      <c r="B794" s="5" t="inlineStr">
        <is>
          <t>Maya</t>
        </is>
      </c>
      <c r="C794" s="5" t="inlineStr">
        <is>
          <t>2921</t>
        </is>
      </c>
      <c r="D794" s="5" t="inlineStr"/>
      <c r="E794" s="5" t="n">
        <v>2</v>
      </c>
      <c r="F794" s="5" t="n">
        <v>2</v>
      </c>
      <c r="G794" s="5" t="inlineStr"/>
      <c r="H794" s="5" t="n">
        <v>1187</v>
      </c>
      <c r="I794" s="5" t="inlineStr">
        <is>
          <t>1/28/2026</t>
        </is>
      </c>
      <c r="J794" s="5" t="n">
        <v>300</v>
      </c>
      <c r="K794" s="5" t="n">
        <v>12</v>
      </c>
      <c r="L794" s="5" t="inlineStr">
        <is>
          <t>80%</t>
        </is>
      </c>
      <c r="M794" s="5" t="n">
        <v>1530</v>
      </c>
      <c r="N794" s="5" t="n">
        <v>1.29</v>
      </c>
      <c r="O794" s="5" t="n">
        <v>1530</v>
      </c>
      <c r="P794" s="5" t="n">
        <v>1.29</v>
      </c>
      <c r="Q794" s="5" t="inlineStr">
        <is>
          <t>2025-12-24</t>
        </is>
      </c>
      <c r="R794" s="5" t="inlineStr">
        <is>
          <t>2026-03-18</t>
        </is>
      </c>
      <c r="S794" s="5" t="n">
        <v>85</v>
      </c>
      <c r="T794" s="5" t="n">
        <v>50</v>
      </c>
      <c r="U794" s="48" t="inlineStr">
        <is>
          <t>Maya</t>
        </is>
      </c>
    </row>
    <row r="795">
      <c r="A795" s="5" t="inlineStr">
        <is>
          <t>Bella Mirage</t>
        </is>
      </c>
      <c r="B795" s="5" t="inlineStr">
        <is>
          <t>Maya</t>
        </is>
      </c>
      <c r="C795" s="5" t="inlineStr">
        <is>
          <t>0532</t>
        </is>
      </c>
      <c r="D795" s="5" t="inlineStr"/>
      <c r="E795" s="5" t="n">
        <v>2</v>
      </c>
      <c r="F795" s="5" t="n">
        <v>2</v>
      </c>
      <c r="G795" s="5" t="inlineStr"/>
      <c r="H795" s="5" t="n">
        <v>1187</v>
      </c>
      <c r="I795" s="5" t="inlineStr">
        <is>
          <t>7/13/2023</t>
        </is>
      </c>
      <c r="J795" s="5" t="inlineStr"/>
      <c r="K795" s="5" t="inlineStr"/>
      <c r="L795" s="5" t="inlineStr">
        <is>
          <t>80%</t>
        </is>
      </c>
      <c r="M795" s="5" t="n">
        <v>1762</v>
      </c>
      <c r="N795" s="5" t="n">
        <v>1.48</v>
      </c>
      <c r="O795" s="5" t="n">
        <v>1762</v>
      </c>
      <c r="P795" s="5" t="n">
        <v>1.48</v>
      </c>
      <c r="Q795" s="5" t="inlineStr">
        <is>
          <t>2023-07-13</t>
        </is>
      </c>
      <c r="R795" s="5" t="inlineStr">
        <is>
          <t>2023-08-16</t>
        </is>
      </c>
      <c r="S795" s="5" t="n">
        <v>35</v>
      </c>
      <c r="T795" s="5" t="n">
        <v>35</v>
      </c>
      <c r="U795" s="48" t="inlineStr">
        <is>
          <t>Maya</t>
        </is>
      </c>
    </row>
    <row r="796">
      <c r="A796" s="5" t="inlineStr">
        <is>
          <t>Bella Mirage</t>
        </is>
      </c>
      <c r="B796" s="5" t="inlineStr">
        <is>
          <t>Maya</t>
        </is>
      </c>
      <c r="C796" s="5" t="inlineStr">
        <is>
          <t>0532</t>
        </is>
      </c>
      <c r="D796" s="5" t="inlineStr"/>
      <c r="E796" s="5" t="n">
        <v>2</v>
      </c>
      <c r="F796" s="5" t="n">
        <v>2</v>
      </c>
      <c r="G796" s="5" t="inlineStr"/>
      <c r="H796" s="5" t="n">
        <v>1187</v>
      </c>
      <c r="I796" s="5" t="inlineStr">
        <is>
          <t>11/12/2024</t>
        </is>
      </c>
      <c r="J796" s="5" t="n">
        <v>200</v>
      </c>
      <c r="K796" s="5" t="n">
        <v>13</v>
      </c>
      <c r="L796" s="5" t="inlineStr">
        <is>
          <t>80%</t>
        </is>
      </c>
      <c r="M796" s="5" t="n">
        <v>1585</v>
      </c>
      <c r="N796" s="5" t="n">
        <v>1.34</v>
      </c>
      <c r="O796" s="5" t="n">
        <v>1463</v>
      </c>
      <c r="P796" s="5" t="n">
        <v>1.23</v>
      </c>
      <c r="Q796" s="5" t="inlineStr">
        <is>
          <t>2024-10-14</t>
        </is>
      </c>
      <c r="R796" s="5" t="inlineStr">
        <is>
          <t>2024-12-12</t>
        </is>
      </c>
      <c r="S796" s="5" t="n">
        <v>60</v>
      </c>
      <c r="T796" s="5" t="n">
        <v>31</v>
      </c>
      <c r="U796" s="48" t="inlineStr">
        <is>
          <t>Maya</t>
        </is>
      </c>
    </row>
    <row r="797">
      <c r="A797" s="5" t="inlineStr">
        <is>
          <t>Bella Mirage</t>
        </is>
      </c>
      <c r="B797" s="5" t="inlineStr">
        <is>
          <t>Maya</t>
        </is>
      </c>
      <c r="C797" s="5" t="inlineStr">
        <is>
          <t>0532</t>
        </is>
      </c>
      <c r="D797" s="5" t="inlineStr"/>
      <c r="E797" s="5" t="n">
        <v>2</v>
      </c>
      <c r="F797" s="5" t="n">
        <v>2</v>
      </c>
      <c r="G797" s="5" t="inlineStr"/>
      <c r="H797" s="5" t="n">
        <v>1187</v>
      </c>
      <c r="I797" s="5" t="inlineStr">
        <is>
          <t>9/7/2025</t>
        </is>
      </c>
      <c r="J797" s="5" t="n">
        <v>300</v>
      </c>
      <c r="K797" s="5" t="n">
        <v>12</v>
      </c>
      <c r="L797" s="5" t="inlineStr">
        <is>
          <t>80%</t>
        </is>
      </c>
      <c r="M797" s="5" t="n">
        <v>1530</v>
      </c>
      <c r="N797" s="5" t="n">
        <v>1.29</v>
      </c>
      <c r="O797" s="5" t="n">
        <v>1530</v>
      </c>
      <c r="P797" s="5" t="n">
        <v>1.29</v>
      </c>
      <c r="Q797" s="5" t="inlineStr">
        <is>
          <t>2025-08-07</t>
        </is>
      </c>
      <c r="R797" s="5" t="inlineStr">
        <is>
          <t>2026-01-07</t>
        </is>
      </c>
      <c r="S797" s="5" t="n">
        <v>154</v>
      </c>
      <c r="T797" s="5" t="n">
        <v>123</v>
      </c>
      <c r="U797" s="48" t="inlineStr">
        <is>
          <t>Maya</t>
        </is>
      </c>
    </row>
    <row r="798">
      <c r="A798" s="5" t="inlineStr">
        <is>
          <t>Bella Mirage</t>
        </is>
      </c>
      <c r="B798" s="5" t="inlineStr">
        <is>
          <t>Maya</t>
        </is>
      </c>
      <c r="C798" s="5" t="inlineStr">
        <is>
          <t>4528</t>
        </is>
      </c>
      <c r="D798" s="5" t="n">
        <v>4</v>
      </c>
      <c r="E798" s="5" t="n">
        <v>2</v>
      </c>
      <c r="F798" s="5" t="n">
        <v>2</v>
      </c>
      <c r="G798" s="5" t="inlineStr"/>
      <c r="H798" s="5" t="n">
        <v>1187</v>
      </c>
      <c r="I798" s="5" t="inlineStr">
        <is>
          <t>6/17/2023</t>
        </is>
      </c>
      <c r="J798" s="5" t="inlineStr"/>
      <c r="K798" s="5" t="inlineStr"/>
      <c r="L798" s="5" t="inlineStr">
        <is>
          <t>80%</t>
        </is>
      </c>
      <c r="M798" s="5" t="n">
        <v>1792</v>
      </c>
      <c r="N798" s="5" t="n">
        <v>1.51</v>
      </c>
      <c r="O798" s="5" t="n">
        <v>1643</v>
      </c>
      <c r="P798" s="5" t="n">
        <v>1.38</v>
      </c>
      <c r="Q798" s="5" t="inlineStr"/>
      <c r="R798" s="5" t="inlineStr">
        <is>
          <t>2023-10-06</t>
        </is>
      </c>
      <c r="S798" s="5" t="inlineStr"/>
      <c r="T798" s="5" t="inlineStr"/>
      <c r="U798" s="48" t="inlineStr">
        <is>
          <t>Maya</t>
        </is>
      </c>
    </row>
    <row r="799">
      <c r="A799" s="5" t="inlineStr">
        <is>
          <t>Bella Mirage</t>
        </is>
      </c>
      <c r="B799" s="5" t="inlineStr">
        <is>
          <t>Maya</t>
        </is>
      </c>
      <c r="C799" s="5" t="inlineStr">
        <is>
          <t>4528</t>
        </is>
      </c>
      <c r="D799" s="5" t="n">
        <v>4</v>
      </c>
      <c r="E799" s="5" t="n">
        <v>2</v>
      </c>
      <c r="F799" s="5" t="n">
        <v>2</v>
      </c>
      <c r="G799" s="5" t="inlineStr"/>
      <c r="H799" s="5" t="n">
        <v>1187</v>
      </c>
      <c r="I799" s="5" t="inlineStr">
        <is>
          <t>2/15/2025</t>
        </is>
      </c>
      <c r="J799" s="5" t="n">
        <v>200</v>
      </c>
      <c r="K799" s="5" t="n">
        <v>13</v>
      </c>
      <c r="L799" s="5" t="inlineStr">
        <is>
          <t>80%</t>
        </is>
      </c>
      <c r="M799" s="5" t="n">
        <v>1533</v>
      </c>
      <c r="N799" s="5" t="n">
        <v>1.29</v>
      </c>
      <c r="O799" s="5" t="n">
        <v>1415</v>
      </c>
      <c r="P799" s="5" t="n">
        <v>1.19</v>
      </c>
      <c r="Q799" s="5" t="inlineStr">
        <is>
          <t>2024-12-01</t>
        </is>
      </c>
      <c r="R799" s="5" t="inlineStr">
        <is>
          <t>2025-01-08</t>
        </is>
      </c>
      <c r="S799" s="5" t="n">
        <v>39</v>
      </c>
      <c r="T799" s="5" t="n">
        <v>0</v>
      </c>
      <c r="U799" s="48" t="inlineStr">
        <is>
          <t>Maya</t>
        </is>
      </c>
    </row>
    <row r="800">
      <c r="A800" s="5" t="inlineStr">
        <is>
          <t>Bella Mirage</t>
        </is>
      </c>
      <c r="B800" s="5" t="inlineStr">
        <is>
          <t>Maya</t>
        </is>
      </c>
      <c r="C800" s="5" t="inlineStr">
        <is>
          <t>0225</t>
        </is>
      </c>
      <c r="D800" s="5" t="inlineStr"/>
      <c r="E800" s="5" t="n">
        <v>2</v>
      </c>
      <c r="F800" s="5" t="n">
        <v>2</v>
      </c>
      <c r="G800" s="5" t="inlineStr"/>
      <c r="H800" s="5" t="n">
        <v>1187</v>
      </c>
      <c r="I800" s="5" t="inlineStr">
        <is>
          <t>2/25/2025</t>
        </is>
      </c>
      <c r="J800" s="5" t="n">
        <v>200</v>
      </c>
      <c r="K800" s="5" t="n">
        <v>12</v>
      </c>
      <c r="L800" s="5" t="inlineStr">
        <is>
          <t>80%</t>
        </is>
      </c>
      <c r="M800" s="5" t="n">
        <v>1556</v>
      </c>
      <c r="N800" s="5" t="n">
        <v>1.31</v>
      </c>
      <c r="O800" s="5" t="n">
        <v>1426</v>
      </c>
      <c r="P800" s="5" t="n">
        <v>1.2</v>
      </c>
      <c r="Q800" s="5" t="inlineStr">
        <is>
          <t>2024-12-28</t>
        </is>
      </c>
      <c r="R800" s="5" t="inlineStr">
        <is>
          <t>2025-04-16</t>
        </is>
      </c>
      <c r="S800" s="5" t="n">
        <v>110</v>
      </c>
      <c r="T800" s="5" t="n">
        <v>51</v>
      </c>
      <c r="U800" s="48" t="inlineStr">
        <is>
          <t>Maya</t>
        </is>
      </c>
    </row>
    <row r="801">
      <c r="A801" s="5" t="inlineStr">
        <is>
          <t>Bella Mirage</t>
        </is>
      </c>
      <c r="B801" s="5" t="inlineStr">
        <is>
          <t>Maya</t>
        </is>
      </c>
      <c r="C801" s="5" t="inlineStr">
        <is>
          <t>2928</t>
        </is>
      </c>
      <c r="D801" s="5" t="inlineStr"/>
      <c r="E801" s="5" t="n">
        <v>2</v>
      </c>
      <c r="F801" s="5" t="n">
        <v>2</v>
      </c>
      <c r="G801" s="5" t="inlineStr"/>
      <c r="H801" s="5" t="n">
        <v>1187</v>
      </c>
      <c r="I801" s="5" t="inlineStr">
        <is>
          <t>5/4/2024</t>
        </is>
      </c>
      <c r="J801" s="5" t="n">
        <v>200</v>
      </c>
      <c r="K801" s="5" t="n">
        <v>12</v>
      </c>
      <c r="L801" s="5" t="inlineStr">
        <is>
          <t>80%</t>
        </is>
      </c>
      <c r="M801" s="5" t="n">
        <v>1683</v>
      </c>
      <c r="N801" s="5" t="n">
        <v>1.42</v>
      </c>
      <c r="O801" s="5" t="n">
        <v>1543</v>
      </c>
      <c r="P801" s="5" t="n">
        <v>1.3</v>
      </c>
      <c r="Q801" s="5" t="inlineStr">
        <is>
          <t>2024-03-26</t>
        </is>
      </c>
      <c r="R801" s="5" t="inlineStr">
        <is>
          <t>2024-05-15</t>
        </is>
      </c>
      <c r="S801" s="5" t="n">
        <v>51</v>
      </c>
      <c r="T801" s="5" t="n">
        <v>12</v>
      </c>
      <c r="U801" s="48" t="inlineStr">
        <is>
          <t>Maya</t>
        </is>
      </c>
    </row>
    <row r="802">
      <c r="A802" s="5" t="inlineStr">
        <is>
          <t>Bella Mirage</t>
        </is>
      </c>
      <c r="B802" s="5" t="inlineStr">
        <is>
          <t>Maya</t>
        </is>
      </c>
      <c r="C802" s="5" t="inlineStr">
        <is>
          <t>2928</t>
        </is>
      </c>
      <c r="D802" s="5" t="inlineStr"/>
      <c r="E802" s="5" t="n">
        <v>2</v>
      </c>
      <c r="F802" s="5" t="n">
        <v>2</v>
      </c>
      <c r="G802" s="5" t="inlineStr"/>
      <c r="H802" s="5" t="n">
        <v>1187</v>
      </c>
      <c r="I802" s="5" t="inlineStr">
        <is>
          <t>8/3/2025</t>
        </is>
      </c>
      <c r="J802" s="5" t="n">
        <v>200</v>
      </c>
      <c r="K802" s="5" t="n">
        <v>12</v>
      </c>
      <c r="L802" s="5" t="inlineStr">
        <is>
          <t>80%</t>
        </is>
      </c>
      <c r="M802" s="5" t="n">
        <v>1550</v>
      </c>
      <c r="N802" s="5" t="n">
        <v>1.31</v>
      </c>
      <c r="O802" s="5" t="n">
        <v>1421</v>
      </c>
      <c r="P802" s="5" t="n">
        <v>1.2</v>
      </c>
      <c r="Q802" s="5" t="inlineStr">
        <is>
          <t>2025-05-09</t>
        </is>
      </c>
      <c r="R802" s="5" t="inlineStr">
        <is>
          <t>2025-05-30</t>
        </is>
      </c>
      <c r="S802" s="5" t="n">
        <v>22</v>
      </c>
      <c r="T802" s="5" t="n">
        <v>0</v>
      </c>
      <c r="U802" s="48" t="inlineStr">
        <is>
          <t>Maya</t>
        </is>
      </c>
    </row>
    <row r="803">
      <c r="A803" s="5" t="inlineStr">
        <is>
          <t>Bella Mirage</t>
        </is>
      </c>
      <c r="B803" s="5" t="inlineStr">
        <is>
          <t>Maya</t>
        </is>
      </c>
      <c r="C803" s="5" t="inlineStr">
        <is>
          <t>2918</t>
        </is>
      </c>
      <c r="D803" s="5" t="n">
        <v>2</v>
      </c>
      <c r="E803" s="5" t="n">
        <v>2</v>
      </c>
      <c r="F803" s="5" t="n">
        <v>2</v>
      </c>
      <c r="G803" s="5" t="inlineStr"/>
      <c r="H803" s="5" t="n">
        <v>1187</v>
      </c>
      <c r="I803" s="5" t="inlineStr">
        <is>
          <t>10/7/2024</t>
        </is>
      </c>
      <c r="J803" s="5" t="n">
        <v>200</v>
      </c>
      <c r="K803" s="5" t="n">
        <v>15</v>
      </c>
      <c r="L803" s="5" t="inlineStr">
        <is>
          <t>80%</t>
        </is>
      </c>
      <c r="M803" s="5" t="n">
        <v>1910</v>
      </c>
      <c r="N803" s="5" t="n">
        <v>1.61</v>
      </c>
      <c r="O803" s="5" t="n">
        <v>1910</v>
      </c>
      <c r="P803" s="5" t="n">
        <v>1.61</v>
      </c>
      <c r="Q803" s="5" t="inlineStr">
        <is>
          <t>2024-07-23</t>
        </is>
      </c>
      <c r="R803" s="5" t="inlineStr">
        <is>
          <t>2024-09-12</t>
        </is>
      </c>
      <c r="S803" s="5" t="n">
        <v>52</v>
      </c>
      <c r="T803" s="5" t="n">
        <v>0</v>
      </c>
      <c r="U803" s="48" t="inlineStr">
        <is>
          <t>Maya</t>
        </is>
      </c>
    </row>
    <row r="804">
      <c r="A804" s="5" t="inlineStr">
        <is>
          <t>Bella Mirage</t>
        </is>
      </c>
      <c r="B804" s="5" t="inlineStr">
        <is>
          <t>Maya</t>
        </is>
      </c>
      <c r="C804" s="5" t="inlineStr">
        <is>
          <t>2918</t>
        </is>
      </c>
      <c r="D804" s="5" t="n">
        <v>2</v>
      </c>
      <c r="E804" s="5" t="n">
        <v>2</v>
      </c>
      <c r="F804" s="5" t="n">
        <v>2</v>
      </c>
      <c r="G804" s="5" t="inlineStr"/>
      <c r="H804" s="5" t="n">
        <v>1187</v>
      </c>
      <c r="I804" s="5" t="inlineStr">
        <is>
          <t>1/14/2026</t>
        </is>
      </c>
      <c r="J804" s="5" t="n">
        <v>300</v>
      </c>
      <c r="K804" s="5" t="n">
        <v>12</v>
      </c>
      <c r="L804" s="5" t="inlineStr">
        <is>
          <t>80%</t>
        </is>
      </c>
      <c r="M804" s="5" t="n">
        <v>1552</v>
      </c>
      <c r="N804" s="5" t="n">
        <v>1.31</v>
      </c>
      <c r="O804" s="5" t="n">
        <v>1552</v>
      </c>
      <c r="P804" s="5" t="n">
        <v>1.31</v>
      </c>
      <c r="Q804" s="5" t="inlineStr">
        <is>
          <t>2025-12-08</t>
        </is>
      </c>
      <c r="R804" s="5" t="inlineStr">
        <is>
          <t>2025-12-24</t>
        </is>
      </c>
      <c r="S804" s="5" t="n">
        <v>17</v>
      </c>
      <c r="T804" s="5" t="n">
        <v>0</v>
      </c>
      <c r="U804" s="48" t="inlineStr">
        <is>
          <t>Maya</t>
        </is>
      </c>
    </row>
    <row r="805">
      <c r="A805" s="5" t="inlineStr">
        <is>
          <t>Bella Mirage</t>
        </is>
      </c>
      <c r="B805" s="5" t="inlineStr">
        <is>
          <t>Maya</t>
        </is>
      </c>
      <c r="C805" s="5" t="inlineStr">
        <is>
          <t>6315</t>
        </is>
      </c>
      <c r="D805" s="5" t="inlineStr"/>
      <c r="E805" s="5" t="n">
        <v>2</v>
      </c>
      <c r="F805" s="5" t="n">
        <v>2</v>
      </c>
      <c r="G805" s="5" t="inlineStr"/>
      <c r="H805" s="5" t="n">
        <v>1187</v>
      </c>
      <c r="I805" s="5" t="inlineStr">
        <is>
          <t>7/4/2024</t>
        </is>
      </c>
      <c r="J805" s="5" t="n">
        <v>200</v>
      </c>
      <c r="K805" s="5" t="n">
        <v>14</v>
      </c>
      <c r="L805" s="5" t="inlineStr">
        <is>
          <t>80%</t>
        </is>
      </c>
      <c r="M805" s="5" t="n">
        <v>1554</v>
      </c>
      <c r="N805" s="5" t="n">
        <v>1.31</v>
      </c>
      <c r="O805" s="5" t="n">
        <v>1443</v>
      </c>
      <c r="P805" s="5" t="n">
        <v>1.22</v>
      </c>
      <c r="Q805" s="5" t="inlineStr">
        <is>
          <t>2024-06-26</t>
        </is>
      </c>
      <c r="R805" s="5" t="inlineStr">
        <is>
          <t>2024-11-08</t>
        </is>
      </c>
      <c r="S805" s="5" t="n">
        <v>136</v>
      </c>
      <c r="T805" s="5" t="n">
        <v>128</v>
      </c>
      <c r="U805" s="48" t="inlineStr">
        <is>
          <t>Maya</t>
        </is>
      </c>
    </row>
    <row r="806">
      <c r="A806" s="5" t="inlineStr">
        <is>
          <t>Bella Mirage</t>
        </is>
      </c>
      <c r="B806" s="5" t="inlineStr">
        <is>
          <t>Maya</t>
        </is>
      </c>
      <c r="C806" s="5" t="inlineStr">
        <is>
          <t>4524</t>
        </is>
      </c>
      <c r="D806" s="5" t="n">
        <v>4</v>
      </c>
      <c r="E806" s="5" t="n">
        <v>2</v>
      </c>
      <c r="F806" s="5" t="n">
        <v>2</v>
      </c>
      <c r="G806" s="5" t="inlineStr"/>
      <c r="H806" s="5" t="n">
        <v>1187</v>
      </c>
      <c r="I806" s="5" t="inlineStr">
        <is>
          <t>2/21/2025</t>
        </is>
      </c>
      <c r="J806" s="5" t="n">
        <v>200</v>
      </c>
      <c r="K806" s="5" t="n">
        <v>12</v>
      </c>
      <c r="L806" s="5" t="inlineStr">
        <is>
          <t>80%</t>
        </is>
      </c>
      <c r="M806" s="5" t="n">
        <v>1575</v>
      </c>
      <c r="N806" s="5" t="n">
        <v>1.33</v>
      </c>
      <c r="O806" s="5" t="n">
        <v>1444</v>
      </c>
      <c r="P806" s="5" t="n">
        <v>1.22</v>
      </c>
      <c r="Q806" s="5" t="inlineStr">
        <is>
          <t>2024-06-18</t>
        </is>
      </c>
      <c r="R806" s="5" t="inlineStr">
        <is>
          <t>2025-04-09</t>
        </is>
      </c>
      <c r="S806" s="5" t="n">
        <v>296</v>
      </c>
      <c r="T806" s="5" t="n">
        <v>48</v>
      </c>
      <c r="U806" s="48" t="inlineStr">
        <is>
          <t>Maya</t>
        </is>
      </c>
    </row>
    <row r="807">
      <c r="A807" s="5" t="inlineStr">
        <is>
          <t>Bella Mirage</t>
        </is>
      </c>
      <c r="B807" s="5" t="inlineStr">
        <is>
          <t>Maya</t>
        </is>
      </c>
      <c r="C807" s="5" t="inlineStr">
        <is>
          <t>1015</t>
        </is>
      </c>
      <c r="D807" s="5" t="inlineStr"/>
      <c r="E807" s="5" t="n">
        <v>2</v>
      </c>
      <c r="F807" s="5" t="n">
        <v>2</v>
      </c>
      <c r="G807" s="5" t="inlineStr"/>
      <c r="H807" s="5" t="n">
        <v>1187</v>
      </c>
      <c r="I807" s="5" t="inlineStr">
        <is>
          <t>8/28/2025</t>
        </is>
      </c>
      <c r="J807" s="5" t="n">
        <v>300</v>
      </c>
      <c r="K807" s="5" t="n">
        <v>12</v>
      </c>
      <c r="L807" s="5" t="inlineStr">
        <is>
          <t>80%</t>
        </is>
      </c>
      <c r="M807" s="5" t="n">
        <v>1263</v>
      </c>
      <c r="N807" s="5" t="n">
        <v>1.06</v>
      </c>
      <c r="O807" s="5" t="n">
        <v>1263</v>
      </c>
      <c r="P807" s="5" t="n">
        <v>1.06</v>
      </c>
      <c r="Q807" s="5" t="inlineStr">
        <is>
          <t>2025-08-19</t>
        </is>
      </c>
      <c r="R807" s="5" t="inlineStr">
        <is>
          <t>2025-11-17</t>
        </is>
      </c>
      <c r="S807" s="5" t="n">
        <v>91</v>
      </c>
      <c r="T807" s="5" t="n">
        <v>82</v>
      </c>
      <c r="U807" s="48" t="inlineStr">
        <is>
          <t>Maya</t>
        </is>
      </c>
    </row>
    <row r="808">
      <c r="A808" s="5" t="inlineStr">
        <is>
          <t>Bella Mirage</t>
        </is>
      </c>
      <c r="B808" s="5" t="inlineStr">
        <is>
          <t>Maya</t>
        </is>
      </c>
      <c r="C808" s="5" t="inlineStr">
        <is>
          <t>1015</t>
        </is>
      </c>
      <c r="D808" s="5" t="inlineStr"/>
      <c r="E808" s="5" t="n">
        <v>2</v>
      </c>
      <c r="F808" s="5" t="n">
        <v>2</v>
      </c>
      <c r="G808" s="5" t="inlineStr"/>
      <c r="H808" s="5" t="n">
        <v>1187</v>
      </c>
      <c r="I808" s="5" t="inlineStr">
        <is>
          <t>7/15/2026</t>
        </is>
      </c>
      <c r="J808" s="5" t="n">
        <v>300</v>
      </c>
      <c r="K808" s="5" t="n">
        <v>13</v>
      </c>
      <c r="L808" s="5" t="inlineStr">
        <is>
          <t>80%</t>
        </is>
      </c>
      <c r="M808" s="5" t="n">
        <v>1560</v>
      </c>
      <c r="N808" s="5" t="n">
        <v>1.31</v>
      </c>
      <c r="O808" s="5" t="n">
        <v>1560</v>
      </c>
      <c r="P808" s="5" t="n">
        <v>1.31</v>
      </c>
      <c r="Q808" s="5" t="inlineStr">
        <is>
          <t>2026-05-02</t>
        </is>
      </c>
      <c r="R808" s="5" t="inlineStr">
        <is>
          <t>2026-05-07</t>
        </is>
      </c>
      <c r="S808" s="5" t="n">
        <v>6</v>
      </c>
      <c r="T808" s="5" t="n">
        <v>0</v>
      </c>
      <c r="U808" s="48" t="inlineStr">
        <is>
          <t>Maya</t>
        </is>
      </c>
    </row>
    <row r="809">
      <c r="A809" s="5" t="inlineStr">
        <is>
          <t>Bella Mirage</t>
        </is>
      </c>
      <c r="B809" s="5" t="inlineStr">
        <is>
          <t>Maya</t>
        </is>
      </c>
      <c r="C809" s="5" t="inlineStr">
        <is>
          <t>1928</t>
        </is>
      </c>
      <c r="D809" s="5" t="n">
        <v>2</v>
      </c>
      <c r="E809" s="5" t="n">
        <v>2</v>
      </c>
      <c r="F809" s="5" t="n">
        <v>2</v>
      </c>
      <c r="G809" s="5" t="inlineStr"/>
      <c r="H809" s="5" t="n">
        <v>1187</v>
      </c>
      <c r="I809" s="5" t="inlineStr">
        <is>
          <t>2/18/2024</t>
        </is>
      </c>
      <c r="J809" s="5" t="n">
        <v>200</v>
      </c>
      <c r="K809" s="5" t="n">
        <v>14</v>
      </c>
      <c r="L809" s="5" t="inlineStr">
        <is>
          <t>80%</t>
        </is>
      </c>
      <c r="M809" s="5" t="n">
        <v>1634</v>
      </c>
      <c r="N809" s="5" t="n">
        <v>1.38</v>
      </c>
      <c r="O809" s="5" t="n">
        <v>1517</v>
      </c>
      <c r="P809" s="5" t="n">
        <v>1.28</v>
      </c>
      <c r="Q809" s="5" t="inlineStr">
        <is>
          <t>2024-02-06</t>
        </is>
      </c>
      <c r="R809" s="5" t="inlineStr">
        <is>
          <t>2024-03-20</t>
        </is>
      </c>
      <c r="S809" s="5" t="n">
        <v>44</v>
      </c>
      <c r="T809" s="5" t="n">
        <v>32</v>
      </c>
      <c r="U809" s="48" t="inlineStr">
        <is>
          <t>Maya</t>
        </is>
      </c>
    </row>
    <row r="810">
      <c r="A810" s="5" t="inlineStr">
        <is>
          <t>Bella Mirage</t>
        </is>
      </c>
      <c r="B810" s="5" t="inlineStr">
        <is>
          <t>Maya</t>
        </is>
      </c>
      <c r="C810" s="5" t="inlineStr">
        <is>
          <t>1928</t>
        </is>
      </c>
      <c r="D810" s="5" t="n">
        <v>2</v>
      </c>
      <c r="E810" s="5" t="n">
        <v>2</v>
      </c>
      <c r="F810" s="5" t="n">
        <v>2</v>
      </c>
      <c r="G810" s="5" t="inlineStr"/>
      <c r="H810" s="5" t="n">
        <v>1187</v>
      </c>
      <c r="I810" s="5" t="inlineStr">
        <is>
          <t>7/15/2025</t>
        </is>
      </c>
      <c r="J810" s="5" t="n">
        <v>200</v>
      </c>
      <c r="K810" s="5" t="n">
        <v>13</v>
      </c>
      <c r="L810" s="5" t="inlineStr">
        <is>
          <t>80%</t>
        </is>
      </c>
      <c r="M810" s="5" t="n">
        <v>1562</v>
      </c>
      <c r="N810" s="5" t="n">
        <v>1.32</v>
      </c>
      <c r="O810" s="5" t="n">
        <v>1442</v>
      </c>
      <c r="P810" s="5" t="n">
        <v>1.21</v>
      </c>
      <c r="Q810" s="5" t="inlineStr">
        <is>
          <t>2025-05-02</t>
        </is>
      </c>
      <c r="R810" s="5" t="inlineStr">
        <is>
          <t>2025-06-12</t>
        </is>
      </c>
      <c r="S810" s="5" t="n">
        <v>42</v>
      </c>
      <c r="T810" s="5" t="n">
        <v>0</v>
      </c>
      <c r="U810" s="48" t="inlineStr">
        <is>
          <t>Maya</t>
        </is>
      </c>
    </row>
    <row r="811">
      <c r="A811" s="5" t="inlineStr">
        <is>
          <t>Bella Mirage</t>
        </is>
      </c>
      <c r="B811" s="5" t="inlineStr">
        <is>
          <t>Maya</t>
        </is>
      </c>
      <c r="C811" s="5" t="inlineStr">
        <is>
          <t>1921</t>
        </is>
      </c>
      <c r="D811" s="5" t="n">
        <v>1</v>
      </c>
      <c r="E811" s="5" t="n">
        <v>2</v>
      </c>
      <c r="F811" s="5" t="n">
        <v>2</v>
      </c>
      <c r="G811" s="5" t="inlineStr"/>
      <c r="H811" s="5" t="n">
        <v>1187</v>
      </c>
      <c r="I811" s="5" t="inlineStr">
        <is>
          <t>5/2/2026</t>
        </is>
      </c>
      <c r="J811" s="5" t="n">
        <v>300</v>
      </c>
      <c r="K811" s="5" t="n">
        <v>12</v>
      </c>
      <c r="L811" s="5" t="inlineStr">
        <is>
          <t>80%</t>
        </is>
      </c>
      <c r="M811" s="5" t="n">
        <v>1563</v>
      </c>
      <c r="N811" s="5" t="n">
        <v>1.32</v>
      </c>
      <c r="O811" s="5" t="n">
        <v>1563</v>
      </c>
      <c r="P811" s="5" t="n">
        <v>1.32</v>
      </c>
      <c r="Q811" s="5" t="inlineStr">
        <is>
          <t>2026-02-17</t>
        </is>
      </c>
      <c r="R811" s="5" t="inlineStr">
        <is>
          <t>2026-03-05</t>
        </is>
      </c>
      <c r="S811" s="5" t="n">
        <v>17</v>
      </c>
      <c r="T811" s="5" t="n">
        <v>0</v>
      </c>
      <c r="U811" s="48" t="inlineStr">
        <is>
          <t>Maya</t>
        </is>
      </c>
    </row>
    <row r="812">
      <c r="A812" s="5" t="inlineStr">
        <is>
          <t>Bella Mirage</t>
        </is>
      </c>
      <c r="B812" s="5" t="inlineStr">
        <is>
          <t>Maya</t>
        </is>
      </c>
      <c r="C812" s="5" t="inlineStr">
        <is>
          <t>3914</t>
        </is>
      </c>
      <c r="D812" s="5" t="n">
        <v>1</v>
      </c>
      <c r="E812" s="5" t="n">
        <v>2</v>
      </c>
      <c r="F812" s="5" t="n">
        <v>2</v>
      </c>
      <c r="G812" s="5" t="inlineStr"/>
      <c r="H812" s="5" t="n">
        <v>1187</v>
      </c>
      <c r="I812" s="5" t="inlineStr">
        <is>
          <t>5/4/2024</t>
        </is>
      </c>
      <c r="J812" s="5" t="n">
        <v>200</v>
      </c>
      <c r="K812" s="5" t="n">
        <v>12</v>
      </c>
      <c r="L812" s="5" t="inlineStr">
        <is>
          <t>80%</t>
        </is>
      </c>
      <c r="M812" s="5" t="n">
        <v>1853</v>
      </c>
      <c r="N812" s="5" t="n">
        <v>1.56</v>
      </c>
      <c r="O812" s="5" t="n">
        <v>1699</v>
      </c>
      <c r="P812" s="5" t="n">
        <v>1.43</v>
      </c>
      <c r="Q812" s="5" t="inlineStr">
        <is>
          <t>2024-02-14</t>
        </is>
      </c>
      <c r="R812" s="5" t="inlineStr">
        <is>
          <t>2024-03-22</t>
        </is>
      </c>
      <c r="S812" s="5" t="n">
        <v>38</v>
      </c>
      <c r="T812" s="5" t="n">
        <v>0</v>
      </c>
      <c r="U812" s="48" t="inlineStr">
        <is>
          <t>Maya</t>
        </is>
      </c>
    </row>
    <row r="813">
      <c r="A813" s="5" t="inlineStr">
        <is>
          <t>Bella Mirage</t>
        </is>
      </c>
      <c r="B813" s="5" t="inlineStr">
        <is>
          <t>Maya</t>
        </is>
      </c>
      <c r="C813" s="5" t="inlineStr">
        <is>
          <t>3914</t>
        </is>
      </c>
      <c r="D813" s="5" t="n">
        <v>1</v>
      </c>
      <c r="E813" s="5" t="n">
        <v>2</v>
      </c>
      <c r="F813" s="5" t="n">
        <v>2</v>
      </c>
      <c r="G813" s="5" t="inlineStr"/>
      <c r="H813" s="5" t="n">
        <v>1187</v>
      </c>
      <c r="I813" s="5" t="inlineStr">
        <is>
          <t>6/4/2025</t>
        </is>
      </c>
      <c r="J813" s="5" t="n">
        <v>200</v>
      </c>
      <c r="K813" s="5" t="n">
        <v>12</v>
      </c>
      <c r="L813" s="5" t="inlineStr">
        <is>
          <t>80%</t>
        </is>
      </c>
      <c r="M813" s="5" t="n">
        <v>1663</v>
      </c>
      <c r="N813" s="5" t="n">
        <v>1.4</v>
      </c>
      <c r="O813" s="5" t="n">
        <v>1524</v>
      </c>
      <c r="P813" s="5" t="n">
        <v>1.28</v>
      </c>
      <c r="Q813" s="5" t="inlineStr">
        <is>
          <t>2025-03-29</t>
        </is>
      </c>
      <c r="R813" s="5" t="inlineStr">
        <is>
          <t>2025-07-02</t>
        </is>
      </c>
      <c r="S813" s="5" t="n">
        <v>96</v>
      </c>
      <c r="T813" s="5" t="n">
        <v>29</v>
      </c>
      <c r="U813" s="48" t="inlineStr">
        <is>
          <t>Maya</t>
        </is>
      </c>
    </row>
    <row r="814">
      <c r="A814" s="5" t="inlineStr">
        <is>
          <t>Bella Mirage</t>
        </is>
      </c>
      <c r="B814" s="5" t="inlineStr">
        <is>
          <t>Maya</t>
        </is>
      </c>
      <c r="C814" s="5" t="inlineStr">
        <is>
          <t>6314</t>
        </is>
      </c>
      <c r="D814" s="5" t="inlineStr"/>
      <c r="E814" s="5" t="n">
        <v>2</v>
      </c>
      <c r="F814" s="5" t="n">
        <v>2</v>
      </c>
      <c r="G814" s="5" t="inlineStr"/>
      <c r="H814" s="5" t="n">
        <v>1187</v>
      </c>
      <c r="I814" s="5" t="inlineStr">
        <is>
          <t>8/11/2023</t>
        </is>
      </c>
      <c r="J814" s="5" t="inlineStr"/>
      <c r="K814" s="5" t="inlineStr"/>
      <c r="L814" s="5" t="inlineStr">
        <is>
          <t>80%</t>
        </is>
      </c>
      <c r="M814" s="5" t="n">
        <v>1844</v>
      </c>
      <c r="N814" s="5" t="n">
        <v>1.55</v>
      </c>
      <c r="O814" s="5" t="n">
        <v>1782</v>
      </c>
      <c r="P814" s="5" t="n">
        <v>1.5</v>
      </c>
      <c r="Q814" s="5" t="inlineStr">
        <is>
          <t>2023-07-30</t>
        </is>
      </c>
      <c r="R814" s="5" t="inlineStr">
        <is>
          <t>2023-08-02</t>
        </is>
      </c>
      <c r="S814" s="5" t="n">
        <v>4</v>
      </c>
      <c r="T814" s="5" t="n">
        <v>0</v>
      </c>
      <c r="U814" s="48" t="inlineStr">
        <is>
          <t>Maya</t>
        </is>
      </c>
    </row>
    <row r="815">
      <c r="A815" s="5" t="inlineStr">
        <is>
          <t>Bella Mirage</t>
        </is>
      </c>
      <c r="B815" s="5" t="inlineStr">
        <is>
          <t>Maya</t>
        </is>
      </c>
      <c r="C815" s="5" t="inlineStr">
        <is>
          <t>6314</t>
        </is>
      </c>
      <c r="D815" s="5" t="inlineStr"/>
      <c r="E815" s="5" t="n">
        <v>2</v>
      </c>
      <c r="F815" s="5" t="n">
        <v>2</v>
      </c>
      <c r="G815" s="5" t="inlineStr"/>
      <c r="H815" s="5" t="n">
        <v>1187</v>
      </c>
      <c r="I815" s="5" t="inlineStr">
        <is>
          <t>11/15/2025</t>
        </is>
      </c>
      <c r="J815" s="5" t="n">
        <v>200</v>
      </c>
      <c r="K815" s="5" t="n">
        <v>12</v>
      </c>
      <c r="L815" s="5" t="inlineStr">
        <is>
          <t>80%</t>
        </is>
      </c>
      <c r="M815" s="5" t="n">
        <v>1664</v>
      </c>
      <c r="N815" s="5" t="n">
        <v>1.4</v>
      </c>
      <c r="O815" s="5" t="n">
        <v>1525</v>
      </c>
      <c r="P815" s="5" t="n">
        <v>1.28</v>
      </c>
      <c r="Q815" s="5" t="inlineStr">
        <is>
          <t>2025-07-19</t>
        </is>
      </c>
      <c r="R815" s="5" t="inlineStr">
        <is>
          <t>2025-07-26</t>
        </is>
      </c>
      <c r="S815" s="5" t="n">
        <v>8</v>
      </c>
      <c r="T815" s="5" t="n">
        <v>0</v>
      </c>
      <c r="U815" s="48" t="inlineStr">
        <is>
          <t>Maya</t>
        </is>
      </c>
    </row>
    <row r="816">
      <c r="A816" s="5" t="inlineStr">
        <is>
          <t>Bella Mirage</t>
        </is>
      </c>
      <c r="B816" s="5" t="inlineStr">
        <is>
          <t>Maya</t>
        </is>
      </c>
      <c r="C816" s="5" t="inlineStr">
        <is>
          <t>6314</t>
        </is>
      </c>
      <c r="D816" s="5" t="inlineStr"/>
      <c r="E816" s="5" t="n">
        <v>2</v>
      </c>
      <c r="F816" s="5" t="n">
        <v>2</v>
      </c>
      <c r="G816" s="5" t="inlineStr"/>
      <c r="H816" s="5" t="n">
        <v>1187</v>
      </c>
      <c r="I816" s="5" t="inlineStr">
        <is>
          <t>11/9/2025</t>
        </is>
      </c>
      <c r="J816" s="5" t="n">
        <v>300</v>
      </c>
      <c r="K816" s="5" t="n">
        <v>14</v>
      </c>
      <c r="L816" s="5" t="inlineStr">
        <is>
          <t>80%</t>
        </is>
      </c>
      <c r="M816" s="5" t="n">
        <v>1526</v>
      </c>
      <c r="N816" s="5" t="n">
        <v>1.29</v>
      </c>
      <c r="O816" s="5" t="n">
        <v>1526</v>
      </c>
      <c r="P816" s="5" t="n">
        <v>1.29</v>
      </c>
      <c r="Q816" s="5" t="inlineStr">
        <is>
          <t>2025-10-26</t>
        </is>
      </c>
      <c r="R816" s="5" t="inlineStr">
        <is>
          <t>2026-01-09</t>
        </is>
      </c>
      <c r="S816" s="5" t="n">
        <v>76</v>
      </c>
      <c r="T816" s="5" t="n">
        <v>62</v>
      </c>
      <c r="U816" s="48" t="inlineStr">
        <is>
          <t>Maya</t>
        </is>
      </c>
    </row>
    <row r="817">
      <c r="A817" s="5" t="inlineStr">
        <is>
          <t>Bella Mirage</t>
        </is>
      </c>
      <c r="B817" s="5" t="inlineStr">
        <is>
          <t>Maya</t>
        </is>
      </c>
      <c r="C817" s="5" t="inlineStr">
        <is>
          <t>2914</t>
        </is>
      </c>
      <c r="D817" s="5" t="n">
        <v>1</v>
      </c>
      <c r="E817" s="5" t="n">
        <v>2</v>
      </c>
      <c r="F817" s="5" t="n">
        <v>2</v>
      </c>
      <c r="G817" s="5" t="inlineStr"/>
      <c r="H817" s="5" t="n">
        <v>1187</v>
      </c>
      <c r="I817" s="5" t="inlineStr">
        <is>
          <t>12/10/2025</t>
        </is>
      </c>
      <c r="J817" s="5" t="n">
        <v>300</v>
      </c>
      <c r="K817" s="5" t="n">
        <v>14</v>
      </c>
      <c r="L817" s="5" t="inlineStr">
        <is>
          <t>80%</t>
        </is>
      </c>
      <c r="M817" s="5" t="n">
        <v>1565</v>
      </c>
      <c r="N817" s="5" t="n">
        <v>1.32</v>
      </c>
      <c r="O817" s="5" t="n">
        <v>1565</v>
      </c>
      <c r="P817" s="5" t="n">
        <v>1.32</v>
      </c>
      <c r="Q817" s="5" t="inlineStr">
        <is>
          <t>2025-09-27</t>
        </is>
      </c>
      <c r="R817" s="5" t="inlineStr">
        <is>
          <t>2026-01-28</t>
        </is>
      </c>
      <c r="S817" s="5" t="n">
        <v>124</v>
      </c>
      <c r="T817" s="5" t="n">
        <v>50</v>
      </c>
      <c r="U817" s="48" t="inlineStr">
        <is>
          <t>Maya</t>
        </is>
      </c>
    </row>
    <row r="818">
      <c r="A818" s="5" t="inlineStr">
        <is>
          <t>Bella Mirage</t>
        </is>
      </c>
      <c r="B818" s="5" t="inlineStr">
        <is>
          <t>Maya</t>
        </is>
      </c>
      <c r="C818" s="5" t="inlineStr">
        <is>
          <t>0414</t>
        </is>
      </c>
      <c r="D818" s="5" t="inlineStr"/>
      <c r="E818" s="5" t="n">
        <v>2</v>
      </c>
      <c r="F818" s="5" t="n">
        <v>2</v>
      </c>
      <c r="G818" s="5" t="inlineStr"/>
      <c r="H818" s="5" t="n">
        <v>1187</v>
      </c>
      <c r="I818" s="5" t="inlineStr">
        <is>
          <t>10/15/2024</t>
        </is>
      </c>
      <c r="J818" s="5" t="n">
        <v>200</v>
      </c>
      <c r="K818" s="5" t="n">
        <v>13</v>
      </c>
      <c r="L818" s="5" t="inlineStr">
        <is>
          <t>80%</t>
        </is>
      </c>
      <c r="M818" s="5" t="n">
        <v>1763</v>
      </c>
      <c r="N818" s="5" t="n">
        <v>1.49</v>
      </c>
      <c r="O818" s="5" t="n">
        <v>1763</v>
      </c>
      <c r="P818" s="5" t="n">
        <v>1.49</v>
      </c>
      <c r="Q818" s="5" t="inlineStr">
        <is>
          <t>2024-07-24</t>
        </is>
      </c>
      <c r="R818" s="5" t="inlineStr">
        <is>
          <t>2024-08-20</t>
        </is>
      </c>
      <c r="S818" s="5" t="n">
        <v>28</v>
      </c>
      <c r="T818" s="5" t="n">
        <v>0</v>
      </c>
      <c r="U818" s="48" t="inlineStr">
        <is>
          <t>Maya</t>
        </is>
      </c>
    </row>
    <row r="819">
      <c r="A819" s="5" t="inlineStr">
        <is>
          <t>Bella Mirage</t>
        </is>
      </c>
      <c r="B819" s="5" t="inlineStr">
        <is>
          <t>Maya</t>
        </is>
      </c>
      <c r="C819" s="5" t="inlineStr">
        <is>
          <t>0414</t>
        </is>
      </c>
      <c r="D819" s="5" t="inlineStr"/>
      <c r="E819" s="5" t="n">
        <v>2</v>
      </c>
      <c r="F819" s="5" t="n">
        <v>2</v>
      </c>
      <c r="G819" s="5" t="inlineStr"/>
      <c r="H819" s="5" t="n">
        <v>1187</v>
      </c>
      <c r="I819" s="5" t="inlineStr">
        <is>
          <t>8/22/2025</t>
        </is>
      </c>
      <c r="J819" s="5" t="n">
        <v>200</v>
      </c>
      <c r="K819" s="5" t="n">
        <v>13</v>
      </c>
      <c r="L819" s="5" t="inlineStr">
        <is>
          <t>80%</t>
        </is>
      </c>
      <c r="M819" s="5" t="n">
        <v>1570</v>
      </c>
      <c r="N819" s="5" t="n">
        <v>1.32</v>
      </c>
      <c r="O819" s="5" t="n">
        <v>1449</v>
      </c>
      <c r="P819" s="5" t="n">
        <v>1.22</v>
      </c>
      <c r="Q819" s="5" t="inlineStr">
        <is>
          <t>2025-06-06</t>
        </is>
      </c>
      <c r="R819" s="5" t="inlineStr">
        <is>
          <t>2025-06-08</t>
        </is>
      </c>
      <c r="S819" s="5" t="n">
        <v>3</v>
      </c>
      <c r="T819" s="5" t="n">
        <v>0</v>
      </c>
      <c r="U819" s="48" t="inlineStr">
        <is>
          <t>Maya</t>
        </is>
      </c>
    </row>
    <row r="820">
      <c r="A820" s="5" t="inlineStr">
        <is>
          <t>Bella Mirage</t>
        </is>
      </c>
      <c r="B820" s="5" t="inlineStr">
        <is>
          <t>Maya</t>
        </is>
      </c>
      <c r="C820" s="5" t="inlineStr">
        <is>
          <t>3228</t>
        </is>
      </c>
      <c r="D820" s="5" t="inlineStr"/>
      <c r="E820" s="5" t="n">
        <v>2</v>
      </c>
      <c r="F820" s="5" t="n">
        <v>2</v>
      </c>
      <c r="G820" s="5" t="inlineStr"/>
      <c r="H820" s="5" t="n">
        <v>1187</v>
      </c>
      <c r="I820" s="5" t="inlineStr">
        <is>
          <t>5/11/2024</t>
        </is>
      </c>
      <c r="J820" s="5" t="n">
        <v>200</v>
      </c>
      <c r="K820" s="5" t="n">
        <v>15</v>
      </c>
      <c r="L820" s="5" t="inlineStr">
        <is>
          <t>80%</t>
        </is>
      </c>
      <c r="M820" s="5" t="n">
        <v>1667</v>
      </c>
      <c r="N820" s="5" t="n">
        <v>1.4</v>
      </c>
      <c r="O820" s="5" t="n">
        <v>1667</v>
      </c>
      <c r="P820" s="5" t="n">
        <v>1.4</v>
      </c>
      <c r="Q820" s="5" t="inlineStr">
        <is>
          <t>2024-05-02</t>
        </is>
      </c>
      <c r="R820" s="5" t="inlineStr">
        <is>
          <t>2024-07-11</t>
        </is>
      </c>
      <c r="S820" s="5" t="n">
        <v>71</v>
      </c>
      <c r="T820" s="5" t="n">
        <v>62</v>
      </c>
      <c r="U820" s="48" t="inlineStr">
        <is>
          <t>Maya</t>
        </is>
      </c>
    </row>
    <row r="821">
      <c r="A821" s="5" t="inlineStr">
        <is>
          <t>Bella Mirage</t>
        </is>
      </c>
      <c r="B821" s="5" t="inlineStr">
        <is>
          <t>Maya</t>
        </is>
      </c>
      <c r="C821" s="5" t="inlineStr">
        <is>
          <t>3228</t>
        </is>
      </c>
      <c r="D821" s="5" t="inlineStr"/>
      <c r="E821" s="5" t="n">
        <v>2</v>
      </c>
      <c r="F821" s="5" t="n">
        <v>2</v>
      </c>
      <c r="G821" s="5" t="inlineStr"/>
      <c r="H821" s="5" t="n">
        <v>1187</v>
      </c>
      <c r="I821" s="5" t="inlineStr">
        <is>
          <t>7/15/2025</t>
        </is>
      </c>
      <c r="J821" s="5" t="n">
        <v>200</v>
      </c>
      <c r="K821" s="5" t="n">
        <v>13</v>
      </c>
      <c r="L821" s="5" t="inlineStr">
        <is>
          <t>80%</t>
        </is>
      </c>
      <c r="M821" s="5" t="n">
        <v>1573</v>
      </c>
      <c r="N821" s="5" t="n">
        <v>1.33</v>
      </c>
      <c r="O821" s="5" t="n">
        <v>1452</v>
      </c>
      <c r="P821" s="5" t="n">
        <v>1.22</v>
      </c>
      <c r="Q821" s="5" t="inlineStr">
        <is>
          <t>2025-06-07</t>
        </is>
      </c>
      <c r="R821" s="5" t="inlineStr">
        <is>
          <t>2025-06-28</t>
        </is>
      </c>
      <c r="S821" s="5" t="n">
        <v>22</v>
      </c>
      <c r="T821" s="5" t="n">
        <v>0</v>
      </c>
      <c r="U821" s="48" t="inlineStr">
        <is>
          <t>Maya</t>
        </is>
      </c>
    </row>
    <row r="822">
      <c r="A822" s="5" t="inlineStr">
        <is>
          <t>Bella Mirage</t>
        </is>
      </c>
      <c r="B822" s="5" t="inlineStr">
        <is>
          <t>Maya</t>
        </is>
      </c>
      <c r="C822" s="5" t="inlineStr">
        <is>
          <t>3221</t>
        </is>
      </c>
      <c r="D822" s="5" t="inlineStr"/>
      <c r="E822" s="5" t="n">
        <v>2</v>
      </c>
      <c r="F822" s="5" t="n">
        <v>2</v>
      </c>
      <c r="G822" s="5" t="inlineStr"/>
      <c r="H822" s="5" t="n">
        <v>1187</v>
      </c>
      <c r="I822" s="5" t="inlineStr">
        <is>
          <t>6/17/2023</t>
        </is>
      </c>
      <c r="J822" s="5" t="inlineStr"/>
      <c r="K822" s="5" t="inlineStr"/>
      <c r="L822" s="5" t="inlineStr">
        <is>
          <t>80%</t>
        </is>
      </c>
      <c r="M822" s="5" t="n">
        <v>1892</v>
      </c>
      <c r="N822" s="5" t="n">
        <v>1.59</v>
      </c>
      <c r="O822" s="5" t="n">
        <v>1830</v>
      </c>
      <c r="P822" s="5" t="n">
        <v>1.54</v>
      </c>
      <c r="Q822" s="5" t="inlineStr"/>
      <c r="R822" s="5" t="inlineStr">
        <is>
          <t>2023-07-08</t>
        </is>
      </c>
      <c r="S822" s="5" t="inlineStr"/>
      <c r="T822" s="5" t="inlineStr"/>
      <c r="U822" s="48" t="inlineStr">
        <is>
          <t>Maya</t>
        </is>
      </c>
    </row>
    <row r="823">
      <c r="A823" s="5" t="inlineStr">
        <is>
          <t>Bella Mirage</t>
        </is>
      </c>
      <c r="B823" s="5" t="inlineStr">
        <is>
          <t>Maya</t>
        </is>
      </c>
      <c r="C823" s="5" t="inlineStr">
        <is>
          <t>3221</t>
        </is>
      </c>
      <c r="D823" s="5" t="inlineStr"/>
      <c r="E823" s="5" t="n">
        <v>2</v>
      </c>
      <c r="F823" s="5" t="n">
        <v>2</v>
      </c>
      <c r="G823" s="5" t="inlineStr"/>
      <c r="H823" s="5" t="n">
        <v>1187</v>
      </c>
      <c r="I823" s="5" t="inlineStr">
        <is>
          <t>4/9/2024</t>
        </is>
      </c>
      <c r="J823" s="5" t="n">
        <v>200</v>
      </c>
      <c r="K823" s="5" t="n">
        <v>13</v>
      </c>
      <c r="L823" s="5" t="inlineStr">
        <is>
          <t>80%</t>
        </is>
      </c>
      <c r="M823" s="5" t="n">
        <v>1758</v>
      </c>
      <c r="N823" s="5" t="n">
        <v>1.48</v>
      </c>
      <c r="O823" s="5" t="n">
        <v>1623</v>
      </c>
      <c r="P823" s="5" t="n">
        <v>1.37</v>
      </c>
      <c r="Q823" s="5" t="inlineStr">
        <is>
          <t>2024-02-12</t>
        </is>
      </c>
      <c r="R823" s="5" t="inlineStr">
        <is>
          <t>2024-04-14</t>
        </is>
      </c>
      <c r="S823" s="5" t="n">
        <v>63</v>
      </c>
      <c r="T823" s="5" t="n">
        <v>6</v>
      </c>
      <c r="U823" s="48" t="inlineStr">
        <is>
          <t>Maya</t>
        </is>
      </c>
    </row>
    <row r="824">
      <c r="A824" s="5" t="inlineStr">
        <is>
          <t>Bella Mirage</t>
        </is>
      </c>
      <c r="B824" s="5" t="inlineStr">
        <is>
          <t>Maya</t>
        </is>
      </c>
      <c r="C824" s="5" t="inlineStr">
        <is>
          <t>3221</t>
        </is>
      </c>
      <c r="D824" s="5" t="inlineStr"/>
      <c r="E824" s="5" t="n">
        <v>2</v>
      </c>
      <c r="F824" s="5" t="n">
        <v>2</v>
      </c>
      <c r="G824" s="5" t="inlineStr"/>
      <c r="H824" s="5" t="n">
        <v>1187</v>
      </c>
      <c r="I824" s="5" t="inlineStr">
        <is>
          <t>4/25/2025</t>
        </is>
      </c>
      <c r="J824" s="5" t="n">
        <v>200</v>
      </c>
      <c r="K824" s="5" t="n">
        <v>13</v>
      </c>
      <c r="L824" s="5" t="inlineStr">
        <is>
          <t>80%</t>
        </is>
      </c>
      <c r="M824" s="5" t="n">
        <v>1574</v>
      </c>
      <c r="N824" s="5" t="n">
        <v>1.33</v>
      </c>
      <c r="O824" s="5" t="n">
        <v>1453</v>
      </c>
      <c r="P824" s="5" t="n">
        <v>1.22</v>
      </c>
      <c r="Q824" s="5" t="inlineStr">
        <is>
          <t>2025-04-13</t>
        </is>
      </c>
      <c r="R824" s="5" t="inlineStr">
        <is>
          <t>2025-05-04</t>
        </is>
      </c>
      <c r="S824" s="5" t="n">
        <v>22</v>
      </c>
      <c r="T824" s="5" t="n">
        <v>10</v>
      </c>
      <c r="U824" s="48" t="inlineStr">
        <is>
          <t>Maya</t>
        </is>
      </c>
    </row>
    <row r="825">
      <c r="A825" s="5" t="inlineStr">
        <is>
          <t>Bella Mirage</t>
        </is>
      </c>
      <c r="B825" s="5" t="inlineStr">
        <is>
          <t>Maya</t>
        </is>
      </c>
      <c r="C825" s="5" t="inlineStr">
        <is>
          <t>1014</t>
        </is>
      </c>
      <c r="D825" s="5" t="inlineStr"/>
      <c r="E825" s="5" t="n">
        <v>2</v>
      </c>
      <c r="F825" s="5" t="n">
        <v>2</v>
      </c>
      <c r="G825" s="5" t="inlineStr"/>
      <c r="H825" s="5" t="n">
        <v>1187</v>
      </c>
      <c r="I825" s="5" t="inlineStr">
        <is>
          <t>12/15/2025</t>
        </is>
      </c>
      <c r="J825" s="5" t="n">
        <v>300</v>
      </c>
      <c r="K825" s="5" t="n">
        <v>13</v>
      </c>
      <c r="L825" s="5" t="inlineStr">
        <is>
          <t>80%</t>
        </is>
      </c>
      <c r="M825" s="5" t="n">
        <v>1578</v>
      </c>
      <c r="N825" s="5" t="n">
        <v>1.33</v>
      </c>
      <c r="O825" s="5" t="n">
        <v>1578</v>
      </c>
      <c r="P825" s="5" t="n">
        <v>1.33</v>
      </c>
      <c r="Q825" s="5" t="inlineStr">
        <is>
          <t>2025-11-11</t>
        </is>
      </c>
      <c r="R825" s="5" t="inlineStr">
        <is>
          <t>2025-11-20</t>
        </is>
      </c>
      <c r="S825" s="5" t="n">
        <v>10</v>
      </c>
      <c r="T825" s="5" t="n">
        <v>0</v>
      </c>
      <c r="U825" s="48" t="inlineStr">
        <is>
          <t>Maya</t>
        </is>
      </c>
    </row>
    <row r="826">
      <c r="A826" s="5" t="inlineStr">
        <is>
          <t>Bella Mirage</t>
        </is>
      </c>
      <c r="B826" s="5" t="inlineStr">
        <is>
          <t>Maya</t>
        </is>
      </c>
      <c r="C826" s="5" t="inlineStr">
        <is>
          <t>3921</t>
        </is>
      </c>
      <c r="D826" s="5" t="n">
        <v>2</v>
      </c>
      <c r="E826" s="5" t="n">
        <v>2</v>
      </c>
      <c r="F826" s="5" t="n">
        <v>2</v>
      </c>
      <c r="G826" s="5" t="inlineStr"/>
      <c r="H826" s="5" t="n">
        <v>1187</v>
      </c>
      <c r="I826" s="5" t="inlineStr">
        <is>
          <t>3/17/2024</t>
        </is>
      </c>
      <c r="J826" s="5" t="n">
        <v>200</v>
      </c>
      <c r="K826" s="5" t="n">
        <v>15</v>
      </c>
      <c r="L826" s="5" t="inlineStr">
        <is>
          <t>80%</t>
        </is>
      </c>
      <c r="M826" s="5" t="n">
        <v>1660</v>
      </c>
      <c r="N826" s="5" t="n">
        <v>1.4</v>
      </c>
      <c r="O826" s="5" t="n">
        <v>1660</v>
      </c>
      <c r="P826" s="5" t="n">
        <v>1.4</v>
      </c>
      <c r="Q826" s="5" t="inlineStr">
        <is>
          <t>2024-02-12</t>
        </is>
      </c>
      <c r="R826" s="5" t="inlineStr">
        <is>
          <t>2024-07-06</t>
        </is>
      </c>
      <c r="S826" s="5" t="n">
        <v>146</v>
      </c>
      <c r="T826" s="5" t="n">
        <v>112</v>
      </c>
      <c r="U826" s="48" t="inlineStr">
        <is>
          <t>Maya</t>
        </is>
      </c>
    </row>
    <row r="827">
      <c r="A827" s="5" t="inlineStr">
        <is>
          <t>Bella Mirage</t>
        </is>
      </c>
      <c r="B827" s="5" t="inlineStr">
        <is>
          <t>Maya</t>
        </is>
      </c>
      <c r="C827" s="5" t="inlineStr">
        <is>
          <t>3921</t>
        </is>
      </c>
      <c r="D827" s="5" t="n">
        <v>2</v>
      </c>
      <c r="E827" s="5" t="n">
        <v>2</v>
      </c>
      <c r="F827" s="5" t="n">
        <v>2</v>
      </c>
      <c r="G827" s="5" t="inlineStr"/>
      <c r="H827" s="5" t="n">
        <v>1187</v>
      </c>
      <c r="I827" s="5" t="inlineStr">
        <is>
          <t>8/27/2025</t>
        </is>
      </c>
      <c r="J827" s="5" t="n">
        <v>200</v>
      </c>
      <c r="K827" s="5" t="n">
        <v>12</v>
      </c>
      <c r="L827" s="5" t="inlineStr">
        <is>
          <t>80%</t>
        </is>
      </c>
      <c r="M827" s="5" t="n">
        <v>1581</v>
      </c>
      <c r="N827" s="5" t="n">
        <v>1.33</v>
      </c>
      <c r="O827" s="5" t="n">
        <v>1449</v>
      </c>
      <c r="P827" s="5" t="n">
        <v>1.22</v>
      </c>
      <c r="Q827" s="5" t="inlineStr">
        <is>
          <t>2025-07-26</t>
        </is>
      </c>
      <c r="R827" s="5" t="inlineStr">
        <is>
          <t>2025-07-30</t>
        </is>
      </c>
      <c r="S827" s="5" t="n">
        <v>5</v>
      </c>
      <c r="T827" s="5" t="n">
        <v>0</v>
      </c>
      <c r="U827" s="48" t="inlineStr">
        <is>
          <t>Maya</t>
        </is>
      </c>
    </row>
    <row r="828">
      <c r="A828" s="5" t="inlineStr">
        <is>
          <t>Bella Mirage</t>
        </is>
      </c>
      <c r="B828" s="5" t="inlineStr">
        <is>
          <t>Maya</t>
        </is>
      </c>
      <c r="C828" s="5" t="inlineStr">
        <is>
          <t>5421</t>
        </is>
      </c>
      <c r="D828" s="5" t="inlineStr"/>
      <c r="E828" s="5" t="n">
        <v>2</v>
      </c>
      <c r="F828" s="5" t="n">
        <v>2</v>
      </c>
      <c r="G828" s="5" t="inlineStr"/>
      <c r="H828" s="5" t="n">
        <v>1187</v>
      </c>
      <c r="I828" s="5" t="inlineStr">
        <is>
          <t>8/17/2024</t>
        </is>
      </c>
      <c r="J828" s="5" t="n">
        <v>200</v>
      </c>
      <c r="K828" s="5" t="n">
        <v>15</v>
      </c>
      <c r="L828" s="5" t="inlineStr">
        <is>
          <t>80%</t>
        </is>
      </c>
      <c r="M828" s="5" t="n">
        <v>1408</v>
      </c>
      <c r="N828" s="5" t="n">
        <v>1.19</v>
      </c>
      <c r="O828" s="5" t="n">
        <v>1314</v>
      </c>
      <c r="P828" s="5" t="n">
        <v>1.11</v>
      </c>
      <c r="Q828" s="5" t="inlineStr">
        <is>
          <t>2024-07-20</t>
        </is>
      </c>
      <c r="R828" s="5" t="inlineStr">
        <is>
          <t>2024-12-04</t>
        </is>
      </c>
      <c r="S828" s="5" t="n">
        <v>138</v>
      </c>
      <c r="T828" s="5" t="n">
        <v>110</v>
      </c>
      <c r="U828" s="48" t="inlineStr">
        <is>
          <t>Maya</t>
        </is>
      </c>
    </row>
    <row r="829">
      <c r="A829" s="5" t="inlineStr">
        <is>
          <t>Bella Mirage</t>
        </is>
      </c>
      <c r="B829" s="5" t="inlineStr">
        <is>
          <t>Maya</t>
        </is>
      </c>
      <c r="C829" s="5" t="inlineStr">
        <is>
          <t>5421</t>
        </is>
      </c>
      <c r="D829" s="5" t="inlineStr"/>
      <c r="E829" s="5" t="n">
        <v>2</v>
      </c>
      <c r="F829" s="5" t="n">
        <v>2</v>
      </c>
      <c r="G829" s="5" t="inlineStr"/>
      <c r="H829" s="5" t="n">
        <v>1187</v>
      </c>
      <c r="I829" s="5" t="inlineStr">
        <is>
          <t>3/30/2026</t>
        </is>
      </c>
      <c r="J829" s="5" t="n">
        <v>300</v>
      </c>
      <c r="K829" s="5" t="n">
        <v>12</v>
      </c>
      <c r="L829" s="5" t="inlineStr">
        <is>
          <t>80%</t>
        </is>
      </c>
      <c r="M829" s="5" t="n">
        <v>1588</v>
      </c>
      <c r="N829" s="5" t="n">
        <v>1.34</v>
      </c>
      <c r="O829" s="5" t="n">
        <v>1588</v>
      </c>
      <c r="P829" s="5" t="n">
        <v>1.34</v>
      </c>
      <c r="Q829" s="5" t="inlineStr">
        <is>
          <t>2026-01-12</t>
        </is>
      </c>
      <c r="R829" s="5" t="inlineStr">
        <is>
          <t>2026-01-29</t>
        </is>
      </c>
      <c r="S829" s="5" t="n">
        <v>18</v>
      </c>
      <c r="T829" s="5" t="n">
        <v>0</v>
      </c>
      <c r="U829" s="48" t="inlineStr">
        <is>
          <t>Maya</t>
        </is>
      </c>
    </row>
    <row r="830">
      <c r="A830" s="5" t="inlineStr">
        <is>
          <t>Bella Mirage</t>
        </is>
      </c>
      <c r="B830" s="5" t="inlineStr">
        <is>
          <t>Maya</t>
        </is>
      </c>
      <c r="C830" s="5" t="inlineStr">
        <is>
          <t>0425</t>
        </is>
      </c>
      <c r="D830" s="5" t="n">
        <v>2</v>
      </c>
      <c r="E830" s="5" t="n">
        <v>2</v>
      </c>
      <c r="F830" s="5" t="n">
        <v>2</v>
      </c>
      <c r="G830" s="5" t="inlineStr"/>
      <c r="H830" s="5" t="n">
        <v>1187</v>
      </c>
      <c r="I830" s="5" t="inlineStr">
        <is>
          <t>7/9/2026</t>
        </is>
      </c>
      <c r="J830" s="5" t="n">
        <v>300</v>
      </c>
      <c r="K830" s="5" t="n">
        <v>12</v>
      </c>
      <c r="L830" s="5" t="inlineStr">
        <is>
          <t>80%</t>
        </is>
      </c>
      <c r="M830" s="5" t="n">
        <v>1589</v>
      </c>
      <c r="N830" s="5" t="n">
        <v>1.34</v>
      </c>
      <c r="O830" s="5" t="n">
        <v>1589</v>
      </c>
      <c r="P830" s="5" t="n">
        <v>1.34</v>
      </c>
      <c r="Q830" s="5" t="inlineStr">
        <is>
          <t>2026-04-28</t>
        </is>
      </c>
      <c r="R830" s="5" t="inlineStr">
        <is>
          <t>2026-04-29</t>
        </is>
      </c>
      <c r="S830" s="5" t="n">
        <v>2</v>
      </c>
      <c r="T830" s="5" t="n">
        <v>0</v>
      </c>
      <c r="U830" s="48" t="inlineStr">
        <is>
          <t>Maya</t>
        </is>
      </c>
    </row>
    <row r="831">
      <c r="A831" s="5" t="inlineStr">
        <is>
          <t>Bella Mirage</t>
        </is>
      </c>
      <c r="B831" s="5" t="inlineStr">
        <is>
          <t>Maya</t>
        </is>
      </c>
      <c r="C831" s="5" t="inlineStr">
        <is>
          <t>1911</t>
        </is>
      </c>
      <c r="D831" s="5" t="n">
        <v>1</v>
      </c>
      <c r="E831" s="5" t="n">
        <v>2</v>
      </c>
      <c r="F831" s="5" t="n">
        <v>2</v>
      </c>
      <c r="G831" s="5" t="inlineStr"/>
      <c r="H831" s="5" t="n">
        <v>1187</v>
      </c>
      <c r="I831" s="5" t="inlineStr">
        <is>
          <t>11/29/2025</t>
        </is>
      </c>
      <c r="J831" s="5" t="n">
        <v>300</v>
      </c>
      <c r="K831" s="5" t="n">
        <v>12</v>
      </c>
      <c r="L831" s="5" t="inlineStr">
        <is>
          <t>80%</t>
        </is>
      </c>
      <c r="M831" s="5" t="n">
        <v>1589</v>
      </c>
      <c r="N831" s="5" t="n">
        <v>1.34</v>
      </c>
      <c r="O831" s="5" t="n">
        <v>1589</v>
      </c>
      <c r="P831" s="5" t="n">
        <v>1.34</v>
      </c>
      <c r="Q831" s="5" t="inlineStr">
        <is>
          <t>2025-09-14</t>
        </is>
      </c>
      <c r="R831" s="5" t="inlineStr">
        <is>
          <t>2026-03-11</t>
        </is>
      </c>
      <c r="S831" s="5" t="n">
        <v>179</v>
      </c>
      <c r="T831" s="5" t="n">
        <v>103</v>
      </c>
      <c r="U831" s="48" t="inlineStr">
        <is>
          <t>Maya</t>
        </is>
      </c>
    </row>
    <row r="832">
      <c r="A832" s="5" t="inlineStr">
        <is>
          <t>Bella Mirage</t>
        </is>
      </c>
      <c r="B832" s="5" t="inlineStr">
        <is>
          <t>Maya</t>
        </is>
      </c>
      <c r="C832" s="5" t="inlineStr">
        <is>
          <t>3911</t>
        </is>
      </c>
      <c r="D832" s="5" t="n">
        <v>3</v>
      </c>
      <c r="E832" s="5" t="n">
        <v>2</v>
      </c>
      <c r="F832" s="5" t="n">
        <v>2</v>
      </c>
      <c r="G832" s="5" t="inlineStr"/>
      <c r="H832" s="5" t="n">
        <v>1187</v>
      </c>
      <c r="I832" s="5" t="inlineStr">
        <is>
          <t>6/12/2024</t>
        </is>
      </c>
      <c r="J832" s="5" t="n">
        <v>200</v>
      </c>
      <c r="K832" s="5" t="n">
        <v>12</v>
      </c>
      <c r="L832" s="5" t="inlineStr">
        <is>
          <t>80%</t>
        </is>
      </c>
      <c r="M832" s="5" t="n">
        <v>1721</v>
      </c>
      <c r="N832" s="5" t="n">
        <v>1.45</v>
      </c>
      <c r="O832" s="5" t="n">
        <v>1721</v>
      </c>
      <c r="P832" s="5" t="n">
        <v>1.45</v>
      </c>
      <c r="Q832" s="5" t="inlineStr">
        <is>
          <t>2024-03-23</t>
        </is>
      </c>
      <c r="R832" s="5" t="inlineStr">
        <is>
          <t>2024-08-21</t>
        </is>
      </c>
      <c r="S832" s="5" t="n">
        <v>152</v>
      </c>
      <c r="T832" s="5" t="n">
        <v>71</v>
      </c>
      <c r="U832" s="48" t="inlineStr">
        <is>
          <t>Maya</t>
        </is>
      </c>
    </row>
    <row r="833">
      <c r="A833" s="5" t="inlineStr">
        <is>
          <t>Bella Mirage</t>
        </is>
      </c>
      <c r="B833" s="5" t="inlineStr">
        <is>
          <t>Maya</t>
        </is>
      </c>
      <c r="C833" s="5" t="inlineStr">
        <is>
          <t>3911</t>
        </is>
      </c>
      <c r="D833" s="5" t="n">
        <v>3</v>
      </c>
      <c r="E833" s="5" t="n">
        <v>2</v>
      </c>
      <c r="F833" s="5" t="n">
        <v>2</v>
      </c>
      <c r="G833" s="5" t="inlineStr"/>
      <c r="H833" s="5" t="n">
        <v>1187</v>
      </c>
      <c r="I833" s="5" t="inlineStr">
        <is>
          <t>3/12/2025</t>
        </is>
      </c>
      <c r="J833" s="5" t="n">
        <v>200</v>
      </c>
      <c r="K833" s="5" t="n">
        <v>12</v>
      </c>
      <c r="L833" s="5" t="inlineStr">
        <is>
          <t>80%</t>
        </is>
      </c>
      <c r="M833" s="5" t="n">
        <v>1748</v>
      </c>
      <c r="N833" s="5" t="n">
        <v>1.47</v>
      </c>
      <c r="O833" s="5" t="n">
        <v>1602</v>
      </c>
      <c r="P833" s="5" t="n">
        <v>1.35</v>
      </c>
      <c r="Q833" s="5" t="inlineStr">
        <is>
          <t>2025-01-28</t>
        </is>
      </c>
      <c r="R833" s="5" t="inlineStr">
        <is>
          <t>2025-03-29</t>
        </is>
      </c>
      <c r="S833" s="5" t="n">
        <v>61</v>
      </c>
      <c r="T833" s="5" t="n">
        <v>18</v>
      </c>
      <c r="U833" s="48" t="inlineStr">
        <is>
          <t>Maya</t>
        </is>
      </c>
    </row>
    <row r="834">
      <c r="A834" s="5" t="inlineStr">
        <is>
          <t>Bella Mirage</t>
        </is>
      </c>
      <c r="B834" s="5" t="inlineStr">
        <is>
          <t>Maya</t>
        </is>
      </c>
      <c r="C834" s="5" t="inlineStr">
        <is>
          <t>3911</t>
        </is>
      </c>
      <c r="D834" s="5" t="n">
        <v>3</v>
      </c>
      <c r="E834" s="5" t="n">
        <v>2</v>
      </c>
      <c r="F834" s="5" t="n">
        <v>2</v>
      </c>
      <c r="G834" s="5" t="inlineStr"/>
      <c r="H834" s="5" t="n">
        <v>1187</v>
      </c>
      <c r="I834" s="5" t="inlineStr">
        <is>
          <t>1/31/2026</t>
        </is>
      </c>
      <c r="J834" s="5" t="n">
        <v>300</v>
      </c>
      <c r="K834" s="5" t="n">
        <v>12</v>
      </c>
      <c r="L834" s="5" t="inlineStr">
        <is>
          <t>80%</t>
        </is>
      </c>
      <c r="M834" s="5" t="n">
        <v>1519</v>
      </c>
      <c r="N834" s="5" t="n">
        <v>1.28</v>
      </c>
      <c r="O834" s="5" t="n">
        <v>1519</v>
      </c>
      <c r="P834" s="5" t="n">
        <v>1.28</v>
      </c>
      <c r="Q834" s="5" t="inlineStr">
        <is>
          <t>2025-11-26</t>
        </is>
      </c>
      <c r="R834" s="5" t="inlineStr">
        <is>
          <t>2025-12-01</t>
        </is>
      </c>
      <c r="S834" s="5" t="n">
        <v>6</v>
      </c>
      <c r="T834" s="5" t="n">
        <v>0</v>
      </c>
      <c r="U834" s="48" t="inlineStr">
        <is>
          <t>Maya</t>
        </is>
      </c>
    </row>
    <row r="835">
      <c r="A835" s="5" t="inlineStr">
        <is>
          <t>Bella Mirage</t>
        </is>
      </c>
      <c r="B835" s="5" t="inlineStr">
        <is>
          <t>Maya</t>
        </is>
      </c>
      <c r="C835" s="5" t="inlineStr">
        <is>
          <t>3911</t>
        </is>
      </c>
      <c r="D835" s="5" t="n">
        <v>3</v>
      </c>
      <c r="E835" s="5" t="n">
        <v>2</v>
      </c>
      <c r="F835" s="5" t="n">
        <v>2</v>
      </c>
      <c r="G835" s="5" t="inlineStr"/>
      <c r="H835" s="5" t="n">
        <v>1187</v>
      </c>
      <c r="I835" s="5" t="inlineStr">
        <is>
          <t>7/31/2026</t>
        </is>
      </c>
      <c r="J835" s="5" t="n">
        <v>300</v>
      </c>
      <c r="K835" s="5" t="n">
        <v>12</v>
      </c>
      <c r="L835" s="5" t="inlineStr">
        <is>
          <t>80%</t>
        </is>
      </c>
      <c r="M835" s="5" t="n">
        <v>1595</v>
      </c>
      <c r="N835" s="5" t="n">
        <v>1.34</v>
      </c>
      <c r="O835" s="5" t="n">
        <v>1595</v>
      </c>
      <c r="P835" s="5" t="n">
        <v>1.34</v>
      </c>
      <c r="Q835" s="5" t="inlineStr">
        <is>
          <t>2026-06-02</t>
        </is>
      </c>
      <c r="R835" s="5" t="inlineStr">
        <is>
          <t>2026-06-04</t>
        </is>
      </c>
      <c r="S835" s="5" t="n">
        <v>3</v>
      </c>
      <c r="T835" s="5" t="n">
        <v>0</v>
      </c>
      <c r="U835" s="48" t="inlineStr">
        <is>
          <t>Maya</t>
        </is>
      </c>
    </row>
    <row r="836">
      <c r="A836" s="5" t="inlineStr">
        <is>
          <t>Bella Mirage</t>
        </is>
      </c>
      <c r="B836" s="5" t="inlineStr">
        <is>
          <t>Maya</t>
        </is>
      </c>
      <c r="C836" s="5" t="inlineStr">
        <is>
          <t>0522</t>
        </is>
      </c>
      <c r="D836" s="5" t="inlineStr"/>
      <c r="E836" s="5" t="n">
        <v>2</v>
      </c>
      <c r="F836" s="5" t="n">
        <v>2</v>
      </c>
      <c r="G836" s="5" t="inlineStr"/>
      <c r="H836" s="5" t="n">
        <v>1187</v>
      </c>
      <c r="I836" s="5" t="inlineStr">
        <is>
          <t>11/11/2024</t>
        </is>
      </c>
      <c r="J836" s="5" t="n">
        <v>200</v>
      </c>
      <c r="K836" s="5" t="n">
        <v>13</v>
      </c>
      <c r="L836" s="5" t="inlineStr">
        <is>
          <t>80%</t>
        </is>
      </c>
      <c r="M836" s="5" t="n">
        <v>1633</v>
      </c>
      <c r="N836" s="5" t="n">
        <v>1.38</v>
      </c>
      <c r="O836" s="5" t="n">
        <v>1507</v>
      </c>
      <c r="P836" s="5" t="n">
        <v>1.27</v>
      </c>
      <c r="Q836" s="5" t="inlineStr">
        <is>
          <t>2024-09-06</t>
        </is>
      </c>
      <c r="R836" s="5" t="inlineStr">
        <is>
          <t>2024-11-21</t>
        </is>
      </c>
      <c r="S836" s="5" t="n">
        <v>77</v>
      </c>
      <c r="T836" s="5" t="n">
        <v>11</v>
      </c>
      <c r="U836" s="48" t="inlineStr">
        <is>
          <t>Maya</t>
        </is>
      </c>
    </row>
    <row r="837">
      <c r="A837" s="5" t="inlineStr">
        <is>
          <t>Bella Mirage</t>
        </is>
      </c>
      <c r="B837" s="5" t="inlineStr">
        <is>
          <t>Maya</t>
        </is>
      </c>
      <c r="C837" s="5" t="inlineStr">
        <is>
          <t>0522</t>
        </is>
      </c>
      <c r="D837" s="5" t="inlineStr"/>
      <c r="E837" s="5" t="n">
        <v>2</v>
      </c>
      <c r="F837" s="5" t="n">
        <v>2</v>
      </c>
      <c r="G837" s="5" t="inlineStr"/>
      <c r="H837" s="5" t="n">
        <v>1187</v>
      </c>
      <c r="I837" s="5" t="inlineStr">
        <is>
          <t>1/5/2026</t>
        </is>
      </c>
      <c r="J837" s="5" t="n">
        <v>300</v>
      </c>
      <c r="K837" s="5" t="n">
        <v>14</v>
      </c>
      <c r="L837" s="5" t="inlineStr">
        <is>
          <t>80%</t>
        </is>
      </c>
      <c r="M837" s="5" t="n">
        <v>1598</v>
      </c>
      <c r="N837" s="5" t="n">
        <v>1.35</v>
      </c>
      <c r="O837" s="5" t="n">
        <v>1598</v>
      </c>
      <c r="P837" s="5" t="n">
        <v>1.35</v>
      </c>
      <c r="Q837" s="5" t="inlineStr">
        <is>
          <t>2025-10-14</t>
        </is>
      </c>
      <c r="R837" s="5" t="inlineStr">
        <is>
          <t>2026-06-01</t>
        </is>
      </c>
      <c r="S837" s="5" t="n">
        <v>231</v>
      </c>
      <c r="T837" s="5" t="n">
        <v>148</v>
      </c>
      <c r="U837" s="48" t="inlineStr">
        <is>
          <t>Maya</t>
        </is>
      </c>
    </row>
    <row r="838">
      <c r="A838" s="5" t="inlineStr">
        <is>
          <t>Bella Mirage</t>
        </is>
      </c>
      <c r="B838" s="5" t="inlineStr">
        <is>
          <t>Maya</t>
        </is>
      </c>
      <c r="C838" s="5" t="inlineStr">
        <is>
          <t>5415</t>
        </is>
      </c>
      <c r="D838" s="5" t="inlineStr"/>
      <c r="E838" s="5" t="n">
        <v>2</v>
      </c>
      <c r="F838" s="5" t="n">
        <v>2</v>
      </c>
      <c r="G838" s="5" t="inlineStr"/>
      <c r="H838" s="5" t="n">
        <v>1187</v>
      </c>
      <c r="I838" s="5" t="inlineStr">
        <is>
          <t>8/11/2023</t>
        </is>
      </c>
      <c r="J838" s="5" t="n">
        <v>200</v>
      </c>
      <c r="K838" s="5" t="n">
        <v>14</v>
      </c>
      <c r="L838" s="5" t="inlineStr">
        <is>
          <t>80%</t>
        </is>
      </c>
      <c r="M838" s="5" t="n">
        <v>1726</v>
      </c>
      <c r="N838" s="5" t="n">
        <v>1.45</v>
      </c>
      <c r="O838" s="5" t="n">
        <v>1603</v>
      </c>
      <c r="P838" s="5" t="n">
        <v>1.35</v>
      </c>
      <c r="Q838" s="5" t="inlineStr">
        <is>
          <t>2023-07-29</t>
        </is>
      </c>
      <c r="R838" s="5" t="inlineStr">
        <is>
          <t>2024-02-15</t>
        </is>
      </c>
      <c r="S838" s="5" t="n">
        <v>202</v>
      </c>
      <c r="T838" s="5" t="n">
        <v>189</v>
      </c>
      <c r="U838" s="48" t="inlineStr">
        <is>
          <t>Maya</t>
        </is>
      </c>
    </row>
    <row r="839">
      <c r="A839" s="5" t="inlineStr">
        <is>
          <t>Bella Mirage</t>
        </is>
      </c>
      <c r="B839" s="5" t="inlineStr">
        <is>
          <t>Maya</t>
        </is>
      </c>
      <c r="C839" s="5" t="inlineStr">
        <is>
          <t>2925</t>
        </is>
      </c>
      <c r="D839" s="5" t="n">
        <v>2</v>
      </c>
      <c r="E839" s="5" t="n">
        <v>2</v>
      </c>
      <c r="F839" s="5" t="n">
        <v>2</v>
      </c>
      <c r="G839" s="5" t="inlineStr"/>
      <c r="H839" s="5" t="n">
        <v>1187</v>
      </c>
      <c r="I839" s="5" t="inlineStr">
        <is>
          <t>4/17/2024</t>
        </is>
      </c>
      <c r="J839" s="5" t="n">
        <v>200</v>
      </c>
      <c r="K839" s="5" t="n">
        <v>12</v>
      </c>
      <c r="L839" s="5" t="inlineStr">
        <is>
          <t>80%</t>
        </is>
      </c>
      <c r="M839" s="5" t="n">
        <v>1765</v>
      </c>
      <c r="N839" s="5" t="n">
        <v>1.49</v>
      </c>
      <c r="O839" s="5" t="n">
        <v>1618</v>
      </c>
      <c r="P839" s="5" t="n">
        <v>1.36</v>
      </c>
      <c r="Q839" s="5" t="inlineStr">
        <is>
          <t>2024-02-12</t>
        </is>
      </c>
      <c r="R839" s="5" t="inlineStr">
        <is>
          <t>2024-06-06</t>
        </is>
      </c>
      <c r="S839" s="5" t="n">
        <v>116</v>
      </c>
      <c r="T839" s="5" t="n">
        <v>51</v>
      </c>
      <c r="U839" s="48" t="inlineStr">
        <is>
          <t>Maya</t>
        </is>
      </c>
    </row>
    <row r="840">
      <c r="A840" s="5" t="inlineStr">
        <is>
          <t>Bella Mirage</t>
        </is>
      </c>
      <c r="B840" s="5" t="inlineStr">
        <is>
          <t>Maya</t>
        </is>
      </c>
      <c r="C840" s="5" t="inlineStr">
        <is>
          <t>2925</t>
        </is>
      </c>
      <c r="D840" s="5" t="n">
        <v>2</v>
      </c>
      <c r="E840" s="5" t="n">
        <v>2</v>
      </c>
      <c r="F840" s="5" t="n">
        <v>2</v>
      </c>
      <c r="G840" s="5" t="inlineStr"/>
      <c r="H840" s="5" t="n">
        <v>1187</v>
      </c>
      <c r="I840" s="5" t="inlineStr">
        <is>
          <t>12/25/2024</t>
        </is>
      </c>
      <c r="J840" s="5" t="n">
        <v>200</v>
      </c>
      <c r="K840" s="5" t="n">
        <v>13</v>
      </c>
      <c r="L840" s="5" t="inlineStr">
        <is>
          <t>80%</t>
        </is>
      </c>
      <c r="M840" s="5" t="n">
        <v>1605</v>
      </c>
      <c r="N840" s="5" t="n">
        <v>1.35</v>
      </c>
      <c r="O840" s="5" t="n">
        <v>1482</v>
      </c>
      <c r="P840" s="5" t="n">
        <v>1.25</v>
      </c>
      <c r="Q840" s="5" t="inlineStr">
        <is>
          <t>2024-12-11</t>
        </is>
      </c>
      <c r="R840" s="5" t="inlineStr">
        <is>
          <t>2024-12-19</t>
        </is>
      </c>
      <c r="S840" s="5" t="n">
        <v>9</v>
      </c>
      <c r="T840" s="5" t="n">
        <v>0</v>
      </c>
      <c r="U840" s="48" t="inlineStr">
        <is>
          <t>Maya</t>
        </is>
      </c>
    </row>
    <row r="841">
      <c r="A841" s="5" t="inlineStr">
        <is>
          <t>Bella Mirage</t>
        </is>
      </c>
      <c r="B841" s="5" t="inlineStr">
        <is>
          <t>Maya</t>
        </is>
      </c>
      <c r="C841" s="5" t="inlineStr">
        <is>
          <t>1515</t>
        </is>
      </c>
      <c r="D841" s="5" t="inlineStr"/>
      <c r="E841" s="5" t="n">
        <v>2</v>
      </c>
      <c r="F841" s="5" t="n">
        <v>2</v>
      </c>
      <c r="G841" s="5" t="inlineStr"/>
      <c r="H841" s="5" t="n">
        <v>1187</v>
      </c>
      <c r="I841" s="5" t="inlineStr">
        <is>
          <t>10/25/2024</t>
        </is>
      </c>
      <c r="J841" s="5" t="n">
        <v>200</v>
      </c>
      <c r="K841" s="5" t="n">
        <v>12</v>
      </c>
      <c r="L841" s="5" t="inlineStr">
        <is>
          <t>80%</t>
        </is>
      </c>
      <c r="M841" s="5" t="n">
        <v>1773</v>
      </c>
      <c r="N841" s="5" t="n">
        <v>1.49</v>
      </c>
      <c r="O841" s="5" t="n">
        <v>1625</v>
      </c>
      <c r="P841" s="5" t="n">
        <v>1.37</v>
      </c>
      <c r="Q841" s="5" t="inlineStr">
        <is>
          <t>2024-09-12</t>
        </is>
      </c>
      <c r="R841" s="5" t="inlineStr">
        <is>
          <t>2025-04-06</t>
        </is>
      </c>
      <c r="S841" s="5" t="n">
        <v>207</v>
      </c>
      <c r="T841" s="5" t="n">
        <v>164</v>
      </c>
      <c r="U841" s="48" t="inlineStr">
        <is>
          <t>Maya</t>
        </is>
      </c>
    </row>
    <row r="842">
      <c r="A842" s="5" t="inlineStr">
        <is>
          <t>Bella Mirage</t>
        </is>
      </c>
      <c r="B842" s="5" t="inlineStr">
        <is>
          <t>Maya</t>
        </is>
      </c>
      <c r="C842" s="5" t="inlineStr">
        <is>
          <t>1515</t>
        </is>
      </c>
      <c r="D842" s="5" t="inlineStr"/>
      <c r="E842" s="5" t="n">
        <v>2</v>
      </c>
      <c r="F842" s="5" t="n">
        <v>2</v>
      </c>
      <c r="G842" s="5" t="inlineStr"/>
      <c r="H842" s="5" t="n">
        <v>1187</v>
      </c>
      <c r="I842" s="5" t="inlineStr">
        <is>
          <t>11/13/2025</t>
        </is>
      </c>
      <c r="J842" s="5" t="n">
        <v>300</v>
      </c>
      <c r="K842" s="5" t="n">
        <v>13</v>
      </c>
      <c r="L842" s="5" t="inlineStr">
        <is>
          <t>80%</t>
        </is>
      </c>
      <c r="M842" s="5" t="n">
        <v>1582</v>
      </c>
      <c r="N842" s="5" t="n">
        <v>1.33</v>
      </c>
      <c r="O842" s="5" t="n">
        <v>1582</v>
      </c>
      <c r="P842" s="5" t="n">
        <v>1.33</v>
      </c>
      <c r="Q842" s="5" t="inlineStr">
        <is>
          <t>2025-10-09</t>
        </is>
      </c>
      <c r="R842" s="5" t="inlineStr">
        <is>
          <t>2025-12-27</t>
        </is>
      </c>
      <c r="S842" s="5" t="n">
        <v>80</v>
      </c>
      <c r="T842" s="5" t="n">
        <v>45</v>
      </c>
      <c r="U842" s="48" t="inlineStr">
        <is>
          <t>Maya</t>
        </is>
      </c>
    </row>
    <row r="843">
      <c r="A843" s="5" t="inlineStr">
        <is>
          <t>Bella Mirage</t>
        </is>
      </c>
      <c r="B843" s="5" t="inlineStr">
        <is>
          <t>Maya</t>
        </is>
      </c>
      <c r="C843" s="5" t="inlineStr">
        <is>
          <t>1515</t>
        </is>
      </c>
      <c r="D843" s="5" t="inlineStr"/>
      <c r="E843" s="5" t="n">
        <v>2</v>
      </c>
      <c r="F843" s="5" t="n">
        <v>2</v>
      </c>
      <c r="G843" s="5" t="inlineStr"/>
      <c r="H843" s="5" t="n">
        <v>1187</v>
      </c>
      <c r="I843" s="5" t="inlineStr">
        <is>
          <t>5/29/2026</t>
        </is>
      </c>
      <c r="J843" s="5" t="n">
        <v>300</v>
      </c>
      <c r="K843" s="5" t="n">
        <v>13</v>
      </c>
      <c r="L843" s="5" t="inlineStr">
        <is>
          <t>80%</t>
        </is>
      </c>
      <c r="M843" s="5" t="n">
        <v>1639</v>
      </c>
      <c r="N843" s="5" t="n">
        <v>1.38</v>
      </c>
      <c r="O843" s="5" t="n">
        <v>1639</v>
      </c>
      <c r="P843" s="5" t="n">
        <v>1.38</v>
      </c>
      <c r="Q843" s="5" t="inlineStr">
        <is>
          <t>2026-04-28</t>
        </is>
      </c>
      <c r="R843" s="5" t="inlineStr">
        <is>
          <t>2026-06-08</t>
        </is>
      </c>
      <c r="S843" s="5" t="n">
        <v>42</v>
      </c>
      <c r="T843" s="5" t="n">
        <v>11</v>
      </c>
      <c r="U843" s="48" t="inlineStr">
        <is>
          <t>Maya</t>
        </is>
      </c>
    </row>
    <row r="844">
      <c r="A844" s="5" t="inlineStr">
        <is>
          <t>Bella Mirage</t>
        </is>
      </c>
      <c r="B844" s="5" t="inlineStr">
        <is>
          <t>Maya</t>
        </is>
      </c>
      <c r="C844" s="5" t="inlineStr">
        <is>
          <t>1021</t>
        </is>
      </c>
      <c r="D844" s="5" t="inlineStr"/>
      <c r="E844" s="5" t="n">
        <v>2</v>
      </c>
      <c r="F844" s="5" t="n">
        <v>2</v>
      </c>
      <c r="G844" s="5" t="inlineStr"/>
      <c r="H844" s="5" t="n">
        <v>1187</v>
      </c>
      <c r="I844" s="5" t="inlineStr">
        <is>
          <t>6/19/2024</t>
        </is>
      </c>
      <c r="J844" s="5" t="n">
        <v>200</v>
      </c>
      <c r="K844" s="5" t="n">
        <v>12</v>
      </c>
      <c r="L844" s="5" t="inlineStr">
        <is>
          <t>80%</t>
        </is>
      </c>
      <c r="M844" s="5" t="n">
        <v>1658</v>
      </c>
      <c r="N844" s="5" t="n">
        <v>1.4</v>
      </c>
      <c r="O844" s="5" t="n">
        <v>1520</v>
      </c>
      <c r="P844" s="5" t="n">
        <v>1.28</v>
      </c>
      <c r="Q844" s="5" t="inlineStr">
        <is>
          <t>2024-04-03</t>
        </is>
      </c>
      <c r="R844" s="5" t="inlineStr">
        <is>
          <t>2024-04-16</t>
        </is>
      </c>
      <c r="S844" s="5" t="n">
        <v>14</v>
      </c>
      <c r="T844" s="5" t="n">
        <v>0</v>
      </c>
      <c r="U844" s="48" t="inlineStr">
        <is>
          <t>Maya</t>
        </is>
      </c>
    </row>
    <row r="845">
      <c r="A845" s="5" t="inlineStr">
        <is>
          <t>Bella Mirage</t>
        </is>
      </c>
      <c r="B845" s="5" t="inlineStr">
        <is>
          <t>Maya</t>
        </is>
      </c>
      <c r="C845" s="5" t="inlineStr">
        <is>
          <t>0411</t>
        </is>
      </c>
      <c r="D845" s="5" t="inlineStr"/>
      <c r="E845" s="5" t="n">
        <v>2</v>
      </c>
      <c r="F845" s="5" t="n">
        <v>2</v>
      </c>
      <c r="G845" s="5" t="inlineStr"/>
      <c r="H845" s="5" t="n">
        <v>1187</v>
      </c>
      <c r="I845" s="5" t="inlineStr">
        <is>
          <t>3/24/2024</t>
        </is>
      </c>
      <c r="J845" s="5" t="n">
        <v>200</v>
      </c>
      <c r="K845" s="5" t="n">
        <v>12</v>
      </c>
      <c r="L845" s="5" t="inlineStr">
        <is>
          <t>80%</t>
        </is>
      </c>
      <c r="M845" s="5" t="n">
        <v>1675</v>
      </c>
      <c r="N845" s="5" t="n">
        <v>1.41</v>
      </c>
      <c r="O845" s="5" t="n">
        <v>1535</v>
      </c>
      <c r="P845" s="5" t="n">
        <v>1.29</v>
      </c>
      <c r="Q845" s="5" t="inlineStr">
        <is>
          <t>2024-02-17</t>
        </is>
      </c>
      <c r="R845" s="5" t="inlineStr">
        <is>
          <t>2024-06-08</t>
        </is>
      </c>
      <c r="S845" s="5" t="n">
        <v>113</v>
      </c>
      <c r="T845" s="5" t="n">
        <v>77</v>
      </c>
      <c r="U845" s="48" t="inlineStr">
        <is>
          <t>Maya</t>
        </is>
      </c>
    </row>
    <row r="846">
      <c r="A846" s="5" t="inlineStr">
        <is>
          <t>Bella Mirage</t>
        </is>
      </c>
      <c r="B846" s="5" t="inlineStr">
        <is>
          <t>Maya</t>
        </is>
      </c>
      <c r="C846" s="5" t="inlineStr">
        <is>
          <t>4511</t>
        </is>
      </c>
      <c r="D846" s="5" t="inlineStr"/>
      <c r="E846" s="5" t="n">
        <v>2</v>
      </c>
      <c r="F846" s="5" t="n">
        <v>2</v>
      </c>
      <c r="G846" s="5" t="inlineStr"/>
      <c r="H846" s="5" t="n">
        <v>1187</v>
      </c>
      <c r="I846" s="5" t="inlineStr">
        <is>
          <t>5/25/2025</t>
        </is>
      </c>
      <c r="J846" s="5" t="n">
        <v>200</v>
      </c>
      <c r="K846" s="5" t="n">
        <v>13</v>
      </c>
      <c r="L846" s="5" t="inlineStr">
        <is>
          <t>80%</t>
        </is>
      </c>
      <c r="M846" s="5" t="n">
        <v>1665</v>
      </c>
      <c r="N846" s="5" t="n">
        <v>1.4</v>
      </c>
      <c r="O846" s="5" t="n">
        <v>1537</v>
      </c>
      <c r="P846" s="5" t="n">
        <v>1.29</v>
      </c>
      <c r="Q846" s="5" t="inlineStr">
        <is>
          <t>2025-05-01</t>
        </is>
      </c>
      <c r="R846" s="5" t="inlineStr">
        <is>
          <t>2025-05-06</t>
        </is>
      </c>
      <c r="S846" s="5" t="n">
        <v>6</v>
      </c>
      <c r="T846" s="5" t="n">
        <v>0</v>
      </c>
      <c r="U846" s="48" t="inlineStr">
        <is>
          <t>Maya</t>
        </is>
      </c>
    </row>
    <row r="847">
      <c r="A847" s="5" t="inlineStr">
        <is>
          <t>Bella Mirage</t>
        </is>
      </c>
      <c r="B847" s="5" t="inlineStr">
        <is>
          <t>Maya</t>
        </is>
      </c>
      <c r="C847" s="5" t="inlineStr">
        <is>
          <t>5411</t>
        </is>
      </c>
      <c r="D847" s="5" t="inlineStr"/>
      <c r="E847" s="5" t="n">
        <v>2</v>
      </c>
      <c r="F847" s="5" t="n">
        <v>2</v>
      </c>
      <c r="G847" s="5" t="inlineStr"/>
      <c r="H847" s="5" t="n">
        <v>1187</v>
      </c>
      <c r="I847" s="5" t="inlineStr">
        <is>
          <t>1/15/2024</t>
        </is>
      </c>
      <c r="J847" s="5" t="inlineStr"/>
      <c r="K847" s="5" t="inlineStr"/>
      <c r="L847" s="5" t="inlineStr">
        <is>
          <t>80%</t>
        </is>
      </c>
      <c r="M847" s="5" t="n">
        <v>1682</v>
      </c>
      <c r="N847" s="5" t="n">
        <v>1.42</v>
      </c>
      <c r="O847" s="5" t="n">
        <v>1542</v>
      </c>
      <c r="P847" s="5" t="n">
        <v>1.3</v>
      </c>
      <c r="Q847" s="5" t="inlineStr">
        <is>
          <t>2024-01-15</t>
        </is>
      </c>
      <c r="R847" s="5" t="inlineStr">
        <is>
          <t>2024-02-09</t>
        </is>
      </c>
      <c r="S847" s="5" t="n">
        <v>26</v>
      </c>
      <c r="T847" s="5" t="n">
        <v>26</v>
      </c>
      <c r="U847" s="48" t="inlineStr">
        <is>
          <t>Maya</t>
        </is>
      </c>
    </row>
    <row r="848">
      <c r="A848" s="5" t="inlineStr">
        <is>
          <t>Bella Mirage</t>
        </is>
      </c>
      <c r="B848" s="5" t="inlineStr">
        <is>
          <t>Maya</t>
        </is>
      </c>
      <c r="C848" s="5" t="inlineStr">
        <is>
          <t>5411</t>
        </is>
      </c>
      <c r="D848" s="5" t="inlineStr"/>
      <c r="E848" s="5" t="n">
        <v>2</v>
      </c>
      <c r="F848" s="5" t="n">
        <v>2</v>
      </c>
      <c r="G848" s="5" t="inlineStr"/>
      <c r="H848" s="5" t="n">
        <v>1187</v>
      </c>
      <c r="I848" s="5" t="inlineStr">
        <is>
          <t>5/30/2025</t>
        </is>
      </c>
      <c r="J848" s="5" t="n">
        <v>200</v>
      </c>
      <c r="K848" s="5" t="n">
        <v>12</v>
      </c>
      <c r="L848" s="5" t="inlineStr">
        <is>
          <t>80%</t>
        </is>
      </c>
      <c r="M848" s="5" t="n">
        <v>1684</v>
      </c>
      <c r="N848" s="5" t="n">
        <v>1.42</v>
      </c>
      <c r="O848" s="5" t="n">
        <v>1544</v>
      </c>
      <c r="P848" s="5" t="n">
        <v>1.3</v>
      </c>
      <c r="Q848" s="5" t="inlineStr">
        <is>
          <t>2025-03-28</t>
        </is>
      </c>
      <c r="R848" s="5" t="inlineStr">
        <is>
          <t>2025-05-15</t>
        </is>
      </c>
      <c r="S848" s="5" t="n">
        <v>49</v>
      </c>
      <c r="T848" s="5" t="n">
        <v>0</v>
      </c>
      <c r="U848" s="48" t="inlineStr">
        <is>
          <t>Maya</t>
        </is>
      </c>
    </row>
    <row r="849">
      <c r="A849" s="5" t="inlineStr">
        <is>
          <t>Bella Mirage</t>
        </is>
      </c>
      <c r="B849" s="5" t="inlineStr">
        <is>
          <t>Maya</t>
        </is>
      </c>
      <c r="C849" s="5" t="inlineStr">
        <is>
          <t>1318</t>
        </is>
      </c>
      <c r="D849" s="5" t="inlineStr"/>
      <c r="E849" s="5" t="n">
        <v>2</v>
      </c>
      <c r="F849" s="5" t="n">
        <v>2</v>
      </c>
      <c r="G849" s="5" t="inlineStr"/>
      <c r="H849" s="5" t="n">
        <v>1187</v>
      </c>
      <c r="I849" s="5" t="inlineStr">
        <is>
          <t>3/16/2024</t>
        </is>
      </c>
      <c r="J849" s="5" t="n">
        <v>200</v>
      </c>
      <c r="K849" s="5" t="n">
        <v>13</v>
      </c>
      <c r="L849" s="5" t="inlineStr">
        <is>
          <t>80%</t>
        </is>
      </c>
      <c r="M849" s="5" t="n">
        <v>1878</v>
      </c>
      <c r="N849" s="5" t="n">
        <v>1.58</v>
      </c>
      <c r="O849" s="5" t="n">
        <v>1734</v>
      </c>
      <c r="P849" s="5" t="n">
        <v>1.46</v>
      </c>
      <c r="Q849" s="5" t="inlineStr">
        <is>
          <t>2024-02-12</t>
        </is>
      </c>
      <c r="R849" s="5" t="inlineStr">
        <is>
          <t>2024-03-21</t>
        </is>
      </c>
      <c r="S849" s="5" t="n">
        <v>39</v>
      </c>
      <c r="T849" s="5" t="n">
        <v>6</v>
      </c>
      <c r="U849" s="48" t="inlineStr">
        <is>
          <t>Maya</t>
        </is>
      </c>
    </row>
    <row r="850">
      <c r="A850" s="5" t="inlineStr">
        <is>
          <t>Bella Mirage</t>
        </is>
      </c>
      <c r="B850" s="5" t="inlineStr">
        <is>
          <t>Maya</t>
        </is>
      </c>
      <c r="C850" s="5" t="inlineStr">
        <is>
          <t>1318</t>
        </is>
      </c>
      <c r="D850" s="5" t="inlineStr"/>
      <c r="E850" s="5" t="n">
        <v>2</v>
      </c>
      <c r="F850" s="5" t="n">
        <v>2</v>
      </c>
      <c r="G850" s="5" t="inlineStr"/>
      <c r="H850" s="5" t="n">
        <v>1187</v>
      </c>
      <c r="I850" s="5" t="inlineStr">
        <is>
          <t>7/24/2025</t>
        </is>
      </c>
      <c r="J850" s="5" t="n">
        <v>200</v>
      </c>
      <c r="K850" s="5" t="n">
        <v>12</v>
      </c>
      <c r="L850" s="5" t="inlineStr">
        <is>
          <t>80%</t>
        </is>
      </c>
      <c r="M850" s="5" t="n">
        <v>1690</v>
      </c>
      <c r="N850" s="5" t="n">
        <v>1.42</v>
      </c>
      <c r="O850" s="5" t="n">
        <v>1549</v>
      </c>
      <c r="P850" s="5" t="n">
        <v>1.3</v>
      </c>
      <c r="Q850" s="5" t="inlineStr">
        <is>
          <t>2025-05-05</t>
        </is>
      </c>
      <c r="R850" s="5" t="inlineStr">
        <is>
          <t>2025-05-06</t>
        </is>
      </c>
      <c r="S850" s="5" t="n">
        <v>2</v>
      </c>
      <c r="T850" s="5" t="n">
        <v>0</v>
      </c>
      <c r="U850" s="48" t="inlineStr">
        <is>
          <t>Maya</t>
        </is>
      </c>
    </row>
    <row r="851">
      <c r="A851" s="5" t="inlineStr">
        <is>
          <t>Bella Mirage</t>
        </is>
      </c>
      <c r="B851" s="5" t="inlineStr">
        <is>
          <t>Maya</t>
        </is>
      </c>
      <c r="C851" s="5" t="inlineStr">
        <is>
          <t>0415</t>
        </is>
      </c>
      <c r="D851" s="5" t="inlineStr"/>
      <c r="E851" s="5" t="n">
        <v>2</v>
      </c>
      <c r="F851" s="5" t="n">
        <v>2</v>
      </c>
      <c r="G851" s="5" t="inlineStr"/>
      <c r="H851" s="5" t="n">
        <v>1187</v>
      </c>
      <c r="I851" s="5" t="inlineStr">
        <is>
          <t>10/18/2023</t>
        </is>
      </c>
      <c r="J851" s="5" t="inlineStr"/>
      <c r="K851" s="5" t="inlineStr"/>
      <c r="L851" s="5" t="inlineStr">
        <is>
          <t>80%</t>
        </is>
      </c>
      <c r="M851" s="5" t="n">
        <v>1769</v>
      </c>
      <c r="N851" s="5" t="n">
        <v>1.49</v>
      </c>
      <c r="O851" s="5" t="n">
        <v>1622</v>
      </c>
      <c r="P851" s="5" t="n">
        <v>1.37</v>
      </c>
      <c r="Q851" s="5" t="inlineStr">
        <is>
          <t>2023-10-18</t>
        </is>
      </c>
      <c r="R851" s="5" t="inlineStr">
        <is>
          <t>2024-01-12</t>
        </is>
      </c>
      <c r="S851" s="5" t="n">
        <v>87</v>
      </c>
      <c r="T851" s="5" t="n">
        <v>87</v>
      </c>
      <c r="U851" s="48" t="inlineStr">
        <is>
          <t>Maya</t>
        </is>
      </c>
    </row>
    <row r="852">
      <c r="A852" s="5" t="inlineStr">
        <is>
          <t>Bella Mirage</t>
        </is>
      </c>
      <c r="B852" s="5" t="inlineStr">
        <is>
          <t>Maya</t>
        </is>
      </c>
      <c r="C852" s="5" t="inlineStr">
        <is>
          <t>0415</t>
        </is>
      </c>
      <c r="D852" s="5" t="inlineStr"/>
      <c r="E852" s="5" t="n">
        <v>2</v>
      </c>
      <c r="F852" s="5" t="n">
        <v>2</v>
      </c>
      <c r="G852" s="5" t="inlineStr"/>
      <c r="H852" s="5" t="n">
        <v>1187</v>
      </c>
      <c r="I852" s="5" t="inlineStr">
        <is>
          <t>5/2/2025</t>
        </is>
      </c>
      <c r="J852" s="5" t="n">
        <v>200</v>
      </c>
      <c r="K852" s="5" t="n">
        <v>13</v>
      </c>
      <c r="L852" s="5" t="inlineStr">
        <is>
          <t>80%</t>
        </is>
      </c>
      <c r="M852" s="5" t="n">
        <v>1694</v>
      </c>
      <c r="N852" s="5" t="n">
        <v>1.43</v>
      </c>
      <c r="O852" s="5" t="n">
        <v>1564</v>
      </c>
      <c r="P852" s="5" t="n">
        <v>1.32</v>
      </c>
      <c r="Q852" s="5" t="inlineStr">
        <is>
          <t>2025-04-24</t>
        </is>
      </c>
      <c r="R852" s="5" t="inlineStr">
        <is>
          <t>2025-05-04</t>
        </is>
      </c>
      <c r="S852" s="5" t="n">
        <v>11</v>
      </c>
      <c r="T852" s="5" t="n">
        <v>3</v>
      </c>
      <c r="U852" s="48" t="inlineStr">
        <is>
          <t>Maya</t>
        </is>
      </c>
    </row>
    <row r="853">
      <c r="A853" s="5" t="inlineStr">
        <is>
          <t>Bella Mirage</t>
        </is>
      </c>
      <c r="B853" s="5" t="inlineStr">
        <is>
          <t>Maya</t>
        </is>
      </c>
      <c r="C853" s="5" t="inlineStr">
        <is>
          <t>5418</t>
        </is>
      </c>
      <c r="D853" s="5" t="inlineStr"/>
      <c r="E853" s="5" t="n">
        <v>2</v>
      </c>
      <c r="F853" s="5" t="n">
        <v>2</v>
      </c>
      <c r="G853" s="5" t="inlineStr"/>
      <c r="H853" s="5" t="n">
        <v>1187</v>
      </c>
      <c r="I853" s="5" t="inlineStr">
        <is>
          <t>6/8/2024</t>
        </is>
      </c>
      <c r="J853" s="5" t="n">
        <v>200</v>
      </c>
      <c r="K853" s="5" t="n">
        <v>14</v>
      </c>
      <c r="L853" s="5" t="inlineStr">
        <is>
          <t>80%</t>
        </is>
      </c>
      <c r="M853" s="5" t="n">
        <v>1683</v>
      </c>
      <c r="N853" s="5" t="n">
        <v>1.42</v>
      </c>
      <c r="O853" s="5" t="n">
        <v>1683</v>
      </c>
      <c r="P853" s="5" t="n">
        <v>1.42</v>
      </c>
      <c r="Q853" s="5" t="inlineStr">
        <is>
          <t>2024-03-20</t>
        </is>
      </c>
      <c r="R853" s="5" t="inlineStr">
        <is>
          <t>2024-10-12</t>
        </is>
      </c>
      <c r="S853" s="5" t="n">
        <v>207</v>
      </c>
      <c r="T853" s="5" t="n">
        <v>127</v>
      </c>
      <c r="U853" s="48" t="inlineStr">
        <is>
          <t>Maya</t>
        </is>
      </c>
    </row>
    <row r="854">
      <c r="A854" s="5" t="inlineStr">
        <is>
          <t>Bella Mirage</t>
        </is>
      </c>
      <c r="B854" s="5" t="inlineStr">
        <is>
          <t>Maya</t>
        </is>
      </c>
      <c r="C854" s="5" t="inlineStr">
        <is>
          <t>5418</t>
        </is>
      </c>
      <c r="D854" s="5" t="inlineStr"/>
      <c r="E854" s="5" t="n">
        <v>2</v>
      </c>
      <c r="F854" s="5" t="n">
        <v>2</v>
      </c>
      <c r="G854" s="5" t="inlineStr"/>
      <c r="H854" s="5" t="n">
        <v>1187</v>
      </c>
      <c r="I854" s="5" t="inlineStr">
        <is>
          <t>11/30/2025</t>
        </is>
      </c>
      <c r="J854" s="5" t="n">
        <v>300</v>
      </c>
      <c r="K854" s="5" t="n">
        <v>12</v>
      </c>
      <c r="L854" s="5" t="inlineStr">
        <is>
          <t>80%</t>
        </is>
      </c>
      <c r="M854" s="5" t="n">
        <v>1712</v>
      </c>
      <c r="N854" s="5" t="n">
        <v>1.44</v>
      </c>
      <c r="O854" s="5" t="n">
        <v>1712</v>
      </c>
      <c r="P854" s="5" t="n">
        <v>1.44</v>
      </c>
      <c r="Q854" s="5" t="inlineStr">
        <is>
          <t>2025-11-02</t>
        </is>
      </c>
      <c r="R854" s="5" t="inlineStr">
        <is>
          <t>2026-02-21</t>
        </is>
      </c>
      <c r="S854" s="5" t="n">
        <v>112</v>
      </c>
      <c r="T854" s="5" t="n">
        <v>84</v>
      </c>
      <c r="U854" s="48" t="inlineStr">
        <is>
          <t>Maya</t>
        </is>
      </c>
    </row>
    <row r="855">
      <c r="A855" s="5" t="inlineStr">
        <is>
          <t>Bella Mirage</t>
        </is>
      </c>
      <c r="B855" s="5" t="inlineStr">
        <is>
          <t>Maya</t>
        </is>
      </c>
      <c r="C855" s="5" t="inlineStr">
        <is>
          <t>3421</t>
        </is>
      </c>
      <c r="D855" s="5" t="n">
        <v>3</v>
      </c>
      <c r="E855" s="5" t="n">
        <v>2</v>
      </c>
      <c r="F855" s="5" t="n">
        <v>2</v>
      </c>
      <c r="G855" s="5" t="inlineStr"/>
      <c r="H855" s="5" t="n">
        <v>1187</v>
      </c>
      <c r="I855" s="5" t="inlineStr">
        <is>
          <t>2/4/2026</t>
        </is>
      </c>
      <c r="J855" s="5" t="n">
        <v>300</v>
      </c>
      <c r="K855" s="5" t="n">
        <v>14</v>
      </c>
      <c r="L855" s="5" t="inlineStr">
        <is>
          <t>80%</t>
        </is>
      </c>
      <c r="M855" s="5" t="n">
        <v>1715</v>
      </c>
      <c r="N855" s="5" t="n">
        <v>1.44</v>
      </c>
      <c r="O855" s="5" t="n">
        <v>1715</v>
      </c>
      <c r="P855" s="5" t="n">
        <v>1.44</v>
      </c>
      <c r="Q855" s="5" t="inlineStr">
        <is>
          <t>2025-11-21</t>
        </is>
      </c>
      <c r="R855" s="5" t="inlineStr">
        <is>
          <t>2026-05-07</t>
        </is>
      </c>
      <c r="S855" s="5" t="n">
        <v>168</v>
      </c>
      <c r="T855" s="5" t="n">
        <v>93</v>
      </c>
      <c r="U855" s="48" t="inlineStr">
        <is>
          <t>Maya</t>
        </is>
      </c>
    </row>
    <row r="856">
      <c r="A856" s="5" t="inlineStr">
        <is>
          <t>Bella Mirage</t>
        </is>
      </c>
      <c r="B856" s="5" t="inlineStr">
        <is>
          <t>Maya</t>
        </is>
      </c>
      <c r="C856" s="5" t="inlineStr">
        <is>
          <t>3918</t>
        </is>
      </c>
      <c r="D856" s="5" t="n">
        <v>3</v>
      </c>
      <c r="E856" s="5" t="n">
        <v>2</v>
      </c>
      <c r="F856" s="5" t="n">
        <v>2</v>
      </c>
      <c r="G856" s="5" t="inlineStr"/>
      <c r="H856" s="5" t="n">
        <v>1187</v>
      </c>
      <c r="I856" s="5" t="inlineStr">
        <is>
          <t>2/11/2024</t>
        </is>
      </c>
      <c r="J856" s="5" t="n">
        <v>200</v>
      </c>
      <c r="K856" s="5" t="n">
        <v>14</v>
      </c>
      <c r="L856" s="5" t="inlineStr">
        <is>
          <t>80%</t>
        </is>
      </c>
      <c r="M856" s="5" t="n">
        <v>1736</v>
      </c>
      <c r="N856" s="5" t="n">
        <v>1.46</v>
      </c>
      <c r="O856" s="5" t="n">
        <v>1612</v>
      </c>
      <c r="P856" s="5" t="n">
        <v>1.36</v>
      </c>
      <c r="Q856" s="5" t="inlineStr">
        <is>
          <t>2024-02-04</t>
        </is>
      </c>
      <c r="R856" s="5" t="inlineStr">
        <is>
          <t>2024-03-10</t>
        </is>
      </c>
      <c r="S856" s="5" t="n">
        <v>36</v>
      </c>
      <c r="T856" s="5" t="n">
        <v>29</v>
      </c>
      <c r="U856" s="48" t="inlineStr">
        <is>
          <t>Maya</t>
        </is>
      </c>
    </row>
    <row r="857">
      <c r="A857" s="5" t="inlineStr">
        <is>
          <t>Bella Mirage</t>
        </is>
      </c>
      <c r="B857" s="5" t="inlineStr">
        <is>
          <t>Maya</t>
        </is>
      </c>
      <c r="C857" s="5" t="inlineStr">
        <is>
          <t>3224</t>
        </is>
      </c>
      <c r="D857" s="5" t="inlineStr"/>
      <c r="E857" s="5" t="n">
        <v>2</v>
      </c>
      <c r="F857" s="5" t="n">
        <v>2</v>
      </c>
      <c r="G857" s="5" t="inlineStr"/>
      <c r="H857" s="5" t="n">
        <v>1187</v>
      </c>
      <c r="I857" s="5" t="inlineStr">
        <is>
          <t>1/14/2025</t>
        </is>
      </c>
      <c r="J857" s="5" t="n">
        <v>200</v>
      </c>
      <c r="K857" s="5" t="n">
        <v>12</v>
      </c>
      <c r="L857" s="5" t="inlineStr">
        <is>
          <t>80%</t>
        </is>
      </c>
      <c r="M857" s="5" t="n">
        <v>1822</v>
      </c>
      <c r="N857" s="5" t="n">
        <v>1.53</v>
      </c>
      <c r="O857" s="5" t="n">
        <v>1670</v>
      </c>
      <c r="P857" s="5" t="n">
        <v>1.41</v>
      </c>
      <c r="Q857" s="5" t="inlineStr">
        <is>
          <t>2024-11-21</t>
        </is>
      </c>
      <c r="R857" s="5" t="inlineStr">
        <is>
          <t>2025-01-24</t>
        </is>
      </c>
      <c r="S857" s="5" t="n">
        <v>65</v>
      </c>
      <c r="T857" s="5" t="n">
        <v>11</v>
      </c>
      <c r="U857" s="48" t="inlineStr">
        <is>
          <t>Maya</t>
        </is>
      </c>
    </row>
    <row r="858">
      <c r="A858" s="5" t="inlineStr">
        <is>
          <t>Bella Mirage</t>
        </is>
      </c>
      <c r="B858" s="5" t="inlineStr">
        <is>
          <t>Maya</t>
        </is>
      </c>
      <c r="C858" s="5" t="inlineStr">
        <is>
          <t>1518</t>
        </is>
      </c>
      <c r="D858" s="5" t="n">
        <v>1</v>
      </c>
      <c r="E858" s="5" t="n">
        <v>2</v>
      </c>
      <c r="F858" s="5" t="n">
        <v>2</v>
      </c>
      <c r="G858" s="5" t="inlineStr"/>
      <c r="H858" s="5" t="n">
        <v>1187</v>
      </c>
      <c r="I858" s="5" t="inlineStr">
        <is>
          <t>7/4/2024</t>
        </is>
      </c>
      <c r="J858" s="5" t="n">
        <v>200</v>
      </c>
      <c r="K858" s="5" t="n">
        <v>14</v>
      </c>
      <c r="L858" s="5" t="inlineStr">
        <is>
          <t>80%</t>
        </is>
      </c>
      <c r="M858" s="5" t="n">
        <v>1857</v>
      </c>
      <c r="N858" s="5" t="n">
        <v>1.56</v>
      </c>
      <c r="O858" s="5" t="n">
        <v>1857</v>
      </c>
      <c r="P858" s="5" t="n">
        <v>1.56</v>
      </c>
      <c r="Q858" s="5" t="inlineStr">
        <is>
          <t>2024-05-25</t>
        </is>
      </c>
      <c r="R858" s="5" t="inlineStr">
        <is>
          <t>2024-06-20</t>
        </is>
      </c>
      <c r="S858" s="5" t="n">
        <v>27</v>
      </c>
      <c r="T858" s="5" t="n">
        <v>0</v>
      </c>
      <c r="U858" s="48" t="inlineStr">
        <is>
          <t>Maya</t>
        </is>
      </c>
    </row>
    <row r="859">
      <c r="A859" s="5" t="inlineStr">
        <is>
          <t>Bella Mirage</t>
        </is>
      </c>
      <c r="B859" s="5" t="inlineStr">
        <is>
          <t>Maya</t>
        </is>
      </c>
      <c r="C859" s="5" t="inlineStr">
        <is>
          <t>5414</t>
        </is>
      </c>
      <c r="D859" s="5" t="inlineStr"/>
      <c r="E859" s="5" t="n">
        <v>2</v>
      </c>
      <c r="F859" s="5" t="n">
        <v>2</v>
      </c>
      <c r="G859" s="5" t="inlineStr"/>
      <c r="H859" s="5" t="n">
        <v>1187</v>
      </c>
      <c r="I859" s="5" t="inlineStr">
        <is>
          <t>4/10/2026</t>
        </is>
      </c>
      <c r="J859" s="5" t="n">
        <v>300</v>
      </c>
      <c r="K859" s="5" t="n">
        <v>15</v>
      </c>
      <c r="L859" s="5" t="inlineStr">
        <is>
          <t>80%</t>
        </is>
      </c>
      <c r="M859" s="5" t="n">
        <v>1868</v>
      </c>
      <c r="N859" s="5" t="n">
        <v>1.57</v>
      </c>
      <c r="O859" s="5" t="n">
        <v>1868</v>
      </c>
      <c r="P859" s="5" t="n">
        <v>1.57</v>
      </c>
      <c r="Q859" s="5" t="inlineStr">
        <is>
          <t>2025-09-25</t>
        </is>
      </c>
      <c r="R859" s="5" t="inlineStr">
        <is>
          <t>2026-04-13</t>
        </is>
      </c>
      <c r="S859" s="5" t="n">
        <v>201</v>
      </c>
      <c r="T859" s="5" t="n">
        <v>4</v>
      </c>
      <c r="U859" s="48" t="inlineStr">
        <is>
          <t>Maya</t>
        </is>
      </c>
    </row>
    <row r="860">
      <c r="A860" s="5" t="inlineStr">
        <is>
          <t>Bella Mirage</t>
        </is>
      </c>
      <c r="B860" s="5" t="inlineStr">
        <is>
          <t>Maya</t>
        </is>
      </c>
      <c r="C860" s="5" t="inlineStr">
        <is>
          <t>0512</t>
        </is>
      </c>
      <c r="D860" s="5" t="inlineStr"/>
      <c r="E860" s="5" t="n">
        <v>2</v>
      </c>
      <c r="F860" s="5" t="n">
        <v>2</v>
      </c>
      <c r="G860" s="5" t="inlineStr"/>
      <c r="H860" s="5" t="n">
        <v>1187</v>
      </c>
      <c r="I860" s="5" t="inlineStr">
        <is>
          <t>3/11/2024</t>
        </is>
      </c>
      <c r="J860" s="5" t="n">
        <v>200</v>
      </c>
      <c r="K860" s="5" t="n">
        <v>13</v>
      </c>
      <c r="L860" s="5" t="inlineStr">
        <is>
          <t>80%</t>
        </is>
      </c>
      <c r="M860" s="5" t="n">
        <v>2003</v>
      </c>
      <c r="N860" s="5" t="n">
        <v>1.69</v>
      </c>
      <c r="O860" s="5" t="n">
        <v>1849</v>
      </c>
      <c r="P860" s="5" t="n">
        <v>1.56</v>
      </c>
      <c r="Q860" s="5" t="inlineStr">
        <is>
          <t>2024-02-12</t>
        </is>
      </c>
      <c r="R860" s="5" t="inlineStr">
        <is>
          <t>2024-05-12</t>
        </is>
      </c>
      <c r="S860" s="5" t="n">
        <v>91</v>
      </c>
      <c r="T860" s="5" t="n">
        <v>63</v>
      </c>
      <c r="U860" s="48" t="inlineStr">
        <is>
          <t>Maya</t>
        </is>
      </c>
    </row>
    <row r="861">
      <c r="A861" s="5" t="inlineStr">
        <is>
          <t>Bella Mirage</t>
        </is>
      </c>
      <c r="B861" s="5" t="inlineStr">
        <is>
          <t>Maya</t>
        </is>
      </c>
      <c r="C861" s="5" t="inlineStr">
        <is>
          <t>1514</t>
        </is>
      </c>
      <c r="D861" s="5" t="n">
        <v>1</v>
      </c>
      <c r="E861" s="5" t="n">
        <v>2</v>
      </c>
      <c r="F861" s="5" t="n">
        <v>2</v>
      </c>
      <c r="G861" s="5" t="inlineStr"/>
      <c r="H861" s="5" t="n">
        <v>1187</v>
      </c>
      <c r="I861" s="5" t="inlineStr">
        <is>
          <t>11/28/2023</t>
        </is>
      </c>
      <c r="J861" s="5" t="inlineStr"/>
      <c r="K861" s="5" t="inlineStr"/>
      <c r="L861" s="5" t="inlineStr">
        <is>
          <t>120%</t>
        </is>
      </c>
      <c r="M861" s="5" t="n">
        <v>1788</v>
      </c>
      <c r="N861" s="5" t="n">
        <v>1.51</v>
      </c>
      <c r="O861" s="5" t="n">
        <v>1639</v>
      </c>
      <c r="P861" s="5" t="n">
        <v>1.38</v>
      </c>
      <c r="Q861" s="5" t="inlineStr">
        <is>
          <t>2023-11-28</t>
        </is>
      </c>
      <c r="R861" s="5" t="inlineStr">
        <is>
          <t>2024-01-20</t>
        </is>
      </c>
      <c r="S861" s="5" t="n">
        <v>54</v>
      </c>
      <c r="T861" s="5" t="n">
        <v>54</v>
      </c>
      <c r="U861" s="48" t="inlineStr">
        <is>
          <t>Maya</t>
        </is>
      </c>
    </row>
    <row r="862">
      <c r="A862" s="5" t="inlineStr">
        <is>
          <t>Bella Mirage</t>
        </is>
      </c>
      <c r="B862" s="5" t="inlineStr">
        <is>
          <t>Maya</t>
        </is>
      </c>
      <c r="C862" s="5" t="inlineStr">
        <is>
          <t>1514</t>
        </is>
      </c>
      <c r="D862" s="5" t="n">
        <v>1</v>
      </c>
      <c r="E862" s="5" t="n">
        <v>2</v>
      </c>
      <c r="F862" s="5" t="n">
        <v>2</v>
      </c>
      <c r="G862" s="5" t="inlineStr"/>
      <c r="H862" s="5" t="n">
        <v>1187</v>
      </c>
      <c r="I862" s="5" t="inlineStr">
        <is>
          <t>1/17/2025</t>
        </is>
      </c>
      <c r="J862" s="5" t="n">
        <v>200</v>
      </c>
      <c r="K862" s="5" t="n">
        <v>12</v>
      </c>
      <c r="L862" s="5" t="inlineStr">
        <is>
          <t>120%</t>
        </is>
      </c>
      <c r="M862" s="5" t="n">
        <v>2034</v>
      </c>
      <c r="N862" s="5" t="n">
        <v>1.71</v>
      </c>
      <c r="O862" s="5" t="n">
        <v>1864</v>
      </c>
      <c r="P862" s="5" t="n">
        <v>1.57</v>
      </c>
      <c r="Q862" s="5" t="inlineStr">
        <is>
          <t>2025-01-03</t>
        </is>
      </c>
      <c r="R862" s="5" t="inlineStr">
        <is>
          <t>2025-02-10</t>
        </is>
      </c>
      <c r="S862" s="5" t="n">
        <v>39</v>
      </c>
      <c r="T862" s="5" t="n">
        <v>25</v>
      </c>
      <c r="U862" s="48" t="inlineStr">
        <is>
          <t>Maya</t>
        </is>
      </c>
    </row>
    <row r="863">
      <c r="A863" s="5" t="inlineStr">
        <is>
          <t>Bella Mirage</t>
        </is>
      </c>
      <c r="B863" s="5" t="inlineStr">
        <is>
          <t>Maya</t>
        </is>
      </c>
      <c r="C863" s="5" t="inlineStr">
        <is>
          <t>1328</t>
        </is>
      </c>
      <c r="D863" s="5" t="inlineStr"/>
      <c r="E863" s="5" t="n">
        <v>2</v>
      </c>
      <c r="F863" s="5" t="n">
        <v>2</v>
      </c>
      <c r="G863" s="5" t="inlineStr"/>
      <c r="H863" s="5" t="n">
        <v>1187</v>
      </c>
      <c r="I863" s="5" t="inlineStr">
        <is>
          <t>8/6/2023</t>
        </is>
      </c>
      <c r="J863" s="5" t="inlineStr"/>
      <c r="K863" s="5" t="inlineStr"/>
      <c r="L863" s="5" t="inlineStr">
        <is>
          <t>80%</t>
        </is>
      </c>
      <c r="M863" s="5" t="n">
        <v>1547</v>
      </c>
      <c r="N863" s="5" t="n">
        <v>1.3</v>
      </c>
      <c r="O863" s="5" t="n">
        <v>1418</v>
      </c>
      <c r="P863" s="5" t="n">
        <v>1.19</v>
      </c>
      <c r="Q863" s="5" t="inlineStr">
        <is>
          <t>2023-07-25</t>
        </is>
      </c>
      <c r="R863" s="5" t="inlineStr">
        <is>
          <t>2024-02-12</t>
        </is>
      </c>
      <c r="S863" s="5" t="n">
        <v>203</v>
      </c>
      <c r="T863" s="5" t="n">
        <v>191</v>
      </c>
      <c r="U863" s="48" t="inlineStr">
        <is>
          <t>Maya</t>
        </is>
      </c>
    </row>
    <row r="864">
      <c r="A864" s="5" t="inlineStr">
        <is>
          <t>Bella Mirage</t>
        </is>
      </c>
      <c r="B864" s="5" t="inlineStr">
        <is>
          <t>Maya</t>
        </is>
      </c>
      <c r="C864" s="5" t="inlineStr">
        <is>
          <t>4525</t>
        </is>
      </c>
      <c r="D864" s="5" t="n">
        <v>4</v>
      </c>
      <c r="E864" s="5" t="n">
        <v>2</v>
      </c>
      <c r="F864" s="5" t="n">
        <v>2</v>
      </c>
      <c r="G864" s="5" t="inlineStr"/>
      <c r="H864" s="5" t="n">
        <v>1187</v>
      </c>
      <c r="I864" s="5" t="inlineStr">
        <is>
          <t>8/11/2023</t>
        </is>
      </c>
      <c r="J864" s="5" t="inlineStr"/>
      <c r="K864" s="5" t="inlineStr"/>
      <c r="L864" s="5" t="inlineStr">
        <is>
          <t>80%</t>
        </is>
      </c>
      <c r="M864" s="5" t="n">
        <v>1793</v>
      </c>
      <c r="N864" s="5" t="n">
        <v>1.51</v>
      </c>
      <c r="O864" s="5" t="n">
        <v>1644</v>
      </c>
      <c r="P864" s="5" t="n">
        <v>1.39</v>
      </c>
      <c r="Q864" s="5" t="inlineStr">
        <is>
          <t>2023-07-26</t>
        </is>
      </c>
      <c r="R864" s="5" t="inlineStr">
        <is>
          <t>2023-10-18</t>
        </is>
      </c>
      <c r="S864" s="5" t="n">
        <v>85</v>
      </c>
      <c r="T864" s="5" t="n">
        <v>69</v>
      </c>
      <c r="U864" s="48" t="inlineStr">
        <is>
          <t>Maya</t>
        </is>
      </c>
    </row>
    <row r="865">
      <c r="A865" s="5" t="inlineStr">
        <is>
          <t>Bella Mirage</t>
        </is>
      </c>
      <c r="B865" s="5" t="inlineStr">
        <is>
          <t>Talise</t>
        </is>
      </c>
      <c r="C865" s="5" t="inlineStr">
        <is>
          <t>2424</t>
        </is>
      </c>
      <c r="D865" s="5" t="n">
        <v>2</v>
      </c>
      <c r="E865" s="5" t="n">
        <v>3</v>
      </c>
      <c r="F865" s="5" t="n">
        <v>2</v>
      </c>
      <c r="G865" s="5" t="inlineStr"/>
      <c r="H865" s="5" t="n">
        <v>1258</v>
      </c>
      <c r="I865" s="5" t="inlineStr">
        <is>
          <t>1/11/2025</t>
        </is>
      </c>
      <c r="J865" s="5" t="n">
        <v>200</v>
      </c>
      <c r="K865" s="5" t="n">
        <v>14</v>
      </c>
      <c r="L865" s="5" t="inlineStr">
        <is>
          <t>60%</t>
        </is>
      </c>
      <c r="M865" s="5" t="n">
        <v>1617</v>
      </c>
      <c r="N865" s="5" t="n">
        <v>1.29</v>
      </c>
      <c r="O865" s="5" t="n">
        <v>1502</v>
      </c>
      <c r="P865" s="5" t="n">
        <v>1.19</v>
      </c>
      <c r="Q865" s="5" t="inlineStr">
        <is>
          <t>2024-10-22</t>
        </is>
      </c>
      <c r="R865" s="5" t="inlineStr">
        <is>
          <t>2024-11-11</t>
        </is>
      </c>
      <c r="S865" s="5" t="n">
        <v>21</v>
      </c>
      <c r="T865" s="5" t="n">
        <v>0</v>
      </c>
      <c r="U865" s="48" t="inlineStr">
        <is>
          <t>Talise</t>
        </is>
      </c>
    </row>
    <row r="866">
      <c r="A866" s="5" t="inlineStr">
        <is>
          <t>Bella Mirage</t>
        </is>
      </c>
      <c r="B866" s="5" t="inlineStr">
        <is>
          <t>Talise</t>
        </is>
      </c>
      <c r="C866" s="5" t="inlineStr">
        <is>
          <t>4911</t>
        </is>
      </c>
      <c r="D866" s="5" t="n">
        <v>1</v>
      </c>
      <c r="E866" s="5" t="n">
        <v>3</v>
      </c>
      <c r="F866" s="5" t="n">
        <v>2</v>
      </c>
      <c r="G866" s="5" t="inlineStr"/>
      <c r="H866" s="5" t="n">
        <v>1258</v>
      </c>
      <c r="I866" s="5" t="inlineStr">
        <is>
          <t>10/21/2023</t>
        </is>
      </c>
      <c r="J866" s="5" t="inlineStr"/>
      <c r="K866" s="5" t="inlineStr"/>
      <c r="L866" s="5" t="inlineStr">
        <is>
          <t>60%</t>
        </is>
      </c>
      <c r="M866" s="5" t="n">
        <v>1922</v>
      </c>
      <c r="N866" s="5" t="n">
        <v>1.53</v>
      </c>
      <c r="O866" s="5" t="n">
        <v>1762</v>
      </c>
      <c r="P866" s="5" t="n">
        <v>1.4</v>
      </c>
      <c r="Q866" s="5" t="inlineStr">
        <is>
          <t>2023-10-04</t>
        </is>
      </c>
      <c r="R866" s="5" t="inlineStr">
        <is>
          <t>2023-10-05</t>
        </is>
      </c>
      <c r="S866" s="5" t="n">
        <v>2</v>
      </c>
      <c r="T866" s="5" t="n">
        <v>0</v>
      </c>
      <c r="U866" s="48" t="inlineStr">
        <is>
          <t>Talise</t>
        </is>
      </c>
    </row>
    <row r="867">
      <c r="A867" s="5" t="inlineStr">
        <is>
          <t>Bella Mirage</t>
        </is>
      </c>
      <c r="B867" s="5" t="inlineStr">
        <is>
          <t>Talise</t>
        </is>
      </c>
      <c r="C867" s="5" t="inlineStr">
        <is>
          <t>4911</t>
        </is>
      </c>
      <c r="D867" s="5" t="n">
        <v>1</v>
      </c>
      <c r="E867" s="5" t="n">
        <v>3</v>
      </c>
      <c r="F867" s="5" t="n">
        <v>2</v>
      </c>
      <c r="G867" s="5" t="inlineStr"/>
      <c r="H867" s="5" t="n">
        <v>1258</v>
      </c>
      <c r="I867" s="5" t="inlineStr">
        <is>
          <t>9/30/2025</t>
        </is>
      </c>
      <c r="J867" s="5" t="n">
        <v>300</v>
      </c>
      <c r="K867" s="5" t="n">
        <v>15</v>
      </c>
      <c r="L867" s="5" t="inlineStr">
        <is>
          <t>60%</t>
        </is>
      </c>
      <c r="M867" s="5" t="n">
        <v>1634</v>
      </c>
      <c r="N867" s="5" t="n">
        <v>1.3</v>
      </c>
      <c r="O867" s="5" t="n">
        <v>1634</v>
      </c>
      <c r="P867" s="5" t="n">
        <v>1.3</v>
      </c>
      <c r="Q867" s="5" t="inlineStr">
        <is>
          <t>2025-07-29</t>
        </is>
      </c>
      <c r="R867" s="5" t="inlineStr">
        <is>
          <t>2025-12-18</t>
        </is>
      </c>
      <c r="S867" s="5" t="n">
        <v>143</v>
      </c>
      <c r="T867" s="5" t="n">
        <v>80</v>
      </c>
      <c r="U867" s="48" t="inlineStr">
        <is>
          <t>Talise</t>
        </is>
      </c>
    </row>
    <row r="868">
      <c r="A868" s="5" t="inlineStr">
        <is>
          <t>Bella Mirage</t>
        </is>
      </c>
      <c r="B868" s="5" t="inlineStr">
        <is>
          <t>Talise</t>
        </is>
      </c>
      <c r="C868" s="5" t="inlineStr">
        <is>
          <t>4914</t>
        </is>
      </c>
      <c r="D868" s="5" t="n">
        <v>1</v>
      </c>
      <c r="E868" s="5" t="n">
        <v>3</v>
      </c>
      <c r="F868" s="5" t="n">
        <v>2</v>
      </c>
      <c r="G868" s="5" t="inlineStr"/>
      <c r="H868" s="5" t="n">
        <v>1258</v>
      </c>
      <c r="I868" s="5" t="inlineStr">
        <is>
          <t>8/28/2025</t>
        </is>
      </c>
      <c r="J868" s="5" t="n">
        <v>300</v>
      </c>
      <c r="K868" s="5" t="n">
        <v>15</v>
      </c>
      <c r="L868" s="5" t="inlineStr">
        <is>
          <t>60%</t>
        </is>
      </c>
      <c r="M868" s="5" t="n">
        <v>1661</v>
      </c>
      <c r="N868" s="5" t="n">
        <v>1.32</v>
      </c>
      <c r="O868" s="5" t="n">
        <v>1661</v>
      </c>
      <c r="P868" s="5" t="n">
        <v>1.32</v>
      </c>
      <c r="Q868" s="5" t="inlineStr">
        <is>
          <t>2025-06-29</t>
        </is>
      </c>
      <c r="R868" s="5" t="inlineStr">
        <is>
          <t>2025-11-26</t>
        </is>
      </c>
      <c r="S868" s="5" t="n">
        <v>151</v>
      </c>
      <c r="T868" s="5" t="n">
        <v>91</v>
      </c>
      <c r="U868" s="48" t="inlineStr">
        <is>
          <t>Talise</t>
        </is>
      </c>
    </row>
    <row r="869">
      <c r="A869" s="5" t="inlineStr">
        <is>
          <t>Bella Mirage</t>
        </is>
      </c>
      <c r="B869" s="5" t="inlineStr">
        <is>
          <t>Talise</t>
        </is>
      </c>
      <c r="C869" s="5" t="inlineStr">
        <is>
          <t>0625</t>
        </is>
      </c>
      <c r="D869" s="5" t="inlineStr"/>
      <c r="E869" s="5" t="n">
        <v>3</v>
      </c>
      <c r="F869" s="5" t="n">
        <v>2</v>
      </c>
      <c r="G869" s="5" t="inlineStr"/>
      <c r="H869" s="5" t="n">
        <v>1258</v>
      </c>
      <c r="I869" s="5" t="inlineStr">
        <is>
          <t>5/15/2026</t>
        </is>
      </c>
      <c r="J869" s="5" t="n">
        <v>300</v>
      </c>
      <c r="K869" s="5" t="n">
        <v>12</v>
      </c>
      <c r="L869" s="5" t="inlineStr">
        <is>
          <t>60%</t>
        </is>
      </c>
      <c r="M869" s="5" t="n">
        <v>1665</v>
      </c>
      <c r="N869" s="5" t="n">
        <v>1.32</v>
      </c>
      <c r="O869" s="5" t="n">
        <v>1665</v>
      </c>
      <c r="P869" s="5" t="n">
        <v>1.32</v>
      </c>
      <c r="Q869" s="5" t="inlineStr">
        <is>
          <t>2026-03-04</t>
        </is>
      </c>
      <c r="R869" s="5" t="inlineStr">
        <is>
          <t>2026-03-19</t>
        </is>
      </c>
      <c r="S869" s="5" t="n">
        <v>16</v>
      </c>
      <c r="T869" s="5" t="n">
        <v>0</v>
      </c>
      <c r="U869" s="48" t="inlineStr">
        <is>
          <t>Talise</t>
        </is>
      </c>
    </row>
    <row r="870">
      <c r="A870" s="5" t="inlineStr">
        <is>
          <t>Bella Mirage</t>
        </is>
      </c>
      <c r="B870" s="5" t="inlineStr">
        <is>
          <t>Talise</t>
        </is>
      </c>
      <c r="C870" s="5" t="inlineStr">
        <is>
          <t>3625</t>
        </is>
      </c>
      <c r="D870" s="5" t="n">
        <v>3</v>
      </c>
      <c r="E870" s="5" t="n">
        <v>3</v>
      </c>
      <c r="F870" s="5" t="n">
        <v>2</v>
      </c>
      <c r="G870" s="5" t="inlineStr"/>
      <c r="H870" s="5" t="n">
        <v>1258</v>
      </c>
      <c r="I870" s="5" t="inlineStr">
        <is>
          <t>7/6/2025</t>
        </is>
      </c>
      <c r="J870" s="5" t="n">
        <v>200</v>
      </c>
      <c r="K870" s="5" t="n">
        <v>14</v>
      </c>
      <c r="L870" s="5" t="inlineStr">
        <is>
          <t>60%</t>
        </is>
      </c>
      <c r="M870" s="5" t="n">
        <v>1788</v>
      </c>
      <c r="N870" s="5" t="n">
        <v>1.42</v>
      </c>
      <c r="O870" s="5" t="n">
        <v>1660</v>
      </c>
      <c r="P870" s="5" t="n">
        <v>1.32</v>
      </c>
      <c r="Q870" s="5" t="inlineStr">
        <is>
          <t>2025-04-21</t>
        </is>
      </c>
      <c r="R870" s="5" t="inlineStr">
        <is>
          <t>2025-06-15</t>
        </is>
      </c>
      <c r="S870" s="5" t="n">
        <v>56</v>
      </c>
      <c r="T870" s="5" t="n">
        <v>0</v>
      </c>
      <c r="U870" s="48" t="inlineStr">
        <is>
          <t>Talise</t>
        </is>
      </c>
    </row>
    <row r="871">
      <c r="A871" s="5" t="inlineStr">
        <is>
          <t>Bella Mirage</t>
        </is>
      </c>
      <c r="B871" s="5" t="inlineStr">
        <is>
          <t>Talise</t>
        </is>
      </c>
      <c r="C871" s="5" t="inlineStr">
        <is>
          <t>3625</t>
        </is>
      </c>
      <c r="D871" s="5" t="n">
        <v>3</v>
      </c>
      <c r="E871" s="5" t="n">
        <v>3</v>
      </c>
      <c r="F871" s="5" t="n">
        <v>2</v>
      </c>
      <c r="G871" s="5" t="inlineStr"/>
      <c r="H871" s="5" t="n">
        <v>1258</v>
      </c>
      <c r="I871" s="5" t="inlineStr">
        <is>
          <t>10/27/2025</t>
        </is>
      </c>
      <c r="J871" s="5" t="n">
        <v>300</v>
      </c>
      <c r="K871" s="5" t="n">
        <v>15</v>
      </c>
      <c r="L871" s="5" t="inlineStr">
        <is>
          <t>60%</t>
        </is>
      </c>
      <c r="M871" s="5" t="n">
        <v>1673</v>
      </c>
      <c r="N871" s="5" t="n">
        <v>1.33</v>
      </c>
      <c r="O871" s="5" t="n">
        <v>1673</v>
      </c>
      <c r="P871" s="5" t="n">
        <v>1.33</v>
      </c>
      <c r="Q871" s="5" t="inlineStr">
        <is>
          <t>2025-10-02</t>
        </is>
      </c>
      <c r="R871" s="5" t="inlineStr">
        <is>
          <t>2025-11-13</t>
        </is>
      </c>
      <c r="S871" s="5" t="n">
        <v>43</v>
      </c>
      <c r="T871" s="5" t="n">
        <v>18</v>
      </c>
      <c r="U871" s="48" t="inlineStr">
        <is>
          <t>Talise</t>
        </is>
      </c>
    </row>
    <row r="872">
      <c r="A872" s="5" t="inlineStr">
        <is>
          <t>Bella Mirage</t>
        </is>
      </c>
      <c r="B872" s="5" t="inlineStr">
        <is>
          <t>Talise</t>
        </is>
      </c>
      <c r="C872" s="5" t="inlineStr">
        <is>
          <t>3115</t>
        </is>
      </c>
      <c r="D872" s="5" t="n">
        <v>3</v>
      </c>
      <c r="E872" s="5" t="n">
        <v>3</v>
      </c>
      <c r="F872" s="5" t="n">
        <v>2</v>
      </c>
      <c r="G872" s="5" t="inlineStr"/>
      <c r="H872" s="5" t="n">
        <v>1258</v>
      </c>
      <c r="I872" s="5" t="inlineStr">
        <is>
          <t>11/27/2024</t>
        </is>
      </c>
      <c r="J872" s="5" t="n">
        <v>200</v>
      </c>
      <c r="K872" s="5" t="n">
        <v>15</v>
      </c>
      <c r="L872" s="5" t="inlineStr">
        <is>
          <t>80%</t>
        </is>
      </c>
      <c r="M872" s="5" t="n">
        <v>1693</v>
      </c>
      <c r="N872" s="5" t="n">
        <v>1.35</v>
      </c>
      <c r="O872" s="5" t="n">
        <v>1580</v>
      </c>
      <c r="P872" s="5" t="n">
        <v>1.26</v>
      </c>
      <c r="Q872" s="5" t="inlineStr">
        <is>
          <t>2024-09-16</t>
        </is>
      </c>
      <c r="R872" s="5" t="inlineStr">
        <is>
          <t>2024-12-10</t>
        </is>
      </c>
      <c r="S872" s="5" t="n">
        <v>86</v>
      </c>
      <c r="T872" s="5" t="n">
        <v>14</v>
      </c>
      <c r="U872" s="48" t="inlineStr">
        <is>
          <t>Talise</t>
        </is>
      </c>
    </row>
    <row r="873">
      <c r="A873" s="5" t="inlineStr">
        <is>
          <t>Bella Mirage</t>
        </is>
      </c>
      <c r="B873" s="5" t="inlineStr">
        <is>
          <t>Talise</t>
        </is>
      </c>
      <c r="C873" s="5" t="inlineStr">
        <is>
          <t>2414</t>
        </is>
      </c>
      <c r="D873" s="5" t="n">
        <v>2</v>
      </c>
      <c r="E873" s="5" t="n">
        <v>3</v>
      </c>
      <c r="F873" s="5" t="n">
        <v>2</v>
      </c>
      <c r="G873" s="5" t="inlineStr"/>
      <c r="H873" s="5" t="n">
        <v>1258</v>
      </c>
      <c r="I873" s="5" t="inlineStr">
        <is>
          <t>8/10/2024</t>
        </is>
      </c>
      <c r="J873" s="5" t="n">
        <v>200</v>
      </c>
      <c r="K873" s="5" t="n">
        <v>13</v>
      </c>
      <c r="L873" s="5" t="inlineStr">
        <is>
          <t>80%</t>
        </is>
      </c>
      <c r="M873" s="5" t="n">
        <v>1694</v>
      </c>
      <c r="N873" s="5" t="n">
        <v>1.35</v>
      </c>
      <c r="O873" s="5" t="n">
        <v>1694</v>
      </c>
      <c r="P873" s="5" t="n">
        <v>1.35</v>
      </c>
      <c r="Q873" s="5" t="inlineStr">
        <is>
          <t>2024-04-12</t>
        </is>
      </c>
      <c r="R873" s="5" t="inlineStr">
        <is>
          <t>2024-10-08</t>
        </is>
      </c>
      <c r="S873" s="5" t="n">
        <v>180</v>
      </c>
      <c r="T873" s="5" t="n">
        <v>60</v>
      </c>
      <c r="U873" s="48" t="inlineStr">
        <is>
          <t>Talise</t>
        </is>
      </c>
    </row>
    <row r="874">
      <c r="A874" s="5" t="inlineStr">
        <is>
          <t>Bella Mirage</t>
        </is>
      </c>
      <c r="B874" s="5" t="inlineStr">
        <is>
          <t>Talise</t>
        </is>
      </c>
      <c r="C874" s="5" t="inlineStr">
        <is>
          <t>2414</t>
        </is>
      </c>
      <c r="D874" s="5" t="n">
        <v>2</v>
      </c>
      <c r="E874" s="5" t="n">
        <v>3</v>
      </c>
      <c r="F874" s="5" t="n">
        <v>2</v>
      </c>
      <c r="G874" s="5" t="inlineStr"/>
      <c r="H874" s="5" t="n">
        <v>1258</v>
      </c>
      <c r="I874" s="5" t="inlineStr">
        <is>
          <t>11/16/2025</t>
        </is>
      </c>
      <c r="J874" s="5" t="n">
        <v>300</v>
      </c>
      <c r="K874" s="5" t="n">
        <v>12</v>
      </c>
      <c r="L874" s="5" t="inlineStr">
        <is>
          <t>80%</t>
        </is>
      </c>
      <c r="M874" s="5" t="n">
        <v>1702</v>
      </c>
      <c r="N874" s="5" t="n">
        <v>1.35</v>
      </c>
      <c r="O874" s="5" t="n">
        <v>1702</v>
      </c>
      <c r="P874" s="5" t="n">
        <v>1.35</v>
      </c>
      <c r="Q874" s="5" t="inlineStr">
        <is>
          <t>2025-10-20</t>
        </is>
      </c>
      <c r="R874" s="5" t="inlineStr">
        <is>
          <t>2026-03-06</t>
        </is>
      </c>
      <c r="S874" s="5" t="n">
        <v>138</v>
      </c>
      <c r="T874" s="5" t="n">
        <v>111</v>
      </c>
      <c r="U874" s="48" t="inlineStr">
        <is>
          <t>Talise</t>
        </is>
      </c>
    </row>
    <row r="875">
      <c r="A875" s="5" t="inlineStr">
        <is>
          <t>Bella Mirage</t>
        </is>
      </c>
      <c r="B875" s="5" t="inlineStr">
        <is>
          <t>Talise</t>
        </is>
      </c>
      <c r="C875" s="5" t="inlineStr">
        <is>
          <t>4124</t>
        </is>
      </c>
      <c r="D875" s="5" t="n">
        <v>4</v>
      </c>
      <c r="E875" s="5" t="n">
        <v>3</v>
      </c>
      <c r="F875" s="5" t="n">
        <v>2</v>
      </c>
      <c r="G875" s="5" t="inlineStr"/>
      <c r="H875" s="5" t="n">
        <v>1258</v>
      </c>
      <c r="I875" s="5" t="inlineStr">
        <is>
          <t>11/15/2025</t>
        </is>
      </c>
      <c r="J875" s="5" t="n">
        <v>300</v>
      </c>
      <c r="K875" s="5" t="n">
        <v>15</v>
      </c>
      <c r="L875" s="5" t="inlineStr">
        <is>
          <t>80%</t>
        </is>
      </c>
      <c r="M875" s="5" t="n">
        <v>1707</v>
      </c>
      <c r="N875" s="5" t="n">
        <v>1.36</v>
      </c>
      <c r="O875" s="5" t="n">
        <v>1707</v>
      </c>
      <c r="P875" s="5" t="n">
        <v>1.36</v>
      </c>
      <c r="Q875" s="5" t="inlineStr">
        <is>
          <t>2025-10-08</t>
        </is>
      </c>
      <c r="R875" s="5" t="inlineStr">
        <is>
          <t>2025-11-26</t>
        </is>
      </c>
      <c r="S875" s="5" t="n">
        <v>50</v>
      </c>
      <c r="T875" s="5" t="n">
        <v>12</v>
      </c>
      <c r="U875" s="48" t="inlineStr">
        <is>
          <t>Talise</t>
        </is>
      </c>
    </row>
    <row r="876">
      <c r="A876" s="5" t="inlineStr">
        <is>
          <t>Bella Mirage</t>
        </is>
      </c>
      <c r="B876" s="5" t="inlineStr">
        <is>
          <t>Talise</t>
        </is>
      </c>
      <c r="C876" s="5" t="inlineStr">
        <is>
          <t>4924</t>
        </is>
      </c>
      <c r="D876" s="5" t="n">
        <v>4</v>
      </c>
      <c r="E876" s="5" t="n">
        <v>3</v>
      </c>
      <c r="F876" s="5" t="n">
        <v>2</v>
      </c>
      <c r="G876" s="5" t="inlineStr"/>
      <c r="H876" s="5" t="n">
        <v>1258</v>
      </c>
      <c r="I876" s="5" t="inlineStr">
        <is>
          <t>7/4/2023</t>
        </is>
      </c>
      <c r="J876" s="5" t="inlineStr"/>
      <c r="K876" s="5" t="inlineStr"/>
      <c r="L876" s="5" t="inlineStr">
        <is>
          <t>80%</t>
        </is>
      </c>
      <c r="M876" s="5" t="n">
        <v>1903</v>
      </c>
      <c r="N876" s="5" t="n">
        <v>1.51</v>
      </c>
      <c r="O876" s="5" t="n">
        <v>1744</v>
      </c>
      <c r="P876" s="5" t="n">
        <v>1.39</v>
      </c>
      <c r="Q876" s="5" t="inlineStr"/>
      <c r="R876" s="5" t="inlineStr">
        <is>
          <t>2023-10-19</t>
        </is>
      </c>
      <c r="S876" s="5" t="inlineStr"/>
      <c r="T876" s="5" t="inlineStr"/>
      <c r="U876" s="48" t="inlineStr">
        <is>
          <t>Talise</t>
        </is>
      </c>
    </row>
    <row r="877">
      <c r="A877" s="5" t="inlineStr">
        <is>
          <t>Bella Mirage</t>
        </is>
      </c>
      <c r="B877" s="5" t="inlineStr">
        <is>
          <t>Talise</t>
        </is>
      </c>
      <c r="C877" s="5" t="inlineStr">
        <is>
          <t>4924</t>
        </is>
      </c>
      <c r="D877" s="5" t="n">
        <v>4</v>
      </c>
      <c r="E877" s="5" t="n">
        <v>3</v>
      </c>
      <c r="F877" s="5" t="n">
        <v>2</v>
      </c>
      <c r="G877" s="5" t="inlineStr"/>
      <c r="H877" s="5" t="n">
        <v>1258</v>
      </c>
      <c r="I877" s="5" t="inlineStr">
        <is>
          <t>11/7/2024</t>
        </is>
      </c>
      <c r="J877" s="5" t="n">
        <v>200</v>
      </c>
      <c r="K877" s="5" t="n">
        <v>15</v>
      </c>
      <c r="L877" s="5" t="inlineStr">
        <is>
          <t>80%</t>
        </is>
      </c>
      <c r="M877" s="5" t="n">
        <v>1705</v>
      </c>
      <c r="N877" s="5" t="n">
        <v>1.36</v>
      </c>
      <c r="O877" s="5" t="n">
        <v>1591</v>
      </c>
      <c r="P877" s="5" t="n">
        <v>1.26</v>
      </c>
      <c r="Q877" s="5" t="inlineStr">
        <is>
          <t>2024-10-31</t>
        </is>
      </c>
      <c r="R877" s="5" t="inlineStr">
        <is>
          <t>2024-12-07</t>
        </is>
      </c>
      <c r="S877" s="5" t="n">
        <v>38</v>
      </c>
      <c r="T877" s="5" t="n">
        <v>31</v>
      </c>
      <c r="U877" s="48" t="inlineStr">
        <is>
          <t>Talise</t>
        </is>
      </c>
    </row>
    <row r="878">
      <c r="A878" s="5" t="inlineStr">
        <is>
          <t>Bella Mirage</t>
        </is>
      </c>
      <c r="B878" s="5" t="inlineStr">
        <is>
          <t>Talise</t>
        </is>
      </c>
      <c r="C878" s="5" t="inlineStr">
        <is>
          <t>4924</t>
        </is>
      </c>
      <c r="D878" s="5" t="n">
        <v>4</v>
      </c>
      <c r="E878" s="5" t="n">
        <v>3</v>
      </c>
      <c r="F878" s="5" t="n">
        <v>2</v>
      </c>
      <c r="G878" s="5" t="inlineStr"/>
      <c r="H878" s="5" t="n">
        <v>1258</v>
      </c>
      <c r="I878" s="5" t="inlineStr">
        <is>
          <t>12/24/2025</t>
        </is>
      </c>
      <c r="J878" s="5" t="n">
        <v>300</v>
      </c>
      <c r="K878" s="5" t="n">
        <v>12</v>
      </c>
      <c r="L878" s="5" t="inlineStr">
        <is>
          <t>80%</t>
        </is>
      </c>
      <c r="M878" s="5" t="n">
        <v>1707</v>
      </c>
      <c r="N878" s="5" t="n">
        <v>1.36</v>
      </c>
      <c r="O878" s="5" t="n">
        <v>1707</v>
      </c>
      <c r="P878" s="5" t="n">
        <v>1.36</v>
      </c>
      <c r="Q878" s="5" t="inlineStr">
        <is>
          <t>2025-11-26</t>
        </is>
      </c>
      <c r="R878" s="5" t="inlineStr">
        <is>
          <t>2026-03-06</t>
        </is>
      </c>
      <c r="S878" s="5" t="n">
        <v>101</v>
      </c>
      <c r="T878" s="5" t="n">
        <v>73</v>
      </c>
      <c r="U878" s="48" t="inlineStr">
        <is>
          <t>Talise</t>
        </is>
      </c>
    </row>
    <row r="879">
      <c r="A879" s="5" t="inlineStr">
        <is>
          <t>Bella Mirage</t>
        </is>
      </c>
      <c r="B879" s="5" t="inlineStr">
        <is>
          <t>Talise</t>
        </is>
      </c>
      <c r="C879" s="5" t="inlineStr">
        <is>
          <t>2421</t>
        </is>
      </c>
      <c r="D879" s="5" t="n">
        <v>2</v>
      </c>
      <c r="E879" s="5" t="n">
        <v>3</v>
      </c>
      <c r="F879" s="5" t="n">
        <v>2</v>
      </c>
      <c r="G879" s="5" t="inlineStr"/>
      <c r="H879" s="5" t="n">
        <v>1258</v>
      </c>
      <c r="I879" s="5" t="inlineStr">
        <is>
          <t>2/25/2025</t>
        </is>
      </c>
      <c r="J879" s="5" t="n">
        <v>200</v>
      </c>
      <c r="K879" s="5" t="n">
        <v>15</v>
      </c>
      <c r="L879" s="5" t="inlineStr">
        <is>
          <t>80%</t>
        </is>
      </c>
      <c r="M879" s="5" t="n">
        <v>1755</v>
      </c>
      <c r="N879" s="5" t="n">
        <v>1.4</v>
      </c>
      <c r="O879" s="5" t="n">
        <v>1638</v>
      </c>
      <c r="P879" s="5" t="n">
        <v>1.3</v>
      </c>
      <c r="Q879" s="5" t="inlineStr">
        <is>
          <t>2024-12-11</t>
        </is>
      </c>
      <c r="R879" s="5" t="inlineStr">
        <is>
          <t>2025-02-18</t>
        </is>
      </c>
      <c r="S879" s="5" t="n">
        <v>70</v>
      </c>
      <c r="T879" s="5" t="n">
        <v>0</v>
      </c>
      <c r="U879" s="48" t="inlineStr">
        <is>
          <t>Talise</t>
        </is>
      </c>
    </row>
    <row r="880">
      <c r="A880" s="5" t="inlineStr">
        <is>
          <t>Bella Mirage</t>
        </is>
      </c>
      <c r="B880" s="5" t="inlineStr">
        <is>
          <t>Talise</t>
        </is>
      </c>
      <c r="C880" s="5" t="inlineStr">
        <is>
          <t>2421</t>
        </is>
      </c>
      <c r="D880" s="5" t="n">
        <v>2</v>
      </c>
      <c r="E880" s="5" t="n">
        <v>3</v>
      </c>
      <c r="F880" s="5" t="n">
        <v>2</v>
      </c>
      <c r="G880" s="5" t="inlineStr"/>
      <c r="H880" s="5" t="n">
        <v>1258</v>
      </c>
      <c r="I880" s="5" t="inlineStr">
        <is>
          <t>6/2/2026</t>
        </is>
      </c>
      <c r="J880" s="5" t="n">
        <v>300</v>
      </c>
      <c r="K880" s="5" t="n">
        <v>14</v>
      </c>
      <c r="L880" s="5" t="inlineStr">
        <is>
          <t>80%</t>
        </is>
      </c>
      <c r="M880" s="5" t="n">
        <v>1724</v>
      </c>
      <c r="N880" s="5" t="n">
        <v>1.37</v>
      </c>
      <c r="O880" s="5" t="n">
        <v>1724</v>
      </c>
      <c r="P880" s="5" t="n">
        <v>1.37</v>
      </c>
      <c r="Q880" s="5" t="inlineStr">
        <is>
          <t>2026-03-16</t>
        </is>
      </c>
      <c r="R880" s="5" t="inlineStr">
        <is>
          <t>2026-04-15</t>
        </is>
      </c>
      <c r="S880" s="5" t="n">
        <v>31</v>
      </c>
      <c r="T880" s="5" t="n">
        <v>0</v>
      </c>
      <c r="U880" s="48" t="inlineStr">
        <is>
          <t>Talise</t>
        </is>
      </c>
    </row>
    <row r="881">
      <c r="A881" s="5" t="inlineStr">
        <is>
          <t>Bella Mirage</t>
        </is>
      </c>
      <c r="B881" s="5" t="inlineStr">
        <is>
          <t>Talise</t>
        </is>
      </c>
      <c r="C881" s="5" t="inlineStr">
        <is>
          <t>0628</t>
        </is>
      </c>
      <c r="D881" s="5" t="n">
        <v>2</v>
      </c>
      <c r="E881" s="5" t="n">
        <v>3</v>
      </c>
      <c r="F881" s="5" t="n">
        <v>2</v>
      </c>
      <c r="G881" s="5" t="inlineStr"/>
      <c r="H881" s="5" t="n">
        <v>1258</v>
      </c>
      <c r="I881" s="5" t="inlineStr">
        <is>
          <t>1/25/2025</t>
        </is>
      </c>
      <c r="J881" s="5" t="n">
        <v>200</v>
      </c>
      <c r="K881" s="5" t="n">
        <v>14</v>
      </c>
      <c r="L881" s="5" t="inlineStr">
        <is>
          <t>80%</t>
        </is>
      </c>
      <c r="M881" s="5" t="n">
        <v>1738</v>
      </c>
      <c r="N881" s="5" t="n">
        <v>1.38</v>
      </c>
      <c r="O881" s="5" t="n">
        <v>1614</v>
      </c>
      <c r="P881" s="5" t="n">
        <v>1.28</v>
      </c>
      <c r="Q881" s="5" t="inlineStr">
        <is>
          <t>2024-11-04</t>
        </is>
      </c>
      <c r="R881" s="5" t="inlineStr">
        <is>
          <t>2025-03-10</t>
        </is>
      </c>
      <c r="S881" s="5" t="n">
        <v>127</v>
      </c>
      <c r="T881" s="5" t="n">
        <v>45</v>
      </c>
      <c r="U881" s="48" t="inlineStr">
        <is>
          <t>Talise</t>
        </is>
      </c>
    </row>
    <row r="882">
      <c r="A882" s="5" t="inlineStr">
        <is>
          <t>Bella Mirage</t>
        </is>
      </c>
      <c r="B882" s="5" t="inlineStr">
        <is>
          <t>Talise</t>
        </is>
      </c>
      <c r="C882" s="5" t="inlineStr">
        <is>
          <t>4918</t>
        </is>
      </c>
      <c r="D882" s="5" t="n">
        <v>4</v>
      </c>
      <c r="E882" s="5" t="n">
        <v>3</v>
      </c>
      <c r="F882" s="5" t="n">
        <v>2</v>
      </c>
      <c r="G882" s="5" t="inlineStr"/>
      <c r="H882" s="5" t="n">
        <v>1258</v>
      </c>
      <c r="I882" s="5" t="inlineStr">
        <is>
          <t>1/21/2025</t>
        </is>
      </c>
      <c r="J882" s="5" t="n">
        <v>200</v>
      </c>
      <c r="K882" s="5" t="n">
        <v>14</v>
      </c>
      <c r="L882" s="5" t="inlineStr">
        <is>
          <t>80%</t>
        </is>
      </c>
      <c r="M882" s="5" t="n">
        <v>1737</v>
      </c>
      <c r="N882" s="5" t="n">
        <v>1.38</v>
      </c>
      <c r="O882" s="5" t="n">
        <v>1613</v>
      </c>
      <c r="P882" s="5" t="n">
        <v>1.28</v>
      </c>
      <c r="Q882" s="5" t="inlineStr">
        <is>
          <t>2024-11-21</t>
        </is>
      </c>
      <c r="R882" s="5" t="inlineStr">
        <is>
          <t>2024-12-02</t>
        </is>
      </c>
      <c r="S882" s="5" t="n">
        <v>12</v>
      </c>
      <c r="T882" s="5" t="n">
        <v>0</v>
      </c>
      <c r="U882" s="48" t="inlineStr">
        <is>
          <t>Talise</t>
        </is>
      </c>
    </row>
    <row r="883">
      <c r="A883" s="5" t="inlineStr">
        <is>
          <t>Bella Mirage</t>
        </is>
      </c>
      <c r="B883" s="5" t="inlineStr">
        <is>
          <t>Talise</t>
        </is>
      </c>
      <c r="C883" s="5" t="inlineStr">
        <is>
          <t>0615</t>
        </is>
      </c>
      <c r="D883" s="5" t="n">
        <v>1</v>
      </c>
      <c r="E883" s="5" t="n">
        <v>3</v>
      </c>
      <c r="F883" s="5" t="n">
        <v>2</v>
      </c>
      <c r="G883" s="5" t="inlineStr"/>
      <c r="H883" s="5" t="n">
        <v>1258</v>
      </c>
      <c r="I883" s="5" t="inlineStr">
        <is>
          <t>10/18/2023</t>
        </is>
      </c>
      <c r="J883" s="5" t="inlineStr"/>
      <c r="K883" s="5" t="inlineStr"/>
      <c r="L883" s="5" t="inlineStr">
        <is>
          <t>80%</t>
        </is>
      </c>
      <c r="M883" s="5" t="n">
        <v>1793</v>
      </c>
      <c r="N883" s="5" t="n">
        <v>1.43</v>
      </c>
      <c r="O883" s="5" t="n">
        <v>1644</v>
      </c>
      <c r="P883" s="5" t="n">
        <v>1.31</v>
      </c>
      <c r="Q883" s="5" t="inlineStr">
        <is>
          <t>2023-10-11</t>
        </is>
      </c>
      <c r="R883" s="5" t="inlineStr">
        <is>
          <t>2023-12-18</t>
        </is>
      </c>
      <c r="S883" s="5" t="n">
        <v>69</v>
      </c>
      <c r="T883" s="5" t="n">
        <v>62</v>
      </c>
      <c r="U883" s="48" t="inlineStr">
        <is>
          <t>Talise</t>
        </is>
      </c>
    </row>
    <row r="884">
      <c r="A884" s="5" t="inlineStr">
        <is>
          <t>Bella Mirage</t>
        </is>
      </c>
      <c r="B884" s="5" t="inlineStr">
        <is>
          <t>Talise</t>
        </is>
      </c>
      <c r="C884" s="5" t="inlineStr">
        <is>
          <t>0615</t>
        </is>
      </c>
      <c r="D884" s="5" t="n">
        <v>1</v>
      </c>
      <c r="E884" s="5" t="n">
        <v>3</v>
      </c>
      <c r="F884" s="5" t="n">
        <v>2</v>
      </c>
      <c r="G884" s="5" t="inlineStr"/>
      <c r="H884" s="5" t="n">
        <v>1258</v>
      </c>
      <c r="I884" s="5" t="inlineStr">
        <is>
          <t>2/17/2025</t>
        </is>
      </c>
      <c r="J884" s="5" t="n">
        <v>200</v>
      </c>
      <c r="K884" s="5" t="n">
        <v>13</v>
      </c>
      <c r="L884" s="5" t="inlineStr">
        <is>
          <t>80%</t>
        </is>
      </c>
      <c r="M884" s="5" t="n">
        <v>1743</v>
      </c>
      <c r="N884" s="5" t="n">
        <v>1.39</v>
      </c>
      <c r="O884" s="5" t="n">
        <v>1609</v>
      </c>
      <c r="P884" s="5" t="n">
        <v>1.28</v>
      </c>
      <c r="Q884" s="5" t="inlineStr">
        <is>
          <t>2024-12-07</t>
        </is>
      </c>
      <c r="R884" s="5" t="inlineStr">
        <is>
          <t>2024-12-31</t>
        </is>
      </c>
      <c r="S884" s="5" t="n">
        <v>25</v>
      </c>
      <c r="T884" s="5" t="n">
        <v>0</v>
      </c>
      <c r="U884" s="48" t="inlineStr">
        <is>
          <t>Talise</t>
        </is>
      </c>
    </row>
    <row r="885">
      <c r="A885" s="5" t="inlineStr">
        <is>
          <t>Bella Mirage</t>
        </is>
      </c>
      <c r="B885" s="5" t="inlineStr">
        <is>
          <t>Talise</t>
        </is>
      </c>
      <c r="C885" s="5" t="inlineStr">
        <is>
          <t>4921</t>
        </is>
      </c>
      <c r="D885" s="5" t="n">
        <v>4</v>
      </c>
      <c r="E885" s="5" t="n">
        <v>3</v>
      </c>
      <c r="F885" s="5" t="n">
        <v>2</v>
      </c>
      <c r="G885" s="5" t="inlineStr"/>
      <c r="H885" s="5" t="n">
        <v>1258</v>
      </c>
      <c r="I885" s="5" t="inlineStr">
        <is>
          <t>3/15/2024</t>
        </is>
      </c>
      <c r="J885" s="5" t="n">
        <v>200</v>
      </c>
      <c r="K885" s="5" t="n">
        <v>15</v>
      </c>
      <c r="L885" s="5" t="inlineStr">
        <is>
          <t>80%</t>
        </is>
      </c>
      <c r="M885" s="5" t="n">
        <v>1753</v>
      </c>
      <c r="N885" s="5" t="n">
        <v>1.39</v>
      </c>
      <c r="O885" s="5" t="n">
        <v>1636</v>
      </c>
      <c r="P885" s="5" t="n">
        <v>1.3</v>
      </c>
      <c r="Q885" s="5" t="inlineStr">
        <is>
          <t>2024-02-12</t>
        </is>
      </c>
      <c r="R885" s="5" t="inlineStr">
        <is>
          <t>2024-02-17</t>
        </is>
      </c>
      <c r="S885" s="5" t="n">
        <v>6</v>
      </c>
      <c r="T885" s="5" t="n">
        <v>0</v>
      </c>
      <c r="U885" s="48" t="inlineStr">
        <is>
          <t>Talise</t>
        </is>
      </c>
    </row>
    <row r="886">
      <c r="A886" s="5" t="inlineStr">
        <is>
          <t>Bella Mirage</t>
        </is>
      </c>
      <c r="B886" s="5" t="inlineStr">
        <is>
          <t>Talise</t>
        </is>
      </c>
      <c r="C886" s="5" t="inlineStr">
        <is>
          <t>4114</t>
        </is>
      </c>
      <c r="D886" s="5" t="inlineStr"/>
      <c r="E886" s="5" t="n">
        <v>3</v>
      </c>
      <c r="F886" s="5" t="n">
        <v>2</v>
      </c>
      <c r="G886" s="5" t="inlineStr"/>
      <c r="H886" s="5" t="n">
        <v>1258</v>
      </c>
      <c r="I886" s="5" t="inlineStr">
        <is>
          <t>1/19/2024</t>
        </is>
      </c>
      <c r="J886" s="5" t="inlineStr"/>
      <c r="K886" s="5" t="inlineStr"/>
      <c r="L886" s="5" t="inlineStr">
        <is>
          <t>80%</t>
        </is>
      </c>
      <c r="M886" s="5" t="n">
        <v>1807</v>
      </c>
      <c r="N886" s="5" t="n">
        <v>1.44</v>
      </c>
      <c r="O886" s="5" t="n">
        <v>1656</v>
      </c>
      <c r="P886" s="5" t="n">
        <v>1.32</v>
      </c>
      <c r="Q886" s="5" t="inlineStr">
        <is>
          <t>2023-12-06</t>
        </is>
      </c>
      <c r="R886" s="5" t="inlineStr">
        <is>
          <t>2024-02-12</t>
        </is>
      </c>
      <c r="S886" s="5" t="n">
        <v>69</v>
      </c>
      <c r="T886" s="5" t="n">
        <v>25</v>
      </c>
      <c r="U886" s="48" t="inlineStr">
        <is>
          <t>Talise</t>
        </is>
      </c>
    </row>
    <row r="887">
      <c r="A887" s="5" t="inlineStr">
        <is>
          <t>Bella Mirage</t>
        </is>
      </c>
      <c r="B887" s="5" t="inlineStr">
        <is>
          <t>Talise</t>
        </is>
      </c>
      <c r="C887" s="5" t="inlineStr">
        <is>
          <t>4114</t>
        </is>
      </c>
      <c r="D887" s="5" t="inlineStr"/>
      <c r="E887" s="5" t="n">
        <v>3</v>
      </c>
      <c r="F887" s="5" t="n">
        <v>2</v>
      </c>
      <c r="G887" s="5" t="inlineStr"/>
      <c r="H887" s="5" t="n">
        <v>1258</v>
      </c>
      <c r="I887" s="5" t="inlineStr">
        <is>
          <t>5/8/2025</t>
        </is>
      </c>
      <c r="J887" s="5" t="n">
        <v>200</v>
      </c>
      <c r="K887" s="5" t="n">
        <v>12</v>
      </c>
      <c r="L887" s="5" t="inlineStr">
        <is>
          <t>80%</t>
        </is>
      </c>
      <c r="M887" s="5" t="n">
        <v>1769</v>
      </c>
      <c r="N887" s="5" t="n">
        <v>1.41</v>
      </c>
      <c r="O887" s="5" t="n">
        <v>1622</v>
      </c>
      <c r="P887" s="5" t="n">
        <v>1.29</v>
      </c>
      <c r="Q887" s="5" t="inlineStr">
        <is>
          <t>2025-02-25</t>
        </is>
      </c>
      <c r="R887" s="5" t="inlineStr">
        <is>
          <t>2025-03-13</t>
        </is>
      </c>
      <c r="S887" s="5" t="n">
        <v>17</v>
      </c>
      <c r="T887" s="5" t="n">
        <v>0</v>
      </c>
      <c r="U887" s="48" t="inlineStr">
        <is>
          <t>Talise</t>
        </is>
      </c>
    </row>
    <row r="888">
      <c r="A888" s="5" t="inlineStr">
        <is>
          <t>Bella Mirage</t>
        </is>
      </c>
      <c r="B888" s="5" t="inlineStr">
        <is>
          <t>Talise</t>
        </is>
      </c>
      <c r="C888" s="5" t="inlineStr">
        <is>
          <t>4115</t>
        </is>
      </c>
      <c r="D888" s="5" t="n">
        <v>4</v>
      </c>
      <c r="E888" s="5" t="n">
        <v>3</v>
      </c>
      <c r="F888" s="5" t="n">
        <v>2</v>
      </c>
      <c r="G888" s="5" t="inlineStr"/>
      <c r="H888" s="5" t="n">
        <v>1258</v>
      </c>
      <c r="I888" s="5" t="inlineStr">
        <is>
          <t>1/11/2025</t>
        </is>
      </c>
      <c r="J888" s="5" t="n">
        <v>200</v>
      </c>
      <c r="K888" s="5" t="n">
        <v>14</v>
      </c>
      <c r="L888" s="5" t="inlineStr">
        <is>
          <t>80%</t>
        </is>
      </c>
      <c r="M888" s="5" t="n">
        <v>1787</v>
      </c>
      <c r="N888" s="5" t="n">
        <v>1.42</v>
      </c>
      <c r="O888" s="5" t="n">
        <v>1659</v>
      </c>
      <c r="P888" s="5" t="n">
        <v>1.32</v>
      </c>
      <c r="Q888" s="5" t="inlineStr">
        <is>
          <t>2024-10-22</t>
        </is>
      </c>
      <c r="R888" s="5" t="inlineStr">
        <is>
          <t>2024-11-07</t>
        </is>
      </c>
      <c r="S888" s="5" t="n">
        <v>17</v>
      </c>
      <c r="T888" s="5" t="n">
        <v>0</v>
      </c>
      <c r="U888" s="48" t="inlineStr">
        <is>
          <t>Talise</t>
        </is>
      </c>
    </row>
    <row r="889">
      <c r="A889" s="5" t="inlineStr">
        <is>
          <t>Bella Mirage</t>
        </is>
      </c>
      <c r="B889" s="5" t="inlineStr">
        <is>
          <t>Talise</t>
        </is>
      </c>
      <c r="C889" s="5" t="inlineStr">
        <is>
          <t>3621</t>
        </is>
      </c>
      <c r="D889" s="5" t="n">
        <v>2</v>
      </c>
      <c r="E889" s="5" t="n">
        <v>3</v>
      </c>
      <c r="F889" s="5" t="n">
        <v>2</v>
      </c>
      <c r="G889" s="5" t="inlineStr"/>
      <c r="H889" s="5" t="n">
        <v>1258</v>
      </c>
      <c r="I889" s="5" t="inlineStr">
        <is>
          <t>7/6/2025</t>
        </is>
      </c>
      <c r="J889" s="5" t="n">
        <v>200</v>
      </c>
      <c r="K889" s="5" t="n">
        <v>14</v>
      </c>
      <c r="L889" s="5" t="inlineStr">
        <is>
          <t>80%</t>
        </is>
      </c>
      <c r="M889" s="5" t="n">
        <v>1788</v>
      </c>
      <c r="N889" s="5" t="n">
        <v>1.42</v>
      </c>
      <c r="O889" s="5" t="n">
        <v>1660</v>
      </c>
      <c r="P889" s="5" t="n">
        <v>1.32</v>
      </c>
      <c r="Q889" s="5" t="inlineStr">
        <is>
          <t>2025-06-07</t>
        </is>
      </c>
      <c r="R889" s="5" t="inlineStr">
        <is>
          <t>2025-06-12</t>
        </is>
      </c>
      <c r="S889" s="5" t="n">
        <v>6</v>
      </c>
      <c r="T889" s="5" t="n">
        <v>0</v>
      </c>
      <c r="U889" s="48" t="inlineStr">
        <is>
          <t>Talise</t>
        </is>
      </c>
    </row>
    <row r="890">
      <c r="A890" s="5" t="inlineStr">
        <is>
          <t>Bella Mirage</t>
        </is>
      </c>
      <c r="B890" s="5" t="inlineStr">
        <is>
          <t>Talise</t>
        </is>
      </c>
      <c r="C890" s="5" t="inlineStr">
        <is>
          <t>0531</t>
        </is>
      </c>
      <c r="D890" s="5" t="inlineStr"/>
      <c r="E890" s="5" t="n">
        <v>3</v>
      </c>
      <c r="F890" s="5" t="n">
        <v>2</v>
      </c>
      <c r="G890" s="5" t="inlineStr"/>
      <c r="H890" s="5" t="n">
        <v>1258</v>
      </c>
      <c r="I890" s="5" t="inlineStr">
        <is>
          <t>4/23/2024</t>
        </is>
      </c>
      <c r="J890" s="5" t="n">
        <v>200</v>
      </c>
      <c r="K890" s="5" t="n">
        <v>13</v>
      </c>
      <c r="L890" s="5" t="inlineStr">
        <is>
          <t>80%</t>
        </is>
      </c>
      <c r="M890" s="5" t="n">
        <v>1790</v>
      </c>
      <c r="N890" s="5" t="n">
        <v>1.42</v>
      </c>
      <c r="O890" s="5" t="n">
        <v>1790</v>
      </c>
      <c r="P890" s="5" t="n">
        <v>1.42</v>
      </c>
      <c r="Q890" s="5" t="inlineStr">
        <is>
          <t>2024-04-09</t>
        </is>
      </c>
      <c r="R890" s="5" t="inlineStr">
        <is>
          <t>2024-10-06</t>
        </is>
      </c>
      <c r="S890" s="5" t="n">
        <v>181</v>
      </c>
      <c r="T890" s="5" t="n">
        <v>167</v>
      </c>
      <c r="U890" s="48" t="inlineStr">
        <is>
          <t>Talise</t>
        </is>
      </c>
    </row>
    <row r="891">
      <c r="A891" s="5" t="inlineStr">
        <is>
          <t>Bella Mirage</t>
        </is>
      </c>
      <c r="B891" s="5" t="inlineStr">
        <is>
          <t>Talise</t>
        </is>
      </c>
      <c r="C891" s="5" t="inlineStr">
        <is>
          <t>0531</t>
        </is>
      </c>
      <c r="D891" s="5" t="inlineStr"/>
      <c r="E891" s="5" t="n">
        <v>3</v>
      </c>
      <c r="F891" s="5" t="n">
        <v>2</v>
      </c>
      <c r="G891" s="5" t="inlineStr"/>
      <c r="H891" s="5" t="n">
        <v>1258</v>
      </c>
      <c r="I891" s="5" t="inlineStr">
        <is>
          <t>1/8/2026</t>
        </is>
      </c>
      <c r="J891" s="5" t="n">
        <v>300</v>
      </c>
      <c r="K891" s="5" t="n">
        <v>12</v>
      </c>
      <c r="L891" s="5" t="inlineStr">
        <is>
          <t>80%</t>
        </is>
      </c>
      <c r="M891" s="5" t="n">
        <v>1788</v>
      </c>
      <c r="N891" s="5" t="n">
        <v>1.42</v>
      </c>
      <c r="O891" s="5" t="n">
        <v>1788</v>
      </c>
      <c r="P891" s="5" t="n">
        <v>1.42</v>
      </c>
      <c r="Q891" s="5" t="inlineStr">
        <is>
          <t>2025-10-28</t>
        </is>
      </c>
      <c r="R891" s="5" t="inlineStr">
        <is>
          <t>2026-03-02</t>
        </is>
      </c>
      <c r="S891" s="5" t="n">
        <v>126</v>
      </c>
      <c r="T891" s="5" t="n">
        <v>54</v>
      </c>
      <c r="U891" s="48" t="inlineStr">
        <is>
          <t>Talise</t>
        </is>
      </c>
    </row>
    <row r="892">
      <c r="A892" s="5" t="inlineStr">
        <is>
          <t>Bella Mirage</t>
        </is>
      </c>
      <c r="B892" s="5" t="inlineStr">
        <is>
          <t>Talise</t>
        </is>
      </c>
      <c r="C892" s="5" t="inlineStr">
        <is>
          <t>4925</t>
        </is>
      </c>
      <c r="D892" s="5" t="n">
        <v>4</v>
      </c>
      <c r="E892" s="5" t="n">
        <v>3</v>
      </c>
      <c r="F892" s="5" t="n">
        <v>2</v>
      </c>
      <c r="G892" s="5" t="inlineStr"/>
      <c r="H892" s="5" t="n">
        <v>1258</v>
      </c>
      <c r="I892" s="5" t="inlineStr">
        <is>
          <t>2/27/2025</t>
        </is>
      </c>
      <c r="J892" s="5" t="n">
        <v>200</v>
      </c>
      <c r="K892" s="5" t="n">
        <v>14</v>
      </c>
      <c r="L892" s="5" t="inlineStr">
        <is>
          <t>80%</t>
        </is>
      </c>
      <c r="M892" s="5" t="n">
        <v>1706</v>
      </c>
      <c r="N892" s="5" t="n">
        <v>1.36</v>
      </c>
      <c r="O892" s="5" t="n">
        <v>1584</v>
      </c>
      <c r="P892" s="5" t="n">
        <v>1.26</v>
      </c>
      <c r="Q892" s="5" t="inlineStr">
        <is>
          <t>2025-01-10</t>
        </is>
      </c>
      <c r="R892" s="5" t="inlineStr">
        <is>
          <t>2025-03-05</t>
        </is>
      </c>
      <c r="S892" s="5" t="n">
        <v>55</v>
      </c>
      <c r="T892" s="5" t="n">
        <v>7</v>
      </c>
      <c r="U892" s="48" t="inlineStr">
        <is>
          <t>Talise</t>
        </is>
      </c>
    </row>
    <row r="893">
      <c r="A893" s="5" t="inlineStr">
        <is>
          <t>Bella Mirage</t>
        </is>
      </c>
      <c r="B893" s="5" t="inlineStr">
        <is>
          <t>Talise</t>
        </is>
      </c>
      <c r="C893" s="5" t="inlineStr">
        <is>
          <t>4925</t>
        </is>
      </c>
      <c r="D893" s="5" t="n">
        <v>4</v>
      </c>
      <c r="E893" s="5" t="n">
        <v>3</v>
      </c>
      <c r="F893" s="5" t="n">
        <v>2</v>
      </c>
      <c r="G893" s="5" t="inlineStr"/>
      <c r="H893" s="5" t="n">
        <v>1258</v>
      </c>
      <c r="I893" s="5" t="inlineStr">
        <is>
          <t>6/15/2026</t>
        </is>
      </c>
      <c r="J893" s="5" t="n">
        <v>300</v>
      </c>
      <c r="K893" s="5" t="n">
        <v>13</v>
      </c>
      <c r="L893" s="5" t="inlineStr">
        <is>
          <t>80%</t>
        </is>
      </c>
      <c r="M893" s="5" t="n">
        <v>1789</v>
      </c>
      <c r="N893" s="5" t="n">
        <v>1.42</v>
      </c>
      <c r="O893" s="5" t="n">
        <v>1789</v>
      </c>
      <c r="P893" s="5" t="n">
        <v>1.42</v>
      </c>
      <c r="Q893" s="5" t="inlineStr">
        <is>
          <t>2026-04-08</t>
        </is>
      </c>
      <c r="R893" s="5" t="inlineStr">
        <is>
          <t>2026-04-21</t>
        </is>
      </c>
      <c r="S893" s="5" t="n">
        <v>14</v>
      </c>
      <c r="T893" s="5" t="n">
        <v>0</v>
      </c>
      <c r="U893" s="48" t="inlineStr">
        <is>
          <t>Talise</t>
        </is>
      </c>
    </row>
    <row r="894">
      <c r="A894" s="5" t="inlineStr">
        <is>
          <t>Bella Mirage</t>
        </is>
      </c>
      <c r="B894" s="5" t="inlineStr">
        <is>
          <t>Talise</t>
        </is>
      </c>
      <c r="C894" s="5" t="inlineStr">
        <is>
          <t>3121</t>
        </is>
      </c>
      <c r="D894" s="5" t="inlineStr"/>
      <c r="E894" s="5" t="n">
        <v>3</v>
      </c>
      <c r="F894" s="5" t="n">
        <v>2</v>
      </c>
      <c r="G894" s="5" t="inlineStr"/>
      <c r="H894" s="5" t="n">
        <v>1258</v>
      </c>
      <c r="I894" s="5" t="inlineStr">
        <is>
          <t>12/12/2023</t>
        </is>
      </c>
      <c r="J894" s="5" t="inlineStr"/>
      <c r="K894" s="5" t="inlineStr"/>
      <c r="L894" s="5" t="inlineStr">
        <is>
          <t>80%</t>
        </is>
      </c>
      <c r="M894" s="5" t="n">
        <v>1915</v>
      </c>
      <c r="N894" s="5" t="n">
        <v>1.52</v>
      </c>
      <c r="O894" s="5" t="n">
        <v>1852</v>
      </c>
      <c r="P894" s="5" t="n">
        <v>1.47</v>
      </c>
      <c r="Q894" s="5" t="inlineStr">
        <is>
          <t>2023-08-31</t>
        </is>
      </c>
      <c r="R894" s="5" t="inlineStr">
        <is>
          <t>2023-09-29</t>
        </is>
      </c>
      <c r="S894" s="5" t="n">
        <v>30</v>
      </c>
      <c r="T894" s="5" t="n">
        <v>0</v>
      </c>
      <c r="U894" s="48" t="inlineStr">
        <is>
          <t>Talise</t>
        </is>
      </c>
    </row>
    <row r="895">
      <c r="A895" s="5" t="inlineStr">
        <is>
          <t>Bella Mirage</t>
        </is>
      </c>
      <c r="B895" s="5" t="inlineStr">
        <is>
          <t>Talise</t>
        </is>
      </c>
      <c r="C895" s="5" t="inlineStr">
        <is>
          <t>3121</t>
        </is>
      </c>
      <c r="D895" s="5" t="inlineStr"/>
      <c r="E895" s="5" t="n">
        <v>3</v>
      </c>
      <c r="F895" s="5" t="n">
        <v>2</v>
      </c>
      <c r="G895" s="5" t="inlineStr"/>
      <c r="H895" s="5" t="n">
        <v>1258</v>
      </c>
      <c r="I895" s="5" t="inlineStr">
        <is>
          <t>2/11/2025</t>
        </is>
      </c>
      <c r="J895" s="5" t="n">
        <v>200</v>
      </c>
      <c r="K895" s="5" t="n">
        <v>15</v>
      </c>
      <c r="L895" s="5" t="inlineStr">
        <is>
          <t>80%</t>
        </is>
      </c>
      <c r="M895" s="5" t="n">
        <v>1981</v>
      </c>
      <c r="N895" s="5" t="n">
        <v>1.57</v>
      </c>
      <c r="O895" s="5" t="n">
        <v>1849</v>
      </c>
      <c r="P895" s="5" t="n">
        <v>1.47</v>
      </c>
      <c r="Q895" s="5" t="inlineStr">
        <is>
          <t>2024-11-27</t>
        </is>
      </c>
      <c r="R895" s="5" t="inlineStr">
        <is>
          <t>2025-02-13</t>
        </is>
      </c>
      <c r="S895" s="5" t="n">
        <v>79</v>
      </c>
      <c r="T895" s="5" t="n">
        <v>3</v>
      </c>
      <c r="U895" s="48" t="inlineStr">
        <is>
          <t>Talise</t>
        </is>
      </c>
    </row>
    <row r="896">
      <c r="A896" s="5" t="inlineStr">
        <is>
          <t>Bella Mirage</t>
        </is>
      </c>
      <c r="B896" s="5" t="inlineStr">
        <is>
          <t>Talise</t>
        </is>
      </c>
      <c r="C896" s="5" t="inlineStr">
        <is>
          <t>3121</t>
        </is>
      </c>
      <c r="D896" s="5" t="inlineStr"/>
      <c r="E896" s="5" t="n">
        <v>3</v>
      </c>
      <c r="F896" s="5" t="n">
        <v>2</v>
      </c>
      <c r="G896" s="5" t="inlineStr"/>
      <c r="H896" s="5" t="n">
        <v>1258</v>
      </c>
      <c r="I896" s="5" t="inlineStr">
        <is>
          <t>7/11/2025</t>
        </is>
      </c>
      <c r="J896" s="5" t="n">
        <v>200</v>
      </c>
      <c r="K896" s="5" t="n">
        <v>13</v>
      </c>
      <c r="L896" s="5" t="inlineStr">
        <is>
          <t>80%</t>
        </is>
      </c>
      <c r="M896" s="5" t="n">
        <v>1790</v>
      </c>
      <c r="N896" s="5" t="n">
        <v>1.42</v>
      </c>
      <c r="O896" s="5" t="n">
        <v>1652</v>
      </c>
      <c r="P896" s="5" t="n">
        <v>1.31</v>
      </c>
      <c r="Q896" s="5" t="inlineStr">
        <is>
          <t>2025-06-24</t>
        </is>
      </c>
      <c r="R896" s="5" t="inlineStr">
        <is>
          <t>2025-07-27</t>
        </is>
      </c>
      <c r="S896" s="5" t="n">
        <v>34</v>
      </c>
      <c r="T896" s="5" t="n">
        <v>17</v>
      </c>
      <c r="U896" s="48" t="inlineStr">
        <is>
          <t>Talise</t>
        </is>
      </c>
    </row>
    <row r="897">
      <c r="A897" s="5" t="inlineStr">
        <is>
          <t>Bella Mirage</t>
        </is>
      </c>
      <c r="B897" s="5" t="inlineStr">
        <is>
          <t>Talise</t>
        </is>
      </c>
      <c r="C897" s="5" t="inlineStr">
        <is>
          <t>2425</t>
        </is>
      </c>
      <c r="D897" s="5" t="n">
        <v>2</v>
      </c>
      <c r="E897" s="5" t="n">
        <v>3</v>
      </c>
      <c r="F897" s="5" t="n">
        <v>2</v>
      </c>
      <c r="G897" s="5" t="inlineStr"/>
      <c r="H897" s="5" t="n">
        <v>1258</v>
      </c>
      <c r="I897" s="5" t="inlineStr">
        <is>
          <t>2/3/2024</t>
        </is>
      </c>
      <c r="J897" s="5" t="n">
        <v>200</v>
      </c>
      <c r="K897" s="5" t="n">
        <v>15</v>
      </c>
      <c r="L897" s="5" t="inlineStr">
        <is>
          <t>80%</t>
        </is>
      </c>
      <c r="M897" s="5" t="n">
        <v>1950</v>
      </c>
      <c r="N897" s="5" t="n">
        <v>1.55</v>
      </c>
      <c r="O897" s="5" t="n">
        <v>1820</v>
      </c>
      <c r="P897" s="5" t="n">
        <v>1.45</v>
      </c>
      <c r="Q897" s="5" t="inlineStr">
        <is>
          <t>2023-11-17</t>
        </is>
      </c>
      <c r="R897" s="5" t="inlineStr">
        <is>
          <t>2024-02-29</t>
        </is>
      </c>
      <c r="S897" s="5" t="n">
        <v>105</v>
      </c>
      <c r="T897" s="5" t="n">
        <v>27</v>
      </c>
      <c r="U897" s="48" t="inlineStr">
        <is>
          <t>Talise</t>
        </is>
      </c>
    </row>
    <row r="898">
      <c r="A898" s="5" t="inlineStr">
        <is>
          <t>Bella Mirage</t>
        </is>
      </c>
      <c r="B898" s="5" t="inlineStr">
        <is>
          <t>Talise</t>
        </is>
      </c>
      <c r="C898" s="5" t="inlineStr">
        <is>
          <t>2425</t>
        </is>
      </c>
      <c r="D898" s="5" t="n">
        <v>2</v>
      </c>
      <c r="E898" s="5" t="n">
        <v>3</v>
      </c>
      <c r="F898" s="5" t="n">
        <v>2</v>
      </c>
      <c r="G898" s="5" t="inlineStr"/>
      <c r="H898" s="5" t="n">
        <v>1258</v>
      </c>
      <c r="I898" s="5" t="inlineStr">
        <is>
          <t>3/30/2025</t>
        </is>
      </c>
      <c r="J898" s="5" t="n">
        <v>200</v>
      </c>
      <c r="K898" s="5" t="n">
        <v>14</v>
      </c>
      <c r="L898" s="5" t="inlineStr">
        <is>
          <t>80%</t>
        </is>
      </c>
      <c r="M898" s="5" t="n">
        <v>1840</v>
      </c>
      <c r="N898" s="5" t="n">
        <v>1.46</v>
      </c>
      <c r="O898" s="5" t="n">
        <v>1709</v>
      </c>
      <c r="P898" s="5" t="n">
        <v>1.36</v>
      </c>
      <c r="Q898" s="5" t="inlineStr">
        <is>
          <t>2025-01-16</t>
        </is>
      </c>
      <c r="R898" s="5" t="inlineStr">
        <is>
          <t>2025-06-01</t>
        </is>
      </c>
      <c r="S898" s="5" t="n">
        <v>137</v>
      </c>
      <c r="T898" s="5" t="n">
        <v>64</v>
      </c>
      <c r="U898" s="48" t="inlineStr">
        <is>
          <t>Talise</t>
        </is>
      </c>
    </row>
    <row r="899">
      <c r="A899" s="5" t="inlineStr">
        <is>
          <t>Bella Mirage</t>
        </is>
      </c>
      <c r="B899" s="5" t="inlineStr">
        <is>
          <t>Talise</t>
        </is>
      </c>
      <c r="C899" s="5" t="inlineStr">
        <is>
          <t>3124</t>
        </is>
      </c>
      <c r="D899" s="5" t="n">
        <v>3</v>
      </c>
      <c r="E899" s="5" t="n">
        <v>3</v>
      </c>
      <c r="F899" s="5" t="n">
        <v>2</v>
      </c>
      <c r="G899" s="5" t="inlineStr"/>
      <c r="H899" s="5" t="n">
        <v>1258</v>
      </c>
      <c r="I899" s="5" t="inlineStr">
        <is>
          <t>1/11/2025</t>
        </is>
      </c>
      <c r="J899" s="5" t="n">
        <v>200</v>
      </c>
      <c r="K899" s="5" t="n">
        <v>13</v>
      </c>
      <c r="L899" s="5" t="inlineStr">
        <is>
          <t>80%</t>
        </is>
      </c>
      <c r="M899" s="5" t="n">
        <v>1794</v>
      </c>
      <c r="N899" s="5" t="n">
        <v>1.43</v>
      </c>
      <c r="O899" s="5" t="n">
        <v>1794</v>
      </c>
      <c r="P899" s="5" t="n">
        <v>1.43</v>
      </c>
      <c r="Q899" s="5" t="inlineStr">
        <is>
          <t>2024-10-22</t>
        </is>
      </c>
      <c r="R899" s="5" t="inlineStr">
        <is>
          <t>2024-10-27</t>
        </is>
      </c>
      <c r="S899" s="5" t="n">
        <v>6</v>
      </c>
      <c r="T899" s="5" t="n">
        <v>0</v>
      </c>
      <c r="U899" s="48" t="inlineStr">
        <is>
          <t>Talise</t>
        </is>
      </c>
    </row>
    <row r="900">
      <c r="A900" s="5" t="inlineStr">
        <is>
          <t>Bella Mirage</t>
        </is>
      </c>
      <c r="B900" s="5" t="inlineStr">
        <is>
          <t>Talise</t>
        </is>
      </c>
      <c r="C900" s="5" t="inlineStr">
        <is>
          <t>3611</t>
        </is>
      </c>
      <c r="D900" s="5" t="inlineStr"/>
      <c r="E900" s="5" t="n">
        <v>3</v>
      </c>
      <c r="F900" s="5" t="n">
        <v>2</v>
      </c>
      <c r="G900" s="5" t="inlineStr"/>
      <c r="H900" s="5" t="n">
        <v>1258</v>
      </c>
      <c r="I900" s="5" t="inlineStr">
        <is>
          <t>1/25/2025</t>
        </is>
      </c>
      <c r="J900" s="5" t="n">
        <v>200</v>
      </c>
      <c r="K900" s="5" t="n">
        <v>14</v>
      </c>
      <c r="L900" s="5" t="inlineStr">
        <is>
          <t>80%</t>
        </is>
      </c>
      <c r="M900" s="5" t="n">
        <v>1812</v>
      </c>
      <c r="N900" s="5" t="n">
        <v>1.44</v>
      </c>
      <c r="O900" s="5" t="n">
        <v>1683</v>
      </c>
      <c r="P900" s="5" t="n">
        <v>1.34</v>
      </c>
      <c r="Q900" s="5" t="inlineStr">
        <is>
          <t>2024-11-04</t>
        </is>
      </c>
      <c r="R900" s="5" t="inlineStr">
        <is>
          <t>2024-11-16</t>
        </is>
      </c>
      <c r="S900" s="5" t="n">
        <v>13</v>
      </c>
      <c r="T900" s="5" t="n">
        <v>0</v>
      </c>
      <c r="U900" s="48" t="inlineStr">
        <is>
          <t>Talise</t>
        </is>
      </c>
    </row>
    <row r="901">
      <c r="A901" s="5" t="inlineStr">
        <is>
          <t>Bella Mirage</t>
        </is>
      </c>
      <c r="B901" s="5" t="inlineStr">
        <is>
          <t>Talise</t>
        </is>
      </c>
      <c r="C901" s="5" t="inlineStr">
        <is>
          <t>4928</t>
        </is>
      </c>
      <c r="D901" s="5" t="inlineStr"/>
      <c r="E901" s="5" t="n">
        <v>3</v>
      </c>
      <c r="F901" s="5" t="n">
        <v>2</v>
      </c>
      <c r="G901" s="5" t="inlineStr"/>
      <c r="H901" s="5" t="n">
        <v>1258</v>
      </c>
      <c r="I901" s="5" t="inlineStr">
        <is>
          <t>3/29/2025</t>
        </is>
      </c>
      <c r="J901" s="5" t="n">
        <v>200</v>
      </c>
      <c r="K901" s="5" t="n">
        <v>14</v>
      </c>
      <c r="L901" s="5" t="inlineStr">
        <is>
          <t>80%</t>
        </is>
      </c>
      <c r="M901" s="5" t="n">
        <v>1816</v>
      </c>
      <c r="N901" s="5" t="n">
        <v>1.44</v>
      </c>
      <c r="O901" s="5" t="n">
        <v>1686</v>
      </c>
      <c r="P901" s="5" t="n">
        <v>1.34</v>
      </c>
      <c r="Q901" s="5" t="inlineStr">
        <is>
          <t>2025-01-15</t>
        </is>
      </c>
      <c r="R901" s="5" t="inlineStr">
        <is>
          <t>2025-03-20</t>
        </is>
      </c>
      <c r="S901" s="5" t="n">
        <v>65</v>
      </c>
      <c r="T901" s="5" t="n">
        <v>0</v>
      </c>
      <c r="U901" s="48" t="inlineStr">
        <is>
          <t>Talise</t>
        </is>
      </c>
    </row>
    <row r="902">
      <c r="A902" s="5" t="inlineStr">
        <is>
          <t>Bella Mirage</t>
        </is>
      </c>
      <c r="B902" s="5" t="inlineStr">
        <is>
          <t>Talise</t>
        </is>
      </c>
      <c r="C902" s="5" t="inlineStr">
        <is>
          <t>3114</t>
        </is>
      </c>
      <c r="D902" s="5" t="n">
        <v>3</v>
      </c>
      <c r="E902" s="5" t="n">
        <v>3</v>
      </c>
      <c r="F902" s="5" t="n">
        <v>2</v>
      </c>
      <c r="G902" s="5" t="inlineStr"/>
      <c r="H902" s="5" t="n">
        <v>1258</v>
      </c>
      <c r="I902" s="5" t="inlineStr">
        <is>
          <t>7/12/2024</t>
        </is>
      </c>
      <c r="J902" s="5" t="n">
        <v>200</v>
      </c>
      <c r="K902" s="5" t="n">
        <v>12</v>
      </c>
      <c r="L902" s="5" t="inlineStr">
        <is>
          <t>80%</t>
        </is>
      </c>
      <c r="M902" s="5" t="n">
        <v>2052</v>
      </c>
      <c r="N902" s="5" t="n">
        <v>1.63</v>
      </c>
      <c r="O902" s="5" t="n">
        <v>1881</v>
      </c>
      <c r="P902" s="5" t="n">
        <v>1.5</v>
      </c>
      <c r="Q902" s="5" t="inlineStr">
        <is>
          <t>2024-04-30</t>
        </is>
      </c>
      <c r="R902" s="5" t="inlineStr">
        <is>
          <t>2024-05-02</t>
        </is>
      </c>
      <c r="S902" s="5" t="n">
        <v>3</v>
      </c>
      <c r="T902" s="5" t="n">
        <v>0</v>
      </c>
      <c r="U902" s="48" t="inlineStr">
        <is>
          <t>Talise</t>
        </is>
      </c>
    </row>
    <row r="903">
      <c r="A903" s="5" t="inlineStr">
        <is>
          <t>Bella Mirage</t>
        </is>
      </c>
      <c r="B903" s="5" t="inlineStr">
        <is>
          <t>Talise</t>
        </is>
      </c>
      <c r="C903" s="5" t="inlineStr">
        <is>
          <t>3114</t>
        </is>
      </c>
      <c r="D903" s="5" t="n">
        <v>3</v>
      </c>
      <c r="E903" s="5" t="n">
        <v>3</v>
      </c>
      <c r="F903" s="5" t="n">
        <v>2</v>
      </c>
      <c r="G903" s="5" t="inlineStr"/>
      <c r="H903" s="5" t="n">
        <v>1258</v>
      </c>
      <c r="I903" s="5" t="inlineStr">
        <is>
          <t>3/15/2025</t>
        </is>
      </c>
      <c r="J903" s="5" t="n">
        <v>200</v>
      </c>
      <c r="K903" s="5" t="n">
        <v>12</v>
      </c>
      <c r="L903" s="5" t="inlineStr">
        <is>
          <t>80%</t>
        </is>
      </c>
      <c r="M903" s="5" t="n">
        <v>1668</v>
      </c>
      <c r="N903" s="5" t="n">
        <v>1.33</v>
      </c>
      <c r="O903" s="5" t="n">
        <v>1529</v>
      </c>
      <c r="P903" s="5" t="n">
        <v>1.22</v>
      </c>
      <c r="Q903" s="5" t="inlineStr">
        <is>
          <t>2024-12-28</t>
        </is>
      </c>
      <c r="R903" s="5" t="inlineStr">
        <is>
          <t>2024-12-29</t>
        </is>
      </c>
      <c r="S903" s="5" t="n">
        <v>2</v>
      </c>
      <c r="T903" s="5" t="n">
        <v>0</v>
      </c>
      <c r="U903" s="48" t="inlineStr">
        <is>
          <t>Talise</t>
        </is>
      </c>
    </row>
    <row r="904">
      <c r="A904" s="5" t="inlineStr">
        <is>
          <t>Bella Mirage</t>
        </is>
      </c>
      <c r="B904" s="5" t="inlineStr">
        <is>
          <t>Talise</t>
        </is>
      </c>
      <c r="C904" s="5" t="inlineStr">
        <is>
          <t>3114</t>
        </is>
      </c>
      <c r="D904" s="5" t="n">
        <v>3</v>
      </c>
      <c r="E904" s="5" t="n">
        <v>3</v>
      </c>
      <c r="F904" s="5" t="n">
        <v>2</v>
      </c>
      <c r="G904" s="5" t="inlineStr"/>
      <c r="H904" s="5" t="n">
        <v>1258</v>
      </c>
      <c r="I904" s="5" t="inlineStr">
        <is>
          <t>4/22/2026</t>
        </is>
      </c>
      <c r="J904" s="5" t="n">
        <v>300</v>
      </c>
      <c r="K904" s="5" t="n">
        <v>15</v>
      </c>
      <c r="L904" s="5" t="inlineStr">
        <is>
          <t>80%</t>
        </is>
      </c>
      <c r="M904" s="5" t="n">
        <v>1820</v>
      </c>
      <c r="N904" s="5" t="n">
        <v>1.45</v>
      </c>
      <c r="O904" s="5" t="n">
        <v>1820</v>
      </c>
      <c r="P904" s="5" t="n">
        <v>1.45</v>
      </c>
      <c r="Q904" s="5" t="inlineStr">
        <is>
          <t>2026-01-18</t>
        </is>
      </c>
      <c r="R904" s="5" t="inlineStr">
        <is>
          <t>2026-04-21</t>
        </is>
      </c>
      <c r="S904" s="5" t="n">
        <v>94</v>
      </c>
      <c r="T904" s="5" t="n">
        <v>0</v>
      </c>
      <c r="U904" s="48" t="inlineStr">
        <is>
          <t>Talise</t>
        </is>
      </c>
    </row>
    <row r="905">
      <c r="A905" s="5" t="inlineStr">
        <is>
          <t>Bella Mirage</t>
        </is>
      </c>
      <c r="B905" s="5" t="inlineStr">
        <is>
          <t>Talise</t>
        </is>
      </c>
      <c r="C905" s="5" t="inlineStr">
        <is>
          <t>4125</t>
        </is>
      </c>
      <c r="D905" s="5" t="inlineStr"/>
      <c r="E905" s="5" t="n">
        <v>3</v>
      </c>
      <c r="F905" s="5" t="n">
        <v>2</v>
      </c>
      <c r="G905" s="5" t="inlineStr"/>
      <c r="H905" s="5" t="n">
        <v>1258</v>
      </c>
      <c r="I905" s="5" t="inlineStr">
        <is>
          <t>2/16/2024</t>
        </is>
      </c>
      <c r="J905" s="5" t="n">
        <v>200</v>
      </c>
      <c r="K905" s="5" t="n">
        <v>13</v>
      </c>
      <c r="L905" s="5" t="inlineStr">
        <is>
          <t>80%</t>
        </is>
      </c>
      <c r="M905" s="5" t="n">
        <v>1828</v>
      </c>
      <c r="N905" s="5" t="n">
        <v>1.45</v>
      </c>
      <c r="O905" s="5" t="n">
        <v>1687</v>
      </c>
      <c r="P905" s="5" t="n">
        <v>1.34</v>
      </c>
      <c r="Q905" s="5" t="inlineStr">
        <is>
          <t>2024-01-06</t>
        </is>
      </c>
      <c r="R905" s="5" t="inlineStr">
        <is>
          <t>2024-02-15</t>
        </is>
      </c>
      <c r="S905" s="5" t="n">
        <v>41</v>
      </c>
      <c r="T905" s="5" t="n">
        <v>0</v>
      </c>
      <c r="U905" s="48" t="inlineStr">
        <is>
          <t>Talise</t>
        </is>
      </c>
    </row>
    <row r="906">
      <c r="A906" s="5" t="inlineStr">
        <is>
          <t>Bella Mirage</t>
        </is>
      </c>
      <c r="B906" s="5" t="inlineStr">
        <is>
          <t>Talise</t>
        </is>
      </c>
      <c r="C906" s="5" t="inlineStr">
        <is>
          <t>4125</t>
        </is>
      </c>
      <c r="D906" s="5" t="inlineStr"/>
      <c r="E906" s="5" t="n">
        <v>3</v>
      </c>
      <c r="F906" s="5" t="n">
        <v>2</v>
      </c>
      <c r="G906" s="5" t="inlineStr"/>
      <c r="H906" s="5" t="n">
        <v>1258</v>
      </c>
      <c r="I906" s="5" t="inlineStr">
        <is>
          <t>6/19/2025</t>
        </is>
      </c>
      <c r="J906" s="5" t="n">
        <v>300</v>
      </c>
      <c r="K906" s="5" t="n">
        <v>15</v>
      </c>
      <c r="L906" s="5" t="inlineStr">
        <is>
          <t>80%</t>
        </is>
      </c>
      <c r="M906" s="5" t="n">
        <v>1602</v>
      </c>
      <c r="N906" s="5" t="n">
        <v>1.27</v>
      </c>
      <c r="O906" s="5" t="n">
        <v>1602</v>
      </c>
      <c r="P906" s="5" t="n">
        <v>1.27</v>
      </c>
      <c r="Q906" s="5" t="inlineStr">
        <is>
          <t>2025-04-08</t>
        </is>
      </c>
      <c r="R906" s="5" t="inlineStr">
        <is>
          <t>2025-11-18</t>
        </is>
      </c>
      <c r="S906" s="5" t="n">
        <v>225</v>
      </c>
      <c r="T906" s="5" t="n">
        <v>153</v>
      </c>
      <c r="U906" s="48" t="inlineStr">
        <is>
          <t>Talise</t>
        </is>
      </c>
    </row>
    <row r="907">
      <c r="A907" s="5" t="inlineStr">
        <is>
          <t>Bella Mirage</t>
        </is>
      </c>
      <c r="B907" s="5" t="inlineStr">
        <is>
          <t>Talise</t>
        </is>
      </c>
      <c r="C907" s="5" t="inlineStr">
        <is>
          <t>4128</t>
        </is>
      </c>
      <c r="D907" s="5" t="inlineStr"/>
      <c r="E907" s="5" t="n">
        <v>3</v>
      </c>
      <c r="F907" s="5" t="n">
        <v>2</v>
      </c>
      <c r="G907" s="5" t="inlineStr"/>
      <c r="H907" s="5" t="n">
        <v>1258</v>
      </c>
      <c r="I907" s="5" t="inlineStr">
        <is>
          <t>1/29/2024</t>
        </is>
      </c>
      <c r="J907" s="5" t="inlineStr"/>
      <c r="K907" s="5" t="inlineStr"/>
      <c r="L907" s="5" t="inlineStr">
        <is>
          <t>80%</t>
        </is>
      </c>
      <c r="M907" s="5" t="n">
        <v>1787</v>
      </c>
      <c r="N907" s="5" t="n">
        <v>1.42</v>
      </c>
      <c r="O907" s="5" t="n">
        <v>1638</v>
      </c>
      <c r="P907" s="5" t="n">
        <v>1.3</v>
      </c>
      <c r="Q907" s="5" t="inlineStr">
        <is>
          <t>2023-11-28</t>
        </is>
      </c>
      <c r="R907" s="5" t="inlineStr">
        <is>
          <t>2024-02-12</t>
        </is>
      </c>
      <c r="S907" s="5" t="n">
        <v>77</v>
      </c>
      <c r="T907" s="5" t="n">
        <v>15</v>
      </c>
      <c r="U907" s="48" t="inlineStr">
        <is>
          <t>Talise</t>
        </is>
      </c>
    </row>
    <row r="908">
      <c r="A908" s="5" t="inlineStr">
        <is>
          <t>Bella Mirage</t>
        </is>
      </c>
      <c r="B908" s="5" t="inlineStr">
        <is>
          <t>Talise</t>
        </is>
      </c>
      <c r="C908" s="5" t="inlineStr">
        <is>
          <t>4128</t>
        </is>
      </c>
      <c r="D908" s="5" t="inlineStr"/>
      <c r="E908" s="5" t="n">
        <v>3</v>
      </c>
      <c r="F908" s="5" t="n">
        <v>2</v>
      </c>
      <c r="G908" s="5" t="inlineStr"/>
      <c r="H908" s="5" t="n">
        <v>1258</v>
      </c>
      <c r="I908" s="5" t="inlineStr">
        <is>
          <t>11/9/2024</t>
        </is>
      </c>
      <c r="J908" s="5" t="n">
        <v>200</v>
      </c>
      <c r="K908" s="5" t="n">
        <v>13</v>
      </c>
      <c r="L908" s="5" t="inlineStr">
        <is>
          <t>80%</t>
        </is>
      </c>
      <c r="M908" s="5" t="n">
        <v>1831</v>
      </c>
      <c r="N908" s="5" t="n">
        <v>1.46</v>
      </c>
      <c r="O908" s="5" t="n">
        <v>1831</v>
      </c>
      <c r="P908" s="5" t="n">
        <v>1.46</v>
      </c>
      <c r="Q908" s="5" t="inlineStr">
        <is>
          <t>2024-08-27</t>
        </is>
      </c>
      <c r="R908" s="5" t="inlineStr">
        <is>
          <t>2024-10-18</t>
        </is>
      </c>
      <c r="S908" s="5" t="n">
        <v>53</v>
      </c>
      <c r="T908" s="5" t="n">
        <v>0</v>
      </c>
      <c r="U908" s="48" t="inlineStr">
        <is>
          <t>Talise</t>
        </is>
      </c>
    </row>
    <row r="909">
      <c r="A909" s="5" t="inlineStr">
        <is>
          <t>Bella Mirage</t>
        </is>
      </c>
      <c r="B909" s="5" t="inlineStr">
        <is>
          <t>Talise</t>
        </is>
      </c>
      <c r="C909" s="5" t="inlineStr">
        <is>
          <t>3628</t>
        </is>
      </c>
      <c r="D909" s="5" t="n">
        <v>2</v>
      </c>
      <c r="E909" s="5" t="n">
        <v>3</v>
      </c>
      <c r="F909" s="5" t="n">
        <v>2</v>
      </c>
      <c r="G909" s="5" t="inlineStr"/>
      <c r="H909" s="5" t="n">
        <v>1258</v>
      </c>
      <c r="I909" s="5" t="inlineStr">
        <is>
          <t>6/20/2023</t>
        </is>
      </c>
      <c r="J909" s="5" t="inlineStr"/>
      <c r="K909" s="5" t="inlineStr"/>
      <c r="L909" s="5" t="inlineStr">
        <is>
          <t>80%</t>
        </is>
      </c>
      <c r="M909" s="5" t="n">
        <v>2155</v>
      </c>
      <c r="N909" s="5" t="n">
        <v>1.71</v>
      </c>
      <c r="O909" s="5" t="n">
        <v>2092</v>
      </c>
      <c r="P909" s="5" t="n">
        <v>1.66</v>
      </c>
      <c r="Q909" s="5" t="inlineStr">
        <is>
          <t>2023-06-20</t>
        </is>
      </c>
      <c r="R909" s="5" t="inlineStr">
        <is>
          <t>2023-07-28</t>
        </is>
      </c>
      <c r="S909" s="5" t="n">
        <v>39</v>
      </c>
      <c r="T909" s="5" t="n">
        <v>39</v>
      </c>
      <c r="U909" s="48" t="inlineStr">
        <is>
          <t>Talise</t>
        </is>
      </c>
    </row>
    <row r="910">
      <c r="A910" s="5" t="inlineStr">
        <is>
          <t>Bella Mirage</t>
        </is>
      </c>
      <c r="B910" s="5" t="inlineStr">
        <is>
          <t>Talise</t>
        </is>
      </c>
      <c r="C910" s="5" t="inlineStr">
        <is>
          <t>3628</t>
        </is>
      </c>
      <c r="D910" s="5" t="n">
        <v>2</v>
      </c>
      <c r="E910" s="5" t="n">
        <v>3</v>
      </c>
      <c r="F910" s="5" t="n">
        <v>2</v>
      </c>
      <c r="G910" s="5" t="inlineStr"/>
      <c r="H910" s="5" t="n">
        <v>1258</v>
      </c>
      <c r="I910" s="5" t="inlineStr">
        <is>
          <t>9/8/2024</t>
        </is>
      </c>
      <c r="J910" s="5" t="n">
        <v>200</v>
      </c>
      <c r="K910" s="5" t="n">
        <v>14</v>
      </c>
      <c r="L910" s="5" t="inlineStr">
        <is>
          <t>80%</t>
        </is>
      </c>
      <c r="M910" s="5" t="n">
        <v>1794</v>
      </c>
      <c r="N910" s="5" t="n">
        <v>1.43</v>
      </c>
      <c r="O910" s="5" t="n">
        <v>1794</v>
      </c>
      <c r="P910" s="5" t="n">
        <v>1.43</v>
      </c>
      <c r="Q910" s="5" t="inlineStr">
        <is>
          <t>2024-06-14</t>
        </is>
      </c>
      <c r="R910" s="5" t="inlineStr">
        <is>
          <t>2024-10-18</t>
        </is>
      </c>
      <c r="S910" s="5" t="n">
        <v>127</v>
      </c>
      <c r="T910" s="5" t="n">
        <v>41</v>
      </c>
      <c r="U910" s="48" t="inlineStr">
        <is>
          <t>Talise</t>
        </is>
      </c>
    </row>
    <row r="911">
      <c r="A911" s="5" t="inlineStr">
        <is>
          <t>Bella Mirage</t>
        </is>
      </c>
      <c r="B911" s="5" t="inlineStr">
        <is>
          <t>Talise</t>
        </is>
      </c>
      <c r="C911" s="5" t="inlineStr">
        <is>
          <t>0611</t>
        </is>
      </c>
      <c r="D911" s="5" t="inlineStr"/>
      <c r="E911" s="5" t="n">
        <v>3</v>
      </c>
      <c r="F911" s="5" t="n">
        <v>2</v>
      </c>
      <c r="G911" s="5" t="inlineStr"/>
      <c r="H911" s="5" t="n">
        <v>1258</v>
      </c>
      <c r="I911" s="5" t="inlineStr">
        <is>
          <t>7/7/2023</t>
        </is>
      </c>
      <c r="J911" s="5" t="inlineStr"/>
      <c r="K911" s="5" t="inlineStr"/>
      <c r="L911" s="5" t="inlineStr">
        <is>
          <t>80%</t>
        </is>
      </c>
      <c r="M911" s="5" t="n">
        <v>2313</v>
      </c>
      <c r="N911" s="5" t="n">
        <v>1.84</v>
      </c>
      <c r="O911" s="5" t="n">
        <v>2250</v>
      </c>
      <c r="P911" s="5" t="n">
        <v>1.79</v>
      </c>
      <c r="Q911" s="5" t="inlineStr">
        <is>
          <t>2023-07-07</t>
        </is>
      </c>
      <c r="R911" s="5" t="inlineStr">
        <is>
          <t>2023-07-22</t>
        </is>
      </c>
      <c r="S911" s="5" t="n">
        <v>16</v>
      </c>
      <c r="T911" s="5" t="n">
        <v>16</v>
      </c>
      <c r="U911" s="48" t="inlineStr">
        <is>
          <t>Talise</t>
        </is>
      </c>
    </row>
    <row r="912">
      <c r="A912" s="5" t="inlineStr">
        <is>
          <t>Bella Mirage</t>
        </is>
      </c>
      <c r="B912" s="5" t="inlineStr">
        <is>
          <t>Talise</t>
        </is>
      </c>
      <c r="C912" s="5" t="inlineStr">
        <is>
          <t>0611</t>
        </is>
      </c>
      <c r="D912" s="5" t="inlineStr"/>
      <c r="E912" s="5" t="n">
        <v>3</v>
      </c>
      <c r="F912" s="5" t="n">
        <v>2</v>
      </c>
      <c r="G912" s="5" t="inlineStr"/>
      <c r="H912" s="5" t="n">
        <v>1258</v>
      </c>
      <c r="I912" s="5" t="inlineStr">
        <is>
          <t>12/7/2023</t>
        </is>
      </c>
      <c r="J912" s="5" t="inlineStr"/>
      <c r="K912" s="5" t="inlineStr"/>
      <c r="L912" s="5" t="inlineStr">
        <is>
          <t>80%</t>
        </is>
      </c>
      <c r="M912" s="5" t="n">
        <v>1988</v>
      </c>
      <c r="N912" s="5" t="n">
        <v>1.58</v>
      </c>
      <c r="O912" s="5" t="n">
        <v>1822</v>
      </c>
      <c r="P912" s="5" t="n">
        <v>1.45</v>
      </c>
      <c r="Q912" s="5" t="inlineStr">
        <is>
          <t>2023-11-22</t>
        </is>
      </c>
      <c r="R912" s="5" t="inlineStr">
        <is>
          <t>2023-11-23</t>
        </is>
      </c>
      <c r="S912" s="5" t="n">
        <v>2</v>
      </c>
      <c r="T912" s="5" t="n">
        <v>0</v>
      </c>
      <c r="U912" s="48" t="inlineStr">
        <is>
          <t>Talise</t>
        </is>
      </c>
    </row>
    <row r="913">
      <c r="A913" s="5" t="inlineStr">
        <is>
          <t>Bella Mirage</t>
        </is>
      </c>
      <c r="B913" s="5" t="inlineStr">
        <is>
          <t>Talise</t>
        </is>
      </c>
      <c r="C913" s="5" t="inlineStr">
        <is>
          <t>0611</t>
        </is>
      </c>
      <c r="D913" s="5" t="inlineStr"/>
      <c r="E913" s="5" t="n">
        <v>3</v>
      </c>
      <c r="F913" s="5" t="n">
        <v>2</v>
      </c>
      <c r="G913" s="5" t="inlineStr"/>
      <c r="H913" s="5" t="n">
        <v>1258</v>
      </c>
      <c r="I913" s="5" t="inlineStr">
        <is>
          <t>12/6/2025</t>
        </is>
      </c>
      <c r="J913" s="5" t="n">
        <v>300</v>
      </c>
      <c r="K913" s="5" t="n">
        <v>13</v>
      </c>
      <c r="L913" s="5" t="inlineStr">
        <is>
          <t>80%</t>
        </is>
      </c>
      <c r="M913" s="5" t="n">
        <v>1862</v>
      </c>
      <c r="N913" s="5" t="n">
        <v>1.48</v>
      </c>
      <c r="O913" s="5" t="n">
        <v>1862</v>
      </c>
      <c r="P913" s="5" t="n">
        <v>1.48</v>
      </c>
      <c r="Q913" s="5" t="inlineStr">
        <is>
          <t>2025-10-03</t>
        </is>
      </c>
      <c r="R913" s="5" t="inlineStr">
        <is>
          <t>2025-11-08</t>
        </is>
      </c>
      <c r="S913" s="5" t="n">
        <v>37</v>
      </c>
      <c r="T913" s="5" t="n">
        <v>0</v>
      </c>
      <c r="U913" s="48" t="inlineStr">
        <is>
          <t>Talise</t>
        </is>
      </c>
    </row>
    <row r="914">
      <c r="A914" s="5" t="inlineStr">
        <is>
          <t>Bella Mirage</t>
        </is>
      </c>
      <c r="B914" s="5" t="inlineStr">
        <is>
          <t>Talise</t>
        </is>
      </c>
      <c r="C914" s="5" t="inlineStr">
        <is>
          <t>0521</t>
        </is>
      </c>
      <c r="D914" s="5" t="n">
        <v>2</v>
      </c>
      <c r="E914" s="5" t="n">
        <v>3</v>
      </c>
      <c r="F914" s="5" t="n">
        <v>2</v>
      </c>
      <c r="G914" s="5" t="inlineStr"/>
      <c r="H914" s="5" t="n">
        <v>1258</v>
      </c>
      <c r="I914" s="5" t="inlineStr">
        <is>
          <t>5/30/2024</t>
        </is>
      </c>
      <c r="J914" s="5" t="n">
        <v>200</v>
      </c>
      <c r="K914" s="5" t="n">
        <v>13</v>
      </c>
      <c r="L914" s="5" t="inlineStr">
        <is>
          <t>80%</t>
        </is>
      </c>
      <c r="M914" s="5" t="n">
        <v>2246</v>
      </c>
      <c r="N914" s="5" t="n">
        <v>1.79</v>
      </c>
      <c r="O914" s="5" t="n">
        <v>2073</v>
      </c>
      <c r="P914" s="5" t="n">
        <v>1.65</v>
      </c>
      <c r="Q914" s="5" t="inlineStr">
        <is>
          <t>2024-04-09</t>
        </is>
      </c>
      <c r="R914" s="5" t="inlineStr">
        <is>
          <t>2024-06-12</t>
        </is>
      </c>
      <c r="S914" s="5" t="n">
        <v>65</v>
      </c>
      <c r="T914" s="5" t="n">
        <v>14</v>
      </c>
      <c r="U914" s="48" t="inlineStr">
        <is>
          <t>Talise</t>
        </is>
      </c>
    </row>
    <row r="915">
      <c r="A915" s="5" t="inlineStr">
        <is>
          <t>Bella Mirage</t>
        </is>
      </c>
      <c r="B915" s="5" t="inlineStr">
        <is>
          <t>Talise</t>
        </is>
      </c>
      <c r="C915" s="5" t="inlineStr">
        <is>
          <t>0521</t>
        </is>
      </c>
      <c r="D915" s="5" t="n">
        <v>2</v>
      </c>
      <c r="E915" s="5" t="n">
        <v>3</v>
      </c>
      <c r="F915" s="5" t="n">
        <v>2</v>
      </c>
      <c r="G915" s="5" t="inlineStr"/>
      <c r="H915" s="5" t="n">
        <v>1258</v>
      </c>
      <c r="I915" s="5" t="inlineStr">
        <is>
          <t>6/13/2025</t>
        </is>
      </c>
      <c r="J915" s="5" t="n">
        <v>200</v>
      </c>
      <c r="K915" s="5" t="n">
        <v>13</v>
      </c>
      <c r="L915" s="5" t="inlineStr">
        <is>
          <t>80%</t>
        </is>
      </c>
      <c r="M915" s="5" t="n">
        <v>1872</v>
      </c>
      <c r="N915" s="5" t="n">
        <v>1.49</v>
      </c>
      <c r="O915" s="5" t="n">
        <v>1728</v>
      </c>
      <c r="P915" s="5" t="n">
        <v>1.37</v>
      </c>
      <c r="Q915" s="5" t="inlineStr">
        <is>
          <t>2025-03-30</t>
        </is>
      </c>
      <c r="R915" s="5" t="inlineStr">
        <is>
          <t>2025-05-03</t>
        </is>
      </c>
      <c r="S915" s="5" t="n">
        <v>35</v>
      </c>
      <c r="T915" s="5" t="n">
        <v>0</v>
      </c>
      <c r="U915" s="48" t="inlineStr">
        <is>
          <t>Talise</t>
        </is>
      </c>
    </row>
    <row r="916">
      <c r="A916" s="5" t="inlineStr">
        <is>
          <t>Bella Mirage</t>
        </is>
      </c>
      <c r="B916" s="5" t="inlineStr">
        <is>
          <t>Talise</t>
        </is>
      </c>
      <c r="C916" s="5" t="inlineStr">
        <is>
          <t>4118</t>
        </is>
      </c>
      <c r="D916" s="5" t="n">
        <v>4</v>
      </c>
      <c r="E916" s="5" t="n">
        <v>3</v>
      </c>
      <c r="F916" s="5" t="n">
        <v>2</v>
      </c>
      <c r="G916" s="5" t="inlineStr"/>
      <c r="H916" s="5" t="n">
        <v>1258</v>
      </c>
      <c r="I916" s="5" t="inlineStr">
        <is>
          <t>4/13/2026</t>
        </is>
      </c>
      <c r="J916" s="5" t="n">
        <v>300</v>
      </c>
      <c r="K916" s="5" t="n">
        <v>15</v>
      </c>
      <c r="L916" s="5" t="inlineStr">
        <is>
          <t>80%</t>
        </is>
      </c>
      <c r="M916" s="5" t="n">
        <v>1921</v>
      </c>
      <c r="N916" s="5" t="n">
        <v>1.53</v>
      </c>
      <c r="O916" s="5" t="n">
        <v>1921</v>
      </c>
      <c r="P916" s="5" t="n">
        <v>1.53</v>
      </c>
      <c r="Q916" s="5" t="inlineStr">
        <is>
          <t>2026-01-31</t>
        </is>
      </c>
      <c r="R916" s="5" t="inlineStr">
        <is>
          <t>2026-04-12</t>
        </is>
      </c>
      <c r="S916" s="5" t="n">
        <v>72</v>
      </c>
      <c r="T916" s="5" t="n">
        <v>0</v>
      </c>
      <c r="U916" s="48" t="inlineStr">
        <is>
          <t>Talise</t>
        </is>
      </c>
    </row>
    <row r="917">
      <c r="A917" s="5" t="inlineStr">
        <is>
          <t>Bella Mirage</t>
        </is>
      </c>
      <c r="B917" s="5" t="inlineStr">
        <is>
          <t>Talise</t>
        </is>
      </c>
      <c r="C917" s="5" t="inlineStr">
        <is>
          <t>0621</t>
        </is>
      </c>
      <c r="D917" s="5" t="inlineStr"/>
      <c r="E917" s="5" t="n">
        <v>3</v>
      </c>
      <c r="F917" s="5" t="n">
        <v>2</v>
      </c>
      <c r="G917" s="5" t="inlineStr"/>
      <c r="H917" s="5" t="n">
        <v>1258</v>
      </c>
      <c r="I917" s="5" t="inlineStr">
        <is>
          <t>8/7/2023</t>
        </is>
      </c>
      <c r="J917" s="5" t="inlineStr"/>
      <c r="K917" s="5" t="inlineStr"/>
      <c r="L917" s="5" t="inlineStr">
        <is>
          <t>80%</t>
        </is>
      </c>
      <c r="M917" s="5" t="n">
        <v>1868</v>
      </c>
      <c r="N917" s="5" t="n">
        <v>1.48</v>
      </c>
      <c r="O917" s="5" t="n">
        <v>1712</v>
      </c>
      <c r="P917" s="5" t="n">
        <v>1.36</v>
      </c>
      <c r="Q917" s="5" t="inlineStr">
        <is>
          <t>2023-07-31</t>
        </is>
      </c>
      <c r="R917" s="5" t="inlineStr">
        <is>
          <t>2023-11-10</t>
        </is>
      </c>
      <c r="S917" s="5" t="n">
        <v>103</v>
      </c>
      <c r="T917" s="5" t="n">
        <v>96</v>
      </c>
      <c r="U917" s="48" t="inlineStr">
        <is>
          <t>Talise</t>
        </is>
      </c>
    </row>
    <row r="918">
      <c r="A918" s="5" t="inlineStr">
        <is>
          <t>Bella Mirage</t>
        </is>
      </c>
      <c r="B918" s="5" t="inlineStr">
        <is>
          <t>Talise</t>
        </is>
      </c>
      <c r="C918" s="5" t="inlineStr">
        <is>
          <t>0621</t>
        </is>
      </c>
      <c r="D918" s="5" t="inlineStr"/>
      <c r="E918" s="5" t="n">
        <v>3</v>
      </c>
      <c r="F918" s="5" t="n">
        <v>2</v>
      </c>
      <c r="G918" s="5" t="inlineStr"/>
      <c r="H918" s="5" t="n">
        <v>1258</v>
      </c>
      <c r="I918" s="5" t="inlineStr">
        <is>
          <t>3/23/2026</t>
        </is>
      </c>
      <c r="J918" s="5" t="n">
        <v>300</v>
      </c>
      <c r="K918" s="5" t="n">
        <v>12</v>
      </c>
      <c r="L918" s="5" t="inlineStr">
        <is>
          <t>80%</t>
        </is>
      </c>
      <c r="M918" s="5" t="n">
        <v>1887</v>
      </c>
      <c r="N918" s="5" t="n">
        <v>1.5</v>
      </c>
      <c r="O918" s="5" t="n">
        <v>1887</v>
      </c>
      <c r="P918" s="5" t="n">
        <v>1.5</v>
      </c>
      <c r="Q918" s="5" t="inlineStr">
        <is>
          <t>2026-01-25</t>
        </is>
      </c>
      <c r="R918" s="5" t="inlineStr">
        <is>
          <t>2026-02-25</t>
        </is>
      </c>
      <c r="S918" s="5" t="n">
        <v>32</v>
      </c>
      <c r="T918" s="5" t="n">
        <v>0</v>
      </c>
      <c r="U918" s="48" t="inlineStr">
        <is>
          <t>Talise</t>
        </is>
      </c>
    </row>
    <row r="919">
      <c r="A919" s="5" t="inlineStr">
        <is>
          <t>Bella Mirage</t>
        </is>
      </c>
      <c r="B919" s="5" t="inlineStr">
        <is>
          <t>Talise</t>
        </is>
      </c>
      <c r="C919" s="5" t="inlineStr">
        <is>
          <t>4915</t>
        </is>
      </c>
      <c r="D919" s="5" t="n">
        <v>4</v>
      </c>
      <c r="E919" s="5" t="n">
        <v>3</v>
      </c>
      <c r="F919" s="5" t="n">
        <v>2</v>
      </c>
      <c r="G919" s="5" t="inlineStr"/>
      <c r="H919" s="5" t="n">
        <v>1258</v>
      </c>
      <c r="I919" s="5" t="inlineStr">
        <is>
          <t>11/29/2023</t>
        </is>
      </c>
      <c r="J919" s="5" t="inlineStr"/>
      <c r="K919" s="5" t="inlineStr"/>
      <c r="L919" s="5" t="inlineStr">
        <is>
          <t>80%</t>
        </is>
      </c>
      <c r="M919" s="5" t="n">
        <v>1719</v>
      </c>
      <c r="N919" s="5" t="n">
        <v>1.37</v>
      </c>
      <c r="O919" s="5" t="n">
        <v>1576</v>
      </c>
      <c r="P919" s="5" t="n">
        <v>1.25</v>
      </c>
      <c r="Q919" s="5" t="inlineStr">
        <is>
          <t>2023-10-01</t>
        </is>
      </c>
      <c r="R919" s="5" t="inlineStr">
        <is>
          <t>2024-02-01</t>
        </is>
      </c>
      <c r="S919" s="5" t="n">
        <v>124</v>
      </c>
      <c r="T919" s="5" t="n">
        <v>65</v>
      </c>
      <c r="U919" s="48" t="inlineStr">
        <is>
          <t>Talise</t>
        </is>
      </c>
    </row>
    <row r="920">
      <c r="A920" s="5" t="inlineStr">
        <is>
          <t>Bella Mirage</t>
        </is>
      </c>
      <c r="B920" s="5" t="inlineStr">
        <is>
          <t>Talise</t>
        </is>
      </c>
      <c r="C920" s="5" t="inlineStr">
        <is>
          <t>4915</t>
        </is>
      </c>
      <c r="D920" s="5" t="n">
        <v>4</v>
      </c>
      <c r="E920" s="5" t="n">
        <v>3</v>
      </c>
      <c r="F920" s="5" t="n">
        <v>2</v>
      </c>
      <c r="G920" s="5" t="inlineStr"/>
      <c r="H920" s="5" t="n">
        <v>1258</v>
      </c>
      <c r="I920" s="5" t="inlineStr">
        <is>
          <t>3/25/2025</t>
        </is>
      </c>
      <c r="J920" s="5" t="n">
        <v>200</v>
      </c>
      <c r="K920" s="5" t="n">
        <v>15</v>
      </c>
      <c r="L920" s="5" t="inlineStr">
        <is>
          <t>80%</t>
        </is>
      </c>
      <c r="M920" s="5" t="n">
        <v>1870</v>
      </c>
      <c r="N920" s="5" t="n">
        <v>1.49</v>
      </c>
      <c r="O920" s="5" t="n">
        <v>1745</v>
      </c>
      <c r="P920" s="5" t="n">
        <v>1.39</v>
      </c>
      <c r="Q920" s="5" t="inlineStr">
        <is>
          <t>2025-01-23</t>
        </is>
      </c>
      <c r="R920" s="5" t="inlineStr">
        <is>
          <t>2025-04-01</t>
        </is>
      </c>
      <c r="S920" s="5" t="n">
        <v>69</v>
      </c>
      <c r="T920" s="5" t="n">
        <v>8</v>
      </c>
      <c r="U920" s="48" t="inlineStr">
        <is>
          <t>Talise</t>
        </is>
      </c>
    </row>
    <row r="921">
      <c r="A921" s="5" t="inlineStr">
        <is>
          <t>Bella Mirage</t>
        </is>
      </c>
      <c r="B921" s="5" t="inlineStr">
        <is>
          <t>Talise</t>
        </is>
      </c>
      <c r="C921" s="5" t="inlineStr">
        <is>
          <t>4915</t>
        </is>
      </c>
      <c r="D921" s="5" t="n">
        <v>4</v>
      </c>
      <c r="E921" s="5" t="n">
        <v>3</v>
      </c>
      <c r="F921" s="5" t="n">
        <v>2</v>
      </c>
      <c r="G921" s="5" t="inlineStr"/>
      <c r="H921" s="5" t="n">
        <v>1258</v>
      </c>
      <c r="I921" s="5" t="inlineStr">
        <is>
          <t>7/20/2026</t>
        </is>
      </c>
      <c r="J921" s="5" t="n">
        <v>300</v>
      </c>
      <c r="K921" s="5" t="n">
        <v>14</v>
      </c>
      <c r="L921" s="5" t="inlineStr">
        <is>
          <t>80%</t>
        </is>
      </c>
      <c r="M921" s="5" t="n">
        <v>1888</v>
      </c>
      <c r="N921" s="5" t="n">
        <v>1.5</v>
      </c>
      <c r="O921" s="5" t="n">
        <v>1888</v>
      </c>
      <c r="P921" s="5" t="n">
        <v>1.5</v>
      </c>
      <c r="Q921" s="5" t="inlineStr">
        <is>
          <t>2026-05-19</t>
        </is>
      </c>
      <c r="R921" s="5" t="inlineStr">
        <is>
          <t>2026-06-08</t>
        </is>
      </c>
      <c r="S921" s="5" t="n">
        <v>21</v>
      </c>
      <c r="T921" s="5" t="n">
        <v>0</v>
      </c>
      <c r="U921" s="48" t="inlineStr">
        <is>
          <t>Talise</t>
        </is>
      </c>
    </row>
    <row r="922">
      <c r="A922" s="5" t="inlineStr">
        <is>
          <t>Bella Mirage</t>
        </is>
      </c>
      <c r="B922" s="5" t="inlineStr">
        <is>
          <t>Talise</t>
        </is>
      </c>
      <c r="C922" s="5" t="inlineStr">
        <is>
          <t>3125</t>
        </is>
      </c>
      <c r="D922" s="5" t="n">
        <v>3</v>
      </c>
      <c r="E922" s="5" t="n">
        <v>3</v>
      </c>
      <c r="F922" s="5" t="n">
        <v>2</v>
      </c>
      <c r="G922" s="5" t="inlineStr"/>
      <c r="H922" s="5" t="n">
        <v>1258</v>
      </c>
      <c r="I922" s="5" t="inlineStr">
        <is>
          <t>3/16/2024</t>
        </is>
      </c>
      <c r="J922" s="5" t="n">
        <v>200</v>
      </c>
      <c r="K922" s="5" t="n">
        <v>15</v>
      </c>
      <c r="L922" s="5" t="inlineStr">
        <is>
          <t>80%</t>
        </is>
      </c>
      <c r="M922" s="5" t="n">
        <v>1853</v>
      </c>
      <c r="N922" s="5" t="n">
        <v>1.47</v>
      </c>
      <c r="O922" s="5" t="n">
        <v>1729</v>
      </c>
      <c r="P922" s="5" t="n">
        <v>1.37</v>
      </c>
      <c r="Q922" s="5" t="inlineStr">
        <is>
          <t>2024-02-12</t>
        </is>
      </c>
      <c r="R922" s="5" t="inlineStr">
        <is>
          <t>2024-02-28</t>
        </is>
      </c>
      <c r="S922" s="5" t="n">
        <v>17</v>
      </c>
      <c r="T922" s="5" t="n">
        <v>0</v>
      </c>
      <c r="U922" s="48" t="inlineStr">
        <is>
          <t>Talise</t>
        </is>
      </c>
    </row>
    <row r="923">
      <c r="A923" s="5" t="inlineStr">
        <is>
          <t>Bella Mirage</t>
        </is>
      </c>
      <c r="B923" s="5" t="inlineStr">
        <is>
          <t>Talise</t>
        </is>
      </c>
      <c r="C923" s="5" t="inlineStr">
        <is>
          <t>3125</t>
        </is>
      </c>
      <c r="D923" s="5" t="n">
        <v>3</v>
      </c>
      <c r="E923" s="5" t="n">
        <v>3</v>
      </c>
      <c r="F923" s="5" t="n">
        <v>2</v>
      </c>
      <c r="G923" s="5" t="inlineStr"/>
      <c r="H923" s="5" t="n">
        <v>1258</v>
      </c>
      <c r="I923" s="5" t="inlineStr">
        <is>
          <t>10/3/2024</t>
        </is>
      </c>
      <c r="J923" s="5" t="n">
        <v>200</v>
      </c>
      <c r="K923" s="5" t="n">
        <v>12</v>
      </c>
      <c r="L923" s="5" t="inlineStr">
        <is>
          <t>80%</t>
        </is>
      </c>
      <c r="M923" s="5" t="n">
        <v>1893</v>
      </c>
      <c r="N923" s="5" t="n">
        <v>1.5</v>
      </c>
      <c r="O923" s="5" t="n">
        <v>1893</v>
      </c>
      <c r="P923" s="5" t="n">
        <v>1.5</v>
      </c>
      <c r="Q923" s="5" t="inlineStr">
        <is>
          <t>2024-09-26</t>
        </is>
      </c>
      <c r="R923" s="5" t="inlineStr">
        <is>
          <t>2024-10-31</t>
        </is>
      </c>
      <c r="S923" s="5" t="n">
        <v>36</v>
      </c>
      <c r="T923" s="5" t="n">
        <v>29</v>
      </c>
      <c r="U923" s="48" t="inlineStr">
        <is>
          <t>Talise</t>
        </is>
      </c>
    </row>
    <row r="924">
      <c r="A924" s="5" t="inlineStr">
        <is>
          <t>Bella Mirage</t>
        </is>
      </c>
      <c r="B924" s="5" t="inlineStr">
        <is>
          <t>Talise</t>
        </is>
      </c>
      <c r="C924" s="5" t="inlineStr">
        <is>
          <t>3128</t>
        </is>
      </c>
      <c r="D924" s="5" t="inlineStr"/>
      <c r="E924" s="5" t="n">
        <v>3</v>
      </c>
      <c r="F924" s="5" t="n">
        <v>2</v>
      </c>
      <c r="G924" s="5" t="inlineStr"/>
      <c r="H924" s="5" t="n">
        <v>1258</v>
      </c>
      <c r="I924" s="5" t="inlineStr">
        <is>
          <t>1/25/2025</t>
        </is>
      </c>
      <c r="J924" s="5" t="n">
        <v>200</v>
      </c>
      <c r="K924" s="5" t="n">
        <v>15</v>
      </c>
      <c r="L924" s="5" t="inlineStr">
        <is>
          <t>80%</t>
        </is>
      </c>
      <c r="M924" s="5" t="n">
        <v>1767</v>
      </c>
      <c r="N924" s="5" t="n">
        <v>1.4</v>
      </c>
      <c r="O924" s="5" t="n">
        <v>1649</v>
      </c>
      <c r="P924" s="5" t="n">
        <v>1.31</v>
      </c>
      <c r="Q924" s="5" t="inlineStr">
        <is>
          <t>2025-01-11</t>
        </is>
      </c>
      <c r="R924" s="5" t="inlineStr">
        <is>
          <t>2025-04-03</t>
        </is>
      </c>
      <c r="S924" s="5" t="n">
        <v>83</v>
      </c>
      <c r="T924" s="5" t="n">
        <v>69</v>
      </c>
      <c r="U924" s="48" t="inlineStr">
        <is>
          <t>Talise</t>
        </is>
      </c>
    </row>
    <row r="925">
      <c r="A925" s="5" t="inlineStr">
        <is>
          <t>Bella Mirage</t>
        </is>
      </c>
      <c r="B925" s="5" t="inlineStr">
        <is>
          <t>Talise</t>
        </is>
      </c>
      <c r="C925" s="5" t="inlineStr">
        <is>
          <t>3615</t>
        </is>
      </c>
      <c r="D925" s="5" t="n">
        <v>3</v>
      </c>
      <c r="E925" s="5" t="n">
        <v>3</v>
      </c>
      <c r="F925" s="5" t="n">
        <v>2</v>
      </c>
      <c r="G925" s="5" t="inlineStr"/>
      <c r="H925" s="5" t="n">
        <v>1258</v>
      </c>
      <c r="I925" s="5" t="inlineStr">
        <is>
          <t>1/29/2025</t>
        </is>
      </c>
      <c r="J925" s="5" t="n">
        <v>200</v>
      </c>
      <c r="K925" s="5" t="n">
        <v>13</v>
      </c>
      <c r="L925" s="5" t="inlineStr">
        <is>
          <t>80%</t>
        </is>
      </c>
      <c r="M925" s="5" t="n">
        <v>1868</v>
      </c>
      <c r="N925" s="5" t="n">
        <v>1.48</v>
      </c>
      <c r="O925" s="5" t="n">
        <v>1724</v>
      </c>
      <c r="P925" s="5" t="n">
        <v>1.37</v>
      </c>
      <c r="Q925" s="5" t="inlineStr">
        <is>
          <t>2024-11-04</t>
        </is>
      </c>
      <c r="R925" s="5" t="inlineStr">
        <is>
          <t>2025-01-06</t>
        </is>
      </c>
      <c r="S925" s="5" t="n">
        <v>64</v>
      </c>
      <c r="T925" s="5" t="n">
        <v>0</v>
      </c>
      <c r="U925" s="48" t="inlineStr">
        <is>
          <t>Talise</t>
        </is>
      </c>
    </row>
    <row r="926">
      <c r="A926" s="5" t="inlineStr">
        <is>
          <t>Bella Mirage</t>
        </is>
      </c>
      <c r="B926" s="5" t="inlineStr">
        <is>
          <t>Talise</t>
        </is>
      </c>
      <c r="C926" s="5" t="inlineStr">
        <is>
          <t>3615</t>
        </is>
      </c>
      <c r="D926" s="5" t="n">
        <v>3</v>
      </c>
      <c r="E926" s="5" t="n">
        <v>3</v>
      </c>
      <c r="F926" s="5" t="n">
        <v>2</v>
      </c>
      <c r="G926" s="5" t="inlineStr"/>
      <c r="H926" s="5" t="n">
        <v>1258</v>
      </c>
      <c r="I926" s="5" t="inlineStr">
        <is>
          <t>5/27/2025</t>
        </is>
      </c>
      <c r="J926" s="5" t="n">
        <v>200</v>
      </c>
      <c r="K926" s="5" t="n">
        <v>13</v>
      </c>
      <c r="L926" s="5" t="inlineStr">
        <is>
          <t>80%</t>
        </is>
      </c>
      <c r="M926" s="5" t="n">
        <v>1916</v>
      </c>
      <c r="N926" s="5" t="n">
        <v>1.52</v>
      </c>
      <c r="O926" s="5" t="n">
        <v>1769</v>
      </c>
      <c r="P926" s="5" t="n">
        <v>1.41</v>
      </c>
      <c r="Q926" s="5" t="inlineStr">
        <is>
          <t>2025-05-07</t>
        </is>
      </c>
      <c r="R926" s="5" t="inlineStr">
        <is>
          <t>2025-06-04</t>
        </is>
      </c>
      <c r="S926" s="5" t="n">
        <v>29</v>
      </c>
      <c r="T926" s="5" t="n">
        <v>9</v>
      </c>
      <c r="U926" s="48" t="inlineStr">
        <is>
          <t>Talise</t>
        </is>
      </c>
    </row>
    <row r="927">
      <c r="A927" s="5" t="inlineStr">
        <is>
          <t>Bella Mirage</t>
        </is>
      </c>
      <c r="B927" s="5" t="inlineStr">
        <is>
          <t>Talise</t>
        </is>
      </c>
      <c r="C927" s="5" t="inlineStr">
        <is>
          <t>0828</t>
        </is>
      </c>
      <c r="D927" s="5" t="n">
        <v>2</v>
      </c>
      <c r="E927" s="5" t="n">
        <v>3</v>
      </c>
      <c r="F927" s="5" t="n">
        <v>2</v>
      </c>
      <c r="G927" s="5" t="inlineStr"/>
      <c r="H927" s="5" t="n">
        <v>1258</v>
      </c>
      <c r="I927" s="5" t="inlineStr">
        <is>
          <t>7/9/2024</t>
        </is>
      </c>
      <c r="J927" s="5" t="n">
        <v>200</v>
      </c>
      <c r="K927" s="5" t="n">
        <v>12</v>
      </c>
      <c r="L927" s="5" t="inlineStr">
        <is>
          <t>80%</t>
        </is>
      </c>
      <c r="M927" s="5" t="n">
        <v>1798</v>
      </c>
      <c r="N927" s="5" t="n">
        <v>1.43</v>
      </c>
      <c r="O927" s="5" t="n">
        <v>1798</v>
      </c>
      <c r="P927" s="5" t="n">
        <v>1.43</v>
      </c>
      <c r="Q927" s="5" t="inlineStr">
        <is>
          <t>2024-05-08</t>
        </is>
      </c>
      <c r="R927" s="5" t="inlineStr">
        <is>
          <t>2024-10-18</t>
        </is>
      </c>
      <c r="S927" s="5" t="n">
        <v>164</v>
      </c>
      <c r="T927" s="5" t="n">
        <v>102</v>
      </c>
      <c r="U927" s="48" t="inlineStr">
        <is>
          <t>Talise</t>
        </is>
      </c>
    </row>
    <row r="928">
      <c r="A928" s="5" t="inlineStr">
        <is>
          <t>Bella Mirage</t>
        </is>
      </c>
      <c r="B928" s="5" t="inlineStr">
        <is>
          <t>Talise</t>
        </is>
      </c>
      <c r="C928" s="5" t="inlineStr">
        <is>
          <t>0828</t>
        </is>
      </c>
      <c r="D928" s="5" t="n">
        <v>2</v>
      </c>
      <c r="E928" s="5" t="n">
        <v>3</v>
      </c>
      <c r="F928" s="5" t="n">
        <v>2</v>
      </c>
      <c r="G928" s="5" t="inlineStr"/>
      <c r="H928" s="5" t="n">
        <v>1258</v>
      </c>
      <c r="I928" s="5" t="inlineStr">
        <is>
          <t>9/30/2025</t>
        </is>
      </c>
      <c r="J928" s="5" t="n">
        <v>300</v>
      </c>
      <c r="K928" s="5" t="n">
        <v>15</v>
      </c>
      <c r="L928" s="5" t="inlineStr">
        <is>
          <t>80%</t>
        </is>
      </c>
      <c r="M928" s="5" t="n">
        <v>1943</v>
      </c>
      <c r="N928" s="5" t="n">
        <v>1.54</v>
      </c>
      <c r="O928" s="5" t="n">
        <v>1943</v>
      </c>
      <c r="P928" s="5" t="n">
        <v>1.54</v>
      </c>
      <c r="Q928" s="5" t="inlineStr">
        <is>
          <t>2025-07-21</t>
        </is>
      </c>
      <c r="R928" s="5" t="inlineStr">
        <is>
          <t>2025-11-22</t>
        </is>
      </c>
      <c r="S928" s="5" t="n">
        <v>125</v>
      </c>
      <c r="T928" s="5" t="n">
        <v>54</v>
      </c>
      <c r="U928" s="48" t="inlineStr">
        <is>
          <t>Talise</t>
        </is>
      </c>
    </row>
    <row r="929">
      <c r="A929" s="5" t="inlineStr">
        <is>
          <t>Bella Mirage</t>
        </is>
      </c>
      <c r="B929" s="5" t="inlineStr">
        <is>
          <t>Talise</t>
        </is>
      </c>
      <c r="C929" s="5" t="inlineStr">
        <is>
          <t>3614</t>
        </is>
      </c>
      <c r="D929" s="5" t="n">
        <v>3</v>
      </c>
      <c r="E929" s="5" t="n">
        <v>3</v>
      </c>
      <c r="F929" s="5" t="n">
        <v>2</v>
      </c>
      <c r="G929" s="5" t="inlineStr"/>
      <c r="H929" s="5" t="n">
        <v>1258</v>
      </c>
      <c r="I929" s="5" t="inlineStr">
        <is>
          <t>10/25/2023</t>
        </is>
      </c>
      <c r="J929" s="5" t="inlineStr"/>
      <c r="K929" s="5" t="inlineStr"/>
      <c r="L929" s="5" t="inlineStr">
        <is>
          <t>80%</t>
        </is>
      </c>
      <c r="M929" s="5" t="n">
        <v>1936</v>
      </c>
      <c r="N929" s="5" t="n">
        <v>1.54</v>
      </c>
      <c r="O929" s="5" t="n">
        <v>1775</v>
      </c>
      <c r="P929" s="5" t="n">
        <v>1.41</v>
      </c>
      <c r="Q929" s="5" t="inlineStr">
        <is>
          <t>2023-09-22</t>
        </is>
      </c>
      <c r="R929" s="5" t="inlineStr">
        <is>
          <t>2023-12-02</t>
        </is>
      </c>
      <c r="S929" s="5" t="n">
        <v>72</v>
      </c>
      <c r="T929" s="5" t="n">
        <v>39</v>
      </c>
      <c r="U929" s="48" t="inlineStr">
        <is>
          <t>Talise</t>
        </is>
      </c>
    </row>
    <row r="930">
      <c r="A930" s="5" t="inlineStr">
        <is>
          <t>Bella Mirage</t>
        </is>
      </c>
      <c r="B930" s="5" t="inlineStr">
        <is>
          <t>Talise</t>
        </is>
      </c>
      <c r="C930" s="5" t="inlineStr">
        <is>
          <t>3614</t>
        </is>
      </c>
      <c r="D930" s="5" t="n">
        <v>3</v>
      </c>
      <c r="E930" s="5" t="n">
        <v>3</v>
      </c>
      <c r="F930" s="5" t="n">
        <v>2</v>
      </c>
      <c r="G930" s="5" t="inlineStr"/>
      <c r="H930" s="5" t="n">
        <v>1258</v>
      </c>
      <c r="I930" s="5" t="inlineStr">
        <is>
          <t>11/24/2024</t>
        </is>
      </c>
      <c r="J930" s="5" t="n">
        <v>200</v>
      </c>
      <c r="K930" s="5" t="n">
        <v>15</v>
      </c>
      <c r="L930" s="5" t="inlineStr">
        <is>
          <t>80%</t>
        </is>
      </c>
      <c r="M930" s="5" t="n">
        <v>1812</v>
      </c>
      <c r="N930" s="5" t="n">
        <v>1.44</v>
      </c>
      <c r="O930" s="5" t="n">
        <v>1691</v>
      </c>
      <c r="P930" s="5" t="n">
        <v>1.34</v>
      </c>
      <c r="Q930" s="5" t="inlineStr">
        <is>
          <t>2024-09-27</t>
        </is>
      </c>
      <c r="R930" s="5" t="inlineStr">
        <is>
          <t>2024-11-25</t>
        </is>
      </c>
      <c r="S930" s="5" t="n">
        <v>60</v>
      </c>
      <c r="T930" s="5" t="n">
        <v>2</v>
      </c>
      <c r="U930" s="48" t="inlineStr">
        <is>
          <t>Talise</t>
        </is>
      </c>
    </row>
    <row r="931">
      <c r="A931" s="5" t="inlineStr">
        <is>
          <t>Bella Mirage</t>
        </is>
      </c>
      <c r="B931" s="5" t="inlineStr">
        <is>
          <t>Talise</t>
        </is>
      </c>
      <c r="C931" s="5" t="inlineStr">
        <is>
          <t>3614</t>
        </is>
      </c>
      <c r="D931" s="5" t="n">
        <v>3</v>
      </c>
      <c r="E931" s="5" t="n">
        <v>3</v>
      </c>
      <c r="F931" s="5" t="n">
        <v>2</v>
      </c>
      <c r="G931" s="5" t="inlineStr"/>
      <c r="H931" s="5" t="n">
        <v>1258</v>
      </c>
      <c r="I931" s="5" t="inlineStr">
        <is>
          <t>3/15/2026</t>
        </is>
      </c>
      <c r="J931" s="5" t="n">
        <v>300</v>
      </c>
      <c r="K931" s="5" t="n">
        <v>12</v>
      </c>
      <c r="L931" s="5" t="inlineStr">
        <is>
          <t>80%</t>
        </is>
      </c>
      <c r="M931" s="5" t="n">
        <v>2005</v>
      </c>
      <c r="N931" s="5" t="n">
        <v>1.59</v>
      </c>
      <c r="O931" s="5" t="n">
        <v>2005</v>
      </c>
      <c r="P931" s="5" t="n">
        <v>1.59</v>
      </c>
      <c r="Q931" s="5" t="inlineStr">
        <is>
          <t>2026-01-10</t>
        </is>
      </c>
      <c r="R931" s="5" t="inlineStr">
        <is>
          <t>2026-01-13</t>
        </is>
      </c>
      <c r="S931" s="5" t="n">
        <v>4</v>
      </c>
      <c r="T931" s="5" t="n">
        <v>0</v>
      </c>
      <c r="U931" s="48" t="inlineStr">
        <is>
          <t>Talise</t>
        </is>
      </c>
    </row>
    <row r="932">
      <c r="A932" s="5" t="inlineStr">
        <is>
          <t>Bella Mirage</t>
        </is>
      </c>
      <c r="B932" s="5" t="inlineStr">
        <is>
          <t>Talise</t>
        </is>
      </c>
      <c r="C932" s="5" t="inlineStr">
        <is>
          <t>0825</t>
        </is>
      </c>
      <c r="D932" s="5" t="n">
        <v>2</v>
      </c>
      <c r="E932" s="5" t="n">
        <v>3</v>
      </c>
      <c r="F932" s="5" t="n">
        <v>2</v>
      </c>
      <c r="G932" s="5" t="inlineStr"/>
      <c r="H932" s="5" t="n">
        <v>1258</v>
      </c>
      <c r="I932" s="5" t="inlineStr">
        <is>
          <t>1/15/2025</t>
        </is>
      </c>
      <c r="J932" s="5" t="n">
        <v>200</v>
      </c>
      <c r="K932" s="5" t="n">
        <v>14</v>
      </c>
      <c r="L932" s="5" t="inlineStr">
        <is>
          <t>80%</t>
        </is>
      </c>
      <c r="M932" s="5" t="n">
        <v>1857</v>
      </c>
      <c r="N932" s="5" t="n">
        <v>1.48</v>
      </c>
      <c r="O932" s="5" t="n">
        <v>1724</v>
      </c>
      <c r="P932" s="5" t="n">
        <v>1.37</v>
      </c>
      <c r="Q932" s="5" t="inlineStr">
        <is>
          <t>2024-10-24</t>
        </is>
      </c>
      <c r="R932" s="5" t="inlineStr">
        <is>
          <t>2025-03-01</t>
        </is>
      </c>
      <c r="S932" s="5" t="n">
        <v>129</v>
      </c>
      <c r="T932" s="5" t="n">
        <v>46</v>
      </c>
      <c r="U932" s="48" t="inlineStr">
        <is>
          <t>Talise</t>
        </is>
      </c>
    </row>
    <row r="933">
      <c r="A933" s="5" t="inlineStr">
        <is>
          <t>Bella Mirage</t>
        </is>
      </c>
      <c r="B933" s="5" t="inlineStr">
        <is>
          <t>Talise</t>
        </is>
      </c>
      <c r="C933" s="5" t="inlineStr">
        <is>
          <t>0811</t>
        </is>
      </c>
      <c r="D933" s="5" t="inlineStr"/>
      <c r="E933" s="5" t="n">
        <v>3</v>
      </c>
      <c r="F933" s="5" t="n">
        <v>2</v>
      </c>
      <c r="G933" s="5" t="inlineStr"/>
      <c r="H933" s="5" t="n">
        <v>1258</v>
      </c>
      <c r="I933" s="5" t="inlineStr">
        <is>
          <t>1/11/2025</t>
        </is>
      </c>
      <c r="J933" s="5" t="n">
        <v>200</v>
      </c>
      <c r="K933" s="5" t="n">
        <v>15</v>
      </c>
      <c r="L933" s="5" t="inlineStr">
        <is>
          <t>80%</t>
        </is>
      </c>
      <c r="M933" s="5" t="n">
        <v>1928</v>
      </c>
      <c r="N933" s="5" t="n">
        <v>1.53</v>
      </c>
      <c r="O933" s="5" t="n">
        <v>1799</v>
      </c>
      <c r="P933" s="5" t="n">
        <v>1.43</v>
      </c>
      <c r="Q933" s="5" t="inlineStr">
        <is>
          <t>2024-10-22</t>
        </is>
      </c>
      <c r="R933" s="5" t="inlineStr">
        <is>
          <t>2025-03-21</t>
        </is>
      </c>
      <c r="S933" s="5" t="n">
        <v>151</v>
      </c>
      <c r="T933" s="5" t="n">
        <v>70</v>
      </c>
      <c r="U933" s="48" t="inlineStr">
        <is>
          <t>Talise</t>
        </is>
      </c>
    </row>
    <row r="934">
      <c r="A934" s="5" t="inlineStr">
        <is>
          <t>Bella Mirage</t>
        </is>
      </c>
      <c r="B934" s="5" t="inlineStr">
        <is>
          <t>Talise</t>
        </is>
      </c>
      <c r="C934" s="5" t="inlineStr">
        <is>
          <t>0811</t>
        </is>
      </c>
      <c r="D934" s="5" t="inlineStr"/>
      <c r="E934" s="5" t="n">
        <v>3</v>
      </c>
      <c r="F934" s="5" t="n">
        <v>2</v>
      </c>
      <c r="G934" s="5" t="inlineStr"/>
      <c r="H934" s="5" t="n">
        <v>1258</v>
      </c>
      <c r="I934" s="5" t="inlineStr">
        <is>
          <t>11/28/2025</t>
        </is>
      </c>
      <c r="J934" s="5" t="n">
        <v>300</v>
      </c>
      <c r="K934" s="5" t="n">
        <v>13</v>
      </c>
      <c r="L934" s="5" t="inlineStr">
        <is>
          <t>80%</t>
        </is>
      </c>
      <c r="M934" s="5" t="n">
        <v>2140</v>
      </c>
      <c r="N934" s="5" t="n">
        <v>1.7</v>
      </c>
      <c r="O934" s="5" t="n">
        <v>2140</v>
      </c>
      <c r="P934" s="5" t="n">
        <v>1.7</v>
      </c>
      <c r="Q934" s="5" t="inlineStr">
        <is>
          <t>2025-10-28</t>
        </is>
      </c>
      <c r="R934" s="5" t="inlineStr">
        <is>
          <t>2026-01-06</t>
        </is>
      </c>
      <c r="S934" s="5" t="n">
        <v>71</v>
      </c>
      <c r="T934" s="5" t="n">
        <v>40</v>
      </c>
      <c r="U934" s="48" t="inlineStr">
        <is>
          <t>Talise</t>
        </is>
      </c>
    </row>
    <row r="935">
      <c r="A935" s="5" t="inlineStr">
        <is>
          <t>Bella Mirage</t>
        </is>
      </c>
      <c r="B935" s="5" t="inlineStr">
        <is>
          <t>Talise</t>
        </is>
      </c>
      <c r="C935" s="5" t="inlineStr">
        <is>
          <t>0811</t>
        </is>
      </c>
      <c r="D935" s="5" t="inlineStr"/>
      <c r="E935" s="5" t="n">
        <v>3</v>
      </c>
      <c r="F935" s="5" t="n">
        <v>2</v>
      </c>
      <c r="G935" s="5" t="inlineStr"/>
      <c r="H935" s="5" t="n">
        <v>1258</v>
      </c>
      <c r="I935" s="5" t="inlineStr">
        <is>
          <t>7/31/2026</t>
        </is>
      </c>
      <c r="J935" s="5" t="n">
        <v>300</v>
      </c>
      <c r="K935" s="5" t="n">
        <v>14</v>
      </c>
      <c r="L935" s="5" t="inlineStr">
        <is>
          <t>80%</t>
        </is>
      </c>
      <c r="M935" s="5" t="n">
        <v>2110</v>
      </c>
      <c r="N935" s="5" t="n">
        <v>1.68</v>
      </c>
      <c r="O935" s="5" t="n">
        <v>2110</v>
      </c>
      <c r="P935" s="5" t="n">
        <v>1.68</v>
      </c>
      <c r="Q935" s="5" t="inlineStr">
        <is>
          <t>2026-06-02</t>
        </is>
      </c>
      <c r="R935" s="5" t="inlineStr">
        <is>
          <t>2026-06-03</t>
        </is>
      </c>
      <c r="S935" s="5" t="n">
        <v>2</v>
      </c>
      <c r="T935" s="5" t="n">
        <v>0</v>
      </c>
      <c r="U935" s="48" t="inlineStr">
        <is>
          <t>Talise</t>
        </is>
      </c>
    </row>
    <row r="936">
      <c r="A936" s="5" t="inlineStr">
        <is>
          <t>Bella Mirage</t>
        </is>
      </c>
      <c r="B936" s="5" t="inlineStr">
        <is>
          <t>Talise</t>
        </is>
      </c>
      <c r="C936" s="5" t="inlineStr">
        <is>
          <t>2415</t>
        </is>
      </c>
      <c r="D936" s="5" t="n">
        <v>2</v>
      </c>
      <c r="E936" s="5" t="n">
        <v>3</v>
      </c>
      <c r="F936" s="5" t="n">
        <v>2</v>
      </c>
      <c r="G936" s="5" t="inlineStr"/>
      <c r="H936" s="5" t="n">
        <v>1258</v>
      </c>
      <c r="I936" s="5" t="inlineStr">
        <is>
          <t>2/16/2024</t>
        </is>
      </c>
      <c r="J936" s="5" t="n">
        <v>200</v>
      </c>
      <c r="K936" s="5" t="n">
        <v>14</v>
      </c>
      <c r="L936" s="5" t="inlineStr">
        <is>
          <t>80%</t>
        </is>
      </c>
      <c r="M936" s="5" t="n">
        <v>1973</v>
      </c>
      <c r="N936" s="5" t="n">
        <v>1.57</v>
      </c>
      <c r="O936" s="5" t="n">
        <v>1832</v>
      </c>
      <c r="P936" s="5" t="n">
        <v>1.46</v>
      </c>
      <c r="Q936" s="5" t="inlineStr">
        <is>
          <t>2024-02-01</t>
        </is>
      </c>
      <c r="R936" s="5" t="inlineStr">
        <is>
          <t>2024-02-15</t>
        </is>
      </c>
      <c r="S936" s="5" t="n">
        <v>15</v>
      </c>
      <c r="T936" s="5" t="n">
        <v>0</v>
      </c>
      <c r="U936" s="48" t="inlineStr">
        <is>
          <t>Talise</t>
        </is>
      </c>
    </row>
    <row r="937">
      <c r="A937" s="5" t="inlineStr">
        <is>
          <t>Bella Mirage</t>
        </is>
      </c>
      <c r="B937" s="5" t="inlineStr">
        <is>
          <t>Talise</t>
        </is>
      </c>
      <c r="C937" s="5" t="inlineStr">
        <is>
          <t>2415</t>
        </is>
      </c>
      <c r="D937" s="5" t="n">
        <v>2</v>
      </c>
      <c r="E937" s="5" t="n">
        <v>3</v>
      </c>
      <c r="F937" s="5" t="n">
        <v>2</v>
      </c>
      <c r="G937" s="5" t="inlineStr"/>
      <c r="H937" s="5" t="n">
        <v>1258</v>
      </c>
      <c r="I937" s="5" t="inlineStr">
        <is>
          <t>5/12/2026</t>
        </is>
      </c>
      <c r="J937" s="5" t="n">
        <v>300</v>
      </c>
      <c r="K937" s="5" t="n">
        <v>14</v>
      </c>
      <c r="L937" s="5" t="inlineStr">
        <is>
          <t>80%</t>
        </is>
      </c>
      <c r="M937" s="5" t="n">
        <v>2148</v>
      </c>
      <c r="N937" s="5" t="n">
        <v>1.71</v>
      </c>
      <c r="O937" s="5" t="n">
        <v>2148</v>
      </c>
      <c r="P937" s="5" t="n">
        <v>1.71</v>
      </c>
      <c r="Q937" s="5" t="inlineStr">
        <is>
          <t>2026-04-12</t>
        </is>
      </c>
      <c r="R937" s="5" t="inlineStr">
        <is>
          <t>2026-05-07</t>
        </is>
      </c>
      <c r="S937" s="5" t="n">
        <v>26</v>
      </c>
      <c r="T937" s="5" t="n">
        <v>0</v>
      </c>
      <c r="U937" s="48" t="inlineStr">
        <is>
          <t>Talise</t>
        </is>
      </c>
    </row>
    <row r="938">
      <c r="A938" s="5" t="inlineStr">
        <is>
          <t>Bella Mirage</t>
        </is>
      </c>
      <c r="B938" s="5" t="inlineStr">
        <is>
          <t>Talise</t>
        </is>
      </c>
      <c r="C938" s="5" t="inlineStr">
        <is>
          <t>0821</t>
        </is>
      </c>
      <c r="D938" s="5" t="inlineStr"/>
      <c r="E938" s="5" t="n">
        <v>3</v>
      </c>
      <c r="F938" s="5" t="n">
        <v>2</v>
      </c>
      <c r="G938" s="5" t="inlineStr"/>
      <c r="H938" s="5" t="n">
        <v>1258</v>
      </c>
      <c r="I938" s="5" t="inlineStr">
        <is>
          <t>2/17/2024</t>
        </is>
      </c>
      <c r="J938" s="5" t="inlineStr"/>
      <c r="K938" s="5" t="inlineStr"/>
      <c r="L938" s="5" t="inlineStr">
        <is>
          <t>80%</t>
        </is>
      </c>
      <c r="M938" s="5" t="n">
        <v>1808</v>
      </c>
      <c r="N938" s="5" t="n">
        <v>1.44</v>
      </c>
      <c r="O938" s="5" t="n">
        <v>1657</v>
      </c>
      <c r="P938" s="5" t="n">
        <v>1.32</v>
      </c>
      <c r="Q938" s="5" t="inlineStr">
        <is>
          <t>2024-01-23</t>
        </is>
      </c>
      <c r="R938" s="5" t="inlineStr">
        <is>
          <t>2024-02-06</t>
        </is>
      </c>
      <c r="S938" s="5" t="n">
        <v>15</v>
      </c>
      <c r="T938" s="5" t="n">
        <v>0</v>
      </c>
      <c r="U938" s="48" t="inlineStr">
        <is>
          <t>Talise</t>
        </is>
      </c>
    </row>
    <row r="939">
      <c r="A939" s="5" t="inlineStr">
        <is>
          <t>Bella Mirage</t>
        </is>
      </c>
      <c r="B939" s="5" t="inlineStr">
        <is>
          <t>Talise</t>
        </is>
      </c>
      <c r="C939" s="5" t="inlineStr">
        <is>
          <t>2411</t>
        </is>
      </c>
      <c r="D939" s="5" t="n">
        <v>2</v>
      </c>
      <c r="E939" s="5" t="n">
        <v>3</v>
      </c>
      <c r="F939" s="5" t="n">
        <v>2</v>
      </c>
      <c r="G939" s="5" t="inlineStr"/>
      <c r="H939" s="5" t="n">
        <v>1258</v>
      </c>
      <c r="I939" s="5" t="inlineStr">
        <is>
          <t>7/11/2023</t>
        </is>
      </c>
      <c r="J939" s="5" t="inlineStr"/>
      <c r="K939" s="5" t="inlineStr"/>
      <c r="L939" s="5" t="inlineStr">
        <is>
          <t>80%</t>
        </is>
      </c>
      <c r="M939" s="5" t="n">
        <v>1883</v>
      </c>
      <c r="N939" s="5" t="n">
        <v>1.5</v>
      </c>
      <c r="O939" s="5" t="n">
        <v>1726</v>
      </c>
      <c r="P939" s="5" t="n">
        <v>1.37</v>
      </c>
      <c r="Q939" s="5" t="inlineStr"/>
      <c r="R939" s="5" t="inlineStr">
        <is>
          <t>2023-10-17</t>
        </is>
      </c>
      <c r="S939" s="5" t="inlineStr"/>
      <c r="T939" s="5" t="inlineStr"/>
      <c r="U939" s="48" t="inlineStr">
        <is>
          <t>Talise</t>
        </is>
      </c>
    </row>
    <row r="940">
      <c r="A940" s="5" t="inlineStr">
        <is>
          <t>Bella Mirage</t>
        </is>
      </c>
      <c r="B940" s="5" t="inlineStr">
        <is>
          <t>Talise</t>
        </is>
      </c>
      <c r="C940" s="5" t="inlineStr">
        <is>
          <t>0624</t>
        </is>
      </c>
      <c r="D940" s="5" t="inlineStr"/>
      <c r="E940" s="5" t="n">
        <v>3</v>
      </c>
      <c r="F940" s="5" t="n">
        <v>2</v>
      </c>
      <c r="G940" s="5" t="inlineStr"/>
      <c r="H940" s="5" t="n">
        <v>1258</v>
      </c>
      <c r="I940" s="5" t="inlineStr">
        <is>
          <t>7/5/2023</t>
        </is>
      </c>
      <c r="J940" s="5" t="inlineStr"/>
      <c r="K940" s="5" t="inlineStr"/>
      <c r="L940" s="5" t="inlineStr">
        <is>
          <t>80%</t>
        </is>
      </c>
      <c r="M940" s="5" t="n">
        <v>1926</v>
      </c>
      <c r="N940" s="5" t="n">
        <v>1.53</v>
      </c>
      <c r="O940" s="5" t="n">
        <v>1766</v>
      </c>
      <c r="P940" s="5" t="n">
        <v>1.4</v>
      </c>
      <c r="Q940" s="5" t="inlineStr"/>
      <c r="R940" s="5" t="inlineStr">
        <is>
          <t>2023-10-01</t>
        </is>
      </c>
      <c r="S940" s="5" t="inlineStr"/>
      <c r="T940" s="5" t="inlineStr"/>
      <c r="U940" s="48" t="inlineStr">
        <is>
          <t>Talise</t>
        </is>
      </c>
    </row>
    <row r="941">
      <c r="A941" s="5" t="inlineStr">
        <is>
          <t>Bella Mirage</t>
        </is>
      </c>
      <c r="B941" s="5" t="inlineStr">
        <is>
          <t>Marin</t>
        </is>
      </c>
      <c r="C941" s="5" t="inlineStr">
        <is>
          <t>5513</t>
        </is>
      </c>
      <c r="D941" s="5" t="inlineStr"/>
      <c r="E941" s="5" t="n">
        <v>3</v>
      </c>
      <c r="F941" s="5" t="n">
        <v>2</v>
      </c>
      <c r="G941" s="5" t="inlineStr"/>
      <c r="H941" s="5" t="n">
        <v>1364</v>
      </c>
      <c r="I941" s="5" t="inlineStr">
        <is>
          <t>6/10/2025</t>
        </is>
      </c>
      <c r="J941" s="5" t="n">
        <v>300</v>
      </c>
      <c r="K941" s="5" t="n">
        <v>15</v>
      </c>
      <c r="L941" s="5" t="inlineStr">
        <is>
          <t>80%</t>
        </is>
      </c>
      <c r="M941" s="5" t="n">
        <v>1777</v>
      </c>
      <c r="N941" s="5" t="n">
        <v>1.3</v>
      </c>
      <c r="O941" s="5" t="n">
        <v>1777</v>
      </c>
      <c r="P941" s="5" t="n">
        <v>1.3</v>
      </c>
      <c r="Q941" s="5" t="inlineStr">
        <is>
          <t>2025-04-12</t>
        </is>
      </c>
      <c r="R941" s="5" t="inlineStr">
        <is>
          <t>2025-11-22</t>
        </is>
      </c>
      <c r="S941" s="5" t="n">
        <v>225</v>
      </c>
      <c r="T941" s="5" t="n">
        <v>166</v>
      </c>
      <c r="U941" s="48" t="inlineStr">
        <is>
          <t>Marin</t>
        </is>
      </c>
    </row>
    <row r="942">
      <c r="A942" s="5" t="inlineStr">
        <is>
          <t>Bella Mirage</t>
        </is>
      </c>
      <c r="B942" s="5" t="inlineStr">
        <is>
          <t>Marin</t>
        </is>
      </c>
      <c r="C942" s="5" t="inlineStr">
        <is>
          <t>6114</t>
        </is>
      </c>
      <c r="D942" s="5" t="inlineStr"/>
      <c r="E942" s="5" t="n">
        <v>3</v>
      </c>
      <c r="F942" s="5" t="n">
        <v>2</v>
      </c>
      <c r="G942" s="5" t="inlineStr"/>
      <c r="H942" s="5" t="n">
        <v>1364</v>
      </c>
      <c r="I942" s="5" t="inlineStr">
        <is>
          <t>5/24/2025</t>
        </is>
      </c>
      <c r="J942" s="5" t="n">
        <v>200</v>
      </c>
      <c r="K942" s="5" t="n">
        <v>12</v>
      </c>
      <c r="L942" s="5" t="inlineStr">
        <is>
          <t>80%</t>
        </is>
      </c>
      <c r="M942" s="5" t="n">
        <v>1879</v>
      </c>
      <c r="N942" s="5" t="n">
        <v>1.38</v>
      </c>
      <c r="O942" s="5" t="n">
        <v>1722</v>
      </c>
      <c r="P942" s="5" t="n">
        <v>1.26</v>
      </c>
      <c r="Q942" s="5" t="inlineStr">
        <is>
          <t>2025-03-09</t>
        </is>
      </c>
      <c r="R942" s="5" t="inlineStr">
        <is>
          <t>2025-03-15</t>
        </is>
      </c>
      <c r="S942" s="5" t="n">
        <v>7</v>
      </c>
      <c r="T942" s="5" t="n">
        <v>0</v>
      </c>
      <c r="U942" s="48" t="inlineStr">
        <is>
          <t>Marin</t>
        </is>
      </c>
    </row>
    <row r="943">
      <c r="A943" s="5" t="inlineStr">
        <is>
          <t>Bella Mirage</t>
        </is>
      </c>
      <c r="B943" s="5" t="inlineStr">
        <is>
          <t>Marin</t>
        </is>
      </c>
      <c r="C943" s="5" t="inlineStr">
        <is>
          <t>5511</t>
        </is>
      </c>
      <c r="D943" s="5" t="inlineStr"/>
      <c r="E943" s="5" t="n">
        <v>3</v>
      </c>
      <c r="F943" s="5" t="n">
        <v>2</v>
      </c>
      <c r="G943" s="5" t="inlineStr"/>
      <c r="H943" s="5" t="n">
        <v>1364</v>
      </c>
      <c r="I943" s="5" t="inlineStr">
        <is>
          <t>6/22/2023</t>
        </is>
      </c>
      <c r="J943" s="5" t="inlineStr"/>
      <c r="K943" s="5" t="inlineStr"/>
      <c r="L943" s="5" t="inlineStr">
        <is>
          <t>80%</t>
        </is>
      </c>
      <c r="M943" s="5" t="n">
        <v>2541</v>
      </c>
      <c r="N943" s="5" t="n">
        <v>1.86</v>
      </c>
      <c r="O943" s="5" t="n">
        <v>2478</v>
      </c>
      <c r="P943" s="5" t="n">
        <v>1.82</v>
      </c>
      <c r="Q943" s="5" t="inlineStr"/>
      <c r="R943" s="5" t="inlineStr">
        <is>
          <t>2023-06-25</t>
        </is>
      </c>
      <c r="S943" s="5" t="inlineStr"/>
      <c r="T943" s="5" t="inlineStr"/>
      <c r="U943" s="48" t="inlineStr">
        <is>
          <t>Marin</t>
        </is>
      </c>
    </row>
    <row r="944">
      <c r="A944" s="5" t="inlineStr">
        <is>
          <t>Bella Mirage</t>
        </is>
      </c>
      <c r="B944" s="5" t="inlineStr">
        <is>
          <t>Marin</t>
        </is>
      </c>
      <c r="C944" s="5" t="inlineStr">
        <is>
          <t>5511</t>
        </is>
      </c>
      <c r="D944" s="5" t="inlineStr"/>
      <c r="E944" s="5" t="n">
        <v>3</v>
      </c>
      <c r="F944" s="5" t="n">
        <v>2</v>
      </c>
      <c r="G944" s="5" t="inlineStr"/>
      <c r="H944" s="5" t="n">
        <v>1364</v>
      </c>
      <c r="I944" s="5" t="inlineStr">
        <is>
          <t>11/30/2023</t>
        </is>
      </c>
      <c r="J944" s="5" t="inlineStr"/>
      <c r="K944" s="5" t="inlineStr"/>
      <c r="L944" s="5" t="inlineStr">
        <is>
          <t>80%</t>
        </is>
      </c>
      <c r="M944" s="5" t="n">
        <v>1763</v>
      </c>
      <c r="N944" s="5" t="n">
        <v>1.29</v>
      </c>
      <c r="O944" s="5" t="n">
        <v>1616</v>
      </c>
      <c r="P944" s="5" t="n">
        <v>1.18</v>
      </c>
      <c r="Q944" s="5" t="inlineStr">
        <is>
          <t>2023-10-14</t>
        </is>
      </c>
      <c r="R944" s="5" t="inlineStr">
        <is>
          <t>2024-02-10</t>
        </is>
      </c>
      <c r="S944" s="5" t="n">
        <v>120</v>
      </c>
      <c r="T944" s="5" t="n">
        <v>73</v>
      </c>
      <c r="U944" s="48" t="inlineStr">
        <is>
          <t>Marin</t>
        </is>
      </c>
    </row>
    <row r="945">
      <c r="A945" s="5" t="inlineStr">
        <is>
          <t>Bella Mirage</t>
        </is>
      </c>
      <c r="B945" s="5" t="inlineStr">
        <is>
          <t>Marin</t>
        </is>
      </c>
      <c r="C945" s="5" t="inlineStr">
        <is>
          <t>5511</t>
        </is>
      </c>
      <c r="D945" s="5" t="inlineStr"/>
      <c r="E945" s="5" t="n">
        <v>3</v>
      </c>
      <c r="F945" s="5" t="n">
        <v>2</v>
      </c>
      <c r="G945" s="5" t="inlineStr"/>
      <c r="H945" s="5" t="n">
        <v>1364</v>
      </c>
      <c r="I945" s="5" t="inlineStr">
        <is>
          <t>3/28/2025</t>
        </is>
      </c>
      <c r="J945" s="5" t="n">
        <v>200</v>
      </c>
      <c r="K945" s="5" t="n">
        <v>14</v>
      </c>
      <c r="L945" s="5" t="inlineStr">
        <is>
          <t>80%</t>
        </is>
      </c>
      <c r="M945" s="5" t="n">
        <v>1929</v>
      </c>
      <c r="N945" s="5" t="n">
        <v>1.41</v>
      </c>
      <c r="O945" s="5" t="n">
        <v>1791</v>
      </c>
      <c r="P945" s="5" t="n">
        <v>1.31</v>
      </c>
      <c r="Q945" s="5" t="inlineStr">
        <is>
          <t>2025-03-05</t>
        </is>
      </c>
      <c r="R945" s="5" t="inlineStr">
        <is>
          <t>2025-03-21</t>
        </is>
      </c>
      <c r="S945" s="5" t="n">
        <v>17</v>
      </c>
      <c r="T945" s="5" t="n">
        <v>0</v>
      </c>
      <c r="U945" s="48" t="inlineStr">
        <is>
          <t>Marin</t>
        </is>
      </c>
    </row>
    <row r="946">
      <c r="A946" s="5" t="inlineStr">
        <is>
          <t>Bella Mirage</t>
        </is>
      </c>
      <c r="B946" s="5" t="inlineStr">
        <is>
          <t>Marin</t>
        </is>
      </c>
      <c r="C946" s="5" t="inlineStr">
        <is>
          <t>3515</t>
        </is>
      </c>
      <c r="D946" s="5" t="n">
        <v>3</v>
      </c>
      <c r="E946" s="5" t="n">
        <v>3</v>
      </c>
      <c r="F946" s="5" t="n">
        <v>2</v>
      </c>
      <c r="G946" s="5" t="inlineStr"/>
      <c r="H946" s="5" t="n">
        <v>1364</v>
      </c>
      <c r="I946" s="5" t="inlineStr">
        <is>
          <t>10/1/2023</t>
        </is>
      </c>
      <c r="J946" s="5" t="inlineStr"/>
      <c r="K946" s="5" t="inlineStr"/>
      <c r="L946" s="5" t="inlineStr">
        <is>
          <t>80%</t>
        </is>
      </c>
      <c r="M946" s="5" t="n">
        <v>2167</v>
      </c>
      <c r="N946" s="5" t="n">
        <v>1.59</v>
      </c>
      <c r="O946" s="5" t="n">
        <v>2104</v>
      </c>
      <c r="P946" s="5" t="n">
        <v>1.54</v>
      </c>
      <c r="Q946" s="5" t="inlineStr">
        <is>
          <t>2023-06-20</t>
        </is>
      </c>
      <c r="R946" s="5" t="inlineStr">
        <is>
          <t>2023-09-13</t>
        </is>
      </c>
      <c r="S946" s="5" t="n">
        <v>86</v>
      </c>
      <c r="T946" s="5" t="n">
        <v>0</v>
      </c>
      <c r="U946" s="48" t="inlineStr">
        <is>
          <t>Marin</t>
        </is>
      </c>
    </row>
    <row r="947">
      <c r="A947" s="5" t="inlineStr">
        <is>
          <t>Bella Mirage</t>
        </is>
      </c>
      <c r="B947" s="5" t="inlineStr">
        <is>
          <t>Marin</t>
        </is>
      </c>
      <c r="C947" s="5" t="inlineStr">
        <is>
          <t>6111</t>
        </is>
      </c>
      <c r="D947" s="5" t="inlineStr"/>
      <c r="E947" s="5" t="n">
        <v>3</v>
      </c>
      <c r="F947" s="5" t="n">
        <v>2</v>
      </c>
      <c r="G947" s="5" t="inlineStr"/>
      <c r="H947" s="5" t="n">
        <v>1364</v>
      </c>
      <c r="I947" s="5" t="inlineStr">
        <is>
          <t>9/14/2023</t>
        </is>
      </c>
      <c r="J947" s="5" t="inlineStr"/>
      <c r="K947" s="5" t="inlineStr"/>
      <c r="L947" s="5" t="inlineStr">
        <is>
          <t>80%</t>
        </is>
      </c>
      <c r="M947" s="5" t="n">
        <v>2048</v>
      </c>
      <c r="N947" s="5" t="n">
        <v>1.5</v>
      </c>
      <c r="O947" s="5" t="n">
        <v>1877</v>
      </c>
      <c r="P947" s="5" t="n">
        <v>1.38</v>
      </c>
      <c r="Q947" s="5" t="inlineStr">
        <is>
          <t>2023-07-20</t>
        </is>
      </c>
      <c r="R947" s="5" t="inlineStr">
        <is>
          <t>2023-10-04</t>
        </is>
      </c>
      <c r="S947" s="5" t="n">
        <v>77</v>
      </c>
      <c r="T947" s="5" t="n">
        <v>21</v>
      </c>
      <c r="U947" s="48" t="inlineStr">
        <is>
          <t>Marin</t>
        </is>
      </c>
    </row>
    <row r="948">
      <c r="A948" s="5" t="inlineStr">
        <is>
          <t>Bella Mirage</t>
        </is>
      </c>
      <c r="B948" s="5" t="inlineStr">
        <is>
          <t>Marin</t>
        </is>
      </c>
      <c r="C948" s="5" t="inlineStr">
        <is>
          <t>6111</t>
        </is>
      </c>
      <c r="D948" s="5" t="inlineStr"/>
      <c r="E948" s="5" t="n">
        <v>3</v>
      </c>
      <c r="F948" s="5" t="n">
        <v>2</v>
      </c>
      <c r="G948" s="5" t="inlineStr"/>
      <c r="H948" s="5" t="n">
        <v>1364</v>
      </c>
      <c r="I948" s="5" t="inlineStr">
        <is>
          <t>10/4/2024</t>
        </is>
      </c>
      <c r="J948" s="5" t="n">
        <v>200</v>
      </c>
      <c r="K948" s="5" t="n">
        <v>14</v>
      </c>
      <c r="L948" s="5" t="inlineStr">
        <is>
          <t>80%</t>
        </is>
      </c>
      <c r="M948" s="5" t="n">
        <v>1963</v>
      </c>
      <c r="N948" s="5" t="n">
        <v>1.44</v>
      </c>
      <c r="O948" s="5" t="n">
        <v>1823</v>
      </c>
      <c r="P948" s="5" t="n">
        <v>1.34</v>
      </c>
      <c r="Q948" s="5" t="inlineStr">
        <is>
          <t>2024-09-26</t>
        </is>
      </c>
      <c r="R948" s="5" t="inlineStr">
        <is>
          <t>2024-11-11</t>
        </is>
      </c>
      <c r="S948" s="5" t="n">
        <v>47</v>
      </c>
      <c r="T948" s="5" t="n">
        <v>39</v>
      </c>
      <c r="U948" s="48" t="inlineStr">
        <is>
          <t>Marin</t>
        </is>
      </c>
    </row>
    <row r="949">
      <c r="A949" s="5" t="inlineStr">
        <is>
          <t>Bella Mirage</t>
        </is>
      </c>
      <c r="B949" s="5" t="inlineStr">
        <is>
          <t>Marin</t>
        </is>
      </c>
      <c r="C949" s="5" t="inlineStr">
        <is>
          <t>5215</t>
        </is>
      </c>
      <c r="D949" s="5" t="inlineStr"/>
      <c r="E949" s="5" t="n">
        <v>3</v>
      </c>
      <c r="F949" s="5" t="n">
        <v>2</v>
      </c>
      <c r="G949" s="5" t="inlineStr"/>
      <c r="H949" s="5" t="n">
        <v>1364</v>
      </c>
      <c r="I949" s="5" t="inlineStr">
        <is>
          <t>7/1/2023</t>
        </is>
      </c>
      <c r="J949" s="5" t="inlineStr"/>
      <c r="K949" s="5" t="inlineStr"/>
      <c r="L949" s="5" t="inlineStr">
        <is>
          <t>80%</t>
        </is>
      </c>
      <c r="M949" s="5" t="n">
        <v>2051</v>
      </c>
      <c r="N949" s="5" t="n">
        <v>1.5</v>
      </c>
      <c r="O949" s="5" t="n">
        <v>1988</v>
      </c>
      <c r="P949" s="5" t="n">
        <v>1.46</v>
      </c>
      <c r="Q949" s="5" t="inlineStr"/>
      <c r="R949" s="5" t="inlineStr">
        <is>
          <t>2023-09-16</t>
        </is>
      </c>
      <c r="S949" s="5" t="inlineStr"/>
      <c r="T949" s="5" t="inlineStr"/>
      <c r="U949" s="48" t="inlineStr">
        <is>
          <t>Marin</t>
        </is>
      </c>
    </row>
    <row r="950">
      <c r="A950" s="5" t="inlineStr">
        <is>
          <t>Bella Mirage</t>
        </is>
      </c>
      <c r="B950" s="5" t="inlineStr">
        <is>
          <t>Marin</t>
        </is>
      </c>
      <c r="C950" s="5" t="inlineStr">
        <is>
          <t>5215</t>
        </is>
      </c>
      <c r="D950" s="5" t="inlineStr"/>
      <c r="E950" s="5" t="n">
        <v>3</v>
      </c>
      <c r="F950" s="5" t="n">
        <v>2</v>
      </c>
      <c r="G950" s="5" t="inlineStr"/>
      <c r="H950" s="5" t="n">
        <v>1364</v>
      </c>
      <c r="I950" s="5" t="inlineStr">
        <is>
          <t>11/29/2024</t>
        </is>
      </c>
      <c r="J950" s="5" t="n">
        <v>200</v>
      </c>
      <c r="K950" s="5" t="n">
        <v>13</v>
      </c>
      <c r="L950" s="5" t="inlineStr">
        <is>
          <t>80%</t>
        </is>
      </c>
      <c r="M950" s="5" t="n">
        <v>1966</v>
      </c>
      <c r="N950" s="5" t="n">
        <v>1.44</v>
      </c>
      <c r="O950" s="5" t="n">
        <v>1966</v>
      </c>
      <c r="P950" s="5" t="n">
        <v>1.44</v>
      </c>
      <c r="Q950" s="5" t="inlineStr">
        <is>
          <t>2024-10-10</t>
        </is>
      </c>
      <c r="R950" s="5" t="inlineStr">
        <is>
          <t>2024-10-16</t>
        </is>
      </c>
      <c r="S950" s="5" t="n">
        <v>7</v>
      </c>
      <c r="T950" s="5" t="n">
        <v>0</v>
      </c>
      <c r="U950" s="48" t="inlineStr">
        <is>
          <t>Marin</t>
        </is>
      </c>
    </row>
    <row r="951">
      <c r="A951" s="5" t="inlineStr">
        <is>
          <t>Bella Mirage</t>
        </is>
      </c>
      <c r="B951" s="5" t="inlineStr">
        <is>
          <t>Marin</t>
        </is>
      </c>
      <c r="C951" s="5" t="inlineStr">
        <is>
          <t>5214</t>
        </is>
      </c>
      <c r="D951" s="5" t="inlineStr"/>
      <c r="E951" s="5" t="n">
        <v>3</v>
      </c>
      <c r="F951" s="5" t="n">
        <v>2</v>
      </c>
      <c r="G951" s="5" t="inlineStr"/>
      <c r="H951" s="5" t="n">
        <v>1364</v>
      </c>
      <c r="I951" s="5" t="inlineStr">
        <is>
          <t>9/12/2023</t>
        </is>
      </c>
      <c r="J951" s="5" t="inlineStr"/>
      <c r="K951" s="5" t="inlineStr"/>
      <c r="L951" s="5" t="inlineStr">
        <is>
          <t>80%</t>
        </is>
      </c>
      <c r="M951" s="5" t="n">
        <v>1986</v>
      </c>
      <c r="N951" s="5" t="n">
        <v>1.46</v>
      </c>
      <c r="O951" s="5" t="n">
        <v>1820</v>
      </c>
      <c r="P951" s="5" t="n">
        <v>1.33</v>
      </c>
      <c r="Q951" s="5" t="inlineStr">
        <is>
          <t>2023-06-27</t>
        </is>
      </c>
      <c r="R951" s="5" t="inlineStr">
        <is>
          <t>2023-11-25</t>
        </is>
      </c>
      <c r="S951" s="5" t="n">
        <v>152</v>
      </c>
      <c r="T951" s="5" t="n">
        <v>75</v>
      </c>
      <c r="U951" s="48" t="inlineStr">
        <is>
          <t>Marin</t>
        </is>
      </c>
    </row>
    <row r="952">
      <c r="A952" s="5" t="inlineStr">
        <is>
          <t>Bella Mirage</t>
        </is>
      </c>
      <c r="B952" s="5" t="inlineStr">
        <is>
          <t>Marin</t>
        </is>
      </c>
      <c r="C952" s="5" t="inlineStr">
        <is>
          <t>5214</t>
        </is>
      </c>
      <c r="D952" s="5" t="inlineStr"/>
      <c r="E952" s="5" t="n">
        <v>3</v>
      </c>
      <c r="F952" s="5" t="n">
        <v>2</v>
      </c>
      <c r="G952" s="5" t="inlineStr"/>
      <c r="H952" s="5" t="n">
        <v>1364</v>
      </c>
      <c r="I952" s="5" t="inlineStr">
        <is>
          <t>3/14/2025</t>
        </is>
      </c>
      <c r="J952" s="5" t="n">
        <v>200</v>
      </c>
      <c r="K952" s="5" t="n">
        <v>13</v>
      </c>
      <c r="L952" s="5" t="inlineStr">
        <is>
          <t>80%</t>
        </is>
      </c>
      <c r="M952" s="5" t="n">
        <v>2166</v>
      </c>
      <c r="N952" s="5" t="n">
        <v>1.59</v>
      </c>
      <c r="O952" s="5" t="n">
        <v>1999</v>
      </c>
      <c r="P952" s="5" t="n">
        <v>1.47</v>
      </c>
      <c r="Q952" s="5" t="inlineStr">
        <is>
          <t>2024-12-28</t>
        </is>
      </c>
      <c r="R952" s="5" t="inlineStr">
        <is>
          <t>2025-01-15</t>
        </is>
      </c>
      <c r="S952" s="5" t="n">
        <v>19</v>
      </c>
      <c r="T952" s="5" t="n">
        <v>0</v>
      </c>
      <c r="U952" s="48" t="inlineStr">
        <is>
          <t>Marin</t>
        </is>
      </c>
    </row>
    <row r="953">
      <c r="A953" s="5" t="inlineStr">
        <is>
          <t>Bella Mirage</t>
        </is>
      </c>
      <c r="B953" s="5" t="inlineStr">
        <is>
          <t>Marin</t>
        </is>
      </c>
      <c r="C953" s="5" t="inlineStr">
        <is>
          <t>5214</t>
        </is>
      </c>
      <c r="D953" s="5" t="inlineStr"/>
      <c r="E953" s="5" t="n">
        <v>3</v>
      </c>
      <c r="F953" s="5" t="n">
        <v>2</v>
      </c>
      <c r="G953" s="5" t="inlineStr"/>
      <c r="H953" s="5" t="n">
        <v>1364</v>
      </c>
      <c r="I953" s="5" t="inlineStr">
        <is>
          <t>12/1/2025</t>
        </is>
      </c>
      <c r="J953" s="5" t="n">
        <v>300</v>
      </c>
      <c r="K953" s="5" t="n">
        <v>13</v>
      </c>
      <c r="L953" s="5" t="inlineStr">
        <is>
          <t>80%</t>
        </is>
      </c>
      <c r="M953" s="5" t="n">
        <v>1970</v>
      </c>
      <c r="N953" s="5" t="n">
        <v>1.44</v>
      </c>
      <c r="O953" s="5" t="n">
        <v>1970</v>
      </c>
      <c r="P953" s="5" t="n">
        <v>1.44</v>
      </c>
      <c r="Q953" s="5" t="inlineStr">
        <is>
          <t>2025-10-28</t>
        </is>
      </c>
      <c r="R953" s="5" t="inlineStr">
        <is>
          <t>2025-12-02</t>
        </is>
      </c>
      <c r="S953" s="5" t="n">
        <v>36</v>
      </c>
      <c r="T953" s="5" t="n">
        <v>2</v>
      </c>
      <c r="U953" s="48" t="inlineStr">
        <is>
          <t>Marin</t>
        </is>
      </c>
    </row>
    <row r="954">
      <c r="A954" s="5" t="inlineStr">
        <is>
          <t>Bella Mirage</t>
        </is>
      </c>
      <c r="B954" s="5" t="inlineStr">
        <is>
          <t>Marin</t>
        </is>
      </c>
      <c r="C954" s="5" t="inlineStr">
        <is>
          <t>3513</t>
        </is>
      </c>
      <c r="D954" s="5" t="n">
        <v>3</v>
      </c>
      <c r="E954" s="5" t="n">
        <v>3</v>
      </c>
      <c r="F954" s="5" t="n">
        <v>2</v>
      </c>
      <c r="G954" s="5" t="inlineStr"/>
      <c r="H954" s="5" t="n">
        <v>1364</v>
      </c>
      <c r="I954" s="5" t="inlineStr">
        <is>
          <t>6/17/2023</t>
        </is>
      </c>
      <c r="J954" s="5" t="inlineStr"/>
      <c r="K954" s="5" t="inlineStr"/>
      <c r="L954" s="5" t="inlineStr">
        <is>
          <t>80%</t>
        </is>
      </c>
      <c r="M954" s="5" t="n">
        <v>2213</v>
      </c>
      <c r="N954" s="5" t="n">
        <v>1.62</v>
      </c>
      <c r="O954" s="5" t="n">
        <v>2150</v>
      </c>
      <c r="P954" s="5" t="n">
        <v>1.58</v>
      </c>
      <c r="Q954" s="5" t="inlineStr"/>
      <c r="R954" s="5" t="inlineStr">
        <is>
          <t>2023-07-29</t>
        </is>
      </c>
      <c r="S954" s="5" t="inlineStr"/>
      <c r="T954" s="5" t="inlineStr"/>
      <c r="U954" s="48" t="inlineStr">
        <is>
          <t>Marin</t>
        </is>
      </c>
    </row>
    <row r="955">
      <c r="A955" s="5" t="inlineStr">
        <is>
          <t>Bella Mirage</t>
        </is>
      </c>
      <c r="B955" s="5" t="inlineStr">
        <is>
          <t>Marin</t>
        </is>
      </c>
      <c r="C955" s="5" t="inlineStr">
        <is>
          <t>3513</t>
        </is>
      </c>
      <c r="D955" s="5" t="n">
        <v>3</v>
      </c>
      <c r="E955" s="5" t="n">
        <v>3</v>
      </c>
      <c r="F955" s="5" t="n">
        <v>2</v>
      </c>
      <c r="G955" s="5" t="inlineStr"/>
      <c r="H955" s="5" t="n">
        <v>1364</v>
      </c>
      <c r="I955" s="5" t="inlineStr">
        <is>
          <t>9/22/2024</t>
        </is>
      </c>
      <c r="J955" s="5" t="n">
        <v>200</v>
      </c>
      <c r="K955" s="5" t="n">
        <v>12</v>
      </c>
      <c r="L955" s="5" t="inlineStr">
        <is>
          <t>80%</t>
        </is>
      </c>
      <c r="M955" s="5" t="n">
        <v>2340</v>
      </c>
      <c r="N955" s="5" t="n">
        <v>1.72</v>
      </c>
      <c r="O955" s="5" t="n">
        <v>2340</v>
      </c>
      <c r="P955" s="5" t="n">
        <v>1.72</v>
      </c>
      <c r="Q955" s="5" t="inlineStr">
        <is>
          <t>2024-07-11</t>
        </is>
      </c>
      <c r="R955" s="5" t="inlineStr">
        <is>
          <t>2024-07-16</t>
        </is>
      </c>
      <c r="S955" s="5" t="n">
        <v>6</v>
      </c>
      <c r="T955" s="5" t="n">
        <v>0</v>
      </c>
      <c r="U955" s="48" t="inlineStr">
        <is>
          <t>Marin</t>
        </is>
      </c>
    </row>
    <row r="956">
      <c r="A956" s="5" t="inlineStr">
        <is>
          <t>Bella Mirage</t>
        </is>
      </c>
      <c r="B956" s="5" t="inlineStr">
        <is>
          <t>Marin</t>
        </is>
      </c>
      <c r="C956" s="5" t="inlineStr">
        <is>
          <t>3513</t>
        </is>
      </c>
      <c r="D956" s="5" t="n">
        <v>3</v>
      </c>
      <c r="E956" s="5" t="n">
        <v>3</v>
      </c>
      <c r="F956" s="5" t="n">
        <v>2</v>
      </c>
      <c r="G956" s="5" t="inlineStr"/>
      <c r="H956" s="5" t="n">
        <v>1364</v>
      </c>
      <c r="I956" s="5" t="inlineStr">
        <is>
          <t>8/31/2025</t>
        </is>
      </c>
      <c r="J956" s="5" t="n">
        <v>200</v>
      </c>
      <c r="K956" s="5" t="n">
        <v>12</v>
      </c>
      <c r="L956" s="5" t="inlineStr">
        <is>
          <t>80%</t>
        </is>
      </c>
      <c r="M956" s="5" t="n">
        <v>2108</v>
      </c>
      <c r="N956" s="5" t="n">
        <v>1.55</v>
      </c>
      <c r="O956" s="5" t="n">
        <v>1932</v>
      </c>
      <c r="P956" s="5" t="n">
        <v>1.42</v>
      </c>
      <c r="Q956" s="5" t="inlineStr">
        <is>
          <t>2025-06-24</t>
        </is>
      </c>
      <c r="R956" s="5" t="inlineStr">
        <is>
          <t>2025-06-26</t>
        </is>
      </c>
      <c r="S956" s="5" t="n">
        <v>3</v>
      </c>
      <c r="T956" s="5" t="n">
        <v>0</v>
      </c>
      <c r="U956" s="48" t="inlineStr">
        <is>
          <t>Marin</t>
        </is>
      </c>
    </row>
    <row r="957">
      <c r="A957" s="5" t="inlineStr">
        <is>
          <t>Bella Mirage</t>
        </is>
      </c>
      <c r="B957" s="5" t="inlineStr">
        <is>
          <t>Marin</t>
        </is>
      </c>
      <c r="C957" s="5" t="inlineStr">
        <is>
          <t>3513</t>
        </is>
      </c>
      <c r="D957" s="5" t="n">
        <v>3</v>
      </c>
      <c r="E957" s="5" t="n">
        <v>3</v>
      </c>
      <c r="F957" s="5" t="n">
        <v>2</v>
      </c>
      <c r="G957" s="5" t="inlineStr"/>
      <c r="H957" s="5" t="n">
        <v>1364</v>
      </c>
      <c r="I957" s="5" t="inlineStr">
        <is>
          <t>11/6/2025</t>
        </is>
      </c>
      <c r="J957" s="5" t="n">
        <v>300</v>
      </c>
      <c r="K957" s="5" t="n">
        <v>15</v>
      </c>
      <c r="L957" s="5" t="inlineStr">
        <is>
          <t>80%</t>
        </is>
      </c>
      <c r="M957" s="5" t="n">
        <v>2013</v>
      </c>
      <c r="N957" s="5" t="n">
        <v>1.48</v>
      </c>
      <c r="O957" s="5" t="n">
        <v>2013</v>
      </c>
      <c r="P957" s="5" t="n">
        <v>1.48</v>
      </c>
      <c r="Q957" s="5" t="inlineStr">
        <is>
          <t>2025-10-28</t>
        </is>
      </c>
      <c r="R957" s="5" t="inlineStr">
        <is>
          <t>2025-11-11</t>
        </is>
      </c>
      <c r="S957" s="5" t="n">
        <v>15</v>
      </c>
      <c r="T957" s="5" t="n">
        <v>6</v>
      </c>
      <c r="U957" s="48" t="inlineStr">
        <is>
          <t>Marin</t>
        </is>
      </c>
    </row>
    <row r="958">
      <c r="A958" s="5" t="inlineStr">
        <is>
          <t>Bella Mirage</t>
        </is>
      </c>
      <c r="B958" s="5" t="inlineStr">
        <is>
          <t>Marin</t>
        </is>
      </c>
      <c r="C958" s="5" t="inlineStr">
        <is>
          <t>5512</t>
        </is>
      </c>
      <c r="D958" s="5" t="inlineStr"/>
      <c r="E958" s="5" t="n">
        <v>3</v>
      </c>
      <c r="F958" s="5" t="n">
        <v>2</v>
      </c>
      <c r="G958" s="5" t="inlineStr"/>
      <c r="H958" s="5" t="n">
        <v>1364</v>
      </c>
      <c r="I958" s="5" t="inlineStr">
        <is>
          <t>11/14/2024</t>
        </is>
      </c>
      <c r="J958" s="5" t="n">
        <v>200</v>
      </c>
      <c r="K958" s="5" t="n">
        <v>13</v>
      </c>
      <c r="L958" s="5" t="inlineStr">
        <is>
          <t>80%</t>
        </is>
      </c>
      <c r="M958" s="5" t="n">
        <v>1927</v>
      </c>
      <c r="N958" s="5" t="n">
        <v>1.41</v>
      </c>
      <c r="O958" s="5" t="n">
        <v>1779</v>
      </c>
      <c r="P958" s="5" t="n">
        <v>1.3</v>
      </c>
      <c r="Q958" s="5" t="inlineStr">
        <is>
          <t>2024-09-27</t>
        </is>
      </c>
      <c r="R958" s="5" t="inlineStr">
        <is>
          <t>2024-12-06</t>
        </is>
      </c>
      <c r="S958" s="5" t="n">
        <v>71</v>
      </c>
      <c r="T958" s="5" t="n">
        <v>23</v>
      </c>
      <c r="U958" s="48" t="inlineStr">
        <is>
          <t>Marin</t>
        </is>
      </c>
    </row>
    <row r="959">
      <c r="A959" s="5" t="inlineStr">
        <is>
          <t>Bella Mirage</t>
        </is>
      </c>
      <c r="B959" s="5" t="inlineStr">
        <is>
          <t>Marin</t>
        </is>
      </c>
      <c r="C959" s="5" t="inlineStr">
        <is>
          <t>5512</t>
        </is>
      </c>
      <c r="D959" s="5" t="inlineStr"/>
      <c r="E959" s="5" t="n">
        <v>3</v>
      </c>
      <c r="F959" s="5" t="n">
        <v>2</v>
      </c>
      <c r="G959" s="5" t="inlineStr"/>
      <c r="H959" s="5" t="n">
        <v>1364</v>
      </c>
      <c r="I959" s="5" t="inlineStr">
        <is>
          <t>10/18/2025</t>
        </is>
      </c>
      <c r="J959" s="5" t="n">
        <v>200</v>
      </c>
      <c r="K959" s="5" t="n">
        <v>13</v>
      </c>
      <c r="L959" s="5" t="inlineStr">
        <is>
          <t>80%</t>
        </is>
      </c>
      <c r="M959" s="5" t="n">
        <v>2049</v>
      </c>
      <c r="N959" s="5" t="n">
        <v>1.5</v>
      </c>
      <c r="O959" s="5" t="n">
        <v>2049</v>
      </c>
      <c r="P959" s="5" t="n">
        <v>1.5</v>
      </c>
      <c r="Q959" s="5" t="inlineStr">
        <is>
          <t>2025-06-29</t>
        </is>
      </c>
      <c r="R959" s="5" t="inlineStr">
        <is>
          <t>2025-08-23</t>
        </is>
      </c>
      <c r="S959" s="5" t="n">
        <v>56</v>
      </c>
      <c r="T959" s="5" t="n">
        <v>0</v>
      </c>
      <c r="U959" s="48" t="inlineStr">
        <is>
          <t>Marin</t>
        </is>
      </c>
    </row>
    <row r="960">
      <c r="A960" s="5" t="inlineStr">
        <is>
          <t>Bella Mirage</t>
        </is>
      </c>
      <c r="B960" s="5" t="inlineStr">
        <is>
          <t>Marin</t>
        </is>
      </c>
      <c r="C960" s="5" t="inlineStr">
        <is>
          <t>5212</t>
        </is>
      </c>
      <c r="D960" s="5" t="inlineStr"/>
      <c r="E960" s="5" t="n">
        <v>3</v>
      </c>
      <c r="F960" s="5" t="n">
        <v>2</v>
      </c>
      <c r="G960" s="5" t="inlineStr"/>
      <c r="H960" s="5" t="n">
        <v>1364</v>
      </c>
      <c r="I960" s="5" t="inlineStr">
        <is>
          <t>2/29/2024</t>
        </is>
      </c>
      <c r="J960" s="5" t="inlineStr"/>
      <c r="K960" s="5" t="inlineStr"/>
      <c r="L960" s="5" t="inlineStr">
        <is>
          <t>80%</t>
        </is>
      </c>
      <c r="M960" s="5" t="n">
        <v>1952</v>
      </c>
      <c r="N960" s="5" t="n">
        <v>1.43</v>
      </c>
      <c r="O960" s="5" t="n">
        <v>1789</v>
      </c>
      <c r="P960" s="5" t="n">
        <v>1.31</v>
      </c>
      <c r="Q960" s="5" t="inlineStr">
        <is>
          <t>2024-01-06</t>
        </is>
      </c>
      <c r="R960" s="5" t="inlineStr">
        <is>
          <t>2024-01-26</t>
        </is>
      </c>
      <c r="S960" s="5" t="n">
        <v>21</v>
      </c>
      <c r="T960" s="5" t="n">
        <v>0</v>
      </c>
      <c r="U960" s="48" t="inlineStr">
        <is>
          <t>Marin</t>
        </is>
      </c>
    </row>
    <row r="961">
      <c r="A961" s="5" t="inlineStr">
        <is>
          <t>Bella Mirage</t>
        </is>
      </c>
      <c r="B961" s="5" t="inlineStr">
        <is>
          <t>Marin</t>
        </is>
      </c>
      <c r="C961" s="5" t="inlineStr">
        <is>
          <t>5212</t>
        </is>
      </c>
      <c r="D961" s="5" t="inlineStr"/>
      <c r="E961" s="5" t="n">
        <v>3</v>
      </c>
      <c r="F961" s="5" t="n">
        <v>2</v>
      </c>
      <c r="G961" s="5" t="inlineStr"/>
      <c r="H961" s="5" t="n">
        <v>1364</v>
      </c>
      <c r="I961" s="5" t="inlineStr">
        <is>
          <t>7/15/2026</t>
        </is>
      </c>
      <c r="J961" s="5" t="n">
        <v>300</v>
      </c>
      <c r="K961" s="5" t="n">
        <v>13</v>
      </c>
      <c r="L961" s="5" t="inlineStr">
        <is>
          <t>80%</t>
        </is>
      </c>
      <c r="M961" s="5" t="n">
        <v>2057</v>
      </c>
      <c r="N961" s="5" t="n">
        <v>1.51</v>
      </c>
      <c r="O961" s="5" t="n">
        <v>2057</v>
      </c>
      <c r="P961" s="5" t="n">
        <v>1.51</v>
      </c>
      <c r="Q961" s="5" t="inlineStr">
        <is>
          <t>2026-04-07</t>
        </is>
      </c>
      <c r="R961" s="5" t="inlineStr">
        <is>
          <t>2026-04-10</t>
        </is>
      </c>
      <c r="S961" s="5" t="n">
        <v>4</v>
      </c>
      <c r="T961" s="5" t="n">
        <v>0</v>
      </c>
      <c r="U961" s="48" t="inlineStr">
        <is>
          <t>Marin</t>
        </is>
      </c>
    </row>
    <row r="962">
      <c r="A962" s="5" t="inlineStr">
        <is>
          <t>Bella Mirage</t>
        </is>
      </c>
      <c r="B962" s="5" t="inlineStr">
        <is>
          <t>Marin</t>
        </is>
      </c>
      <c r="C962" s="5" t="inlineStr">
        <is>
          <t>5514</t>
        </is>
      </c>
      <c r="D962" s="5" t="inlineStr"/>
      <c r="E962" s="5" t="n">
        <v>3</v>
      </c>
      <c r="F962" s="5" t="n">
        <v>2</v>
      </c>
      <c r="G962" s="5" t="inlineStr"/>
      <c r="H962" s="5" t="n">
        <v>1364</v>
      </c>
      <c r="I962" s="5" t="inlineStr">
        <is>
          <t>5/9/2024</t>
        </is>
      </c>
      <c r="J962" s="5" t="n">
        <v>200</v>
      </c>
      <c r="K962" s="5" t="n">
        <v>14</v>
      </c>
      <c r="L962" s="5" t="inlineStr">
        <is>
          <t>80%</t>
        </is>
      </c>
      <c r="M962" s="5" t="n">
        <v>1977</v>
      </c>
      <c r="N962" s="5" t="n">
        <v>1.45</v>
      </c>
      <c r="O962" s="5" t="n">
        <v>1836</v>
      </c>
      <c r="P962" s="5" t="n">
        <v>1.35</v>
      </c>
      <c r="Q962" s="5" t="inlineStr">
        <is>
          <t>2024-03-02</t>
        </is>
      </c>
      <c r="R962" s="5" t="inlineStr">
        <is>
          <t>2024-03-06</t>
        </is>
      </c>
      <c r="S962" s="5" t="n">
        <v>5</v>
      </c>
      <c r="T962" s="5" t="n">
        <v>0</v>
      </c>
      <c r="U962" s="48" t="inlineStr">
        <is>
          <t>Marin</t>
        </is>
      </c>
    </row>
    <row r="963">
      <c r="A963" s="5" t="inlineStr">
        <is>
          <t>Bella Mirage</t>
        </is>
      </c>
      <c r="B963" s="5" t="inlineStr">
        <is>
          <t>Marin</t>
        </is>
      </c>
      <c r="C963" s="5" t="inlineStr">
        <is>
          <t>5213</t>
        </is>
      </c>
      <c r="D963" s="5" t="inlineStr"/>
      <c r="E963" s="5" t="n">
        <v>3</v>
      </c>
      <c r="F963" s="5" t="n">
        <v>2</v>
      </c>
      <c r="G963" s="5" t="inlineStr"/>
      <c r="H963" s="5" t="n">
        <v>1364</v>
      </c>
      <c r="I963" s="5" t="inlineStr">
        <is>
          <t>6/13/2025</t>
        </is>
      </c>
      <c r="J963" s="5" t="n">
        <v>200</v>
      </c>
      <c r="K963" s="5" t="n">
        <v>13</v>
      </c>
      <c r="L963" s="5" t="inlineStr">
        <is>
          <t>80%</t>
        </is>
      </c>
      <c r="M963" s="5" t="n">
        <v>1884</v>
      </c>
      <c r="N963" s="5" t="n">
        <v>1.38</v>
      </c>
      <c r="O963" s="5" t="n">
        <v>1739</v>
      </c>
      <c r="P963" s="5" t="n">
        <v>1.27</v>
      </c>
      <c r="Q963" s="5" t="inlineStr">
        <is>
          <t>2025-03-09</t>
        </is>
      </c>
      <c r="R963" s="5" t="inlineStr">
        <is>
          <t>2025-03-31</t>
        </is>
      </c>
      <c r="S963" s="5" t="n">
        <v>23</v>
      </c>
      <c r="T963" s="5" t="n">
        <v>0</v>
      </c>
      <c r="U963" s="48" t="inlineStr">
        <is>
          <t>Marin</t>
        </is>
      </c>
    </row>
    <row r="964">
      <c r="A964" s="5" t="inlineStr">
        <is>
          <t>Bella Mirage</t>
        </is>
      </c>
      <c r="B964" s="5" t="inlineStr">
        <is>
          <t>Marin</t>
        </is>
      </c>
      <c r="C964" s="5" t="inlineStr">
        <is>
          <t>3514</t>
        </is>
      </c>
      <c r="D964" s="5" t="n">
        <v>3</v>
      </c>
      <c r="E964" s="5" t="n">
        <v>3</v>
      </c>
      <c r="F964" s="5" t="n">
        <v>2</v>
      </c>
      <c r="G964" s="5" t="inlineStr"/>
      <c r="H964" s="5" t="n">
        <v>1364</v>
      </c>
      <c r="I964" s="5" t="inlineStr">
        <is>
          <t>8/17/2024</t>
        </is>
      </c>
      <c r="J964" s="5" t="n">
        <v>200</v>
      </c>
      <c r="K964" s="5" t="n">
        <v>12</v>
      </c>
      <c r="L964" s="5" t="inlineStr">
        <is>
          <t>80%</t>
        </is>
      </c>
      <c r="M964" s="5" t="n">
        <v>2314</v>
      </c>
      <c r="N964" s="5" t="n">
        <v>1.7</v>
      </c>
      <c r="O964" s="5" t="n">
        <v>2314</v>
      </c>
      <c r="P964" s="5" t="n">
        <v>1.7</v>
      </c>
      <c r="Q964" s="5" t="inlineStr">
        <is>
          <t>2024-07-24</t>
        </is>
      </c>
      <c r="R964" s="5" t="inlineStr">
        <is>
          <t>2024-07-29</t>
        </is>
      </c>
      <c r="S964" s="5" t="n">
        <v>6</v>
      </c>
      <c r="T964" s="5" t="n">
        <v>0</v>
      </c>
      <c r="U964" s="48" t="inlineStr">
        <is>
          <t>Marin</t>
        </is>
      </c>
    </row>
    <row r="965">
      <c r="A965" s="5" t="inlineStr">
        <is>
          <t>Bella Mirage</t>
        </is>
      </c>
      <c r="B965" s="5" t="inlineStr">
        <is>
          <t>Marin</t>
        </is>
      </c>
      <c r="C965" s="5" t="inlineStr">
        <is>
          <t>3514</t>
        </is>
      </c>
      <c r="D965" s="5" t="n">
        <v>3</v>
      </c>
      <c r="E965" s="5" t="n">
        <v>3</v>
      </c>
      <c r="F965" s="5" t="n">
        <v>2</v>
      </c>
      <c r="G965" s="5" t="inlineStr"/>
      <c r="H965" s="5" t="n">
        <v>1364</v>
      </c>
      <c r="I965" s="5" t="inlineStr">
        <is>
          <t>10/1/2025</t>
        </is>
      </c>
      <c r="J965" s="5" t="n">
        <v>200</v>
      </c>
      <c r="K965" s="5" t="n">
        <v>12</v>
      </c>
      <c r="L965" s="5" t="inlineStr">
        <is>
          <t>80%</t>
        </is>
      </c>
      <c r="M965" s="5" t="n">
        <v>2108</v>
      </c>
      <c r="N965" s="5" t="n">
        <v>1.55</v>
      </c>
      <c r="O965" s="5" t="n">
        <v>1932</v>
      </c>
      <c r="P965" s="5" t="n">
        <v>1.42</v>
      </c>
      <c r="Q965" s="5" t="inlineStr">
        <is>
          <t>2025-06-26</t>
        </is>
      </c>
      <c r="R965" s="5" t="inlineStr">
        <is>
          <t>2025-06-29</t>
        </is>
      </c>
      <c r="S965" s="5" t="n">
        <v>4</v>
      </c>
      <c r="T965" s="5" t="n">
        <v>0</v>
      </c>
      <c r="U965" s="48" t="inlineStr">
        <is>
          <t>Marin</t>
        </is>
      </c>
    </row>
    <row r="966">
      <c r="A966" s="5" t="inlineStr">
        <is>
          <t>Bella Mirage</t>
        </is>
      </c>
      <c r="B966" s="5" t="inlineStr">
        <is>
          <t>Marin</t>
        </is>
      </c>
      <c r="C966" s="5" t="inlineStr">
        <is>
          <t>3511</t>
        </is>
      </c>
      <c r="D966" s="5" t="inlineStr"/>
      <c r="E966" s="5" t="n">
        <v>3</v>
      </c>
      <c r="F966" s="5" t="n">
        <v>2</v>
      </c>
      <c r="G966" s="5" t="inlineStr"/>
      <c r="H966" s="5" t="n">
        <v>1364</v>
      </c>
      <c r="I966" s="5" t="inlineStr">
        <is>
          <t>4/22/2024</t>
        </is>
      </c>
      <c r="J966" s="5" t="inlineStr"/>
      <c r="K966" s="5" t="inlineStr"/>
      <c r="L966" s="5" t="inlineStr">
        <is>
          <t>80%</t>
        </is>
      </c>
      <c r="M966" s="5" t="n">
        <v>1918</v>
      </c>
      <c r="N966" s="5" t="n">
        <v>1.41</v>
      </c>
      <c r="O966" s="5" t="n">
        <v>1758</v>
      </c>
      <c r="P966" s="5" t="n">
        <v>1.29</v>
      </c>
      <c r="Q966" s="5" t="inlineStr">
        <is>
          <t>2024-01-27</t>
        </is>
      </c>
      <c r="R966" s="5" t="inlineStr">
        <is>
          <t>2024-02-06</t>
        </is>
      </c>
      <c r="S966" s="5" t="n">
        <v>11</v>
      </c>
      <c r="T966" s="5" t="n">
        <v>0</v>
      </c>
      <c r="U966" s="48" t="inlineStr">
        <is>
          <t>Marin</t>
        </is>
      </c>
    </row>
    <row r="967">
      <c r="A967" s="5" t="inlineStr">
        <is>
          <t>Bella Mirage</t>
        </is>
      </c>
      <c r="B967" s="5" t="inlineStr">
        <is>
          <t>Marin</t>
        </is>
      </c>
      <c r="C967" s="5" t="inlineStr">
        <is>
          <t>6112</t>
        </is>
      </c>
      <c r="D967" s="5" t="inlineStr"/>
      <c r="E967" s="5" t="n">
        <v>3</v>
      </c>
      <c r="F967" s="5" t="n">
        <v>2</v>
      </c>
      <c r="G967" s="5" t="inlineStr"/>
      <c r="H967" s="5" t="n">
        <v>1364</v>
      </c>
      <c r="I967" s="5" t="inlineStr">
        <is>
          <t>1/24/2024</t>
        </is>
      </c>
      <c r="J967" s="5" t="inlineStr"/>
      <c r="K967" s="5" t="inlineStr"/>
      <c r="L967" s="5" t="inlineStr">
        <is>
          <t>80%</t>
        </is>
      </c>
      <c r="M967" s="5" t="n">
        <v>1932</v>
      </c>
      <c r="N967" s="5" t="n">
        <v>1.42</v>
      </c>
      <c r="O967" s="5" t="n">
        <v>1771</v>
      </c>
      <c r="P967" s="5" t="n">
        <v>1.3</v>
      </c>
      <c r="Q967" s="5" t="inlineStr">
        <is>
          <t>2024-01-06</t>
        </is>
      </c>
      <c r="R967" s="5" t="inlineStr">
        <is>
          <t>2024-01-26</t>
        </is>
      </c>
      <c r="S967" s="5" t="n">
        <v>21</v>
      </c>
      <c r="T967" s="5" t="n">
        <v>3</v>
      </c>
      <c r="U967" s="48" t="inlineStr">
        <is>
          <t>Marin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>
      <c r="A1" s="67" t="inlineStr">
        <is>
          <t>Reconciliation — Rent Roll ↔ T12</t>
        </is>
      </c>
    </row>
    <row r="2">
      <c r="A2" s="2" t="inlineStr">
        <is>
          <t>Latest T12 month: Dec 2025.  'In Contract Rent?' flags which charges roll into contract rent.</t>
        </is>
      </c>
    </row>
    <row r="4">
      <c r="A4" s="3" t="inlineStr">
        <is>
          <t>Control Tie-Outs (rent roll vs latest T12 month)</t>
        </is>
      </c>
      <c r="B4" s="4" t="n"/>
      <c r="C4" s="4" t="n"/>
      <c r="D4" s="4" t="n"/>
      <c r="E4" s="4" t="n"/>
      <c r="F4" s="4" t="n"/>
    </row>
    <row r="5">
      <c r="A5" s="7" t="inlineStr">
        <is>
          <t>Measure</t>
        </is>
      </c>
      <c r="B5" s="7" t="inlineStr">
        <is>
          <t>Rent Roll</t>
        </is>
      </c>
      <c r="C5" s="7" t="inlineStr">
        <is>
          <t>T12 (latest mo. / ann.)</t>
        </is>
      </c>
      <c r="D5" s="7" t="inlineStr">
        <is>
          <t>Variance</t>
        </is>
      </c>
      <c r="E5" s="7" t="inlineStr">
        <is>
          <t>Var %</t>
        </is>
      </c>
      <c r="F5" s="7" t="inlineStr">
        <is>
          <t>Note</t>
        </is>
      </c>
    </row>
    <row r="6">
      <c r="A6" s="9" t="inlineStr">
        <is>
          <t>Gross Market Rent (asking), monthly</t>
        </is>
      </c>
      <c r="B6" s="11" t="n">
        <v>1041569</v>
      </c>
      <c r="C6" s="11" t="n">
        <v>949937.3100000001</v>
      </c>
      <c r="D6" s="11">
        <f>B6-C6</f>
        <v/>
      </c>
      <c r="E6" s="14">
        <f>IF(C6=0,"-",D6/C6)</f>
        <v/>
      </c>
      <c r="F6" s="70" t="inlineStr">
        <is>
          <t>RR Market column ↔ T12 GPR — both are seller-set ASKING rents and are NOT a market-rent signal (either can be set at will). True market rent = latest new-lease contract rents + HelloData executed asking; see the unit mix and Lease Trend tabs. Shown here only as a data-integrity check that the two files describe the same property/period.</t>
        </is>
      </c>
    </row>
    <row r="7">
      <c r="A7" s="9" t="inlineStr">
        <is>
          <t>Contract Rent incl. amenity (occupied), monthly</t>
        </is>
      </c>
      <c r="B7" s="11" t="n">
        <v>928798.2799999999</v>
      </c>
      <c r="C7" s="11" t="n">
        <v>943897.2200000001</v>
      </c>
      <c r="D7" s="11">
        <f>B7-C7</f>
        <v/>
      </c>
      <c r="E7" s="14">
        <f>IF(C7=0,"-",D7/C7)</f>
        <v/>
      </c>
      <c r="F7" s="70" t="inlineStr">
        <is>
          <t>RR contract (Rent+Amenity) ↔ T12 contract net of vacancy (Rentinc+LtL+Vac+NonRev)</t>
        </is>
      </c>
    </row>
    <row r="8">
      <c r="A8" s="9" t="inlineStr">
        <is>
          <t>T1 AGPR, annualized</t>
        </is>
      </c>
      <c r="B8" s="11" t="n">
        <v>11145579.36</v>
      </c>
      <c r="C8" s="11" t="n">
        <v>12479081.16</v>
      </c>
      <c r="D8" s="11">
        <f>B8-C8</f>
        <v/>
      </c>
      <c r="E8" s="14">
        <f>IF(C8=0,"-",D8/C8)</f>
        <v/>
      </c>
      <c r="F8" s="70" t="inlineStr">
        <is>
          <t>RR contract ×12 ↔ T12 latest-month AGPR ×12 (Rentinc+LtL). Amenity rent is IN contract rent — it is not a separate T12 line, and including it ties RR contract closer to AGPR.</t>
        </is>
      </c>
    </row>
    <row r="9">
      <c r="A9" s="9" t="inlineStr">
        <is>
          <t>Other Income (recurring), monthly</t>
        </is>
      </c>
      <c r="B9" s="11" t="n">
        <v>11259.54</v>
      </c>
      <c r="C9" s="11" t="n">
        <v>112852.62</v>
      </c>
      <c r="D9" s="11">
        <f>B9-C9</f>
        <v/>
      </c>
      <c r="E9" s="14">
        <f>IF(C9=0,"-",D9/C9)</f>
        <v/>
      </c>
      <c r="F9" s="70" t="inlineStr">
        <is>
          <t>RR ancillary charges ↔ T12 other-income codes</t>
        </is>
      </c>
    </row>
    <row r="11">
      <c r="A11" s="3" t="inlineStr">
        <is>
          <t>Charge-Code Map (rent roll scheduled, monthly)</t>
        </is>
      </c>
      <c r="B11" s="4" t="n"/>
      <c r="C11" s="4" t="n"/>
      <c r="D11" s="4" t="n"/>
      <c r="E11" s="4" t="n"/>
      <c r="F11" s="4" t="n"/>
    </row>
    <row r="12">
      <c r="A12" s="7" t="inlineStr">
        <is>
          <t>Charge Code</t>
        </is>
      </c>
      <c r="B12" s="7" t="inlineStr">
        <is>
          <t>Mapped Code</t>
        </is>
      </c>
      <c r="C12" s="7" t="inlineStr">
        <is>
          <t>Yardi Type</t>
        </is>
      </c>
      <c r="D12" s="7" t="inlineStr">
        <is>
          <t>Monthly $</t>
        </is>
      </c>
      <c r="E12" s="7" t="inlineStr">
        <is>
          <t>In Contract Rent?</t>
        </is>
      </c>
    </row>
    <row r="13">
      <c r="A13" s="5" t="inlineStr">
        <is>
          <t>rent</t>
        </is>
      </c>
      <c r="B13" s="47" t="inlineStr">
        <is>
          <t>Rentinc</t>
        </is>
      </c>
      <c r="C13" s="15" t="inlineStr"/>
      <c r="D13" s="11" t="n">
        <v>928798.2799999999</v>
      </c>
      <c r="E13" s="71" t="inlineStr">
        <is>
          <t>Yes</t>
        </is>
      </c>
    </row>
    <row r="14">
      <c r="A14" s="5" t="inlineStr">
        <is>
          <t>techfee</t>
        </is>
      </c>
      <c r="B14" s="47" t="inlineStr">
        <is>
          <t>OI</t>
        </is>
      </c>
      <c r="C14" s="15" t="inlineStr"/>
      <c r="D14" s="11" t="n">
        <v>7420</v>
      </c>
      <c r="E14" s="72" t="inlineStr">
        <is>
          <t>No</t>
        </is>
      </c>
    </row>
    <row r="15">
      <c r="A15" s="5" t="inlineStr">
        <is>
          <t>garage</t>
        </is>
      </c>
      <c r="B15" s="47" t="inlineStr">
        <is>
          <t>park</t>
        </is>
      </c>
      <c r="C15" s="15" t="inlineStr"/>
      <c r="D15" s="11" t="n">
        <v>7075</v>
      </c>
      <c r="E15" s="72" t="inlineStr">
        <is>
          <t>No</t>
        </is>
      </c>
    </row>
    <row r="16">
      <c r="A16" s="5" t="inlineStr">
        <is>
          <t>empdisc</t>
        </is>
      </c>
      <c r="B16" s="47" t="inlineStr">
        <is>
          <t>OI</t>
        </is>
      </c>
      <c r="C16" s="15" t="inlineStr"/>
      <c r="D16" s="11" t="n">
        <v>-5486</v>
      </c>
      <c r="E16" s="72" t="inlineStr">
        <is>
          <t>No</t>
        </is>
      </c>
    </row>
    <row r="17">
      <c r="A17" s="5" t="inlineStr">
        <is>
          <t>conc/renew</t>
        </is>
      </c>
      <c r="B17" s="47" t="inlineStr">
        <is>
          <t>OI</t>
        </is>
      </c>
      <c r="C17" s="15" t="inlineStr"/>
      <c r="D17" s="11" t="n">
        <v>-3300</v>
      </c>
      <c r="E17" s="72" t="inlineStr">
        <is>
          <t>No</t>
        </is>
      </c>
    </row>
    <row r="18">
      <c r="A18" s="5" t="inlineStr">
        <is>
          <t>petrent</t>
        </is>
      </c>
      <c r="B18" s="47" t="inlineStr">
        <is>
          <t>OI</t>
        </is>
      </c>
      <c r="C18" s="15" t="inlineStr"/>
      <c r="D18" s="11" t="n">
        <v>3120</v>
      </c>
      <c r="E18" s="72" t="inlineStr">
        <is>
          <t>No</t>
        </is>
      </c>
    </row>
    <row r="19">
      <c r="A19" s="5" t="inlineStr">
        <is>
          <t>package</t>
        </is>
      </c>
      <c r="B19" s="47" t="inlineStr">
        <is>
          <t>OI</t>
        </is>
      </c>
      <c r="C19" s="15" t="inlineStr"/>
      <c r="D19" s="11" t="n">
        <v>1215</v>
      </c>
      <c r="E19" s="72" t="inlineStr">
        <is>
          <t>No</t>
        </is>
      </c>
    </row>
    <row r="20">
      <c r="A20" s="5" t="inlineStr">
        <is>
          <t>carport</t>
        </is>
      </c>
      <c r="B20" s="47" t="inlineStr">
        <is>
          <t>park</t>
        </is>
      </c>
      <c r="C20" s="15" t="inlineStr"/>
      <c r="D20" s="11" t="n">
        <v>1195</v>
      </c>
      <c r="E20" s="72" t="inlineStr">
        <is>
          <t>No</t>
        </is>
      </c>
    </row>
    <row r="21">
      <c r="A21" s="5" t="inlineStr">
        <is>
          <t>conc/other</t>
        </is>
      </c>
      <c r="B21" s="47" t="inlineStr">
        <is>
          <t>OI</t>
        </is>
      </c>
      <c r="C21" s="15" t="inlineStr"/>
      <c r="D21" s="11" t="n">
        <v>-300</v>
      </c>
      <c r="E21" s="72" t="inlineStr">
        <is>
          <t>No</t>
        </is>
      </c>
    </row>
    <row r="22">
      <c r="A22" s="5" t="inlineStr">
        <is>
          <t>eviction</t>
        </is>
      </c>
      <c r="B22" s="47" t="inlineStr">
        <is>
          <t>OI</t>
        </is>
      </c>
      <c r="C22" s="15" t="inlineStr"/>
      <c r="D22" s="11" t="n">
        <v>228.54</v>
      </c>
      <c r="E22" s="72" t="inlineStr">
        <is>
          <t>No</t>
        </is>
      </c>
    </row>
    <row r="23">
      <c r="A23" s="5" t="inlineStr">
        <is>
          <t>trash/doortodoor</t>
        </is>
      </c>
      <c r="B23" s="47" t="inlineStr">
        <is>
          <t>RT</t>
        </is>
      </c>
      <c r="C23" s="15" t="inlineStr"/>
      <c r="D23" s="11" t="n">
        <v>90</v>
      </c>
      <c r="E23" s="72" t="inlineStr">
        <is>
          <t>No</t>
        </is>
      </c>
    </row>
    <row r="24">
      <c r="A24" s="5" t="inlineStr">
        <is>
          <t>mtm</t>
        </is>
      </c>
      <c r="B24" s="47" t="inlineStr">
        <is>
          <t>OI</t>
        </is>
      </c>
      <c r="C24" s="15" t="inlineStr"/>
      <c r="D24" s="11" t="n">
        <v>2</v>
      </c>
      <c r="E24" s="72" t="inlineStr">
        <is>
          <t>No</t>
        </is>
      </c>
    </row>
    <row r="26">
      <c r="A26" s="3" t="inlineStr">
        <is>
          <t>Correlated Cross-Checks (rent-roll counts/charges ↔ T12 income)</t>
        </is>
      </c>
      <c r="B26" s="4" t="n"/>
      <c r="C26" s="4" t="n"/>
      <c r="D26" s="4" t="n"/>
      <c r="E26" s="4" t="n"/>
      <c r="F26" s="4" t="n"/>
    </row>
    <row r="27" ht="30" customHeight="1">
      <c r="A27" s="27" t="inlineStr">
        <is>
          <t>Parking</t>
        </is>
      </c>
      <c r="B27" s="41" t="inlineStr">
        <is>
          <t>RR: 84 units billed parking, $8,270/mo (avg $98/space)  ↔  T12 parking income $9,469/mo  —  115% of RR-scheduled parking appears on the T12.</t>
        </is>
      </c>
    </row>
    <row r="28" ht="30" customHeight="1">
      <c r="A28" s="27" t="inlineStr">
        <is>
          <t>Utility recapture (RUBS)</t>
        </is>
      </c>
      <c r="B28" s="41" t="inlineStr">
        <is>
          <t>T12 utility expense $57,364/mo (UWS+UC+UF+UT)  ↔  RUBS/billback income $62,000/mo (RWS+RT+RF)  =  108% recaptured  ·  water/sewer alone 83% ($25,713/$31,030)</t>
        </is>
      </c>
    </row>
    <row r="30">
      <c r="A30" s="36" t="inlineStr">
        <is>
          <t>⚑ Flags for Underwriting</t>
        </is>
      </c>
      <c r="B30" s="37" t="n"/>
      <c r="C30" s="37" t="n"/>
      <c r="D30" s="37" t="n"/>
      <c r="E30" s="37" t="n"/>
      <c r="F30" s="37" t="n"/>
    </row>
    <row r="31" ht="30" customHeight="1">
      <c r="A31" s="38" t="inlineStr">
        <is>
          <t>•  'trash/doortodoor' ($90/mo, RUBS-style recovery) -- confirm whether it nets against the trash expense or books as Other Income (RT).</t>
        </is>
      </c>
    </row>
  </sheetData>
  <mergeCells count="3">
    <mergeCell ref="A31:F31"/>
    <mergeCell ref="B27:F27"/>
    <mergeCell ref="B28:F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</cols>
  <sheetData>
    <row r="1">
      <c r="A1" s="67" t="inlineStr">
        <is>
          <t>Standardized Code Legend</t>
        </is>
      </c>
    </row>
    <row r="2">
      <c r="A2" s="2" t="inlineStr">
        <is>
          <t>Source list for the 'T12 Categorized' dropdown. Col A drives VLOOKUP &amp; SUMIFS.</t>
        </is>
      </c>
    </row>
    <row r="4">
      <c r="A4" s="43" t="inlineStr">
        <is>
          <t>Code</t>
        </is>
      </c>
      <c r="B4" s="39" t="inlineStr">
        <is>
          <t>Category</t>
        </is>
      </c>
      <c r="C4" s="43" t="inlineStr">
        <is>
          <t>Section</t>
        </is>
      </c>
    </row>
    <row r="5">
      <c r="A5" s="47" t="inlineStr">
        <is>
          <t>Rentinc</t>
        </is>
      </c>
      <c r="B5" s="5" t="inlineStr">
        <is>
          <t>Rental Income</t>
        </is>
      </c>
      <c r="C5" s="15" t="inlineStr">
        <is>
          <t>rev</t>
        </is>
      </c>
    </row>
    <row r="6">
      <c r="A6" s="47" t="inlineStr">
        <is>
          <t>OI</t>
        </is>
      </c>
      <c r="B6" s="5" t="inlineStr">
        <is>
          <t>Other Income</t>
        </is>
      </c>
      <c r="C6" s="15" t="inlineStr">
        <is>
          <t>rev</t>
        </is>
      </c>
    </row>
    <row r="7">
      <c r="A7" s="47" t="inlineStr">
        <is>
          <t>RWS</t>
        </is>
      </c>
      <c r="B7" s="5" t="inlineStr">
        <is>
          <t>Rubs Water / Sewage</t>
        </is>
      </c>
      <c r="C7" s="15" t="inlineStr">
        <is>
          <t>rev</t>
        </is>
      </c>
    </row>
    <row r="8">
      <c r="A8" s="47" t="inlineStr">
        <is>
          <t>RT</t>
        </is>
      </c>
      <c r="B8" s="5" t="inlineStr">
        <is>
          <t>Rubs Trash</t>
        </is>
      </c>
      <c r="C8" s="15" t="inlineStr">
        <is>
          <t>rev</t>
        </is>
      </c>
    </row>
    <row r="9">
      <c r="A9" s="47" t="inlineStr">
        <is>
          <t>RF</t>
        </is>
      </c>
      <c r="B9" s="5" t="inlineStr">
        <is>
          <t>Rubs Fees</t>
        </is>
      </c>
      <c r="C9" s="15" t="inlineStr">
        <is>
          <t>rev</t>
        </is>
      </c>
    </row>
    <row r="10">
      <c r="A10" s="47" t="inlineStr">
        <is>
          <t>park</t>
        </is>
      </c>
      <c r="B10" s="5" t="inlineStr">
        <is>
          <t>Garage / Parking</t>
        </is>
      </c>
      <c r="C10" s="15" t="inlineStr">
        <is>
          <t>rev</t>
        </is>
      </c>
    </row>
    <row r="11">
      <c r="A11" s="47" t="inlineStr">
        <is>
          <t>CI</t>
        </is>
      </c>
      <c r="B11" s="5" t="inlineStr">
        <is>
          <t>Corporate Income</t>
        </is>
      </c>
      <c r="C11" s="15" t="inlineStr">
        <is>
          <t>rev</t>
        </is>
      </c>
    </row>
    <row r="12">
      <c r="A12" s="47" t="inlineStr">
        <is>
          <t>cable</t>
        </is>
      </c>
      <c r="B12" s="5" t="inlineStr">
        <is>
          <t>Cable Income</t>
        </is>
      </c>
      <c r="C12" s="15" t="inlineStr">
        <is>
          <t>rev</t>
        </is>
      </c>
    </row>
    <row r="13">
      <c r="A13" s="47" t="inlineStr">
        <is>
          <t>ltl</t>
        </is>
      </c>
      <c r="B13" s="5" t="inlineStr">
        <is>
          <t>(Loss to Lease) / Gain to Lease</t>
        </is>
      </c>
      <c r="C13" s="15" t="inlineStr">
        <is>
          <t>rev</t>
        </is>
      </c>
    </row>
    <row r="14">
      <c r="A14" s="47" t="inlineStr">
        <is>
          <t>vac</t>
        </is>
      </c>
      <c r="B14" s="5" t="inlineStr">
        <is>
          <t>Vacancy</t>
        </is>
      </c>
      <c r="C14" s="15" t="inlineStr">
        <is>
          <t>rev</t>
        </is>
      </c>
    </row>
    <row r="15">
      <c r="A15" s="47" t="inlineStr">
        <is>
          <t>cl</t>
        </is>
      </c>
      <c r="B15" s="5" t="inlineStr">
        <is>
          <t>Collection Loss / Bad Debt</t>
        </is>
      </c>
      <c r="C15" s="15" t="inlineStr">
        <is>
          <t>rev</t>
        </is>
      </c>
    </row>
    <row r="16">
      <c r="A16" s="47" t="inlineStr">
        <is>
          <t>nr</t>
        </is>
      </c>
      <c r="B16" s="5" t="inlineStr">
        <is>
          <t>Non-Revenue Units</t>
        </is>
      </c>
      <c r="C16" s="15" t="inlineStr">
        <is>
          <t>rev</t>
        </is>
      </c>
    </row>
    <row r="17">
      <c r="A17" s="47" t="inlineStr">
        <is>
          <t>conc</t>
        </is>
      </c>
      <c r="B17" s="5" t="inlineStr">
        <is>
          <t>Concessions</t>
        </is>
      </c>
      <c r="C17" s="15" t="inlineStr">
        <is>
          <t>rev</t>
        </is>
      </c>
    </row>
    <row r="18">
      <c r="A18" s="47" t="inlineStr">
        <is>
          <t>Pay</t>
        </is>
      </c>
      <c r="B18" s="5" t="inlineStr">
        <is>
          <t>Payroll</t>
        </is>
      </c>
      <c r="C18" s="15" t="inlineStr">
        <is>
          <t>opex</t>
        </is>
      </c>
    </row>
    <row r="19">
      <c r="A19" s="47" t="inlineStr">
        <is>
          <t>PB</t>
        </is>
      </c>
      <c r="B19" s="5" t="inlineStr">
        <is>
          <t>Payroll Burden</t>
        </is>
      </c>
      <c r="C19" s="15" t="inlineStr">
        <is>
          <t>opex</t>
        </is>
      </c>
    </row>
    <row r="20">
      <c r="A20" s="47" t="inlineStr">
        <is>
          <t>PBo</t>
        </is>
      </c>
      <c r="B20" s="5" t="inlineStr">
        <is>
          <t>Payroll Bonuses</t>
        </is>
      </c>
      <c r="C20" s="15" t="inlineStr">
        <is>
          <t>opex</t>
        </is>
      </c>
    </row>
    <row r="21">
      <c r="A21" s="47" t="inlineStr">
        <is>
          <t>adv</t>
        </is>
      </c>
      <c r="B21" s="5" t="inlineStr">
        <is>
          <t>Marketing / Advertising</t>
        </is>
      </c>
      <c r="C21" s="15" t="inlineStr">
        <is>
          <t>opex</t>
        </is>
      </c>
    </row>
    <row r="22">
      <c r="A22" s="47" t="inlineStr">
        <is>
          <t>GA</t>
        </is>
      </c>
      <c r="B22" s="5" t="inlineStr">
        <is>
          <t>General &amp; Administrative</t>
        </is>
      </c>
      <c r="C22" s="15" t="inlineStr">
        <is>
          <t>opex</t>
        </is>
      </c>
    </row>
    <row r="23">
      <c r="A23" s="47" t="inlineStr">
        <is>
          <t>turn</t>
        </is>
      </c>
      <c r="B23" s="5" t="inlineStr">
        <is>
          <t>Turnover</t>
        </is>
      </c>
      <c r="C23" s="15" t="inlineStr">
        <is>
          <t>opex</t>
        </is>
      </c>
    </row>
    <row r="24">
      <c r="A24" s="47" t="inlineStr">
        <is>
          <t>inter/exte</t>
        </is>
      </c>
      <c r="B24" s="5" t="inlineStr">
        <is>
          <t>R&amp;M Interior / Exterior</t>
        </is>
      </c>
      <c r="C24" s="15" t="inlineStr">
        <is>
          <t>opex</t>
        </is>
      </c>
    </row>
    <row r="25">
      <c r="A25" s="47" t="inlineStr">
        <is>
          <t>cont</t>
        </is>
      </c>
      <c r="B25" s="5" t="inlineStr">
        <is>
          <t>Contract</t>
        </is>
      </c>
      <c r="C25" s="15" t="inlineStr">
        <is>
          <t>opex</t>
        </is>
      </c>
    </row>
    <row r="26">
      <c r="A26" s="47" t="inlineStr">
        <is>
          <t>Safe</t>
        </is>
      </c>
      <c r="B26" s="5" t="inlineStr">
        <is>
          <t>Life Safety / Elevators</t>
        </is>
      </c>
      <c r="C26" s="15" t="inlineStr">
        <is>
          <t>opex</t>
        </is>
      </c>
    </row>
    <row r="27">
      <c r="A27" s="47" t="inlineStr">
        <is>
          <t>HAF</t>
        </is>
      </c>
      <c r="B27" s="5" t="inlineStr">
        <is>
          <t>Homeowners Association Fees</t>
        </is>
      </c>
      <c r="C27" s="15" t="inlineStr">
        <is>
          <t>opex</t>
        </is>
      </c>
    </row>
    <row r="28">
      <c r="A28" s="47" t="inlineStr">
        <is>
          <t>UT</t>
        </is>
      </c>
      <c r="B28" s="5" t="inlineStr">
        <is>
          <t>Utilities Trash</t>
        </is>
      </c>
      <c r="C28" s="15" t="inlineStr">
        <is>
          <t>opex</t>
        </is>
      </c>
    </row>
    <row r="29">
      <c r="A29" s="47" t="inlineStr">
        <is>
          <t>UWS</t>
        </is>
      </c>
      <c r="B29" s="5" t="inlineStr">
        <is>
          <t>Utilities Water Sewer</t>
        </is>
      </c>
      <c r="C29" s="15" t="inlineStr">
        <is>
          <t>opex</t>
        </is>
      </c>
    </row>
    <row r="30">
      <c r="A30" s="47" t="inlineStr">
        <is>
          <t>UC</t>
        </is>
      </c>
      <c r="B30" s="5" t="inlineStr">
        <is>
          <t>Utilities Common</t>
        </is>
      </c>
      <c r="C30" s="15" t="inlineStr">
        <is>
          <t>opex</t>
        </is>
      </c>
    </row>
    <row r="31">
      <c r="A31" s="47" t="inlineStr">
        <is>
          <t>UF</t>
        </is>
      </c>
      <c r="B31" s="5" t="inlineStr">
        <is>
          <t>Utilities Fees</t>
        </is>
      </c>
      <c r="C31" s="15" t="inlineStr">
        <is>
          <t>opex</t>
        </is>
      </c>
    </row>
    <row r="32">
      <c r="A32" s="47" t="inlineStr">
        <is>
          <t>mgt</t>
        </is>
      </c>
      <c r="B32" s="5" t="inlineStr">
        <is>
          <t>Property Management Fee</t>
        </is>
      </c>
      <c r="C32" s="15" t="inlineStr">
        <is>
          <t>opex</t>
        </is>
      </c>
    </row>
    <row r="33">
      <c r="A33" s="47" t="inlineStr">
        <is>
          <t>ins</t>
        </is>
      </c>
      <c r="B33" s="5" t="inlineStr">
        <is>
          <t>Insurance</t>
        </is>
      </c>
      <c r="C33" s="15" t="inlineStr">
        <is>
          <t>opex</t>
        </is>
      </c>
    </row>
    <row r="34">
      <c r="A34" s="47" t="inlineStr">
        <is>
          <t>ret</t>
        </is>
      </c>
      <c r="B34" s="5" t="inlineStr">
        <is>
          <t>Real Estate Taxes</t>
        </is>
      </c>
      <c r="C34" s="15" t="inlineStr">
        <is>
          <t>opex</t>
        </is>
      </c>
    </row>
    <row r="35">
      <c r="A35" s="47" t="inlineStr">
        <is>
          <t>NI</t>
        </is>
      </c>
      <c r="B35" s="5" t="inlineStr">
        <is>
          <t>Not Included</t>
        </is>
      </c>
      <c r="C35" s="15" t="inlineStr">
        <is>
          <t>opex</t>
        </is>
      </c>
    </row>
    <row r="36">
      <c r="A36" s="47" t="inlineStr">
        <is>
          <t>site</t>
        </is>
      </c>
      <c r="B36" s="5" t="inlineStr">
        <is>
          <t>R&amp;M Site</t>
        </is>
      </c>
      <c r="C36" s="15" t="inlineStr">
        <is>
          <t>opex</t>
        </is>
      </c>
    </row>
    <row r="37">
      <c r="A37" s="47" t="inlineStr">
        <is>
          <t>dispro</t>
        </is>
      </c>
      <c r="B37" s="5" t="inlineStr">
        <is>
          <t>Disposition Proceeds</t>
        </is>
      </c>
      <c r="C37" s="15" t="inlineStr">
        <is>
          <t>nonop-rev</t>
        </is>
      </c>
    </row>
    <row r="38">
      <c r="A38" s="47" t="inlineStr">
        <is>
          <t>rd</t>
        </is>
      </c>
      <c r="B38" s="5" t="inlineStr">
        <is>
          <t>Replacement Reserve Deposits</t>
        </is>
      </c>
      <c r="C38" s="15" t="inlineStr">
        <is>
          <t>nonop-exp</t>
        </is>
      </c>
    </row>
    <row r="39">
      <c r="A39" s="47" t="inlineStr">
        <is>
          <t>capx</t>
        </is>
      </c>
      <c r="B39" s="5" t="inlineStr">
        <is>
          <t>Capital Improvements</t>
        </is>
      </c>
      <c r="C39" s="15" t="inlineStr">
        <is>
          <t>nonop-exp</t>
        </is>
      </c>
    </row>
    <row r="40">
      <c r="A40" s="47" t="inlineStr">
        <is>
          <t>aex</t>
        </is>
      </c>
      <c r="B40" s="5" t="inlineStr">
        <is>
          <t>Appliance Expenditures</t>
        </is>
      </c>
      <c r="C40" s="15" t="inlineStr">
        <is>
          <t>nonop-exp</t>
        </is>
      </c>
    </row>
    <row r="41">
      <c r="A41" s="47" t="inlineStr">
        <is>
          <t>ece</t>
        </is>
      </c>
      <c r="B41" s="5" t="inlineStr">
        <is>
          <t>Extraordinary Capital Expenditure</t>
        </is>
      </c>
      <c r="C41" s="15" t="inlineStr">
        <is>
          <t>nonop-exp</t>
        </is>
      </c>
    </row>
    <row r="42">
      <c r="A42" s="47" t="inlineStr">
        <is>
          <t>tird</t>
        </is>
      </c>
      <c r="B42" s="5" t="inlineStr">
        <is>
          <t>TI&amp;LC Reserve Deposits</t>
        </is>
      </c>
      <c r="C42" s="15" t="inlineStr">
        <is>
          <t>nonop-exp</t>
        </is>
      </c>
    </row>
    <row r="43">
      <c r="A43" s="47" t="inlineStr">
        <is>
          <t>tirw</t>
        </is>
      </c>
      <c r="B43" s="5" t="inlineStr">
        <is>
          <t>TI&amp;LC Reserve Withdrawls</t>
        </is>
      </c>
      <c r="C43" s="15" t="inlineStr">
        <is>
          <t>nonop-exp</t>
        </is>
      </c>
    </row>
    <row r="44">
      <c r="A44" s="47" t="inlineStr">
        <is>
          <t>tiae</t>
        </is>
      </c>
      <c r="B44" s="5" t="inlineStr">
        <is>
          <t>TI&amp;LC Actual Expenditures</t>
        </is>
      </c>
      <c r="C44" s="15" t="inlineStr">
        <is>
          <t>nonop-exp</t>
        </is>
      </c>
    </row>
    <row r="45">
      <c r="A45" s="47" t="inlineStr">
        <is>
          <t>intex</t>
        </is>
      </c>
      <c r="B45" s="5" t="inlineStr">
        <is>
          <t>Interest</t>
        </is>
      </c>
      <c r="C45" s="15" t="inlineStr">
        <is>
          <t>nonop-exp</t>
        </is>
      </c>
    </row>
    <row r="46">
      <c r="A46" s="47" t="inlineStr">
        <is>
          <t>prin</t>
        </is>
      </c>
      <c r="B46" s="5" t="inlineStr">
        <is>
          <t>Principal</t>
        </is>
      </c>
      <c r="C46" s="15" t="inlineStr">
        <is>
          <t>nonop-exp</t>
        </is>
      </c>
    </row>
    <row r="47">
      <c r="A47" s="47" t="inlineStr">
        <is>
          <t>draw</t>
        </is>
      </c>
      <c r="B47" s="5" t="inlineStr">
        <is>
          <t>Loan Draws</t>
        </is>
      </c>
      <c r="C47" s="15" t="inlineStr">
        <is>
          <t>nonop-exp</t>
        </is>
      </c>
    </row>
    <row r="48">
      <c r="A48" s="47" t="inlineStr">
        <is>
          <t>repay</t>
        </is>
      </c>
      <c r="B48" s="5" t="inlineStr">
        <is>
          <t>Loan Repayments</t>
        </is>
      </c>
      <c r="C48" s="15" t="inlineStr">
        <is>
          <t>nonop-exp</t>
        </is>
      </c>
    </row>
    <row r="49">
      <c r="A49" s="47" t="inlineStr">
        <is>
          <t>othdf</t>
        </is>
      </c>
      <c r="B49" s="5" t="inlineStr">
        <is>
          <t>Other Debt Fees</t>
        </is>
      </c>
      <c r="C49" s="15" t="inlineStr">
        <is>
          <t>nonop-exp</t>
        </is>
      </c>
    </row>
    <row r="50">
      <c r="A50" s="47" t="inlineStr">
        <is>
          <t>ord</t>
        </is>
      </c>
      <c r="B50" s="5" t="inlineStr">
        <is>
          <t>Other Reserves Funded / Used / Released</t>
        </is>
      </c>
      <c r="C50" s="15" t="inlineStr">
        <is>
          <t>nonop-exp</t>
        </is>
      </c>
    </row>
    <row r="51">
      <c r="A51" s="47" t="inlineStr">
        <is>
          <t>icd</t>
        </is>
      </c>
      <c r="B51" s="5" t="inlineStr">
        <is>
          <t>Investor Contributions and Distributions</t>
        </is>
      </c>
      <c r="C51" s="15" t="inlineStr">
        <is>
          <t>nonop-exp</t>
        </is>
      </c>
    </row>
    <row r="52">
      <c r="A52" s="47" t="inlineStr">
        <is>
          <t>scd</t>
        </is>
      </c>
      <c r="B52" s="5" t="inlineStr">
        <is>
          <t>Sponsor Contributions and Distributions</t>
        </is>
      </c>
      <c r="C52" s="15" t="inlineStr">
        <is>
          <t>nonop-exp</t>
        </is>
      </c>
    </row>
    <row r="53">
      <c r="A53" s="47" t="inlineStr">
        <is>
          <t>entex</t>
        </is>
      </c>
      <c r="B53" s="5" t="inlineStr">
        <is>
          <t>Entity Expenses</t>
        </is>
      </c>
      <c r="C53" s="15" t="inlineStr">
        <is>
          <t>nonop-exp</t>
        </is>
      </c>
    </row>
    <row r="54">
      <c r="A54" s="47" t="inlineStr">
        <is>
          <t>pfex</t>
        </is>
      </c>
      <c r="B54" s="5" t="inlineStr">
        <is>
          <t>Partnership Fees and Expenses</t>
        </is>
      </c>
      <c r="C54" s="15" t="inlineStr">
        <is>
          <t>nonop-exp</t>
        </is>
      </c>
    </row>
    <row r="55">
      <c r="A55" s="47" t="inlineStr">
        <is>
          <t>purch</t>
        </is>
      </c>
      <c r="B55" s="5" t="inlineStr">
        <is>
          <t>Purchase Price</t>
        </is>
      </c>
      <c r="C55" s="15" t="inlineStr">
        <is>
          <t>nonop-exp</t>
        </is>
      </c>
    </row>
    <row r="56">
      <c r="A56" s="47" t="inlineStr">
        <is>
          <t>acqex</t>
        </is>
      </c>
      <c r="B56" s="5" t="inlineStr">
        <is>
          <t>Acquisition Expenses</t>
        </is>
      </c>
      <c r="C56" s="15" t="inlineStr">
        <is>
          <t>nonop-exp</t>
        </is>
      </c>
    </row>
    <row r="57">
      <c r="A57" s="47" t="inlineStr">
        <is>
          <t>disex</t>
        </is>
      </c>
      <c r="B57" s="5" t="inlineStr">
        <is>
          <t>Disposition Expenses</t>
        </is>
      </c>
      <c r="C57" s="15" t="inlineStr">
        <is>
          <t>nonop-exp</t>
        </is>
      </c>
    </row>
    <row r="58">
      <c r="A58" s="47" t="inlineStr">
        <is>
          <t>depex</t>
        </is>
      </c>
      <c r="B58" s="5" t="inlineStr">
        <is>
          <t>Depreciation</t>
        </is>
      </c>
      <c r="C58" s="15" t="inlineStr">
        <is>
          <t>nonop-exp</t>
        </is>
      </c>
    </row>
    <row r="59">
      <c r="A59" s="47" t="inlineStr">
        <is>
          <t>onoe</t>
        </is>
      </c>
      <c r="B59" s="5" t="inlineStr">
        <is>
          <t>Other Non-Operating Expense</t>
        </is>
      </c>
      <c r="C59" s="15" t="inlineStr">
        <is>
          <t>nonop-exp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CCC21942-0A1A-4F9F-9FA6-C97DE8891948}"/>
</file>

<file path=customXml/itemProps2.xml><?xml version="1.0" encoding="utf-8"?>
<ds:datastoreItem xmlns:ds="http://schemas.openxmlformats.org/officeDocument/2006/customXml" ds:itemID="{3D50FA97-4F0F-475C-94EC-8A47213FEA9C}"/>
</file>

<file path=customXml/itemProps3.xml><?xml version="1.0" encoding="utf-8"?>
<ds:datastoreItem xmlns:ds="http://schemas.openxmlformats.org/officeDocument/2006/customXml" ds:itemID="{A6A82E61-E84F-4D96-9357-7758408D01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2026-06-19T17:05:09Z</dcterms:created>
  <dcterms:modified xsi:type="dcterms:W3CDTF">2026-06-19T17:05:12Z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