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ettings" sheetId="2" state="visible" r:id="rId2"/>
    <sheet name="Reconciliation Log" sheetId="3" state="visible" r:id="rId3"/>
    <sheet name="Supply &amp; Absorption"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quot;$&quot;#,##0;;&quot;—&quot;"/>
  </numFmts>
  <fonts count="10">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11"/>
    </font>
    <font>
      <name val="Calibri"/>
      <b val="1"/>
      <color rgb="FF000000"/>
      <sz val="9"/>
    </font>
    <font>
      <name val="Calibri"/>
      <b val="1"/>
      <color rgb="FFFFFFFF"/>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5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7" fillId="0" borderId="0" pivotButton="0" quotePrefix="0" xfId="0"/>
    <xf numFmtId="9" fontId="0"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xf numFmtId="0" fontId="5" fillId="0" borderId="0" pivotButton="0" quotePrefix="0" xfId="0"/>
    <xf numFmtId="9" fontId="8" fillId="11" borderId="0" applyAlignment="1" pivotButton="0" quotePrefix="0" xfId="0">
      <alignment horizontal="center" vertical="center" wrapText="1"/>
    </xf>
    <xf numFmtId="0" fontId="8" fillId="0" borderId="0" pivotButton="0" quotePrefix="0" xfId="0"/>
    <xf numFmtId="0" fontId="8" fillId="11" borderId="0" applyAlignment="1" pivotButton="0" quotePrefix="0" xfId="0">
      <alignment horizontal="center" vertical="center" wrapText="1"/>
    </xf>
    <xf numFmtId="0" fontId="9" fillId="3" borderId="1" applyAlignment="1" pivotButton="0" quotePrefix="0" xfId="0">
      <alignment horizontal="center" vertical="center" wrapText="1"/>
    </xf>
    <xf numFmtId="3" fontId="8" fillId="11" borderId="0" applyAlignment="1" pivotButton="0" quotePrefix="0" xfId="0">
      <alignment horizontal="center" vertical="center" wrapText="1"/>
    </xf>
    <xf numFmtId="0" fontId="5" fillId="0" borderId="1" applyAlignment="1" pivotButton="0" quotePrefix="0" xfId="0">
      <alignment horizontal="left" vertical="center"/>
    </xf>
    <xf numFmtId="3" fontId="5" fillId="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3" fontId="5" fillId="12" borderId="1" applyAlignment="1" pivotButton="0" quotePrefix="0" xfId="0">
      <alignment horizontal="center" vertical="center" wrapText="1"/>
    </xf>
    <xf numFmtId="164" fontId="5" fillId="12" borderId="1" applyAlignment="1" pivotButton="0" quotePrefix="0" xfId="0">
      <alignment horizontal="center" vertical="center" wrapText="1"/>
    </xf>
    <xf numFmtId="0" fontId="5" fillId="13" borderId="1" applyAlignment="1" pivotButton="0" quotePrefix="0" xfId="0">
      <alignment horizontal="center" vertical="center" wrapText="1"/>
    </xf>
    <xf numFmtId="3" fontId="5" fillId="13" borderId="1" applyAlignment="1" pivotButton="0" quotePrefix="0" xfId="0">
      <alignment horizontal="center" vertical="center" wrapText="1"/>
    </xf>
    <xf numFmtId="164" fontId="5" fillId="1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18"/>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f>TEXT(Settings!$B$2,"0%")&amp;" target"</f>
        <v/>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Avery</t>
        </is>
      </c>
      <c r="D6" s="9" t="n">
        <v>185</v>
      </c>
      <c r="E6" s="7" t="inlineStr">
        <is>
          <t>Q2 2024</t>
        </is>
      </c>
      <c r="F6" s="10" t="n">
        <v>0.924324</v>
      </c>
      <c r="G6" s="11" t="n">
        <v>1750</v>
      </c>
      <c r="H6" s="8" t="inlineStr">
        <is>
          <t>Larson Capital Management</t>
        </is>
      </c>
      <c r="I6" s="7" t="n"/>
      <c r="J6" s="7" t="inlineStr">
        <is>
          <t>Garden</t>
        </is>
      </c>
      <c r="K6" s="8" t="inlineStr">
        <is>
          <t>Rent: CoStar ask $1,750 vs RealPage eff $1,875</t>
        </is>
      </c>
    </row>
    <row r="7">
      <c r="B7" s="7" t="n">
        <v>2</v>
      </c>
      <c r="C7" s="8" t="inlineStr">
        <is>
          <t>Ironwood at River Run</t>
        </is>
      </c>
      <c r="D7" s="9" t="n">
        <v>103</v>
      </c>
      <c r="E7" s="7" t="inlineStr">
        <is>
          <t>Q2 2024</t>
        </is>
      </c>
      <c r="F7" s="10" t="n">
        <v>0.961</v>
      </c>
      <c r="G7" s="11" t="n">
        <v>2090</v>
      </c>
      <c r="H7" s="8" t="inlineStr">
        <is>
          <t>Rockpoint Group</t>
        </is>
      </c>
      <c r="I7" s="7" t="n"/>
      <c r="J7" s="7" t="inlineStr">
        <is>
          <t>Single Family</t>
        </is>
      </c>
      <c r="K7" s="8" t="inlineStr">
        <is>
          <t>Delivery quarter estimated</t>
        </is>
      </c>
    </row>
    <row r="8">
      <c r="B8" s="7" t="n">
        <v>3</v>
      </c>
      <c r="C8" s="8" t="inlineStr">
        <is>
          <t>Prose Desert River</t>
        </is>
      </c>
      <c r="D8" s="9" t="n">
        <v>384</v>
      </c>
      <c r="E8" s="7" t="inlineStr">
        <is>
          <t>Q1 2023</t>
        </is>
      </c>
      <c r="F8" s="10" t="n">
        <v>0.895833</v>
      </c>
      <c r="G8" s="11" t="n">
        <v>1429</v>
      </c>
      <c r="H8" s="8" t="inlineStr">
        <is>
          <t>Alliance Residential Company</t>
        </is>
      </c>
      <c r="I8" s="7" t="n"/>
      <c r="J8" s="7" t="inlineStr">
        <is>
          <t>Garden</t>
        </is>
      </c>
      <c r="K8" s="8" t="inlineStr">
        <is>
          <t>Year built: 2023/2024; Delivery quarter estimated; Occ: CoStar 90% vs RealPage 97%; Rent: CoStar ask $1,429 vs RealPage eff $1,313</t>
        </is>
      </c>
    </row>
    <row r="9">
      <c r="B9" s="7" t="n">
        <v>4</v>
      </c>
      <c r="C9" s="8" t="inlineStr">
        <is>
          <t>District at Civic Square</t>
        </is>
      </c>
      <c r="D9" s="9" t="n">
        <v>352</v>
      </c>
      <c r="E9" s="7" t="inlineStr">
        <is>
          <t>Q1 2023</t>
        </is>
      </c>
      <c r="F9" s="10" t="n">
        <v>0.920455</v>
      </c>
      <c r="G9" s="11" t="n">
        <v>1526</v>
      </c>
      <c r="H9" s="8" t="inlineStr">
        <is>
          <t>Billah Khan</t>
        </is>
      </c>
      <c r="I9" s="7" t="n"/>
      <c r="J9" s="7" t="inlineStr">
        <is>
          <t>Mid-Rise</t>
        </is>
      </c>
      <c r="K9" s="8" t="inlineStr">
        <is>
          <t>Year built: 2023/2024; Delivery quarter estimated; Occ: CoStar 92% vs RealPage 100%; Rent: CoStar ask $1,526 vs RealPage eff $1,263</t>
        </is>
      </c>
    </row>
    <row r="10">
      <c r="B10" s="7" t="n">
        <v>5</v>
      </c>
      <c r="C10" s="8" t="inlineStr">
        <is>
          <t>Acero Roosevelt</t>
        </is>
      </c>
      <c r="D10" s="9" t="n">
        <v>352</v>
      </c>
      <c r="E10" s="7" t="inlineStr">
        <is>
          <t>Q1 2023</t>
        </is>
      </c>
      <c r="F10" s="10" t="n">
        <v>0.892045</v>
      </c>
      <c r="G10" s="11" t="n">
        <v>1632</v>
      </c>
      <c r="H10" s="8" t="inlineStr">
        <is>
          <t>IDM Companies</t>
        </is>
      </c>
      <c r="I10" s="7" t="n"/>
      <c r="J10" s="7" t="inlineStr">
        <is>
          <t>Garden</t>
        </is>
      </c>
      <c r="K10" s="8" t="inlineStr">
        <is>
          <t>Year built: 2023/2024; Delivery quarter estimated; Occ: CoStar 89% vs RealPage 94%; Rent: CoStar ask $1,632 vs RealPage eff $1,236</t>
        </is>
      </c>
    </row>
    <row r="11">
      <c r="B11" s="7" t="n">
        <v>6</v>
      </c>
      <c r="C11" s="8" t="inlineStr">
        <is>
          <t>Cabana Bullard</t>
        </is>
      </c>
      <c r="D11" s="9" t="n">
        <v>336</v>
      </c>
      <c r="E11" s="7" t="inlineStr">
        <is>
          <t>Q1 2023</t>
        </is>
      </c>
      <c r="F11" s="10" t="n">
        <v>0.9494050000000001</v>
      </c>
      <c r="G11" s="11" t="n">
        <v>1335</v>
      </c>
      <c r="H11" s="8" t="inlineStr">
        <is>
          <t>Greenlight Communities</t>
        </is>
      </c>
      <c r="I11" s="7" t="n"/>
      <c r="J11" s="7" t="inlineStr">
        <is>
          <t>Garden</t>
        </is>
      </c>
      <c r="K11" s="8" t="inlineStr">
        <is>
          <t>Delivery quarter estimated</t>
        </is>
      </c>
    </row>
    <row r="12">
      <c r="B12" s="7" t="n">
        <v>7</v>
      </c>
      <c r="C12" s="8" t="inlineStr">
        <is>
          <t>Bungalows at Camelback</t>
        </is>
      </c>
      <c r="D12" s="9" t="n">
        <v>334</v>
      </c>
      <c r="E12" s="7" t="inlineStr">
        <is>
          <t>Q1 2023</t>
        </is>
      </c>
      <c r="F12" s="10" t="n">
        <v>0.7634730000000001</v>
      </c>
      <c r="G12" s="11" t="n">
        <v>2026</v>
      </c>
      <c r="H12" s="8" t="inlineStr">
        <is>
          <t>Cavan Companies</t>
        </is>
      </c>
      <c r="I12" s="7" t="n"/>
      <c r="J12" s="7" t="inlineStr">
        <is>
          <t>Garden</t>
        </is>
      </c>
      <c r="K12" s="8" t="inlineStr">
        <is>
          <t>Year built: 2023/2024; Delivery quarter estimated; Occ: CoStar 76% vs RealPage 92%; Rent: CoStar ask $2,026 vs RealPage eff $1,385</t>
        </is>
      </c>
    </row>
    <row r="13">
      <c r="B13" s="7" t="n">
        <v>8</v>
      </c>
      <c r="C13" s="8" t="inlineStr">
        <is>
          <t>Cuvee Apartments</t>
        </is>
      </c>
      <c r="D13" s="9" t="n">
        <v>310</v>
      </c>
      <c r="E13" s="7" t="inlineStr">
        <is>
          <t>Q1 2023</t>
        </is>
      </c>
      <c r="F13" s="10" t="n">
        <v>0.926</v>
      </c>
      <c r="G13" s="11" t="n">
        <v>1629</v>
      </c>
      <c r="H13" s="8" t="inlineStr">
        <is>
          <t>Pillar Communities</t>
        </is>
      </c>
      <c r="I13" s="7" t="n"/>
      <c r="J13" s="7" t="inlineStr">
        <is>
          <t>Mid-Rise</t>
        </is>
      </c>
      <c r="K13" s="8" t="inlineStr">
        <is>
          <t>Delivery quarter estimated</t>
        </is>
      </c>
    </row>
    <row r="14">
      <c r="B14" s="7" t="n">
        <v>9</v>
      </c>
      <c r="C14" s="8" t="inlineStr">
        <is>
          <t>Springs At Westgate</t>
        </is>
      </c>
      <c r="D14" s="9" t="n">
        <v>292</v>
      </c>
      <c r="E14" s="7" t="inlineStr">
        <is>
          <t>Q1 2023</t>
        </is>
      </c>
      <c r="F14" s="10" t="n">
        <v>0.784247</v>
      </c>
      <c r="G14" s="11" t="n">
        <v>1516</v>
      </c>
      <c r="H14" s="8" t="inlineStr">
        <is>
          <t>Continental Properties Company, Inc.</t>
        </is>
      </c>
      <c r="I14" s="7" t="n"/>
      <c r="J14" s="7" t="inlineStr">
        <is>
          <t>Garden</t>
        </is>
      </c>
      <c r="K14" s="8" t="inlineStr">
        <is>
          <t>Year built: 2023/2024; Units: CoStar 292 vs RealPage 239; Delivery quarter estimated; Occ: CoStar 78% vs RealPage 87%</t>
        </is>
      </c>
    </row>
    <row r="15">
      <c r="B15" s="7" t="n">
        <v>10</v>
      </c>
      <c r="C15" s="8" t="inlineStr">
        <is>
          <t>BB Living at Civic Square</t>
        </is>
      </c>
      <c r="D15" s="9" t="n">
        <v>290</v>
      </c>
      <c r="E15" s="7" t="inlineStr">
        <is>
          <t>Q1 2023</t>
        </is>
      </c>
      <c r="F15" s="10" t="n">
        <v>0.934483</v>
      </c>
      <c r="G15" s="11" t="n">
        <v>2812</v>
      </c>
      <c r="H15" s="8" t="inlineStr">
        <is>
          <t>BB Living</t>
        </is>
      </c>
      <c r="I15" s="7" t="n"/>
      <c r="J15" s="7" t="inlineStr">
        <is>
          <t>Townhome</t>
        </is>
      </c>
      <c r="K15" s="8" t="inlineStr">
        <is>
          <t>Year built: 2023/2024; Delivery quarter estimated; Occ: CoStar 93% vs RealPage 96%; Rent: CoStar ask $2,812 vs RealPage eff $2,575</t>
        </is>
      </c>
    </row>
    <row r="16">
      <c r="B16" s="7" t="n">
        <v>11</v>
      </c>
      <c r="C16" s="8" t="inlineStr">
        <is>
          <t>Village at Paseo de Luces</t>
        </is>
      </c>
      <c r="D16" s="9" t="n">
        <v>272</v>
      </c>
      <c r="E16" s="7" t="inlineStr">
        <is>
          <t>Q1 2023</t>
        </is>
      </c>
      <c r="F16" s="10" t="n">
        <v>0.926471</v>
      </c>
      <c r="G16" s="11" t="n">
        <v>1820</v>
      </c>
      <c r="H16" s="8" t="inlineStr">
        <is>
          <t>Empire Group of Companies</t>
        </is>
      </c>
      <c r="I16" s="7" t="n"/>
      <c r="J16" s="7" t="inlineStr">
        <is>
          <t>Garden</t>
        </is>
      </c>
      <c r="K16" s="8" t="inlineStr">
        <is>
          <t>Year built: 2023/2024; Delivery quarter estimated; Occ: CoStar 93% vs RealPage 97%; Rent: CoStar ask $1,820 vs RealPage eff $1,597</t>
        </is>
      </c>
    </row>
    <row r="17">
      <c r="B17" s="7" t="n">
        <v>12</v>
      </c>
      <c r="C17" s="8" t="inlineStr">
        <is>
          <t>Parc Lofts</t>
        </is>
      </c>
      <c r="D17" s="9" t="n">
        <v>258</v>
      </c>
      <c r="E17" s="7" t="inlineStr">
        <is>
          <t>Q1 2023</t>
        </is>
      </c>
      <c r="F17" s="10" t="n">
        <v>0.8992249999999999</v>
      </c>
      <c r="G17" s="11" t="n">
        <v>1567</v>
      </c>
      <c r="H17" s="8" t="inlineStr">
        <is>
          <t>Millburn &amp; Company</t>
        </is>
      </c>
      <c r="I17" s="7" t="n"/>
      <c r="J17" s="7" t="inlineStr">
        <is>
          <t>Garden</t>
        </is>
      </c>
      <c r="K17" s="8" t="inlineStr">
        <is>
          <t>Delivery quarter estimated; Occ: CoStar 90% vs RealPage 94%</t>
        </is>
      </c>
    </row>
    <row r="18">
      <c r="B18" s="7" t="n">
        <v>13</v>
      </c>
      <c r="C18" s="8" t="inlineStr">
        <is>
          <t>Christopher Todd Communities at McDowell</t>
        </is>
      </c>
      <c r="D18" s="9" t="n">
        <v>217</v>
      </c>
      <c r="E18" s="7" t="inlineStr">
        <is>
          <t>Q1 2023</t>
        </is>
      </c>
      <c r="F18" s="10" t="n">
        <v>0.949309</v>
      </c>
      <c r="G18" s="11" t="n">
        <v>1576</v>
      </c>
      <c r="H18" s="8" t="inlineStr">
        <is>
          <t>Christopher Todd Communities</t>
        </is>
      </c>
      <c r="I18" s="7" t="n"/>
      <c r="J18" s="7" t="inlineStr">
        <is>
          <t>Garden</t>
        </is>
      </c>
      <c r="K18" s="8" t="inlineStr">
        <is>
          <t>Year built: 2023/2024; Delivery quarter estimated</t>
        </is>
      </c>
    </row>
    <row r="19">
      <c r="B19" s="7" t="n">
        <v>14</v>
      </c>
      <c r="C19" s="8" t="inlineStr">
        <is>
          <t>Village Camelback Park</t>
        </is>
      </c>
      <c r="D19" s="9" t="n">
        <v>194</v>
      </c>
      <c r="E19" s="7" t="inlineStr">
        <is>
          <t>Q1 2023</t>
        </is>
      </c>
      <c r="F19" s="10" t="n">
        <v>0.773196</v>
      </c>
      <c r="G19" s="11" t="n">
        <v>1874</v>
      </c>
      <c r="H19" s="8" t="inlineStr">
        <is>
          <t>The Empire Group</t>
        </is>
      </c>
      <c r="I19" s="7" t="n"/>
      <c r="J19" s="7" t="inlineStr">
        <is>
          <t>Single Family</t>
        </is>
      </c>
      <c r="K19" s="8" t="inlineStr">
        <is>
          <t>Delivery quarter estimated; Occ: CoStar 77% vs RealPage 92%</t>
        </is>
      </c>
    </row>
    <row r="20">
      <c r="B20" s="7" t="n">
        <v>15</v>
      </c>
      <c r="C20" s="8" t="inlineStr">
        <is>
          <t>Village at the BLVD</t>
        </is>
      </c>
      <c r="D20" s="9" t="n">
        <v>187</v>
      </c>
      <c r="E20" s="7" t="inlineStr">
        <is>
          <t>Q1 2023</t>
        </is>
      </c>
      <c r="F20" s="10" t="n">
        <v>0.935829</v>
      </c>
      <c r="G20" s="11" t="n">
        <v>1964</v>
      </c>
      <c r="H20" s="8" t="inlineStr">
        <is>
          <t>Empire Group of Companies</t>
        </is>
      </c>
      <c r="I20" s="7" t="n"/>
      <c r="J20" s="7" t="inlineStr">
        <is>
          <t>Single Family</t>
        </is>
      </c>
      <c r="K20" s="8" t="inlineStr">
        <is>
          <t>Year built: 2023/2024; Delivery quarter estimated; Occ: CoStar 94% vs RealPage 96%</t>
        </is>
      </c>
    </row>
    <row r="21">
      <c r="B21" s="7" t="n">
        <v>16</v>
      </c>
      <c r="C21" s="8" t="inlineStr">
        <is>
          <t>The Crofton at Sheely Farms</t>
        </is>
      </c>
      <c r="D21" s="9" t="n">
        <v>167</v>
      </c>
      <c r="E21" s="7" t="inlineStr">
        <is>
          <t>Q1 2023</t>
        </is>
      </c>
      <c r="F21" s="10" t="n">
        <v>0.9520960000000001</v>
      </c>
      <c r="G21" s="11" t="n">
        <v>1607</v>
      </c>
      <c r="H21" s="8" t="inlineStr">
        <is>
          <t>Atlantic Creek Real Estate Partners</t>
        </is>
      </c>
      <c r="I21" s="7" t="n"/>
      <c r="J21" s="7" t="inlineStr">
        <is>
          <t>Garden</t>
        </is>
      </c>
      <c r="K21" s="8" t="inlineStr">
        <is>
          <t>Delivery quarter estimated; Rent: CoStar ask $1,607 vs RealPage eff $1,388</t>
        </is>
      </c>
    </row>
    <row r="22">
      <c r="B22" s="7" t="n">
        <v>17</v>
      </c>
      <c r="C22" s="8" t="inlineStr">
        <is>
          <t>TerraLane at Park McDowell</t>
        </is>
      </c>
      <c r="D22" s="9" t="n">
        <v>162</v>
      </c>
      <c r="E22" s="7" t="inlineStr">
        <is>
          <t>Q1 2023</t>
        </is>
      </c>
      <c r="F22" s="10" t="n">
        <v>0.8518520000000001</v>
      </c>
      <c r="G22" s="11" t="n">
        <v>1576</v>
      </c>
      <c r="H22" s="8" t="inlineStr">
        <is>
          <t>TerraLane Communities</t>
        </is>
      </c>
      <c r="I22" s="7" t="n"/>
      <c r="J22" s="7" t="inlineStr">
        <is>
          <t>Garden</t>
        </is>
      </c>
      <c r="K22" s="8" t="inlineStr">
        <is>
          <t>Delivery quarter estimated; Occ: CoStar 85% vs RealPage 88%; Rent: CoStar ask $1,576 vs RealPage eff $1,211</t>
        </is>
      </c>
    </row>
    <row r="23">
      <c r="B23" s="7" t="n">
        <v>18</v>
      </c>
      <c r="C23" s="8" t="inlineStr">
        <is>
          <t>Ironwood Homes at River Run</t>
        </is>
      </c>
      <c r="D23" s="9" t="n">
        <v>103</v>
      </c>
      <c r="E23" s="7" t="inlineStr">
        <is>
          <t>Q1 2023</t>
        </is>
      </c>
      <c r="F23" s="10" t="n">
        <v>0.893204</v>
      </c>
      <c r="G23" s="11" t="n">
        <v>2523</v>
      </c>
      <c r="H23" s="8" t="inlineStr">
        <is>
          <t>Sunstone Properties Trust</t>
        </is>
      </c>
      <c r="I23" s="7" t="n"/>
      <c r="J23" s="7" t="inlineStr">
        <is>
          <t>Garden</t>
        </is>
      </c>
      <c r="K23" s="8" t="inlineStr">
        <is>
          <t>Delivery quarter estimated</t>
        </is>
      </c>
    </row>
    <row r="24">
      <c r="B24" s="7" t="n">
        <v>19</v>
      </c>
      <c r="C24" s="8" t="inlineStr">
        <is>
          <t>Avari Apartments</t>
        </is>
      </c>
      <c r="D24" s="9" t="n">
        <v>354</v>
      </c>
      <c r="E24" s="7" t="inlineStr">
        <is>
          <t>Q3 2022</t>
        </is>
      </c>
      <c r="F24" s="10" t="n">
        <v>0.951977</v>
      </c>
      <c r="G24" s="11" t="n">
        <v>1574</v>
      </c>
      <c r="H24" s="8" t="inlineStr">
        <is>
          <t>Brett C. &amp; Lorraine M. Heers</t>
        </is>
      </c>
      <c r="I24" s="7" t="n"/>
      <c r="J24" s="7" t="inlineStr">
        <is>
          <t>Mid-Rise</t>
        </is>
      </c>
      <c r="K24" s="8" t="inlineStr">
        <is>
          <t>Year built: 2022/2023; Delivery quarter estimated; Occ: CoStar 95% vs RealPage 100%</t>
        </is>
      </c>
    </row>
    <row r="25">
      <c r="B25" s="7" t="n">
        <v>20</v>
      </c>
      <c r="C25" s="8" t="inlineStr">
        <is>
          <t>Sunset View Apartments</t>
        </is>
      </c>
      <c r="D25" s="9" t="n">
        <v>286</v>
      </c>
      <c r="E25" s="7" t="inlineStr">
        <is>
          <t>Q2 2022</t>
        </is>
      </c>
      <c r="F25" s="10" t="n">
        <v>0.902098</v>
      </c>
      <c r="G25" s="11" t="n">
        <v>1338</v>
      </c>
      <c r="H25" s="8" t="inlineStr">
        <is>
          <t>Sunrise Multifamily LLC</t>
        </is>
      </c>
      <c r="I25" s="7" t="n"/>
      <c r="J25" s="7" t="inlineStr">
        <is>
          <t>Garden</t>
        </is>
      </c>
      <c r="K25" s="8" t="inlineStr">
        <is>
          <t>Occ: CoStar 90% vs RealPage 96%; Rent: CoStar ask $1,338 vs RealPage eff $1,167</t>
        </is>
      </c>
    </row>
    <row r="26">
      <c r="B26" s="7" t="n">
        <v>21</v>
      </c>
      <c r="C26" s="8" t="inlineStr">
        <is>
          <t>Luna Bear 94</t>
        </is>
      </c>
      <c r="D26" s="9" t="n">
        <v>94</v>
      </c>
      <c r="E26" s="7" t="inlineStr">
        <is>
          <t>Q1 2022</t>
        </is>
      </c>
      <c r="F26" s="10" t="n">
        <v>0.989362</v>
      </c>
      <c r="G26" s="11" t="n">
        <v>1913</v>
      </c>
      <c r="H26" s="8" t="inlineStr">
        <is>
          <t>Luna Bear Properties LLC</t>
        </is>
      </c>
      <c r="I26" s="7" t="n"/>
      <c r="J26" s="7" t="inlineStr">
        <is>
          <t>Single Family</t>
        </is>
      </c>
      <c r="K26" s="8" t="n"/>
    </row>
    <row r="27">
      <c r="B27" s="7" t="n">
        <v>22</v>
      </c>
      <c r="C27" s="8" t="inlineStr">
        <is>
          <t>Cyrene at Estrella</t>
        </is>
      </c>
      <c r="D27" s="9" t="n">
        <v>64</v>
      </c>
      <c r="E27" s="7" t="inlineStr">
        <is>
          <t>Q1 2022</t>
        </is>
      </c>
      <c r="F27" s="10" t="n">
        <v>0.984375</v>
      </c>
      <c r="G27" s="11" t="n">
        <v>2442</v>
      </c>
      <c r="H27" s="8" t="inlineStr">
        <is>
          <t>BGO</t>
        </is>
      </c>
      <c r="I27" s="7" t="n"/>
      <c r="J27" s="7" t="inlineStr">
        <is>
          <t>Single Family</t>
        </is>
      </c>
      <c r="K27" s="8" t="inlineStr">
        <is>
          <t>Year built: 2022/2023; Delivery quarter estimated; Rent: CoStar ask $2,442 vs RealPage eff $2,261</t>
        </is>
      </c>
    </row>
    <row r="29">
      <c r="B29" s="12" t="n"/>
      <c r="C29" s="13" t="inlineStr">
        <is>
          <t>LEASING UP (28 properties, 7,249 units)</t>
        </is>
      </c>
    </row>
    <row r="30">
      <c r="B30" s="14" t="n">
        <v>23</v>
      </c>
      <c r="C30" s="15" t="inlineStr">
        <is>
          <t>Flatz 623</t>
        </is>
      </c>
      <c r="D30" s="16" t="n">
        <v>360</v>
      </c>
      <c r="E30" s="14" t="inlineStr">
        <is>
          <t>Q2 2026</t>
        </is>
      </c>
      <c r="F30" s="17" t="n">
        <v>0.1333329999999999</v>
      </c>
      <c r="G30" s="18" t="n">
        <v>1411</v>
      </c>
      <c r="H30" s="15" t="inlineStr">
        <is>
          <t>Zekelman Industries</t>
        </is>
      </c>
      <c r="I30" s="14" t="n"/>
      <c r="J30" s="14" t="inlineStr">
        <is>
          <t>Low-Rise</t>
        </is>
      </c>
      <c r="K30" s="15" t="inlineStr">
        <is>
          <t>Delivery quarter estimated; Occ: CoStar 13% vs RealPage 0%; Rent: CoStar ask $1,411 vs RealPage eff $1,145; Verify rent/occ w/ HelloData</t>
        </is>
      </c>
    </row>
    <row r="31">
      <c r="B31" s="14" t="n">
        <v>24</v>
      </c>
      <c r="C31" s="15" t="inlineStr">
        <is>
          <t>Stately Avondale</t>
        </is>
      </c>
      <c r="D31" s="16" t="n">
        <v>286</v>
      </c>
      <c r="E31" s="14" t="inlineStr">
        <is>
          <t>Q2 2026</t>
        </is>
      </c>
      <c r="F31" s="17" t="n">
        <v>0.297203</v>
      </c>
      <c r="G31" s="18" t="n">
        <v>1728</v>
      </c>
      <c r="H31" s="15" t="inlineStr">
        <is>
          <t>Ascent Companies</t>
        </is>
      </c>
      <c r="I31" s="14" t="n"/>
      <c r="J31" s="14" t="inlineStr">
        <is>
          <t>Garden</t>
        </is>
      </c>
      <c r="K31" s="15" t="inlineStr">
        <is>
          <t>Year built: 2026/2027; Delivery quarter estimated; Occ: CoStar 30% vs RealPage 0%; Rent: CoStar ask $1,728 vs RealPage eff $1,243; Verify rent/occ w/ HelloData</t>
        </is>
      </c>
    </row>
    <row r="32">
      <c r="B32" s="14" t="n">
        <v>25</v>
      </c>
      <c r="C32" s="15" t="inlineStr">
        <is>
          <t>Avilla Western Garden</t>
        </is>
      </c>
      <c r="D32" s="16" t="n">
        <v>195</v>
      </c>
      <c r="E32" s="14" t="inlineStr">
        <is>
          <t>Q2 2026</t>
        </is>
      </c>
      <c r="F32" s="17" t="n">
        <v>0.4461540000000001</v>
      </c>
      <c r="G32" s="18" t="n">
        <v>1829</v>
      </c>
      <c r="H32" s="15" t="inlineStr">
        <is>
          <t>NexMetro Communities</t>
        </is>
      </c>
      <c r="I32" s="14" t="n"/>
      <c r="J32" s="14" t="inlineStr">
        <is>
          <t>Garden</t>
        </is>
      </c>
      <c r="K32" s="15" t="inlineStr">
        <is>
          <t>Delivery quarter estimated; Occ: CoStar 45% vs RealPage 0%; Rent: CoStar ask $1,829 vs RealPage eff $1,681; Verify rent/occ w/ HelloData</t>
        </is>
      </c>
    </row>
    <row r="33">
      <c r="B33" s="14" t="n">
        <v>26</v>
      </c>
      <c r="C33" s="15" t="inlineStr">
        <is>
          <t>Rev3 at Avondale Station</t>
        </is>
      </c>
      <c r="D33" s="16" t="n">
        <v>117</v>
      </c>
      <c r="E33" s="14" t="inlineStr">
        <is>
          <t>Q2 2026</t>
        </is>
      </c>
      <c r="F33" s="17" t="n">
        <v>0.273504</v>
      </c>
      <c r="G33" s="18" t="n">
        <v>2537</v>
      </c>
      <c r="H33" s="15" t="inlineStr">
        <is>
          <t>Trilogy Investment Company</t>
        </is>
      </c>
      <c r="I33" s="14" t="n"/>
      <c r="J33" s="14" t="inlineStr">
        <is>
          <t>Single Family</t>
        </is>
      </c>
      <c r="K33" s="15" t="inlineStr">
        <is>
          <t>Units: CoStar 117 vs RealPage 107; Delivery quarter estimated; Occ: CoStar 27% vs RealPage 0%; Rent: CoStar ask $2,537 vs RealPage eff $2,273; Verify rent/occ w/ HelloData</t>
        </is>
      </c>
    </row>
    <row r="34">
      <c r="B34" s="14" t="n">
        <v>27</v>
      </c>
      <c r="C34" s="15" t="inlineStr">
        <is>
          <t>Liberty at Estrella Falls</t>
        </is>
      </c>
      <c r="D34" s="16" t="n">
        <v>106</v>
      </c>
      <c r="E34" s="14" t="inlineStr">
        <is>
          <t>Q2 2026</t>
        </is>
      </c>
      <c r="F34" s="17" t="n">
        <v>0.05660399999999999</v>
      </c>
      <c r="G34" s="18" t="n">
        <v>2966</v>
      </c>
      <c r="H34" s="15" t="inlineStr">
        <is>
          <t>Ronald D Newman</t>
        </is>
      </c>
      <c r="I34" s="14" t="n"/>
      <c r="J34" s="14" t="inlineStr">
        <is>
          <t>Garden</t>
        </is>
      </c>
      <c r="K34" s="15" t="inlineStr">
        <is>
          <t>Delivery quarter estimated; Occ: CoStar 6% vs RealPage 21%; Rent: CoStar ask $2,966 vs RealPage eff $1,938; Verify rent/occ w/ HelloData</t>
        </is>
      </c>
    </row>
    <row r="35">
      <c r="B35" s="14" t="n">
        <v>28</v>
      </c>
      <c r="C35" s="15" t="inlineStr">
        <is>
          <t>Broadstone Ascend</t>
        </is>
      </c>
      <c r="D35" s="16" t="n">
        <v>432</v>
      </c>
      <c r="E35" s="14" t="inlineStr">
        <is>
          <t>Q4 2025</t>
        </is>
      </c>
      <c r="F35" s="17" t="n">
        <v>0.875</v>
      </c>
      <c r="G35" s="18" t="n">
        <v>1506</v>
      </c>
      <c r="H35" s="15" t="inlineStr">
        <is>
          <t>Alliance Residential Company</t>
        </is>
      </c>
      <c r="I35" s="14" t="n"/>
      <c r="J35" s="14" t="inlineStr">
        <is>
          <t>Garden</t>
        </is>
      </c>
      <c r="K35" s="15" t="inlineStr">
        <is>
          <t>Year built: 2025/2026; Delivery quarter estimated; Occ: CoStar 88% vs RealPage 51%; Rent: CoStar ask $1,506 vs RealPage eff $1,107; Verify rent/occ w/ HelloData</t>
        </is>
      </c>
    </row>
    <row r="36">
      <c r="B36" s="14" t="n">
        <v>29</v>
      </c>
      <c r="C36" s="15" t="inlineStr">
        <is>
          <t>Villas Litchfield Park</t>
        </is>
      </c>
      <c r="D36" s="16" t="n">
        <v>153</v>
      </c>
      <c r="E36" s="14" t="inlineStr">
        <is>
          <t>Q3 2025</t>
        </is>
      </c>
      <c r="F36" s="17" t="n">
        <v>0.810458</v>
      </c>
      <c r="G36" s="18" t="n">
        <v>1913</v>
      </c>
      <c r="H36" s="15" t="inlineStr">
        <is>
          <t>Family Development</t>
        </is>
      </c>
      <c r="I36" s="14" t="n"/>
      <c r="J36" s="14" t="inlineStr">
        <is>
          <t>Single Family</t>
        </is>
      </c>
      <c r="K36" s="15" t="inlineStr">
        <is>
          <t>Delivery quarter estimated; Occ: CoStar 81% vs RealPage 86%; Rent: CoStar ask $1,913 vs RealPage eff $1,538; Verify rent/occ w/ HelloData</t>
        </is>
      </c>
    </row>
    <row r="37">
      <c r="B37" s="14" t="n">
        <v>30</v>
      </c>
      <c r="C37" s="15" t="inlineStr">
        <is>
          <t>Villas on Van Buren</t>
        </is>
      </c>
      <c r="D37" s="16" t="n">
        <v>143</v>
      </c>
      <c r="E37" s="14" t="inlineStr">
        <is>
          <t>Q3 2025</t>
        </is>
      </c>
      <c r="F37" s="17" t="n">
        <v>0.496503</v>
      </c>
      <c r="G37" s="18" t="n">
        <v>2085</v>
      </c>
      <c r="H37" s="15" t="inlineStr">
        <is>
          <t>Sunstone Properties Trust</t>
        </is>
      </c>
      <c r="I37" s="14" t="n"/>
      <c r="J37" s="14" t="inlineStr">
        <is>
          <t>Townhome</t>
        </is>
      </c>
      <c r="K37" s="15" t="inlineStr">
        <is>
          <t>Year built: 2025/2026; Delivery quarter estimated; Occ: CoStar 50% vs RealPage 0%; Verify rent/occ w/ HelloData</t>
        </is>
      </c>
    </row>
    <row r="38">
      <c r="B38" s="14" t="n">
        <v>31</v>
      </c>
      <c r="C38" s="15" t="inlineStr">
        <is>
          <t>Pradera Estates</t>
        </is>
      </c>
      <c r="D38" s="16" t="n">
        <v>86</v>
      </c>
      <c r="E38" s="14" t="inlineStr">
        <is>
          <t>Q3 2025</t>
        </is>
      </c>
      <c r="F38" s="17" t="n">
        <v>0.895349</v>
      </c>
      <c r="G38" s="18" t="n">
        <v>2474</v>
      </c>
      <c r="H38" s="15" t="inlineStr">
        <is>
          <t>AMH</t>
        </is>
      </c>
      <c r="I38" s="14" t="n"/>
      <c r="J38" s="14" t="inlineStr">
        <is>
          <t>Garden</t>
        </is>
      </c>
      <c r="K38" s="15" t="inlineStr">
        <is>
          <t>Delivery quarter estimated; Verify rent/occ w/ HelloData</t>
        </is>
      </c>
    </row>
    <row r="39">
      <c r="B39" s="14" t="n">
        <v>32</v>
      </c>
      <c r="C39" s="15" t="inlineStr">
        <is>
          <t>Rev3 Encanto West</t>
        </is>
      </c>
      <c r="D39" s="16" t="n">
        <v>84</v>
      </c>
      <c r="E39" s="14" t="inlineStr">
        <is>
          <t>Q3 2025</t>
        </is>
      </c>
      <c r="F39" s="17" t="n">
        <v>0.52381</v>
      </c>
      <c r="G39" s="18" t="n">
        <v>2319</v>
      </c>
      <c r="H39" s="15" t="inlineStr">
        <is>
          <t>Trilogy Investment Company</t>
        </is>
      </c>
      <c r="I39" s="14" t="n"/>
      <c r="J39" s="14" t="inlineStr">
        <is>
          <t>Townhome</t>
        </is>
      </c>
      <c r="K39" s="15" t="inlineStr">
        <is>
          <t>Units: CoStar 84 vs RealPage 78; Year built: 2025/2026; Occ: CoStar 52% vs RealPage 71%; Rent: CoStar ask $2,319 vs RealPage eff $1,833; Verify rent/occ w/ HelloData</t>
        </is>
      </c>
    </row>
    <row r="40">
      <c r="B40" s="14" t="n">
        <v>33</v>
      </c>
      <c r="C40" s="15" t="inlineStr">
        <is>
          <t>Avalon Townhomes</t>
        </is>
      </c>
      <c r="D40" s="16" t="n">
        <v>70</v>
      </c>
      <c r="E40" s="14" t="inlineStr">
        <is>
          <t>Q3 2025</t>
        </is>
      </c>
      <c r="F40" s="17" t="n">
        <v>0.857143</v>
      </c>
      <c r="G40" s="18" t="n">
        <v>2325</v>
      </c>
      <c r="H40" s="15" t="inlineStr">
        <is>
          <t>LVP Partners Group</t>
        </is>
      </c>
      <c r="I40" s="14" t="n"/>
      <c r="J40" s="14" t="inlineStr">
        <is>
          <t>Townhome</t>
        </is>
      </c>
      <c r="K40" s="15" t="inlineStr">
        <is>
          <t>Delivery quarter estimated; Rent: CoStar ask $2,325 vs RealPage eff $2,169; Verify rent/occ w/ HelloData</t>
        </is>
      </c>
    </row>
    <row r="41">
      <c r="B41" s="14" t="n">
        <v>34</v>
      </c>
      <c r="C41" s="15" t="inlineStr">
        <is>
          <t>Alta Goodyear</t>
        </is>
      </c>
      <c r="D41" s="16" t="n">
        <v>342</v>
      </c>
      <c r="E41" s="14" t="inlineStr">
        <is>
          <t>Q2 2025</t>
        </is>
      </c>
      <c r="F41" s="17" t="n">
        <v>0.789474</v>
      </c>
      <c r="G41" s="18" t="n">
        <v>1638</v>
      </c>
      <c r="H41" s="15" t="inlineStr">
        <is>
          <t>Wood Partners</t>
        </is>
      </c>
      <c r="I41" s="14" t="n"/>
      <c r="J41" s="14" t="inlineStr">
        <is>
          <t>Mid-Rise</t>
        </is>
      </c>
      <c r="K41" s="15" t="inlineStr">
        <is>
          <t>Delivery quarter estimated; Rent: CoStar ask $1,638 vs RealPage eff $1,433; Verify rent/occ w/ HelloData</t>
        </is>
      </c>
    </row>
    <row r="42">
      <c r="B42" s="14" t="n">
        <v>35</v>
      </c>
      <c r="C42" s="15" t="inlineStr">
        <is>
          <t>Agave Ranch</t>
        </is>
      </c>
      <c r="D42" s="16" t="n">
        <v>324</v>
      </c>
      <c r="E42" s="14" t="inlineStr">
        <is>
          <t>Q2 2025</t>
        </is>
      </c>
      <c r="F42" s="17" t="n">
        <v>0.802469</v>
      </c>
      <c r="G42" s="18" t="n">
        <v>1747</v>
      </c>
      <c r="H42" s="15" t="inlineStr">
        <is>
          <t>The Garrett Companies</t>
        </is>
      </c>
      <c r="I42" s="14" t="n"/>
      <c r="J42" s="14" t="inlineStr">
        <is>
          <t>Mid-Rise</t>
        </is>
      </c>
      <c r="K42" s="15" t="inlineStr">
        <is>
          <t>Delivery quarter estimated; Occ: CoStar 80% vs RealPage 0%; Rent: CoStar ask $1,747 vs RealPage eff $1,582; Verify rent/occ w/ HelloData</t>
        </is>
      </c>
    </row>
    <row r="43">
      <c r="B43" s="14" t="n">
        <v>36</v>
      </c>
      <c r="C43" s="15" t="inlineStr">
        <is>
          <t>Avondale Commons</t>
        </is>
      </c>
      <c r="D43" s="16" t="n">
        <v>324</v>
      </c>
      <c r="E43" s="14" t="inlineStr">
        <is>
          <t>Q2 2025</t>
        </is>
      </c>
      <c r="F43" s="17" t="n">
        <v>0.37037</v>
      </c>
      <c r="G43" s="18" t="n">
        <v>1632</v>
      </c>
      <c r="H43" s="15" t="inlineStr">
        <is>
          <t>Overland Group</t>
        </is>
      </c>
      <c r="I43" s="14" t="n"/>
      <c r="J43" s="14" t="inlineStr">
        <is>
          <t>Mid-Rise</t>
        </is>
      </c>
      <c r="K43" s="15" t="inlineStr">
        <is>
          <t>Year built: 2025/2026; Delivery quarter estimated; Occ: CoStar 37% vs RealPage 85%; Rent: CoStar ask $1,632 vs RealPage eff $1,321; Verify rent/occ w/ HelloData</t>
        </is>
      </c>
    </row>
    <row r="44">
      <c r="B44" s="14" t="n">
        <v>37</v>
      </c>
      <c r="C44" s="15" t="inlineStr">
        <is>
          <t>Broadstone Westgate</t>
        </is>
      </c>
      <c r="D44" s="16" t="n">
        <v>308</v>
      </c>
      <c r="E44" s="14" t="inlineStr">
        <is>
          <t>Q2 2025</t>
        </is>
      </c>
      <c r="F44" s="17" t="n">
        <v>0.89</v>
      </c>
      <c r="G44" s="18" t="n">
        <v>1438</v>
      </c>
      <c r="H44" s="15" t="inlineStr">
        <is>
          <t>Alliance Residential Company/American Realty Advisors</t>
        </is>
      </c>
      <c r="I44" s="14" t="n"/>
      <c r="J44" s="14" t="inlineStr">
        <is>
          <t>Mid-Rise</t>
        </is>
      </c>
      <c r="K44" s="15" t="inlineStr">
        <is>
          <t>Delivery quarter estimated; Verify rent/occ w/ HelloData</t>
        </is>
      </c>
    </row>
    <row r="45">
      <c r="B45" s="14" t="n">
        <v>38</v>
      </c>
      <c r="C45" s="15" t="inlineStr">
        <is>
          <t>The Douglas</t>
        </is>
      </c>
      <c r="D45" s="16" t="n">
        <v>307</v>
      </c>
      <c r="E45" s="14" t="inlineStr">
        <is>
          <t>Q2 2025</t>
        </is>
      </c>
      <c r="F45" s="17" t="n">
        <v>0.583062</v>
      </c>
      <c r="G45" s="18" t="n">
        <v>2076</v>
      </c>
      <c r="H45" s="15" t="inlineStr">
        <is>
          <t>UrbanStreet Group</t>
        </is>
      </c>
      <c r="I45" s="14" t="n"/>
      <c r="J45" s="14" t="inlineStr">
        <is>
          <t>Townhome</t>
        </is>
      </c>
      <c r="K45" s="15" t="inlineStr">
        <is>
          <t>Delivery quarter estimated; Rent: CoStar ask $2,076 vs RealPage eff $1,561; Verify rent/occ w/ HelloData</t>
        </is>
      </c>
    </row>
    <row r="46">
      <c r="B46" s="14" t="n">
        <v>39</v>
      </c>
      <c r="C46" s="15" t="inlineStr">
        <is>
          <t>Streamliner Aldea</t>
        </is>
      </c>
      <c r="D46" s="16" t="n">
        <v>282</v>
      </c>
      <c r="E46" s="14" t="inlineStr">
        <is>
          <t>Q2 2025</t>
        </is>
      </c>
      <c r="F46" s="17" t="n">
        <v>0.844</v>
      </c>
      <c r="G46" s="18" t="n">
        <v>1025</v>
      </c>
      <c r="H46" s="15" t="inlineStr">
        <is>
          <t>Greenlight Communities LLC</t>
        </is>
      </c>
      <c r="I46" s="14" t="n"/>
      <c r="J46" s="14" t="inlineStr">
        <is>
          <t>Garden</t>
        </is>
      </c>
      <c r="K46" s="15" t="inlineStr">
        <is>
          <t>Delivery quarter estimated; Verify rent/occ w/ HelloData</t>
        </is>
      </c>
    </row>
    <row r="47">
      <c r="B47" s="14" t="n">
        <v>40</v>
      </c>
      <c r="C47" s="15" t="inlineStr">
        <is>
          <t>Cabana Aldea</t>
        </is>
      </c>
      <c r="D47" s="16" t="n">
        <v>257</v>
      </c>
      <c r="E47" s="14" t="inlineStr">
        <is>
          <t>Q2 2025</t>
        </is>
      </c>
      <c r="F47" s="17" t="n">
        <v>0.7393000000000001</v>
      </c>
      <c r="G47" s="18" t="n">
        <v>1330</v>
      </c>
      <c r="H47" s="15" t="inlineStr">
        <is>
          <t>Greenlight Communities</t>
        </is>
      </c>
      <c r="I47" s="14" t="n"/>
      <c r="J47" s="14" t="inlineStr">
        <is>
          <t>Garden</t>
        </is>
      </c>
      <c r="K47" s="15" t="inlineStr">
        <is>
          <t>Delivery quarter estimated; Occ: CoStar 74% vs RealPage 67%; Rent: CoStar ask $1,330 vs RealPage eff $1,253; Verify rent/occ w/ HelloData</t>
        </is>
      </c>
    </row>
    <row r="48">
      <c r="B48" s="14" t="n">
        <v>41</v>
      </c>
      <c r="C48" s="15" t="inlineStr">
        <is>
          <t>Somerset Upscale Apartments</t>
        </is>
      </c>
      <c r="D48" s="16" t="n">
        <v>234</v>
      </c>
      <c r="E48" s="14" t="inlineStr">
        <is>
          <t>Q2 2025</t>
        </is>
      </c>
      <c r="F48" s="17" t="n">
        <v>0.256</v>
      </c>
      <c r="G48" s="18" t="n">
        <v>1671</v>
      </c>
      <c r="H48" s="15" t="inlineStr">
        <is>
          <t>Ridgehouse Companies</t>
        </is>
      </c>
      <c r="I48" s="14" t="n"/>
      <c r="J48" s="14" t="inlineStr">
        <is>
          <t>Mid-Rise</t>
        </is>
      </c>
      <c r="K48" s="15" t="inlineStr">
        <is>
          <t>Delivery quarter estimated; Verify rent/occ w/ HelloData</t>
        </is>
      </c>
    </row>
    <row r="49">
      <c r="B49" s="14" t="n">
        <v>42</v>
      </c>
      <c r="C49" s="15" t="inlineStr">
        <is>
          <t>Village at Skyline Ranch</t>
        </is>
      </c>
      <c r="D49" s="16" t="n">
        <v>167</v>
      </c>
      <c r="E49" s="14" t="inlineStr">
        <is>
          <t>Q2 2025</t>
        </is>
      </c>
      <c r="F49" s="17" t="n">
        <v>0.3952100000000001</v>
      </c>
      <c r="G49" s="18" t="n">
        <v>1773</v>
      </c>
      <c r="H49" s="15" t="inlineStr">
        <is>
          <t>Empire Group of Companies</t>
        </is>
      </c>
      <c r="I49" s="14" t="n"/>
      <c r="J49" s="14" t="inlineStr">
        <is>
          <t>Single Family</t>
        </is>
      </c>
      <c r="K49" s="15" t="inlineStr">
        <is>
          <t>Year built: 2025/2026; Delivery quarter estimated; Occ: CoStar 40% vs RealPage 0%; Rent: CoStar ask $1,773 vs RealPage eff $1,632; Verify rent/occ w/ HelloData</t>
        </is>
      </c>
    </row>
    <row r="50">
      <c r="B50" s="14" t="n">
        <v>43</v>
      </c>
      <c r="C50" s="15" t="inlineStr">
        <is>
          <t>Meritum Sheely Farms</t>
        </is>
      </c>
      <c r="D50" s="16" t="n">
        <v>680</v>
      </c>
      <c r="E50" s="14" t="inlineStr">
        <is>
          <t>Q4 2024</t>
        </is>
      </c>
      <c r="F50" s="17" t="n">
        <v>0.797059</v>
      </c>
      <c r="G50" s="18" t="n">
        <v>1680</v>
      </c>
      <c r="H50" s="15" t="inlineStr">
        <is>
          <t>IDM Companies</t>
        </is>
      </c>
      <c r="I50" s="14" t="n"/>
      <c r="J50" s="14" t="inlineStr">
        <is>
          <t>Mid-Rise</t>
        </is>
      </c>
      <c r="K50" s="15" t="inlineStr">
        <is>
          <t>Year built: 2024/2025; Delivery quarter estimated; Rent: CoStar ask $1,680 vs RealPage eff $1,356; Verify rent/occ w/ HelloData</t>
        </is>
      </c>
    </row>
    <row r="51">
      <c r="B51" s="14" t="n">
        <v>44</v>
      </c>
      <c r="C51" s="15" t="inlineStr">
        <is>
          <t>Alta Avondale</t>
        </is>
      </c>
      <c r="D51" s="16" t="n">
        <v>360</v>
      </c>
      <c r="E51" s="14" t="inlineStr">
        <is>
          <t>Q2 2024</t>
        </is>
      </c>
      <c r="F51" s="17" t="n">
        <v>0.7833330000000001</v>
      </c>
      <c r="G51" s="18" t="n">
        <v>1610</v>
      </c>
      <c r="H51" s="15" t="inlineStr">
        <is>
          <t>Wood Partners</t>
        </is>
      </c>
      <c r="I51" s="14" t="n"/>
      <c r="J51" s="14" t="inlineStr">
        <is>
          <t>Mid-Rise</t>
        </is>
      </c>
      <c r="K51" s="15" t="inlineStr">
        <is>
          <t>Year built: 2024/2025; Delivery quarter estimated; Occ: CoStar 78% vs RealPage 84%; Rent: CoStar ask $1,610 vs RealPage eff $1,339; Verify rent/occ w/ HelloData</t>
        </is>
      </c>
    </row>
    <row r="52">
      <c r="B52" s="14" t="n">
        <v>45</v>
      </c>
      <c r="C52" s="15" t="inlineStr">
        <is>
          <t>Livano Avondale</t>
        </is>
      </c>
      <c r="D52" s="16" t="n">
        <v>316</v>
      </c>
      <c r="E52" s="14" t="inlineStr">
        <is>
          <t>Q2 2024</t>
        </is>
      </c>
      <c r="F52" s="17" t="n">
        <v>0.829114</v>
      </c>
      <c r="G52" s="18" t="n">
        <v>1663</v>
      </c>
      <c r="H52" s="15" t="inlineStr">
        <is>
          <t>LIV Development</t>
        </is>
      </c>
      <c r="I52" s="14" t="n"/>
      <c r="J52" s="14" t="inlineStr">
        <is>
          <t>Mid-Rise</t>
        </is>
      </c>
      <c r="K52" s="15" t="inlineStr">
        <is>
          <t>Year built: 2024/2025; Delivery quarter estimated; Rent: CoStar ask $1,663 vs RealPage eff $1,263; Verify rent/occ w/ HelloData</t>
        </is>
      </c>
    </row>
    <row r="53">
      <c r="B53" s="14" t="n">
        <v>46</v>
      </c>
      <c r="C53" s="15" t="inlineStr">
        <is>
          <t>Cardinal 95</t>
        </is>
      </c>
      <c r="D53" s="16" t="n">
        <v>198</v>
      </c>
      <c r="E53" s="14" t="inlineStr">
        <is>
          <t>Q2 2024</t>
        </is>
      </c>
      <c r="F53" s="17" t="n">
        <v>0.878788</v>
      </c>
      <c r="G53" s="18" t="n">
        <v>1691</v>
      </c>
      <c r="H53" s="15" t="inlineStr">
        <is>
          <t>Quarry Capital</t>
        </is>
      </c>
      <c r="I53" s="14" t="n"/>
      <c r="J53" s="14" t="inlineStr">
        <is>
          <t>Garden</t>
        </is>
      </c>
      <c r="K53" s="15" t="inlineStr">
        <is>
          <t>Delivery quarter estimated; Verify rent/occ w/ HelloData</t>
        </is>
      </c>
    </row>
    <row r="54">
      <c r="B54" s="14" t="n">
        <v>47</v>
      </c>
      <c r="C54" s="15" t="inlineStr">
        <is>
          <t>Moderne at Roosevelt</t>
        </is>
      </c>
      <c r="D54" s="16" t="n">
        <v>185</v>
      </c>
      <c r="E54" s="14" t="inlineStr">
        <is>
          <t>Q2 2024</t>
        </is>
      </c>
      <c r="F54" s="17" t="n">
        <v>0.891892</v>
      </c>
      <c r="G54" s="18" t="n">
        <v>1900</v>
      </c>
      <c r="H54" s="15" t="inlineStr">
        <is>
          <t>MODERNE Communities</t>
        </is>
      </c>
      <c r="I54" s="14" t="n"/>
      <c r="J54" s="14" t="inlineStr">
        <is>
          <t>Low-Rise</t>
        </is>
      </c>
      <c r="K54" s="15" t="inlineStr">
        <is>
          <t>Year built: 2024/2025; Occ: CoStar 89% vs RealPage 94%; Rent: CoStar ask $1,900 vs RealPage eff $1,769; Verify rent/occ w/ HelloData</t>
        </is>
      </c>
    </row>
    <row r="55">
      <c r="B55" s="14" t="n">
        <v>48</v>
      </c>
      <c r="C55" s="15" t="inlineStr">
        <is>
          <t>Canopy at the Trails</t>
        </is>
      </c>
      <c r="D55" s="16" t="n">
        <v>124</v>
      </c>
      <c r="E55" s="14" t="inlineStr">
        <is>
          <t>Q2 2024</t>
        </is>
      </c>
      <c r="F55" s="17" t="n">
        <v>0.879032</v>
      </c>
      <c r="G55" s="18" t="n">
        <v>2183</v>
      </c>
      <c r="H55" s="15" t="inlineStr">
        <is>
          <t>Mark-Taylor Companies</t>
        </is>
      </c>
      <c r="I55" s="14" t="n"/>
      <c r="J55" s="14" t="inlineStr">
        <is>
          <t>Townhome</t>
        </is>
      </c>
      <c r="K55" s="15" t="inlineStr">
        <is>
          <t>Delivery quarter estimated; Occ: CoStar 88% vs RealPage 92%; Verify rent/occ w/ HelloData</t>
        </is>
      </c>
    </row>
    <row r="56">
      <c r="B56" s="14" t="n">
        <v>49</v>
      </c>
      <c r="C56" s="15" t="inlineStr">
        <is>
          <t>Radia Avondale Station</t>
        </is>
      </c>
      <c r="D56" s="16" t="n">
        <v>407</v>
      </c>
      <c r="E56" s="14" t="inlineStr">
        <is>
          <t>Q1 2024</t>
        </is>
      </c>
      <c r="F56" s="17" t="n">
        <v>0.616708</v>
      </c>
      <c r="G56" s="18" t="n">
        <v>1743</v>
      </c>
      <c r="H56" s="15" t="inlineStr">
        <is>
          <t>Goodman Real Estate Inc.</t>
        </is>
      </c>
      <c r="I56" s="14" t="n"/>
      <c r="J56" s="14" t="inlineStr">
        <is>
          <t>Garden</t>
        </is>
      </c>
      <c r="K56" s="15" t="inlineStr">
        <is>
          <t>Units: CoStar 407 vs RealPage 212; Year built: 2024/2025; Delivery quarter estimated; Occ: CoStar 62% vs RealPage 51%; Verify rent/occ w/ HelloData</t>
        </is>
      </c>
    </row>
    <row r="57">
      <c r="B57" s="14" t="n">
        <v>50</v>
      </c>
      <c r="C57" s="15" t="inlineStr">
        <is>
          <t>Alta 99th</t>
        </is>
      </c>
      <c r="D57" s="16" t="n">
        <v>402</v>
      </c>
      <c r="E57" s="14" t="inlineStr">
        <is>
          <t>Q1 2024</t>
        </is>
      </c>
      <c r="F57" s="17" t="n">
        <v>0.855721</v>
      </c>
      <c r="G57" s="18" t="n">
        <v>1542</v>
      </c>
      <c r="H57" s="15" t="inlineStr">
        <is>
          <t>Wood Partners</t>
        </is>
      </c>
      <c r="I57" s="14" t="n"/>
      <c r="J57" s="14" t="inlineStr">
        <is>
          <t>Garden</t>
        </is>
      </c>
      <c r="K57" s="15" t="inlineStr">
        <is>
          <t>Delivery quarter estimated; Occ: CoStar 86% vs RealPage 90%; Rent: CoStar ask $1,542 vs RealPage eff $1,154; Verify rent/occ w/ HelloData</t>
        </is>
      </c>
    </row>
    <row r="59">
      <c r="B59" s="19" t="n"/>
      <c r="C59" s="20" t="inlineStr">
        <is>
          <t>UNDER CONSTRUCTION (10 properties, 1,947 units)</t>
        </is>
      </c>
    </row>
    <row r="60">
      <c r="B60" s="21" t="n">
        <v>51</v>
      </c>
      <c r="C60" s="22" t="inlineStr">
        <is>
          <t>FUZE Ballpark</t>
        </is>
      </c>
      <c r="D60" s="23" t="n">
        <v>321</v>
      </c>
      <c r="E60" s="21" t="inlineStr">
        <is>
          <t>TBD</t>
        </is>
      </c>
      <c r="F60" s="24" t="n"/>
      <c r="G60" s="25" t="inlineStr">
        <is>
          <t>—</t>
        </is>
      </c>
      <c r="H60" s="22" t="inlineStr">
        <is>
          <t>Zekelman Industries</t>
        </is>
      </c>
      <c r="I60" s="21" t="n"/>
      <c r="J60" s="21" t="inlineStr">
        <is>
          <t>Mid-Rise</t>
        </is>
      </c>
      <c r="K60" s="22" t="n"/>
    </row>
    <row r="61">
      <c r="B61" s="21" t="n">
        <v>52</v>
      </c>
      <c r="C61" s="22" t="inlineStr">
        <is>
          <t>Zanjero III</t>
        </is>
      </c>
      <c r="D61" s="23" t="n">
        <v>301</v>
      </c>
      <c r="E61" s="21" t="inlineStr">
        <is>
          <t>TBD</t>
        </is>
      </c>
      <c r="F61" s="24" t="n"/>
      <c r="G61" s="25" t="inlineStr">
        <is>
          <t>—</t>
        </is>
      </c>
      <c r="H61" s="22" t="inlineStr">
        <is>
          <t>Fore Property Company/Privately Owned</t>
        </is>
      </c>
      <c r="I61" s="21" t="n"/>
      <c r="J61" s="21" t="inlineStr">
        <is>
          <t>Mid-Rise</t>
        </is>
      </c>
      <c r="K61" s="22" t="n"/>
    </row>
    <row r="62">
      <c r="B62" s="21" t="n">
        <v>53</v>
      </c>
      <c r="C62" s="22" t="inlineStr">
        <is>
          <t>Pointe Grand Estrella at Phoenix</t>
        </is>
      </c>
      <c r="D62" s="23" t="n">
        <v>288</v>
      </c>
      <c r="E62" s="21" t="inlineStr">
        <is>
          <t>TBD</t>
        </is>
      </c>
      <c r="F62" s="24" t="n"/>
      <c r="G62" s="25" t="inlineStr">
        <is>
          <t>—</t>
        </is>
      </c>
      <c r="H62" s="22" t="inlineStr">
        <is>
          <t>Hillpointe, LLC</t>
        </is>
      </c>
      <c r="I62" s="21" t="n"/>
      <c r="J62" s="21" t="inlineStr">
        <is>
          <t>Garden</t>
        </is>
      </c>
      <c r="K62" s="22" t="inlineStr">
        <is>
          <t>Year built: 2026/2027</t>
        </is>
      </c>
    </row>
    <row r="63">
      <c r="B63" s="21" t="n">
        <v>54</v>
      </c>
      <c r="C63" s="22" t="inlineStr">
        <is>
          <t>Yardly Algodon</t>
        </is>
      </c>
      <c r="D63" s="23" t="n">
        <v>262</v>
      </c>
      <c r="E63" s="21" t="inlineStr">
        <is>
          <t>TBD</t>
        </is>
      </c>
      <c r="F63" s="24" t="n"/>
      <c r="G63" s="25" t="inlineStr">
        <is>
          <t>—</t>
        </is>
      </c>
      <c r="H63" s="22" t="inlineStr">
        <is>
          <t>Taylor Morrison, Inc.</t>
        </is>
      </c>
      <c r="I63" s="21" t="n"/>
      <c r="J63" s="21" t="inlineStr">
        <is>
          <t>Single Family</t>
        </is>
      </c>
      <c r="K63" s="22" t="inlineStr">
        <is>
          <t>Units: CoStar 262 vs RealPage 291; Year built: 2026/2027</t>
        </is>
      </c>
    </row>
    <row r="64">
      <c r="B64" s="21" t="n">
        <v>55</v>
      </c>
      <c r="C64" s="22" t="inlineStr">
        <is>
          <t>Cerro Vista</t>
        </is>
      </c>
      <c r="D64" s="23" t="n">
        <v>255</v>
      </c>
      <c r="E64" s="21" t="inlineStr">
        <is>
          <t>TBD</t>
        </is>
      </c>
      <c r="F64" s="24" t="n"/>
      <c r="G64" s="25" t="inlineStr">
        <is>
          <t>—</t>
        </is>
      </c>
      <c r="H64" s="22" t="inlineStr">
        <is>
          <t>Virtua Partners</t>
        </is>
      </c>
      <c r="I64" s="21" t="n"/>
      <c r="J64" s="21" t="inlineStr">
        <is>
          <t>Low-Rise</t>
        </is>
      </c>
      <c r="K64" s="22" t="n"/>
    </row>
    <row r="65">
      <c r="B65" s="21" t="n">
        <v>56</v>
      </c>
      <c r="C65" s="22" t="inlineStr">
        <is>
          <t>Marbella Ranch East I</t>
        </is>
      </c>
      <c r="D65" s="23" t="n">
        <v>144</v>
      </c>
      <c r="E65" s="21" t="inlineStr">
        <is>
          <t>TBD</t>
        </is>
      </c>
      <c r="F65" s="24" t="n"/>
      <c r="G65" s="25" t="inlineStr">
        <is>
          <t>—</t>
        </is>
      </c>
      <c r="H65" s="22" t="inlineStr">
        <is>
          <t>Symmetry Companies</t>
        </is>
      </c>
      <c r="I65" s="21" t="n"/>
      <c r="J65" s="21" t="inlineStr">
        <is>
          <t>Garden</t>
        </is>
      </c>
      <c r="K65" s="22" t="n"/>
    </row>
    <row r="66">
      <c r="B66" s="21" t="n">
        <v>57</v>
      </c>
      <c r="C66" s="22" t="inlineStr">
        <is>
          <t>Zen @ Angelina</t>
        </is>
      </c>
      <c r="D66" s="23" t="n">
        <v>130</v>
      </c>
      <c r="E66" s="21" t="inlineStr">
        <is>
          <t>TBD</t>
        </is>
      </c>
      <c r="F66" s="24" t="n"/>
      <c r="G66" s="25" t="inlineStr">
        <is>
          <t>—</t>
        </is>
      </c>
      <c r="H66" s="22" t="inlineStr">
        <is>
          <t>F &amp; S Consulting &amp; Management, LLC</t>
        </is>
      </c>
      <c r="I66" s="21" t="n"/>
      <c r="J66" s="21" t="inlineStr">
        <is>
          <t>Townhome</t>
        </is>
      </c>
      <c r="K66" s="22" t="inlineStr">
        <is>
          <t>Year built: 2027/2028</t>
        </is>
      </c>
    </row>
    <row r="67">
      <c r="B67" s="21" t="n">
        <v>58</v>
      </c>
      <c r="C67" s="22" t="inlineStr">
        <is>
          <t>HARMON Ascend</t>
        </is>
      </c>
      <c r="D67" s="23" t="n">
        <v>125</v>
      </c>
      <c r="E67" s="21" t="inlineStr">
        <is>
          <t>TBD</t>
        </is>
      </c>
      <c r="F67" s="24" t="n"/>
      <c r="G67" s="25" t="inlineStr">
        <is>
          <t>—</t>
        </is>
      </c>
      <c r="H67" s="22" t="inlineStr">
        <is>
          <t>Crescent Communities LLC</t>
        </is>
      </c>
      <c r="I67" s="21" t="n"/>
      <c r="J67" s="21" t="inlineStr">
        <is>
          <t>Townhome</t>
        </is>
      </c>
      <c r="K67" s="22" t="n"/>
    </row>
    <row r="68">
      <c r="B68" s="21" t="n">
        <v>59</v>
      </c>
      <c r="C68" s="22" t="inlineStr">
        <is>
          <t>Villages at Northern</t>
        </is>
      </c>
      <c r="D68" s="23" t="n">
        <v>74</v>
      </c>
      <c r="E68" s="21" t="inlineStr">
        <is>
          <t>TBD</t>
        </is>
      </c>
      <c r="F68" s="24" t="n"/>
      <c r="G68" s="25" t="inlineStr">
        <is>
          <t>—</t>
        </is>
      </c>
      <c r="H68" s="22" t="inlineStr">
        <is>
          <t>—</t>
        </is>
      </c>
      <c r="I68" s="21" t="n"/>
      <c r="J68" s="21" t="inlineStr">
        <is>
          <t>Garden</t>
        </is>
      </c>
      <c r="K68" s="22" t="n"/>
    </row>
    <row r="69">
      <c r="B69" s="21" t="n">
        <v>60</v>
      </c>
      <c r="C69" s="22" t="inlineStr">
        <is>
          <t>Prosper 47</t>
        </is>
      </c>
      <c r="D69" s="23" t="n">
        <v>47</v>
      </c>
      <c r="E69" s="21" t="inlineStr">
        <is>
          <t>TBD</t>
        </is>
      </c>
      <c r="F69" s="24" t="n"/>
      <c r="G69" s="25" t="inlineStr">
        <is>
          <t>—</t>
        </is>
      </c>
      <c r="H69" s="22" t="inlineStr">
        <is>
          <t>—</t>
        </is>
      </c>
      <c r="I69" s="21" t="n"/>
      <c r="J69" s="21" t="inlineStr">
        <is>
          <t>Townhome</t>
        </is>
      </c>
      <c r="K69" s="22" t="inlineStr">
        <is>
          <t>RealPage only (sub-50 unit)</t>
        </is>
      </c>
    </row>
    <row r="71">
      <c r="B71" s="26" t="n"/>
      <c r="C71" s="27" t="inlineStr">
        <is>
          <t>PROPOSED (44 properties, 8,986 units)</t>
        </is>
      </c>
    </row>
    <row r="72">
      <c r="B72" s="28" t="n">
        <v>61</v>
      </c>
      <c r="C72" s="29" t="inlineStr">
        <is>
          <t>Sheely Center Future Phase</t>
        </is>
      </c>
      <c r="D72" s="30" t="n">
        <v>697</v>
      </c>
      <c r="E72" s="28" t="inlineStr">
        <is>
          <t>TBD</t>
        </is>
      </c>
      <c r="F72" s="31" t="n"/>
      <c r="G72" s="32" t="inlineStr">
        <is>
          <t>—</t>
        </is>
      </c>
      <c r="H72" s="29" t="inlineStr">
        <is>
          <t>—</t>
        </is>
      </c>
      <c r="I72" s="28" t="n"/>
      <c r="J72" s="28" t="inlineStr">
        <is>
          <t>Garden</t>
        </is>
      </c>
      <c r="K72" s="29" t="inlineStr">
        <is>
          <t>RealPage pipeline (not yet in CoStar)</t>
        </is>
      </c>
    </row>
    <row r="73">
      <c r="B73" s="28" t="n">
        <v>62</v>
      </c>
      <c r="C73" s="29" t="inlineStr">
        <is>
          <t>Urban 95 Parcel C</t>
        </is>
      </c>
      <c r="D73" s="30" t="n">
        <v>500</v>
      </c>
      <c r="E73" s="28" t="inlineStr">
        <is>
          <t>TBD</t>
        </is>
      </c>
      <c r="F73" s="31" t="n"/>
      <c r="G73" s="32" t="inlineStr">
        <is>
          <t>—</t>
        </is>
      </c>
      <c r="H73" s="29" t="inlineStr">
        <is>
          <t>Fisher Industries</t>
        </is>
      </c>
      <c r="I73" s="28" t="n"/>
      <c r="J73" s="28" t="inlineStr">
        <is>
          <t>Garden</t>
        </is>
      </c>
      <c r="K73" s="29" t="inlineStr">
        <is>
          <t>RealPage pipeline (not yet in CoStar)</t>
        </is>
      </c>
    </row>
    <row r="74">
      <c r="B74" s="28" t="n">
        <v>63</v>
      </c>
      <c r="C74" s="29" t="inlineStr">
        <is>
          <t>Urban 95 Parcel B</t>
        </is>
      </c>
      <c r="D74" s="30" t="n">
        <v>478</v>
      </c>
      <c r="E74" s="28" t="inlineStr">
        <is>
          <t>TBD</t>
        </is>
      </c>
      <c r="F74" s="31" t="n"/>
      <c r="G74" s="32" t="inlineStr">
        <is>
          <t>—</t>
        </is>
      </c>
      <c r="H74" s="29" t="inlineStr">
        <is>
          <t>Fisher Industries</t>
        </is>
      </c>
      <c r="I74" s="28" t="n"/>
      <c r="J74" s="28" t="inlineStr">
        <is>
          <t>High-Rise</t>
        </is>
      </c>
      <c r="K74" s="29" t="inlineStr">
        <is>
          <t>RealPage pipeline (not yet in CoStar)</t>
        </is>
      </c>
    </row>
    <row r="75">
      <c r="B75" s="28" t="n">
        <v>64</v>
      </c>
      <c r="C75" s="29" t="inlineStr">
        <is>
          <t>Celebration Plaza Parcel B</t>
        </is>
      </c>
      <c r="D75" s="30" t="n">
        <v>410</v>
      </c>
      <c r="E75" s="28" t="inlineStr">
        <is>
          <t>TBD</t>
        </is>
      </c>
      <c r="F75" s="31" t="n"/>
      <c r="G75" s="32" t="inlineStr">
        <is>
          <t>—</t>
        </is>
      </c>
      <c r="H75" s="29" t="inlineStr">
        <is>
          <t>Privately Owned</t>
        </is>
      </c>
      <c r="I75" s="28" t="n"/>
      <c r="J75" s="28" t="inlineStr">
        <is>
          <t>Mid-Rise</t>
        </is>
      </c>
      <c r="K75" s="29" t="inlineStr">
        <is>
          <t>RealPage pipeline (not yet in CoStar)</t>
        </is>
      </c>
    </row>
    <row r="76">
      <c r="B76" s="28" t="n">
        <v>65</v>
      </c>
      <c r="C76" s="29" t="inlineStr">
        <is>
          <t>The District at Westgate</t>
        </is>
      </c>
      <c r="D76" s="30" t="n">
        <v>384</v>
      </c>
      <c r="E76" s="28" t="inlineStr">
        <is>
          <t>TBD</t>
        </is>
      </c>
      <c r="F76" s="31" t="n"/>
      <c r="G76" s="32" t="inlineStr">
        <is>
          <t>—</t>
        </is>
      </c>
      <c r="H76" s="29" t="inlineStr">
        <is>
          <t>Privately Owned</t>
        </is>
      </c>
      <c r="I76" s="28" t="n"/>
      <c r="J76" s="28" t="inlineStr">
        <is>
          <t>Garden</t>
        </is>
      </c>
      <c r="K76" s="29" t="inlineStr">
        <is>
          <t>RealPage pipeline (not yet in CoStar)</t>
        </is>
      </c>
    </row>
    <row r="77">
      <c r="B77" s="28" t="n">
        <v>66</v>
      </c>
      <c r="C77" s="29" t="inlineStr">
        <is>
          <t>Picerne at Palm Valley</t>
        </is>
      </c>
      <c r="D77" s="30" t="n">
        <v>383</v>
      </c>
      <c r="E77" s="28" t="inlineStr">
        <is>
          <t>TBD</t>
        </is>
      </c>
      <c r="F77" s="31" t="n"/>
      <c r="G77" s="32" t="inlineStr">
        <is>
          <t>—</t>
        </is>
      </c>
      <c r="H77" s="29" t="inlineStr">
        <is>
          <t>Picerne</t>
        </is>
      </c>
      <c r="I77" s="28" t="n"/>
      <c r="J77" s="28" t="inlineStr">
        <is>
          <t>Garden</t>
        </is>
      </c>
      <c r="K77" s="29" t="inlineStr">
        <is>
          <t>RealPage pipeline (not yet in CoStar)</t>
        </is>
      </c>
    </row>
    <row r="78">
      <c r="B78" s="28" t="n">
        <v>67</v>
      </c>
      <c r="C78" s="29" t="inlineStr">
        <is>
          <t>Liv Avondale</t>
        </is>
      </c>
      <c r="D78" s="30" t="n">
        <v>333</v>
      </c>
      <c r="E78" s="28" t="inlineStr">
        <is>
          <t>TBD</t>
        </is>
      </c>
      <c r="F78" s="31" t="n"/>
      <c r="G78" s="32" t="inlineStr">
        <is>
          <t>—</t>
        </is>
      </c>
      <c r="H78" s="29" t="inlineStr">
        <is>
          <t>Liv Communities LLC</t>
        </is>
      </c>
      <c r="I78" s="28" t="n"/>
      <c r="J78" s="28" t="inlineStr">
        <is>
          <t>Garden</t>
        </is>
      </c>
      <c r="K78" s="29" t="inlineStr">
        <is>
          <t>RealPage pipeline (not yet in CoStar)</t>
        </is>
      </c>
    </row>
    <row r="79">
      <c r="B79" s="28" t="n">
        <v>68</v>
      </c>
      <c r="C79" s="29" t="inlineStr">
        <is>
          <t>Urban 95 Parcel A</t>
        </is>
      </c>
      <c r="D79" s="30" t="n">
        <v>324</v>
      </c>
      <c r="E79" s="28" t="inlineStr">
        <is>
          <t>TBD</t>
        </is>
      </c>
      <c r="F79" s="31" t="n"/>
      <c r="G79" s="32" t="inlineStr">
        <is>
          <t>—</t>
        </is>
      </c>
      <c r="H79" s="29" t="inlineStr">
        <is>
          <t>Fisher Industries</t>
        </is>
      </c>
      <c r="I79" s="28" t="n"/>
      <c r="J79" s="28" t="inlineStr">
        <is>
          <t>High-Rise</t>
        </is>
      </c>
      <c r="K79" s="29" t="inlineStr">
        <is>
          <t>RealPage pipeline (not yet in CoStar)</t>
        </is>
      </c>
    </row>
    <row r="80">
      <c r="B80" s="28" t="n">
        <v>69</v>
      </c>
      <c r="C80" s="29" t="inlineStr">
        <is>
          <t>The Waverly</t>
        </is>
      </c>
      <c r="D80" s="30" t="n">
        <v>323</v>
      </c>
      <c r="E80" s="28" t="inlineStr">
        <is>
          <t>TBD</t>
        </is>
      </c>
      <c r="F80" s="31" t="n"/>
      <c r="G80" s="32" t="inlineStr">
        <is>
          <t>—</t>
        </is>
      </c>
      <c r="H80" s="29" t="inlineStr">
        <is>
          <t>Dominium</t>
        </is>
      </c>
      <c r="I80" s="28" t="n"/>
      <c r="J80" s="28" t="inlineStr">
        <is>
          <t>Mid-Rise</t>
        </is>
      </c>
      <c r="K80" s="29" t="n"/>
    </row>
    <row r="81">
      <c r="B81" s="28" t="n">
        <v>70</v>
      </c>
      <c r="C81" s="29" t="inlineStr">
        <is>
          <t>Fuze 623</t>
        </is>
      </c>
      <c r="D81" s="30" t="n">
        <v>321</v>
      </c>
      <c r="E81" s="28" t="inlineStr">
        <is>
          <t>TBD</t>
        </is>
      </c>
      <c r="F81" s="31" t="n"/>
      <c r="G81" s="32" t="inlineStr">
        <is>
          <t>—</t>
        </is>
      </c>
      <c r="H81" s="29" t="inlineStr">
        <is>
          <t>—</t>
        </is>
      </c>
      <c r="I81" s="28" t="n"/>
      <c r="J81" s="28" t="inlineStr">
        <is>
          <t>Garden</t>
        </is>
      </c>
      <c r="K81" s="29" t="inlineStr">
        <is>
          <t>RealPage pipeline (not yet in CoStar)</t>
        </is>
      </c>
    </row>
    <row r="82">
      <c r="B82" s="28" t="n">
        <v>71</v>
      </c>
      <c r="C82" s="29" t="inlineStr">
        <is>
          <t>Anton Glendale</t>
        </is>
      </c>
      <c r="D82" s="30" t="n">
        <v>320</v>
      </c>
      <c r="E82" s="28" t="inlineStr">
        <is>
          <t>TBD</t>
        </is>
      </c>
      <c r="F82" s="31" t="n"/>
      <c r="G82" s="32" t="inlineStr">
        <is>
          <t>—</t>
        </is>
      </c>
      <c r="H82" s="29" t="inlineStr">
        <is>
          <t>—</t>
        </is>
      </c>
      <c r="I82" s="28" t="n"/>
      <c r="J82" s="28" t="inlineStr">
        <is>
          <t>Mid-Rise</t>
        </is>
      </c>
      <c r="K82" s="29" t="inlineStr">
        <is>
          <t>RealPage pipeline (not yet in CoStar)</t>
        </is>
      </c>
    </row>
    <row r="83">
      <c r="B83" s="28" t="n">
        <v>72</v>
      </c>
      <c r="C83" s="29" t="inlineStr">
        <is>
          <t>Western Garden II</t>
        </is>
      </c>
      <c r="D83" s="30" t="n">
        <v>314</v>
      </c>
      <c r="E83" s="28" t="inlineStr">
        <is>
          <t>TBD</t>
        </is>
      </c>
      <c r="F83" s="31" t="n"/>
      <c r="G83" s="32" t="inlineStr">
        <is>
          <t>—</t>
        </is>
      </c>
      <c r="H83" s="29" t="inlineStr">
        <is>
          <t>John F Long Properties LLLP</t>
        </is>
      </c>
      <c r="I83" s="28" t="n"/>
      <c r="J83" s="28" t="inlineStr">
        <is>
          <t>Single Family</t>
        </is>
      </c>
      <c r="K83" s="29" t="inlineStr">
        <is>
          <t>RealPage pipeline (not yet in CoStar)</t>
        </is>
      </c>
    </row>
    <row r="84">
      <c r="B84" s="28" t="n">
        <v>73</v>
      </c>
      <c r="C84" s="29" t="inlineStr">
        <is>
          <t>Sanctuair at Centerscape</t>
        </is>
      </c>
      <c r="D84" s="30" t="n">
        <v>303</v>
      </c>
      <c r="E84" s="28" t="inlineStr">
        <is>
          <t>TBD</t>
        </is>
      </c>
      <c r="F84" s="31" t="n"/>
      <c r="G84" s="32" t="inlineStr">
        <is>
          <t>—</t>
        </is>
      </c>
      <c r="H84" s="29" t="inlineStr">
        <is>
          <t>Sunbelt Investment Holdings Inc</t>
        </is>
      </c>
      <c r="I84" s="28" t="n"/>
      <c r="J84" s="28" t="inlineStr">
        <is>
          <t>Garden</t>
        </is>
      </c>
      <c r="K84" s="29" t="inlineStr">
        <is>
          <t>RealPage pipeline (not yet in CoStar)</t>
        </is>
      </c>
    </row>
    <row r="85">
      <c r="B85" s="28" t="n">
        <v>74</v>
      </c>
      <c r="C85" s="29" t="inlineStr">
        <is>
          <t>Encore Avondale</t>
        </is>
      </c>
      <c r="D85" s="30" t="n">
        <v>300</v>
      </c>
      <c r="E85" s="28" t="inlineStr">
        <is>
          <t>TBD</t>
        </is>
      </c>
      <c r="F85" s="31" t="n"/>
      <c r="G85" s="32" t="inlineStr">
        <is>
          <t>—</t>
        </is>
      </c>
      <c r="H85" s="29" t="inlineStr">
        <is>
          <t>Encore Enterprises</t>
        </is>
      </c>
      <c r="I85" s="28" t="n"/>
      <c r="J85" s="28" t="inlineStr">
        <is>
          <t>Mid-Rise</t>
        </is>
      </c>
      <c r="K85" s="29" t="n"/>
    </row>
    <row r="86">
      <c r="B86" s="28" t="n">
        <v>75</v>
      </c>
      <c r="C86" s="29" t="inlineStr">
        <is>
          <t>Banyan Avondale</t>
        </is>
      </c>
      <c r="D86" s="30" t="n">
        <v>296</v>
      </c>
      <c r="E86" s="28" t="inlineStr">
        <is>
          <t>TBD</t>
        </is>
      </c>
      <c r="F86" s="31" t="n"/>
      <c r="G86" s="32" t="inlineStr">
        <is>
          <t>—</t>
        </is>
      </c>
      <c r="H86" s="29" t="inlineStr">
        <is>
          <t>—</t>
        </is>
      </c>
      <c r="I86" s="28" t="n"/>
      <c r="J86" s="28" t="inlineStr">
        <is>
          <t>Townhome</t>
        </is>
      </c>
      <c r="K86" s="29" t="inlineStr">
        <is>
          <t>RealPage pipeline (not yet in CoStar)</t>
        </is>
      </c>
    </row>
    <row r="87">
      <c r="B87" s="28" t="n">
        <v>76</v>
      </c>
      <c r="C87" s="29" t="inlineStr">
        <is>
          <t>Rosilian Villas</t>
        </is>
      </c>
      <c r="D87" s="30" t="n">
        <v>291</v>
      </c>
      <c r="E87" s="28" t="inlineStr">
        <is>
          <t>TBD</t>
        </is>
      </c>
      <c r="F87" s="31" t="n"/>
      <c r="G87" s="32" t="inlineStr">
        <is>
          <t>—</t>
        </is>
      </c>
      <c r="H87" s="29" t="inlineStr">
        <is>
          <t>—</t>
        </is>
      </c>
      <c r="I87" s="28" t="n"/>
      <c r="J87" s="28" t="inlineStr">
        <is>
          <t>Garden</t>
        </is>
      </c>
      <c r="K87" s="29" t="inlineStr">
        <is>
          <t>RealPage pipeline (not yet in CoStar)</t>
        </is>
      </c>
    </row>
    <row r="88">
      <c r="B88" s="28" t="n">
        <v>77</v>
      </c>
      <c r="C88" s="29" t="inlineStr">
        <is>
          <t>The Statler at Estrella Parkway</t>
        </is>
      </c>
      <c r="D88" s="30" t="n">
        <v>284</v>
      </c>
      <c r="E88" s="28" t="inlineStr">
        <is>
          <t>TBD</t>
        </is>
      </c>
      <c r="F88" s="31" t="n"/>
      <c r="G88" s="32" t="inlineStr">
        <is>
          <t>—</t>
        </is>
      </c>
      <c r="H88" s="29" t="inlineStr">
        <is>
          <t>Leon Capital Group</t>
        </is>
      </c>
      <c r="I88" s="28" t="n"/>
      <c r="J88" s="28" t="inlineStr">
        <is>
          <t>Mid-Rise</t>
        </is>
      </c>
      <c r="K88" s="29" t="n"/>
    </row>
    <row r="89">
      <c r="B89" s="28" t="n">
        <v>78</v>
      </c>
      <c r="C89" s="29" t="inlineStr">
        <is>
          <t>Orion Avondale</t>
        </is>
      </c>
      <c r="D89" s="30" t="n">
        <v>268</v>
      </c>
      <c r="E89" s="28" t="inlineStr">
        <is>
          <t>TBD</t>
        </is>
      </c>
      <c r="F89" s="31" t="n"/>
      <c r="G89" s="32" t="inlineStr">
        <is>
          <t>—</t>
        </is>
      </c>
      <c r="H89" s="29" t="inlineStr">
        <is>
          <t>Privately Owned</t>
        </is>
      </c>
      <c r="I89" s="28" t="n"/>
      <c r="J89" s="28" t="inlineStr">
        <is>
          <t>Townhome</t>
        </is>
      </c>
      <c r="K89" s="29" t="inlineStr">
        <is>
          <t>RealPage pipeline (not yet in CoStar)</t>
        </is>
      </c>
    </row>
    <row r="90">
      <c r="B90" s="28" t="n">
        <v>79</v>
      </c>
      <c r="C90" s="29" t="inlineStr">
        <is>
          <t>Tavalo at Avondale</t>
        </is>
      </c>
      <c r="D90" s="30" t="n">
        <v>266</v>
      </c>
      <c r="E90" s="28" t="inlineStr">
        <is>
          <t>TBD</t>
        </is>
      </c>
      <c r="F90" s="31" t="n"/>
      <c r="G90" s="32" t="inlineStr">
        <is>
          <t>—</t>
        </is>
      </c>
      <c r="H90" s="29" t="inlineStr">
        <is>
          <t>GTIS Partners LP</t>
        </is>
      </c>
      <c r="I90" s="28" t="n"/>
      <c r="J90" s="28" t="inlineStr">
        <is>
          <t>Single Family</t>
        </is>
      </c>
      <c r="K90" s="29" t="inlineStr">
        <is>
          <t>RealPage pipeline (not yet in CoStar)</t>
        </is>
      </c>
    </row>
    <row r="91">
      <c r="B91" s="28" t="n">
        <v>80</v>
      </c>
      <c r="C91" s="29" t="inlineStr">
        <is>
          <t>Marbella Ranch East Future Phase</t>
        </is>
      </c>
      <c r="D91" s="30" t="n">
        <v>266</v>
      </c>
      <c r="E91" s="28" t="inlineStr">
        <is>
          <t>TBD</t>
        </is>
      </c>
      <c r="F91" s="31" t="n"/>
      <c r="G91" s="32" t="inlineStr">
        <is>
          <t>—</t>
        </is>
      </c>
      <c r="H91" s="29" t="inlineStr">
        <is>
          <t>Symmetry Companies</t>
        </is>
      </c>
      <c r="I91" s="28" t="n"/>
      <c r="J91" s="28" t="inlineStr">
        <is>
          <t>Garden</t>
        </is>
      </c>
      <c r="K91" s="29" t="inlineStr">
        <is>
          <t>RealPage pipeline (not yet in CoStar)</t>
        </is>
      </c>
    </row>
    <row r="92">
      <c r="B92" s="28" t="n">
        <v>81</v>
      </c>
      <c r="C92" s="29" t="inlineStr">
        <is>
          <t>Crystal Cove</t>
        </is>
      </c>
      <c r="D92" s="30" t="n">
        <v>260</v>
      </c>
      <c r="E92" s="28" t="inlineStr">
        <is>
          <t>TBD</t>
        </is>
      </c>
      <c r="F92" s="31" t="n"/>
      <c r="G92" s="32" t="inlineStr">
        <is>
          <t>—</t>
        </is>
      </c>
      <c r="H92" s="29" t="inlineStr">
        <is>
          <t>Sterling Real Estate Partners</t>
        </is>
      </c>
      <c r="I92" s="28" t="n"/>
      <c r="J92" s="28" t="inlineStr">
        <is>
          <t>Garden</t>
        </is>
      </c>
      <c r="K92" s="29" t="inlineStr">
        <is>
          <t>RealPage pipeline (not yet in CoStar)</t>
        </is>
      </c>
    </row>
    <row r="93">
      <c r="B93" s="28" t="n">
        <v>82</v>
      </c>
      <c r="C93" s="29" t="inlineStr">
        <is>
          <t>Cornerstone at the Wigwam</t>
        </is>
      </c>
      <c r="D93" s="30" t="n">
        <v>212</v>
      </c>
      <c r="E93" s="28" t="inlineStr">
        <is>
          <t>TBD</t>
        </is>
      </c>
      <c r="F93" s="31" t="n"/>
      <c r="G93" s="32" t="inlineStr">
        <is>
          <t>—</t>
        </is>
      </c>
      <c r="H93" s="29" t="inlineStr">
        <is>
          <t>—</t>
        </is>
      </c>
      <c r="I93" s="28" t="n"/>
      <c r="J93" s="28" t="inlineStr">
        <is>
          <t>Townhome</t>
        </is>
      </c>
      <c r="K93" s="29" t="inlineStr">
        <is>
          <t>RealPage pipeline (not yet in CoStar)</t>
        </is>
      </c>
    </row>
    <row r="94">
      <c r="B94" s="28" t="n">
        <v>83</v>
      </c>
      <c r="C94" s="29" t="inlineStr">
        <is>
          <t>Radia Avondale Station III</t>
        </is>
      </c>
      <c r="D94" s="30" t="n">
        <v>212</v>
      </c>
      <c r="E94" s="28" t="inlineStr">
        <is>
          <t>TBD</t>
        </is>
      </c>
      <c r="F94" s="31" t="n"/>
      <c r="G94" s="32" t="inlineStr">
        <is>
          <t>—</t>
        </is>
      </c>
      <c r="H94" s="29" t="inlineStr">
        <is>
          <t>—</t>
        </is>
      </c>
      <c r="I94" s="28" t="n"/>
      <c r="J94" s="28" t="inlineStr">
        <is>
          <t>Mid-Rise</t>
        </is>
      </c>
      <c r="K94" s="29" t="inlineStr">
        <is>
          <t>RealPage pipeline (not yet in CoStar)</t>
        </is>
      </c>
    </row>
    <row r="95">
      <c r="B95" s="28" t="n">
        <v>84</v>
      </c>
      <c r="C95" s="29" t="inlineStr">
        <is>
          <t>Celebration Plaza Parcel A</t>
        </is>
      </c>
      <c r="D95" s="30" t="n">
        <v>181</v>
      </c>
      <c r="E95" s="28" t="inlineStr">
        <is>
          <t>TBD</t>
        </is>
      </c>
      <c r="F95" s="31" t="n"/>
      <c r="G95" s="32" t="inlineStr">
        <is>
          <t>—</t>
        </is>
      </c>
      <c r="H95" s="29" t="inlineStr">
        <is>
          <t>Privately Owned</t>
        </is>
      </c>
      <c r="I95" s="28" t="n"/>
      <c r="J95" s="28" t="inlineStr">
        <is>
          <t>Townhome</t>
        </is>
      </c>
      <c r="K95" s="29" t="inlineStr">
        <is>
          <t>RealPage pipeline (not yet in CoStar)</t>
        </is>
      </c>
    </row>
    <row r="96">
      <c r="B96" s="28" t="n">
        <v>85</v>
      </c>
      <c r="C96" s="29" t="inlineStr">
        <is>
          <t>Villages at River Grove</t>
        </is>
      </c>
      <c r="D96" s="30" t="n">
        <v>180</v>
      </c>
      <c r="E96" s="28" t="inlineStr">
        <is>
          <t>TBD</t>
        </is>
      </c>
      <c r="F96" s="31" t="n"/>
      <c r="G96" s="32" t="inlineStr">
        <is>
          <t>—</t>
        </is>
      </c>
      <c r="H96" s="29" t="inlineStr">
        <is>
          <t>—</t>
        </is>
      </c>
      <c r="I96" s="28" t="n"/>
      <c r="J96" s="28" t="inlineStr">
        <is>
          <t>Garden</t>
        </is>
      </c>
      <c r="K96" s="29" t="inlineStr">
        <is>
          <t>RealPage pipeline (not yet in CoStar)</t>
        </is>
      </c>
    </row>
    <row r="97">
      <c r="B97" s="28" t="n">
        <v>86</v>
      </c>
      <c r="C97" s="29" t="inlineStr">
        <is>
          <t>District 99</t>
        </is>
      </c>
      <c r="D97" s="30" t="n">
        <v>172</v>
      </c>
      <c r="E97" s="28" t="inlineStr">
        <is>
          <t>TBD</t>
        </is>
      </c>
      <c r="F97" s="31" t="n"/>
      <c r="G97" s="32" t="inlineStr">
        <is>
          <t>—</t>
        </is>
      </c>
      <c r="H97" s="29" t="inlineStr">
        <is>
          <t>Thompson Thrift</t>
        </is>
      </c>
      <c r="I97" s="28" t="n"/>
      <c r="J97" s="28" t="inlineStr">
        <is>
          <t>Mid-Rise</t>
        </is>
      </c>
      <c r="K97" s="29" t="inlineStr">
        <is>
          <t>RealPage pipeline (not yet in CoStar)</t>
        </is>
      </c>
    </row>
    <row r="98">
      <c r="B98" s="28" t="n">
        <v>87</v>
      </c>
      <c r="C98" s="29" t="inlineStr">
        <is>
          <t>McDowell Villas</t>
        </is>
      </c>
      <c r="D98" s="30" t="n">
        <v>164</v>
      </c>
      <c r="E98" s="28" t="inlineStr">
        <is>
          <t>TBD</t>
        </is>
      </c>
      <c r="F98" s="31" t="n"/>
      <c r="G98" s="32" t="inlineStr">
        <is>
          <t>—</t>
        </is>
      </c>
      <c r="H98" s="29" t="inlineStr">
        <is>
          <t>Trilogy Investment Company</t>
        </is>
      </c>
      <c r="I98" s="28" t="n"/>
      <c r="J98" s="28" t="inlineStr">
        <is>
          <t>Townhome</t>
        </is>
      </c>
      <c r="K98" s="29" t="inlineStr">
        <is>
          <t>RealPage pipeline (not yet in CoStar)</t>
        </is>
      </c>
    </row>
    <row r="99">
      <c r="B99" s="28" t="n">
        <v>88</v>
      </c>
      <c r="C99" s="29" t="inlineStr">
        <is>
          <t>Avondale</t>
        </is>
      </c>
      <c r="D99" s="30" t="n">
        <v>156</v>
      </c>
      <c r="E99" s="28" t="inlineStr">
        <is>
          <t>TBD</t>
        </is>
      </c>
      <c r="F99" s="31" t="n"/>
      <c r="G99" s="32" t="inlineStr">
        <is>
          <t>—</t>
        </is>
      </c>
      <c r="H99" s="29" t="inlineStr">
        <is>
          <t>—</t>
        </is>
      </c>
      <c r="I99" s="28" t="n"/>
      <c r="J99" s="28" t="inlineStr">
        <is>
          <t>Garden</t>
        </is>
      </c>
      <c r="K99" s="29" t="inlineStr">
        <is>
          <t>RealPage pipeline (not yet in CoStar)</t>
        </is>
      </c>
    </row>
    <row r="100">
      <c r="B100" s="28" t="n">
        <v>89</v>
      </c>
      <c r="C100" s="29" t="inlineStr">
        <is>
          <t>Porter Kyle Development</t>
        </is>
      </c>
      <c r="D100" s="30" t="n">
        <v>135</v>
      </c>
      <c r="E100" s="28" t="inlineStr">
        <is>
          <t>TBD</t>
        </is>
      </c>
      <c r="F100" s="31" t="n"/>
      <c r="G100" s="32" t="inlineStr">
        <is>
          <t>—</t>
        </is>
      </c>
      <c r="H100" s="29" t="inlineStr">
        <is>
          <t>—</t>
        </is>
      </c>
      <c r="I100" s="28" t="n"/>
      <c r="J100" s="28" t="inlineStr">
        <is>
          <t>Townhome</t>
        </is>
      </c>
      <c r="K100" s="29" t="inlineStr">
        <is>
          <t>RealPage pipeline (not yet in CoStar)</t>
        </is>
      </c>
    </row>
    <row r="101">
      <c r="B101" s="28" t="n">
        <v>90</v>
      </c>
      <c r="C101" s="29" t="inlineStr">
        <is>
          <t>Ascent Goodyear</t>
        </is>
      </c>
      <c r="D101" s="30" t="n">
        <v>113</v>
      </c>
      <c r="E101" s="28" t="inlineStr">
        <is>
          <t>TBD</t>
        </is>
      </c>
      <c r="F101" s="31" t="n"/>
      <c r="G101" s="32" t="inlineStr">
        <is>
          <t>—</t>
        </is>
      </c>
      <c r="H101" s="29" t="inlineStr">
        <is>
          <t>Ascent Companies</t>
        </is>
      </c>
      <c r="I101" s="28" t="n"/>
      <c r="J101" s="28" t="inlineStr">
        <is>
          <t>Garden</t>
        </is>
      </c>
      <c r="K101" s="29" t="n"/>
    </row>
    <row r="102">
      <c r="B102" s="28" t="n">
        <v>91</v>
      </c>
      <c r="C102" s="29" t="inlineStr">
        <is>
          <t>Northern 107</t>
        </is>
      </c>
      <c r="D102" s="30" t="n">
        <v>74</v>
      </c>
      <c r="E102" s="28" t="inlineStr">
        <is>
          <t>TBD</t>
        </is>
      </c>
      <c r="F102" s="31" t="n"/>
      <c r="G102" s="32" t="inlineStr">
        <is>
          <t>—</t>
        </is>
      </c>
      <c r="H102" s="29" t="inlineStr">
        <is>
          <t>Jacob Reuben</t>
        </is>
      </c>
      <c r="I102" s="28" t="n"/>
      <c r="J102" s="28" t="inlineStr">
        <is>
          <t>Garden</t>
        </is>
      </c>
      <c r="K102" s="29" t="n"/>
    </row>
    <row r="103">
      <c r="B103" s="28" t="n">
        <v>92</v>
      </c>
      <c r="C103" s="29" t="inlineStr">
        <is>
          <t>Zenn @ Sierra Verde</t>
        </is>
      </c>
      <c r="D103" s="30" t="n">
        <v>66</v>
      </c>
      <c r="E103" s="28" t="inlineStr">
        <is>
          <t>TBD</t>
        </is>
      </c>
      <c r="F103" s="31" t="n"/>
      <c r="G103" s="32" t="inlineStr">
        <is>
          <t>—</t>
        </is>
      </c>
      <c r="H103" s="29" t="inlineStr">
        <is>
          <t>—</t>
        </is>
      </c>
      <c r="I103" s="28" t="n"/>
      <c r="J103" s="28" t="inlineStr">
        <is>
          <t>Townhome</t>
        </is>
      </c>
      <c r="K103" s="29" t="inlineStr">
        <is>
          <t>RealPage pipeline (not yet in CoStar)</t>
        </is>
      </c>
    </row>
    <row r="104">
      <c r="B104" s="28" t="n">
        <v>93</v>
      </c>
      <c r="C104" s="29" t="inlineStr">
        <is>
          <t>The BLVD Residential District</t>
        </is>
      </c>
      <c r="D104" s="30" t="n"/>
      <c r="E104" s="28" t="inlineStr">
        <is>
          <t>TBD</t>
        </is>
      </c>
      <c r="F104" s="31" t="n"/>
      <c r="G104" s="32" t="inlineStr">
        <is>
          <t>—</t>
        </is>
      </c>
      <c r="H104" s="29" t="inlineStr">
        <is>
          <t>—</t>
        </is>
      </c>
      <c r="I104" s="28" t="n"/>
      <c r="J104" s="28" t="inlineStr">
        <is>
          <t>Garden</t>
        </is>
      </c>
      <c r="K104" s="29" t="inlineStr">
        <is>
          <t>RealPage pipeline (not yet in CoStar)</t>
        </is>
      </c>
    </row>
    <row r="105">
      <c r="B105" s="28" t="n">
        <v>94</v>
      </c>
      <c r="C105" s="29" t="inlineStr">
        <is>
          <t>The BLVD Park Avenue District</t>
        </is>
      </c>
      <c r="D105" s="30" t="n"/>
      <c r="E105" s="28" t="inlineStr">
        <is>
          <t>TBD</t>
        </is>
      </c>
      <c r="F105" s="31" t="n"/>
      <c r="G105" s="32" t="inlineStr">
        <is>
          <t>—</t>
        </is>
      </c>
      <c r="H105" s="29" t="inlineStr">
        <is>
          <t>—</t>
        </is>
      </c>
      <c r="I105" s="28" t="n"/>
      <c r="J105" s="28" t="inlineStr">
        <is>
          <t>Garden</t>
        </is>
      </c>
      <c r="K105" s="29" t="inlineStr">
        <is>
          <t>RealPage pipeline (not yet in CoStar)</t>
        </is>
      </c>
    </row>
    <row r="106">
      <c r="B106" s="28" t="n">
        <v>95</v>
      </c>
      <c r="C106" s="29" t="inlineStr">
        <is>
          <t>Globe Land Investors Development</t>
        </is>
      </c>
      <c r="D106" s="30" t="n"/>
      <c r="E106" s="28" t="inlineStr">
        <is>
          <t>TBD</t>
        </is>
      </c>
      <c r="F106" s="31" t="n"/>
      <c r="G106" s="32" t="inlineStr">
        <is>
          <t>—</t>
        </is>
      </c>
      <c r="H106" s="29" t="inlineStr">
        <is>
          <t>Globe Corporation</t>
        </is>
      </c>
      <c r="I106" s="28" t="n"/>
      <c r="J106" s="28" t="inlineStr">
        <is>
          <t>Garden</t>
        </is>
      </c>
      <c r="K106" s="29" t="inlineStr">
        <is>
          <t>RealPage pipeline (not yet in CoStar)</t>
        </is>
      </c>
    </row>
    <row r="107">
      <c r="B107" s="28" t="n">
        <v>96</v>
      </c>
      <c r="C107" s="29" t="inlineStr">
        <is>
          <t>Ball Park</t>
        </is>
      </c>
      <c r="D107" s="30" t="n"/>
      <c r="E107" s="28" t="inlineStr">
        <is>
          <t>TBD</t>
        </is>
      </c>
      <c r="F107" s="31" t="n"/>
      <c r="G107" s="32" t="inlineStr">
        <is>
          <t>—</t>
        </is>
      </c>
      <c r="H107" s="29" t="inlineStr">
        <is>
          <t>VT LandGroup</t>
        </is>
      </c>
      <c r="I107" s="28" t="n"/>
      <c r="J107" s="28" t="inlineStr">
        <is>
          <t>Garden</t>
        </is>
      </c>
      <c r="K107" s="29" t="inlineStr">
        <is>
          <t>RealPage pipeline (not yet in CoStar)</t>
        </is>
      </c>
    </row>
    <row r="108">
      <c r="B108" s="28" t="n">
        <v>97</v>
      </c>
      <c r="C108" s="29" t="inlineStr">
        <is>
          <t>Vision 2 Parcel A</t>
        </is>
      </c>
      <c r="D108" s="30" t="n"/>
      <c r="E108" s="28" t="inlineStr">
        <is>
          <t>TBD</t>
        </is>
      </c>
      <c r="F108" s="31" t="n"/>
      <c r="G108" s="32" t="inlineStr">
        <is>
          <t>—</t>
        </is>
      </c>
      <c r="H108" s="29" t="inlineStr">
        <is>
          <t>—</t>
        </is>
      </c>
      <c r="I108" s="28" t="n"/>
      <c r="J108" s="28" t="inlineStr">
        <is>
          <t>Mid-Rise</t>
        </is>
      </c>
      <c r="K108" s="29" t="inlineStr">
        <is>
          <t>RealPage pipeline (not yet in CoStar)</t>
        </is>
      </c>
    </row>
    <row r="109">
      <c r="B109" s="28" t="n">
        <v>98</v>
      </c>
      <c r="C109" s="29" t="inlineStr">
        <is>
          <t>Firststreet Verde</t>
        </is>
      </c>
      <c r="D109" s="30" t="n"/>
      <c r="E109" s="28" t="inlineStr">
        <is>
          <t>TBD</t>
        </is>
      </c>
      <c r="F109" s="31" t="n"/>
      <c r="G109" s="32" t="inlineStr">
        <is>
          <t>—</t>
        </is>
      </c>
      <c r="H109" s="29" t="inlineStr">
        <is>
          <t>—</t>
        </is>
      </c>
      <c r="I109" s="28" t="n"/>
      <c r="J109" s="28" t="inlineStr">
        <is>
          <t>Single Family</t>
        </is>
      </c>
      <c r="K109" s="29" t="inlineStr">
        <is>
          <t>RealPage pipeline (not yet in CoStar)</t>
        </is>
      </c>
    </row>
    <row r="110">
      <c r="B110" s="28" t="n">
        <v>99</v>
      </c>
      <c r="C110" s="29" t="inlineStr">
        <is>
          <t>Goodyear Civic Square at Estrella Falls</t>
        </is>
      </c>
      <c r="D110" s="30" t="n"/>
      <c r="E110" s="28" t="inlineStr">
        <is>
          <t>TBD</t>
        </is>
      </c>
      <c r="F110" s="31" t="n"/>
      <c r="G110" s="32" t="inlineStr">
        <is>
          <t>—</t>
        </is>
      </c>
      <c r="H110" s="29" t="inlineStr">
        <is>
          <t>—</t>
        </is>
      </c>
      <c r="I110" s="28" t="n"/>
      <c r="J110" s="28" t="inlineStr">
        <is>
          <t>Garden</t>
        </is>
      </c>
      <c r="K110" s="29" t="inlineStr">
        <is>
          <t>RealPage pipeline (not yet in CoStar)</t>
        </is>
      </c>
    </row>
    <row r="111">
      <c r="B111" s="28" t="n">
        <v>100</v>
      </c>
      <c r="C111" s="29" t="inlineStr">
        <is>
          <t>I-10 Innovation Center II</t>
        </is>
      </c>
      <c r="D111" s="30" t="n"/>
      <c r="E111" s="28" t="inlineStr">
        <is>
          <t>TBD</t>
        </is>
      </c>
      <c r="F111" s="31" t="n"/>
      <c r="G111" s="32" t="inlineStr">
        <is>
          <t>—</t>
        </is>
      </c>
      <c r="H111" s="29" t="inlineStr">
        <is>
          <t>Privately Owned</t>
        </is>
      </c>
      <c r="I111" s="28" t="n"/>
      <c r="J111" s="28" t="inlineStr">
        <is>
          <t>Garden</t>
        </is>
      </c>
      <c r="K111" s="29" t="inlineStr">
        <is>
          <t>RealPage pipeline (not yet in CoStar)</t>
        </is>
      </c>
    </row>
    <row r="112">
      <c r="B112" s="28" t="n">
        <v>101</v>
      </c>
      <c r="C112" s="29" t="inlineStr">
        <is>
          <t>Celebration Plaza Parcel D</t>
        </is>
      </c>
      <c r="D112" s="30" t="n"/>
      <c r="E112" s="28" t="inlineStr">
        <is>
          <t>TBD</t>
        </is>
      </c>
      <c r="F112" s="31" t="n"/>
      <c r="G112" s="32" t="inlineStr">
        <is>
          <t>—</t>
        </is>
      </c>
      <c r="H112" s="29" t="inlineStr">
        <is>
          <t>Privately Owned</t>
        </is>
      </c>
      <c r="I112" s="28" t="n"/>
      <c r="J112" s="28" t="inlineStr">
        <is>
          <t>Garden</t>
        </is>
      </c>
      <c r="K112" s="29" t="inlineStr">
        <is>
          <t>RealPage pipeline (not yet in CoStar)</t>
        </is>
      </c>
    </row>
    <row r="113">
      <c r="B113" s="28" t="n">
        <v>102</v>
      </c>
      <c r="C113" s="29" t="inlineStr">
        <is>
          <t>SimonMed Development II</t>
        </is>
      </c>
      <c r="D113" s="30" t="n"/>
      <c r="E113" s="28" t="inlineStr">
        <is>
          <t>TBD</t>
        </is>
      </c>
      <c r="F113" s="31" t="n"/>
      <c r="G113" s="32" t="inlineStr">
        <is>
          <t>—</t>
        </is>
      </c>
      <c r="H113" s="29" t="inlineStr">
        <is>
          <t>—</t>
        </is>
      </c>
      <c r="I113" s="28" t="n"/>
      <c r="J113" s="28" t="inlineStr">
        <is>
          <t>Mid-Rise</t>
        </is>
      </c>
      <c r="K113" s="29" t="inlineStr">
        <is>
          <t>RealPage pipeline (not yet in CoStar)</t>
        </is>
      </c>
    </row>
    <row r="114">
      <c r="B114" s="28" t="n">
        <v>103</v>
      </c>
      <c r="C114" s="29" t="inlineStr">
        <is>
          <t>182 South 95th Avenue</t>
        </is>
      </c>
      <c r="D114" s="30" t="n"/>
      <c r="E114" s="28" t="inlineStr">
        <is>
          <t>TBD</t>
        </is>
      </c>
      <c r="F114" s="31" t="n"/>
      <c r="G114" s="32" t="inlineStr">
        <is>
          <t>—</t>
        </is>
      </c>
      <c r="H114" s="29" t="inlineStr">
        <is>
          <t>—</t>
        </is>
      </c>
      <c r="I114" s="28" t="n"/>
      <c r="J114" s="28" t="inlineStr">
        <is>
          <t>Garden</t>
        </is>
      </c>
      <c r="K114" s="29" t="inlineStr">
        <is>
          <t>RealPage pipeline (not yet in CoStar)</t>
        </is>
      </c>
    </row>
    <row r="115">
      <c r="B115" s="28" t="n">
        <v>104</v>
      </c>
      <c r="C115" s="29" t="inlineStr">
        <is>
          <t>Envision Encore</t>
        </is>
      </c>
      <c r="D115" s="30" t="n"/>
      <c r="E115" s="28" t="inlineStr">
        <is>
          <t>TBD</t>
        </is>
      </c>
      <c r="F115" s="31" t="n"/>
      <c r="G115" s="32" t="inlineStr">
        <is>
          <t>—</t>
        </is>
      </c>
      <c r="H115" s="29" t="inlineStr">
        <is>
          <t>—</t>
        </is>
      </c>
      <c r="I115" s="28" t="n"/>
      <c r="J115" s="28" t="inlineStr">
        <is>
          <t>Garden</t>
        </is>
      </c>
      <c r="K115" s="29" t="inlineStr">
        <is>
          <t>RealPage pipeline (not yet in CoStar)</t>
        </is>
      </c>
    </row>
    <row r="118">
      <c r="B118"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B118:K118"/>
    <mergeCell ref="C5:K5"/>
    <mergeCell ref="C71:K71"/>
    <mergeCell ref="C2:G2"/>
    <mergeCell ref="B3:F3"/>
    <mergeCell ref="C29:K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8" customWidth="1" min="1" max="1"/>
    <col width="42" customWidth="1" min="3" max="3"/>
  </cols>
  <sheetData>
    <row r="1">
      <c r="A1" s="34" t="inlineStr">
        <is>
          <t>ANALYSIS SETTINGS</t>
        </is>
      </c>
    </row>
    <row r="2">
      <c r="A2" t="inlineStr">
        <is>
          <t>Stabilized Occupancy Target</t>
        </is>
      </c>
      <c r="B2" s="35" t="n">
        <v>0.95</v>
      </c>
      <c r="C2" t="inlineStr">
        <is>
          <t>Target occupancy for absorption calculation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5"/>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36" t="inlineStr">
        <is>
          <t>Property</t>
        </is>
      </c>
      <c r="B1" s="36" t="inlineStr">
        <is>
          <t>Address</t>
        </is>
      </c>
      <c r="C1" s="36" t="inlineStr">
        <is>
          <t>Units</t>
        </is>
      </c>
      <c r="D1" s="36" t="inlineStr">
        <is>
          <t>Year Built</t>
        </is>
      </c>
      <c r="E1" s="36" t="inlineStr">
        <is>
          <t>Est. Delivery</t>
        </is>
      </c>
      <c r="F1" s="36" t="inlineStr">
        <is>
          <t>Bucket</t>
        </is>
      </c>
      <c r="G1" s="36" t="inlineStr">
        <is>
          <t>CoStar Occ</t>
        </is>
      </c>
      <c r="H1" s="36" t="inlineStr">
        <is>
          <t>RealPage Occ</t>
        </is>
      </c>
      <c r="I1" s="36" t="inlineStr">
        <is>
          <t>CoStar Ask Rent</t>
        </is>
      </c>
      <c r="J1" s="36" t="inlineStr">
        <is>
          <t>RealPage Eff Rent</t>
        </is>
      </c>
      <c r="K1" s="36" t="inlineStr">
        <is>
          <t>Sources</t>
        </is>
      </c>
      <c r="L1" s="36" t="inlineStr">
        <is>
          <t>Notes</t>
        </is>
      </c>
    </row>
    <row r="2">
      <c r="A2" t="inlineStr">
        <is>
          <t>Avery</t>
        </is>
      </c>
      <c r="B2" t="inlineStr">
        <is>
          <t>1700 N Harbor Shore Blvd</t>
        </is>
      </c>
      <c r="C2" t="n">
        <v>185</v>
      </c>
      <c r="D2" t="n">
        <v>2024</v>
      </c>
      <c r="E2" t="inlineStr">
        <is>
          <t>Q2 2024</t>
        </is>
      </c>
      <c r="F2" t="inlineStr">
        <is>
          <t>STABILIZED / STABILIZING</t>
        </is>
      </c>
      <c r="G2" s="37" t="n">
        <v>0.924324</v>
      </c>
      <c r="H2" s="37" t="n">
        <v>0.924</v>
      </c>
      <c r="I2" s="38" t="n">
        <v>1750</v>
      </c>
      <c r="J2" s="38"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37" t="n"/>
      <c r="H3" s="37" t="n">
        <v>0.961</v>
      </c>
      <c r="I3" s="38" t="n"/>
      <c r="J3" s="38"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37" t="n">
        <v>0.8518520000000001</v>
      </c>
      <c r="H4" s="37" t="n">
        <v>0.877</v>
      </c>
      <c r="I4" s="38" t="n">
        <v>1576</v>
      </c>
      <c r="J4" s="38"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37" t="n">
        <v>0.7634730000000001</v>
      </c>
      <c r="H5" s="37" t="n">
        <v>0.916</v>
      </c>
      <c r="I5" s="38" t="n">
        <v>2026</v>
      </c>
      <c r="J5" s="38"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37" t="n">
        <v>0.895833</v>
      </c>
      <c r="H6" s="37" t="n">
        <v>0.966</v>
      </c>
      <c r="I6" s="38" t="n">
        <v>1429</v>
      </c>
      <c r="J6" s="38"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37" t="n">
        <v>0.949309</v>
      </c>
      <c r="H7" s="37" t="n">
        <v>0.968</v>
      </c>
      <c r="I7" s="38" t="n">
        <v>1576</v>
      </c>
      <c r="J7" s="38"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37" t="n">
        <v>0.773196</v>
      </c>
      <c r="H8" s="37" t="n">
        <v>0.918</v>
      </c>
      <c r="I8" s="38" t="n">
        <v>1874</v>
      </c>
      <c r="J8" s="38"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37" t="n">
        <v>0.784247</v>
      </c>
      <c r="H9" s="37" t="n">
        <v>0.87</v>
      </c>
      <c r="I9" s="38" t="n">
        <v>1516</v>
      </c>
      <c r="J9" s="38" t="n">
        <v>1517</v>
      </c>
      <c r="K9" t="inlineStr">
        <is>
          <t>CoStar+RealPage</t>
        </is>
      </c>
      <c r="L9" t="inlineStr">
        <is>
          <t>Year built: 2023/2024; Units: CoStar 292 vs RealPage 239;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37" t="n">
        <v>0.8992249999999999</v>
      </c>
      <c r="H10" s="37" t="n">
        <v>0.9419999999999999</v>
      </c>
      <c r="I10" s="38" t="n">
        <v>1567</v>
      </c>
      <c r="J10" s="38"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37" t="n">
        <v>0.9520960000000001</v>
      </c>
      <c r="H11" s="37" t="n">
        <v>0.946</v>
      </c>
      <c r="I11" s="38" t="n">
        <v>1607</v>
      </c>
      <c r="J11" s="38"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37" t="n">
        <v>0.920455</v>
      </c>
      <c r="H12" s="37" t="n">
        <v>1</v>
      </c>
      <c r="I12" s="38" t="n">
        <v>1526</v>
      </c>
      <c r="J12" s="38"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37" t="n">
        <v>0.934483</v>
      </c>
      <c r="H13" s="37" t="n">
        <v>0.959</v>
      </c>
      <c r="I13" s="38" t="n">
        <v>2812</v>
      </c>
      <c r="J13" s="38"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37" t="n">
        <v>0.935829</v>
      </c>
      <c r="H14" s="37" t="n">
        <v>0.963</v>
      </c>
      <c r="I14" s="38" t="n">
        <v>1964</v>
      </c>
      <c r="J14" s="38"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37" t="n">
        <v>0.892045</v>
      </c>
      <c r="H15" s="37" t="n">
        <v>0.9399999999999999</v>
      </c>
      <c r="I15" s="38" t="n">
        <v>1632</v>
      </c>
      <c r="J15" s="38"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37" t="n">
        <v>0.926471</v>
      </c>
      <c r="H16" s="37" t="n">
        <v>0.967</v>
      </c>
      <c r="I16" s="38" t="n">
        <v>1820</v>
      </c>
      <c r="J16" s="38"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37" t="n">
        <v>0.9494050000000001</v>
      </c>
      <c r="H17" s="37" t="n">
        <v>0.949</v>
      </c>
      <c r="I17" s="38" t="n">
        <v>1335</v>
      </c>
      <c r="J17" s="38"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37" t="n">
        <v>0.893204</v>
      </c>
      <c r="H18" s="37" t="n"/>
      <c r="I18" s="38" t="n">
        <v>2523</v>
      </c>
      <c r="J18" s="38"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37" t="n"/>
      <c r="H19" s="37" t="n">
        <v>0.926</v>
      </c>
      <c r="I19" s="38" t="n"/>
      <c r="J19" s="38"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37" t="n">
        <v>0.951977</v>
      </c>
      <c r="H20" s="37" t="n">
        <v>1</v>
      </c>
      <c r="I20" s="38" t="n">
        <v>1574</v>
      </c>
      <c r="J20" s="38"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37" t="n">
        <v>0.902098</v>
      </c>
      <c r="H21" s="37" t="n">
        <v>0.955</v>
      </c>
      <c r="I21" s="38" t="n">
        <v>1338</v>
      </c>
      <c r="J21" s="38"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37" t="n">
        <v>0.984375</v>
      </c>
      <c r="H22" s="37" t="n">
        <v>0.984</v>
      </c>
      <c r="I22" s="38" t="n">
        <v>2442</v>
      </c>
      <c r="J22" s="38"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37" t="n">
        <v>0.989362</v>
      </c>
      <c r="H23" s="37" t="n">
        <v>1</v>
      </c>
      <c r="I23" s="38" t="n">
        <v>1913</v>
      </c>
      <c r="J23" s="38"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37" t="n">
        <v>0.4461540000000001</v>
      </c>
      <c r="H24" s="37" t="n">
        <v>0</v>
      </c>
      <c r="I24" s="38" t="n">
        <v>1829</v>
      </c>
      <c r="J24" s="38"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37" t="n">
        <v>0.05660399999999999</v>
      </c>
      <c r="H25" s="37" t="n">
        <v>0.208</v>
      </c>
      <c r="I25" s="38" t="n">
        <v>2966</v>
      </c>
      <c r="J25" s="38"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37" t="n">
        <v>0.273504</v>
      </c>
      <c r="H26" s="37" t="n">
        <v>0</v>
      </c>
      <c r="I26" s="38" t="n">
        <v>2537</v>
      </c>
      <c r="J26" s="38"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37" t="n">
        <v>0.1333329999999999</v>
      </c>
      <c r="H27" s="37" t="n">
        <v>0</v>
      </c>
      <c r="I27" s="38" t="n">
        <v>1411</v>
      </c>
      <c r="J27" s="38" t="n">
        <v>1145</v>
      </c>
      <c r="K27" t="inlineStr">
        <is>
          <t>CoStar+RealPage</t>
        </is>
      </c>
      <c r="L27" t="inlineStr">
        <is>
          <t>Delivery quarter estimated; Occ: CoStar 13% vs RealPage 0%; Rent: CoStar ask $1,411 vs RealPage eff $1,145; Verify rent/occ w/ HelloData</t>
        </is>
      </c>
    </row>
    <row r="28">
      <c r="A28" t="inlineStr">
        <is>
          <t>Stately Avondale</t>
        </is>
      </c>
      <c r="B28" t="inlineStr">
        <is>
          <t>12375 W Van Buren St</t>
        </is>
      </c>
      <c r="C28" t="n">
        <v>286</v>
      </c>
      <c r="D28" t="n">
        <v>2026</v>
      </c>
      <c r="E28" t="inlineStr">
        <is>
          <t>Q2 2026</t>
        </is>
      </c>
      <c r="F28" t="inlineStr">
        <is>
          <t>LEASING UP</t>
        </is>
      </c>
      <c r="G28" s="37" t="n">
        <v>0.297203</v>
      </c>
      <c r="H28" s="37" t="n">
        <v>0</v>
      </c>
      <c r="I28" s="38" t="n">
        <v>1728</v>
      </c>
      <c r="J28" s="38"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37" t="n">
        <v>0.875</v>
      </c>
      <c r="H29" s="37" t="n">
        <v>0.512</v>
      </c>
      <c r="I29" s="38" t="n">
        <v>1506</v>
      </c>
      <c r="J29" s="38"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37" t="n">
        <v>0.895349</v>
      </c>
      <c r="H30" s="37" t="n"/>
      <c r="I30" s="38" t="n">
        <v>2474</v>
      </c>
      <c r="J30" s="38"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37" t="n">
        <v>0.52381</v>
      </c>
      <c r="H31" s="37" t="n">
        <v>0.714</v>
      </c>
      <c r="I31" s="38" t="n">
        <v>2319</v>
      </c>
      <c r="J31" s="38"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37" t="n">
        <v>0.810458</v>
      </c>
      <c r="H32" s="37" t="n">
        <v>0.856</v>
      </c>
      <c r="I32" s="38" t="n">
        <v>1913</v>
      </c>
      <c r="J32" s="38"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37" t="n">
        <v>0.857143</v>
      </c>
      <c r="H33" s="37" t="n">
        <v>0.857</v>
      </c>
      <c r="I33" s="38" t="n">
        <v>2325</v>
      </c>
      <c r="J33" s="38"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37" t="n">
        <v>0.496503</v>
      </c>
      <c r="H34" s="37" t="n">
        <v>0</v>
      </c>
      <c r="I34" s="38" t="n">
        <v>2085</v>
      </c>
      <c r="J34" s="38"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37" t="n">
        <v>0.802469</v>
      </c>
      <c r="H35" s="37" t="n">
        <v>0</v>
      </c>
      <c r="I35" s="38" t="n">
        <v>1747</v>
      </c>
      <c r="J35" s="38"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37" t="n">
        <v>0.789474</v>
      </c>
      <c r="H36" s="37" t="n">
        <v>0.784</v>
      </c>
      <c r="I36" s="38" t="n">
        <v>1638</v>
      </c>
      <c r="J36" s="38"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37" t="n">
        <v>0.3952100000000001</v>
      </c>
      <c r="H37" s="37" t="n">
        <v>0</v>
      </c>
      <c r="I37" s="38" t="n">
        <v>1773</v>
      </c>
      <c r="J37" s="38"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37" t="n">
        <v>0.37037</v>
      </c>
      <c r="H38" s="37" t="n">
        <v>0.852</v>
      </c>
      <c r="I38" s="38" t="n">
        <v>1632</v>
      </c>
      <c r="J38" s="38"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37" t="n">
        <v>0.7393000000000001</v>
      </c>
      <c r="H39" s="37" t="n">
        <v>0.673</v>
      </c>
      <c r="I39" s="38" t="n">
        <v>1330</v>
      </c>
      <c r="J39" s="38"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37" t="n">
        <v>0.583062</v>
      </c>
      <c r="H40" s="37" t="n">
        <v>0.59</v>
      </c>
      <c r="I40" s="38" t="n">
        <v>2076</v>
      </c>
      <c r="J40" s="38"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37" t="n"/>
      <c r="H41" s="37" t="n">
        <v>0.89</v>
      </c>
      <c r="I41" s="38" t="n"/>
      <c r="J41" s="38"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37" t="n"/>
      <c r="H42" s="37" t="n">
        <v>0.256</v>
      </c>
      <c r="I42" s="38" t="n"/>
      <c r="J42" s="38"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37" t="n"/>
      <c r="H43" s="37" t="n">
        <v>0.844</v>
      </c>
      <c r="I43" s="38" t="n"/>
      <c r="J43" s="38"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37" t="n">
        <v>0.797059</v>
      </c>
      <c r="H44" s="37" t="n">
        <v>0.8080000000000001</v>
      </c>
      <c r="I44" s="38" t="n">
        <v>1680</v>
      </c>
      <c r="J44" s="38"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37" t="n">
        <v>0.891892</v>
      </c>
      <c r="H45" s="37" t="n">
        <v>0.9350000000000001</v>
      </c>
      <c r="I45" s="38" t="n">
        <v>1900</v>
      </c>
      <c r="J45" s="38"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37" t="n">
        <v>0.879032</v>
      </c>
      <c r="H46" s="37" t="n">
        <v>0.919</v>
      </c>
      <c r="I46" s="38" t="n">
        <v>2183</v>
      </c>
      <c r="J46" s="38"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37" t="n">
        <v>0.878788</v>
      </c>
      <c r="H47" s="37" t="n">
        <v>0.889</v>
      </c>
      <c r="I47" s="38" t="n">
        <v>1691</v>
      </c>
      <c r="J47" s="38"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37" t="n">
        <v>0.829114</v>
      </c>
      <c r="H48" s="37" t="n">
        <v>0.842</v>
      </c>
      <c r="I48" s="38" t="n">
        <v>1663</v>
      </c>
      <c r="J48" s="38"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37" t="n">
        <v>0.7833330000000001</v>
      </c>
      <c r="H49" s="37" t="n">
        <v>0.836</v>
      </c>
      <c r="I49" s="38" t="n">
        <v>1610</v>
      </c>
      <c r="J49" s="38"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37" t="n">
        <v>0.855721</v>
      </c>
      <c r="H50" s="37" t="n">
        <v>0.901</v>
      </c>
      <c r="I50" s="38" t="n">
        <v>1542</v>
      </c>
      <c r="J50" s="38"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37" t="n">
        <v>0.616708</v>
      </c>
      <c r="H51" s="37" t="n">
        <v>0.514</v>
      </c>
      <c r="I51" s="38" t="n">
        <v>1743</v>
      </c>
      <c r="J51" s="38" t="n">
        <v>1676</v>
      </c>
      <c r="K51" t="inlineStr">
        <is>
          <t>CoStar+RealPage</t>
        </is>
      </c>
      <c r="L51" t="inlineStr">
        <is>
          <t>Units: CoStar 407 vs RealPage 212; Year built: 2024/2025; Delivery quarter estimated; Occ: CoStar 62% vs RealPage 51%; Verify rent/occ w/ HelloData</t>
        </is>
      </c>
    </row>
    <row r="52">
      <c r="A52" t="inlineStr">
        <is>
          <t>FUZE Ballpark</t>
        </is>
      </c>
      <c r="B52" t="inlineStr">
        <is>
          <t>6255 N Ball Park Blvd</t>
        </is>
      </c>
      <c r="C52" t="n">
        <v>321</v>
      </c>
      <c r="D52" t="n">
        <v>2026</v>
      </c>
      <c r="F52" t="inlineStr">
        <is>
          <t>UNDER CONSTRUCTION</t>
        </is>
      </c>
      <c r="G52" s="37" t="n"/>
      <c r="H52" s="37" t="n"/>
      <c r="I52" s="38" t="n"/>
      <c r="J52" s="38" t="n"/>
      <c r="K52" t="inlineStr">
        <is>
          <t>CoStar+RealPage</t>
        </is>
      </c>
      <c r="L52" t="inlineStr"/>
    </row>
    <row r="53">
      <c r="A53" t="inlineStr">
        <is>
          <t>Zen @ Angelina</t>
        </is>
      </c>
      <c r="B53" t="inlineStr">
        <is>
          <t>956 Castillo Dr S</t>
        </is>
      </c>
      <c r="C53" t="n">
        <v>130</v>
      </c>
      <c r="D53" t="n">
        <v>2027</v>
      </c>
      <c r="F53" t="inlineStr">
        <is>
          <t>UNDER CONSTRUCTION</t>
        </is>
      </c>
      <c r="G53" s="37" t="n"/>
      <c r="H53" s="37" t="n"/>
      <c r="I53" s="38" t="n"/>
      <c r="J53" s="38" t="n"/>
      <c r="K53" t="inlineStr">
        <is>
          <t>CoStar+RealPage</t>
        </is>
      </c>
      <c r="L53" t="inlineStr">
        <is>
          <t>Year built: 2027/2028</t>
        </is>
      </c>
    </row>
    <row r="54">
      <c r="A54" t="inlineStr">
        <is>
          <t>Yardly Algodon</t>
        </is>
      </c>
      <c r="B54" t="inlineStr">
        <is>
          <t>9225 W Indian School Rd</t>
        </is>
      </c>
      <c r="C54" t="n">
        <v>262</v>
      </c>
      <c r="D54" t="n">
        <v>2026</v>
      </c>
      <c r="F54" t="inlineStr">
        <is>
          <t>UNDER CONSTRUCTION</t>
        </is>
      </c>
      <c r="G54" s="37" t="n"/>
      <c r="H54" s="37" t="n"/>
      <c r="I54" s="38" t="n">
        <v>1781</v>
      </c>
      <c r="J54" s="38" t="n"/>
      <c r="K54" t="inlineStr">
        <is>
          <t>CoStar+RealPage</t>
        </is>
      </c>
      <c r="L54" t="inlineStr">
        <is>
          <t>Units: CoStar 262 vs RealPage 291; Year built: 2026/2027</t>
        </is>
      </c>
    </row>
    <row r="55">
      <c r="A55" t="inlineStr">
        <is>
          <t>HARMON Ascend</t>
        </is>
      </c>
      <c r="B55" t="inlineStr">
        <is>
          <t>12805 W Indian School Rd</t>
        </is>
      </c>
      <c r="C55" t="n">
        <v>125</v>
      </c>
      <c r="D55" t="n">
        <v>2026</v>
      </c>
      <c r="F55" t="inlineStr">
        <is>
          <t>UNDER CONSTRUCTION</t>
        </is>
      </c>
      <c r="G55" s="37" t="n"/>
      <c r="H55" s="37" t="n"/>
      <c r="I55" s="38" t="n">
        <v>2788</v>
      </c>
      <c r="J55" s="38" t="n"/>
      <c r="K55" t="inlineStr">
        <is>
          <t>CoStar+RealPage</t>
        </is>
      </c>
      <c r="L55" t="inlineStr"/>
    </row>
    <row r="56">
      <c r="A56" t="inlineStr">
        <is>
          <t>Cerro Vista</t>
        </is>
      </c>
      <c r="B56" t="inlineStr">
        <is>
          <t>12116 W Van Buren St</t>
        </is>
      </c>
      <c r="C56" t="n">
        <v>255</v>
      </c>
      <c r="D56" t="n">
        <v>2026</v>
      </c>
      <c r="F56" t="inlineStr">
        <is>
          <t>UNDER CONSTRUCTION</t>
        </is>
      </c>
      <c r="G56" s="37" t="n"/>
      <c r="H56" s="37" t="n"/>
      <c r="I56" s="38" t="n"/>
      <c r="J56" s="38" t="n"/>
      <c r="K56" t="inlineStr">
        <is>
          <t>CoStar</t>
        </is>
      </c>
      <c r="L56" t="inlineStr"/>
    </row>
    <row r="57">
      <c r="A57" t="inlineStr">
        <is>
          <t>Pointe Grand Estrella at Phoenix</t>
        </is>
      </c>
      <c r="B57" t="inlineStr">
        <is>
          <t>10649 W Buckeye Rd</t>
        </is>
      </c>
      <c r="C57" t="n">
        <v>288</v>
      </c>
      <c r="D57" t="n">
        <v>2026</v>
      </c>
      <c r="F57" t="inlineStr">
        <is>
          <t>UNDER CONSTRUCTION</t>
        </is>
      </c>
      <c r="G57" s="37" t="n"/>
      <c r="H57" s="37" t="n"/>
      <c r="I57" s="38" t="n">
        <v>1650</v>
      </c>
      <c r="J57" s="38" t="n"/>
      <c r="K57" t="inlineStr">
        <is>
          <t>CoStar+RealPage</t>
        </is>
      </c>
      <c r="L57" t="inlineStr">
        <is>
          <t>Year built: 2026/2027</t>
        </is>
      </c>
    </row>
    <row r="58">
      <c r="A58" t="inlineStr">
        <is>
          <t>Marbella Ranch East I</t>
        </is>
      </c>
      <c r="B58" t="inlineStr">
        <is>
          <t>7725 El Mirage Rd</t>
        </is>
      </c>
      <c r="C58" t="n">
        <v>144</v>
      </c>
      <c r="D58" t="n">
        <v>2027</v>
      </c>
      <c r="F58" t="inlineStr">
        <is>
          <t>UNDER CONSTRUCTION</t>
        </is>
      </c>
      <c r="G58" s="37" t="n"/>
      <c r="H58" s="37" t="n"/>
      <c r="I58" s="38" t="n"/>
      <c r="J58" s="38" t="n"/>
      <c r="K58" t="inlineStr">
        <is>
          <t>RealPage</t>
        </is>
      </c>
      <c r="L58" t="inlineStr"/>
    </row>
    <row r="59">
      <c r="A59" t="inlineStr">
        <is>
          <t>Villages at Northern</t>
        </is>
      </c>
      <c r="B59" t="inlineStr">
        <is>
          <t>7910 N 107th Ave</t>
        </is>
      </c>
      <c r="C59" t="n">
        <v>74</v>
      </c>
      <c r="D59" t="n">
        <v>2027</v>
      </c>
      <c r="F59" t="inlineStr">
        <is>
          <t>UNDER CONSTRUCTION</t>
        </is>
      </c>
      <c r="G59" s="37" t="n"/>
      <c r="H59" s="37" t="n"/>
      <c r="I59" s="38" t="n"/>
      <c r="J59" s="38" t="n"/>
      <c r="K59" t="inlineStr">
        <is>
          <t>RealPage</t>
        </is>
      </c>
      <c r="L59" t="inlineStr"/>
    </row>
    <row r="60">
      <c r="A60" t="inlineStr">
        <is>
          <t>Prosper 47</t>
        </is>
      </c>
      <c r="B60" t="inlineStr">
        <is>
          <t>13426 W Van Buren St</t>
        </is>
      </c>
      <c r="C60" t="n">
        <v>47</v>
      </c>
      <c r="D60" t="n">
        <v>2027</v>
      </c>
      <c r="F60" t="inlineStr">
        <is>
          <t>UNDER CONSTRUCTION</t>
        </is>
      </c>
      <c r="G60" s="37" t="n"/>
      <c r="H60" s="37" t="n"/>
      <c r="I60" s="38" t="n"/>
      <c r="J60" s="38" t="n"/>
      <c r="K60" t="inlineStr">
        <is>
          <t>RealPage</t>
        </is>
      </c>
      <c r="L60" t="inlineStr">
        <is>
          <t>RealPage only (sub-50 unit)</t>
        </is>
      </c>
    </row>
    <row r="61">
      <c r="A61" t="inlineStr">
        <is>
          <t>Zanjero III</t>
        </is>
      </c>
      <c r="B61" t="inlineStr">
        <is>
          <t>7151 N Zanjero Blvd</t>
        </is>
      </c>
      <c r="C61" t="n">
        <v>301</v>
      </c>
      <c r="D61" t="n">
        <v>2028</v>
      </c>
      <c r="F61" t="inlineStr">
        <is>
          <t>UNDER CONSTRUCTION</t>
        </is>
      </c>
      <c r="G61" s="37" t="n"/>
      <c r="H61" s="37" t="n"/>
      <c r="I61" s="38" t="n"/>
      <c r="J61" s="38" t="n"/>
      <c r="K61" t="inlineStr">
        <is>
          <t>RealPage</t>
        </is>
      </c>
      <c r="L61" t="inlineStr"/>
    </row>
    <row r="62">
      <c r="A62" t="inlineStr">
        <is>
          <t>Northern 107</t>
        </is>
      </c>
      <c r="B62" t="inlineStr">
        <is>
          <t>N 107th Ave</t>
        </is>
      </c>
      <c r="C62" t="n">
        <v>74</v>
      </c>
      <c r="F62" t="inlineStr">
        <is>
          <t>PROPOSED</t>
        </is>
      </c>
      <c r="G62" s="37" t="n"/>
      <c r="H62" s="37" t="n"/>
      <c r="I62" s="38" t="n"/>
      <c r="J62" s="38" t="n"/>
      <c r="K62" t="inlineStr">
        <is>
          <t>CoStar</t>
        </is>
      </c>
      <c r="L62" t="inlineStr"/>
    </row>
    <row r="63">
      <c r="A63" t="inlineStr">
        <is>
          <t>The Waverly</t>
        </is>
      </c>
      <c r="B63" t="inlineStr">
        <is>
          <t>391 S 99th Ave</t>
        </is>
      </c>
      <c r="C63" t="n">
        <v>323</v>
      </c>
      <c r="D63" t="n">
        <v>2028</v>
      </c>
      <c r="F63" t="inlineStr">
        <is>
          <t>PROPOSED</t>
        </is>
      </c>
      <c r="G63" s="37" t="n"/>
      <c r="H63" s="37" t="n"/>
      <c r="I63" s="38" t="n"/>
      <c r="J63" s="38" t="n"/>
      <c r="K63" t="inlineStr">
        <is>
          <t>CoStar+RealPage</t>
        </is>
      </c>
      <c r="L63" t="inlineStr"/>
    </row>
    <row r="64">
      <c r="A64" t="inlineStr">
        <is>
          <t>The Statler at Estrella Parkway</t>
        </is>
      </c>
      <c r="B64" t="inlineStr">
        <is>
          <t>240 N Estrella Pky</t>
        </is>
      </c>
      <c r="C64" t="n">
        <v>284</v>
      </c>
      <c r="F64" t="inlineStr">
        <is>
          <t>PROPOSED</t>
        </is>
      </c>
      <c r="G64" s="37" t="n"/>
      <c r="H64" s="37" t="n"/>
      <c r="I64" s="38" t="n"/>
      <c r="J64" s="38" t="n"/>
      <c r="K64" t="inlineStr">
        <is>
          <t>CoStar</t>
        </is>
      </c>
      <c r="L64" t="inlineStr"/>
    </row>
    <row r="65">
      <c r="A65" t="inlineStr">
        <is>
          <t>Encore Avondale</t>
        </is>
      </c>
      <c r="B65" t="inlineStr">
        <is>
          <t>11295 W Roosevelt St</t>
        </is>
      </c>
      <c r="C65" t="n">
        <v>300</v>
      </c>
      <c r="D65" t="n">
        <v>2027</v>
      </c>
      <c r="F65" t="inlineStr">
        <is>
          <t>PROPOSED</t>
        </is>
      </c>
      <c r="G65" s="37" t="n"/>
      <c r="H65" s="37" t="n"/>
      <c r="I65" s="38" t="n"/>
      <c r="J65" s="38" t="n"/>
      <c r="K65" t="inlineStr">
        <is>
          <t>CoStar+RealPage</t>
        </is>
      </c>
      <c r="L65" t="inlineStr"/>
    </row>
    <row r="66">
      <c r="A66" t="inlineStr">
        <is>
          <t>Ascent Goodyear</t>
        </is>
      </c>
      <c r="B66" t="inlineStr">
        <is>
          <t>15681 W Roosevelt St</t>
        </is>
      </c>
      <c r="C66" t="n">
        <v>113</v>
      </c>
      <c r="D66" t="n">
        <v>2027</v>
      </c>
      <c r="F66" t="inlineStr">
        <is>
          <t>PROPOSED</t>
        </is>
      </c>
      <c r="G66" s="37" t="n"/>
      <c r="H66" s="37" t="n"/>
      <c r="I66" s="38" t="n"/>
      <c r="J66" s="38" t="n"/>
      <c r="K66" t="inlineStr">
        <is>
          <t>CoStar</t>
        </is>
      </c>
      <c r="L66" t="inlineStr"/>
    </row>
    <row r="67">
      <c r="A67" t="inlineStr">
        <is>
          <t>District 99</t>
        </is>
      </c>
      <c r="B67" t="inlineStr">
        <is>
          <t>N 99th Ave &amp; W McDowell Rd</t>
        </is>
      </c>
      <c r="C67" t="n">
        <v>172</v>
      </c>
      <c r="F67" t="inlineStr">
        <is>
          <t>PROPOSED</t>
        </is>
      </c>
      <c r="G67" s="37" t="n"/>
      <c r="H67" s="37" t="n"/>
      <c r="I67" s="38" t="n"/>
      <c r="J67" s="38" t="n"/>
      <c r="K67" t="inlineStr">
        <is>
          <t>RealPage</t>
        </is>
      </c>
      <c r="L67" t="inlineStr">
        <is>
          <t>RealPage pipeline (not yet in CoStar)</t>
        </is>
      </c>
    </row>
    <row r="68">
      <c r="A68" t="inlineStr">
        <is>
          <t>Liv Avondale</t>
        </is>
      </c>
      <c r="B68" t="inlineStr">
        <is>
          <t>W Indian School Rd &amp; N 99th Ave</t>
        </is>
      </c>
      <c r="C68" t="n">
        <v>333</v>
      </c>
      <c r="F68" t="inlineStr">
        <is>
          <t>PROPOSED</t>
        </is>
      </c>
      <c r="G68" s="37" t="n"/>
      <c r="H68" s="37" t="n"/>
      <c r="I68" s="38" t="n"/>
      <c r="J68" s="38" t="n"/>
      <c r="K68" t="inlineStr">
        <is>
          <t>RealPage</t>
        </is>
      </c>
      <c r="L68" t="inlineStr">
        <is>
          <t>RealPage pipeline (not yet in CoStar)</t>
        </is>
      </c>
    </row>
    <row r="69">
      <c r="A69" t="inlineStr">
        <is>
          <t>Sanctuair at Centerscape</t>
        </is>
      </c>
      <c r="B69" t="inlineStr">
        <is>
          <t>1450 N 145th Ave</t>
        </is>
      </c>
      <c r="C69" t="n">
        <v>303</v>
      </c>
      <c r="F69" t="inlineStr">
        <is>
          <t>PROPOSED</t>
        </is>
      </c>
      <c r="G69" s="37" t="n"/>
      <c r="H69" s="37" t="n"/>
      <c r="I69" s="38" t="n"/>
      <c r="J69" s="38" t="n"/>
      <c r="K69" t="inlineStr">
        <is>
          <t>RealPage</t>
        </is>
      </c>
      <c r="L69" t="inlineStr">
        <is>
          <t>RealPage pipeline (not yet in CoStar)</t>
        </is>
      </c>
    </row>
    <row r="70">
      <c r="A70" t="inlineStr">
        <is>
          <t>Cornerstone at the Wigwam</t>
        </is>
      </c>
      <c r="B70" t="inlineStr">
        <is>
          <t>Litchfield Rd &amp; Wigwam Blvd</t>
        </is>
      </c>
      <c r="C70" t="n">
        <v>212</v>
      </c>
      <c r="F70" t="inlineStr">
        <is>
          <t>PROPOSED</t>
        </is>
      </c>
      <c r="G70" s="37" t="n"/>
      <c r="H70" s="37" t="n"/>
      <c r="I70" s="38" t="n"/>
      <c r="J70" s="38" t="n"/>
      <c r="K70" t="inlineStr">
        <is>
          <t>RealPage</t>
        </is>
      </c>
      <c r="L70" t="inlineStr">
        <is>
          <t>RealPage pipeline (not yet in CoStar)</t>
        </is>
      </c>
    </row>
    <row r="71">
      <c r="A71" t="inlineStr">
        <is>
          <t>The BLVD Residential District</t>
        </is>
      </c>
      <c r="B71" t="inlineStr">
        <is>
          <t>W Roosevelt St &amp; W Hilton Way</t>
        </is>
      </c>
      <c r="F71" t="inlineStr">
        <is>
          <t>PROPOSED</t>
        </is>
      </c>
      <c r="G71" s="37" t="n"/>
      <c r="H71" s="37" t="n"/>
      <c r="I71" s="38" t="n"/>
      <c r="J71" s="38" t="n"/>
      <c r="K71" t="inlineStr">
        <is>
          <t>RealPage</t>
        </is>
      </c>
      <c r="L71" t="inlineStr">
        <is>
          <t>RealPage pipeline (not yet in CoStar)</t>
        </is>
      </c>
    </row>
    <row r="72">
      <c r="A72" t="inlineStr">
        <is>
          <t>Crystal Cove</t>
        </is>
      </c>
      <c r="B72" t="inlineStr">
        <is>
          <t>290 E La Canada Blvd</t>
        </is>
      </c>
      <c r="C72" t="n">
        <v>260</v>
      </c>
      <c r="F72" t="inlineStr">
        <is>
          <t>PROPOSED</t>
        </is>
      </c>
      <c r="G72" s="37" t="n"/>
      <c r="H72" s="37" t="n"/>
      <c r="I72" s="38" t="n"/>
      <c r="J72" s="38" t="n"/>
      <c r="K72" t="inlineStr">
        <is>
          <t>RealPage</t>
        </is>
      </c>
      <c r="L72" t="inlineStr">
        <is>
          <t>RealPage pipeline (not yet in CoStar)</t>
        </is>
      </c>
    </row>
    <row r="73">
      <c r="A73" t="inlineStr">
        <is>
          <t>The BLVD Park Avenue District</t>
        </is>
      </c>
      <c r="B73" t="inlineStr">
        <is>
          <t>N Avondale Blvd &amp; W Van Buren St</t>
        </is>
      </c>
      <c r="F73" t="inlineStr">
        <is>
          <t>PROPOSED</t>
        </is>
      </c>
      <c r="G73" s="37" t="n"/>
      <c r="H73" s="37" t="n"/>
      <c r="I73" s="38" t="n"/>
      <c r="J73" s="38" t="n"/>
      <c r="K73" t="inlineStr">
        <is>
          <t>RealPage</t>
        </is>
      </c>
      <c r="L73" t="inlineStr">
        <is>
          <t>RealPage pipeline (not yet in CoStar)</t>
        </is>
      </c>
    </row>
    <row r="74">
      <c r="A74" t="inlineStr">
        <is>
          <t>Western Garden II</t>
        </is>
      </c>
      <c r="B74" t="inlineStr">
        <is>
          <t>3301 N 99th Ave</t>
        </is>
      </c>
      <c r="C74" t="n">
        <v>314</v>
      </c>
      <c r="F74" t="inlineStr">
        <is>
          <t>PROPOSED</t>
        </is>
      </c>
      <c r="G74" s="37" t="n"/>
      <c r="H74" s="37" t="n"/>
      <c r="I74" s="38" t="n"/>
      <c r="J74" s="38" t="n"/>
      <c r="K74" t="inlineStr">
        <is>
          <t>RealPage</t>
        </is>
      </c>
      <c r="L74" t="inlineStr">
        <is>
          <t>RealPage pipeline (not yet in CoStar)</t>
        </is>
      </c>
    </row>
    <row r="75">
      <c r="A75" t="inlineStr">
        <is>
          <t>Tavalo at Avondale</t>
        </is>
      </c>
      <c r="B75" t="inlineStr">
        <is>
          <t>12451 W Buckeye Rd</t>
        </is>
      </c>
      <c r="C75" t="n">
        <v>266</v>
      </c>
      <c r="F75" t="inlineStr">
        <is>
          <t>PROPOSED</t>
        </is>
      </c>
      <c r="G75" s="37" t="n"/>
      <c r="H75" s="37" t="n"/>
      <c r="I75" s="38" t="n"/>
      <c r="J75" s="38" t="n"/>
      <c r="K75" t="inlineStr">
        <is>
          <t>RealPage</t>
        </is>
      </c>
      <c r="L75" t="inlineStr">
        <is>
          <t>RealPage pipeline (not yet in CoStar)</t>
        </is>
      </c>
    </row>
    <row r="76">
      <c r="A76" t="inlineStr">
        <is>
          <t>Globe Land Investors Development</t>
        </is>
      </c>
      <c r="B76" t="inlineStr">
        <is>
          <t>N Bullard Ave &amp; W McDowell Rd</t>
        </is>
      </c>
      <c r="F76" t="inlineStr">
        <is>
          <t>PROPOSED</t>
        </is>
      </c>
      <c r="G76" s="37" t="n"/>
      <c r="H76" s="37" t="n"/>
      <c r="I76" s="38" t="n"/>
      <c r="J76" s="38" t="n"/>
      <c r="K76" t="inlineStr">
        <is>
          <t>RealPage</t>
        </is>
      </c>
      <c r="L76" t="inlineStr">
        <is>
          <t>RealPage pipeline (not yet in CoStar)</t>
        </is>
      </c>
    </row>
    <row r="77">
      <c r="A77" t="inlineStr">
        <is>
          <t>Ball Park</t>
        </is>
      </c>
      <c r="B77" t="inlineStr">
        <is>
          <t>6450 N 99th Ave</t>
        </is>
      </c>
      <c r="F77" t="inlineStr">
        <is>
          <t>PROPOSED</t>
        </is>
      </c>
      <c r="G77" s="37" t="n"/>
      <c r="H77" s="37" t="n"/>
      <c r="I77" s="38" t="n"/>
      <c r="J77" s="38" t="n"/>
      <c r="K77" t="inlineStr">
        <is>
          <t>RealPage</t>
        </is>
      </c>
      <c r="L77" t="inlineStr">
        <is>
          <t>RealPage pipeline (not yet in CoStar)</t>
        </is>
      </c>
    </row>
    <row r="78">
      <c r="A78" t="inlineStr">
        <is>
          <t>Urban 95 Parcel B</t>
        </is>
      </c>
      <c r="B78" t="inlineStr">
        <is>
          <t>N 95th Ave &amp; W Georgia Ave</t>
        </is>
      </c>
      <c r="C78" t="n">
        <v>478</v>
      </c>
      <c r="F78" t="inlineStr">
        <is>
          <t>PROPOSED</t>
        </is>
      </c>
      <c r="G78" s="37" t="n"/>
      <c r="H78" s="37" t="n"/>
      <c r="I78" s="38" t="n"/>
      <c r="J78" s="38" t="n"/>
      <c r="K78" t="inlineStr">
        <is>
          <t>RealPage</t>
        </is>
      </c>
      <c r="L78" t="inlineStr">
        <is>
          <t>RealPage pipeline (not yet in CoStar)</t>
        </is>
      </c>
    </row>
    <row r="79">
      <c r="A79" t="inlineStr">
        <is>
          <t>The District at Westgate</t>
        </is>
      </c>
      <c r="B79" t="inlineStr">
        <is>
          <t>6801 N 91st Ave</t>
        </is>
      </c>
      <c r="C79" t="n">
        <v>384</v>
      </c>
      <c r="F79" t="inlineStr">
        <is>
          <t>PROPOSED</t>
        </is>
      </c>
      <c r="G79" s="37" t="n"/>
      <c r="H79" s="37" t="n"/>
      <c r="I79" s="38" t="n"/>
      <c r="J79" s="38" t="n"/>
      <c r="K79" t="inlineStr">
        <is>
          <t>RealPage</t>
        </is>
      </c>
      <c r="L79" t="inlineStr">
        <is>
          <t>RealPage pipeline (not yet in CoStar)</t>
        </is>
      </c>
    </row>
    <row r="80">
      <c r="A80" t="inlineStr">
        <is>
          <t>Vision 2 Parcel A</t>
        </is>
      </c>
      <c r="B80" t="inlineStr">
        <is>
          <t>W Glendale Ave &amp; N 99th Ave</t>
        </is>
      </c>
      <c r="F80" t="inlineStr">
        <is>
          <t>PROPOSED</t>
        </is>
      </c>
      <c r="G80" s="37" t="n"/>
      <c r="H80" s="37" t="n"/>
      <c r="I80" s="38" t="n"/>
      <c r="J80" s="38" t="n"/>
      <c r="K80" t="inlineStr">
        <is>
          <t>RealPage</t>
        </is>
      </c>
      <c r="L80" t="inlineStr">
        <is>
          <t>RealPage pipeline (not yet in CoStar)</t>
        </is>
      </c>
    </row>
    <row r="81">
      <c r="A81" t="inlineStr">
        <is>
          <t>Anton Glendale</t>
        </is>
      </c>
      <c r="B81" t="inlineStr">
        <is>
          <t>5149 &amp; 5205 N 99th Ave</t>
        </is>
      </c>
      <c r="C81" t="n">
        <v>320</v>
      </c>
      <c r="F81" t="inlineStr">
        <is>
          <t>PROPOSED</t>
        </is>
      </c>
      <c r="G81" s="37" t="n"/>
      <c r="H81" s="37" t="n"/>
      <c r="I81" s="38" t="n"/>
      <c r="J81" s="38" t="n"/>
      <c r="K81" t="inlineStr">
        <is>
          <t>RealPage</t>
        </is>
      </c>
      <c r="L81" t="inlineStr">
        <is>
          <t>RealPage pipeline (not yet in CoStar)</t>
        </is>
      </c>
    </row>
    <row r="82">
      <c r="A82" t="inlineStr">
        <is>
          <t>Banyan Avondale</t>
        </is>
      </c>
      <c r="B82" t="inlineStr">
        <is>
          <t>Dysart Rd &amp; E Madison St</t>
        </is>
      </c>
      <c r="C82" t="n">
        <v>296</v>
      </c>
      <c r="F82" t="inlineStr">
        <is>
          <t>PROPOSED</t>
        </is>
      </c>
      <c r="G82" s="37" t="n"/>
      <c r="H82" s="37" t="n"/>
      <c r="I82" s="38" t="n"/>
      <c r="J82" s="38" t="n"/>
      <c r="K82" t="inlineStr">
        <is>
          <t>RealPage</t>
        </is>
      </c>
      <c r="L82" t="inlineStr">
        <is>
          <t>RealPage pipeline (not yet in CoStar)</t>
        </is>
      </c>
    </row>
    <row r="83">
      <c r="A83" t="inlineStr">
        <is>
          <t>Celebration Plaza Parcel B</t>
        </is>
      </c>
      <c r="B83" t="inlineStr">
        <is>
          <t>844 Litchfield Rd</t>
        </is>
      </c>
      <c r="C83" t="n">
        <v>410</v>
      </c>
      <c r="F83" t="inlineStr">
        <is>
          <t>PROPOSED</t>
        </is>
      </c>
      <c r="G83" s="37" t="n"/>
      <c r="H83" s="37" t="n"/>
      <c r="I83" s="38" t="n"/>
      <c r="J83" s="38" t="n"/>
      <c r="K83" t="inlineStr">
        <is>
          <t>RealPage</t>
        </is>
      </c>
      <c r="L83" t="inlineStr">
        <is>
          <t>RealPage pipeline (not yet in CoStar)</t>
        </is>
      </c>
    </row>
    <row r="84">
      <c r="A84" t="inlineStr">
        <is>
          <t>Urban 95 Parcel A</t>
        </is>
      </c>
      <c r="B84" t="inlineStr">
        <is>
          <t>W Georgia Ave &amp; N 95th Ave</t>
        </is>
      </c>
      <c r="C84" t="n">
        <v>324</v>
      </c>
      <c r="F84" t="inlineStr">
        <is>
          <t>PROPOSED</t>
        </is>
      </c>
      <c r="G84" s="37" t="n"/>
      <c r="H84" s="37" t="n"/>
      <c r="I84" s="38" t="n"/>
      <c r="J84" s="38" t="n"/>
      <c r="K84" t="inlineStr">
        <is>
          <t>RealPage</t>
        </is>
      </c>
      <c r="L84" t="inlineStr">
        <is>
          <t>RealPage pipeline (not yet in CoStar)</t>
        </is>
      </c>
    </row>
    <row r="85">
      <c r="A85" t="inlineStr">
        <is>
          <t>Urban 95 Parcel C</t>
        </is>
      </c>
      <c r="B85" t="inlineStr">
        <is>
          <t>W Georgia Ave &amp; N 95th Ave</t>
        </is>
      </c>
      <c r="C85" t="n">
        <v>500</v>
      </c>
      <c r="F85" t="inlineStr">
        <is>
          <t>PROPOSED</t>
        </is>
      </c>
      <c r="G85" s="37" t="n"/>
      <c r="H85" s="37" t="n"/>
      <c r="I85" s="38" t="n"/>
      <c r="J85" s="38" t="n"/>
      <c r="K85" t="inlineStr">
        <is>
          <t>RealPage</t>
        </is>
      </c>
      <c r="L85" t="inlineStr">
        <is>
          <t>RealPage pipeline (not yet in CoStar)</t>
        </is>
      </c>
    </row>
    <row r="86">
      <c r="A86" t="inlineStr">
        <is>
          <t>Firststreet Verde</t>
        </is>
      </c>
      <c r="B86" t="inlineStr">
        <is>
          <t>9275 W Van Buren St</t>
        </is>
      </c>
      <c r="F86" t="inlineStr">
        <is>
          <t>PROPOSED</t>
        </is>
      </c>
      <c r="G86" s="37" t="n"/>
      <c r="H86" s="37" t="n"/>
      <c r="I86" s="38" t="n"/>
      <c r="J86" s="38" t="n"/>
      <c r="K86" t="inlineStr">
        <is>
          <t>RealPage</t>
        </is>
      </c>
      <c r="L86" t="inlineStr">
        <is>
          <t>RealPage pipeline (not yet in CoStar)</t>
        </is>
      </c>
    </row>
    <row r="87">
      <c r="A87" t="inlineStr">
        <is>
          <t>Radia Avondale Station III</t>
        </is>
      </c>
      <c r="B87" t="inlineStr">
        <is>
          <t>W Encanto Blvd &amp; N 99th Ave</t>
        </is>
      </c>
      <c r="C87" t="n">
        <v>212</v>
      </c>
      <c r="F87" t="inlineStr">
        <is>
          <t>PROPOSED</t>
        </is>
      </c>
      <c r="G87" s="37" t="n"/>
      <c r="H87" s="37" t="n"/>
      <c r="I87" s="38" t="n"/>
      <c r="J87" s="38" t="n"/>
      <c r="K87" t="inlineStr">
        <is>
          <t>RealPage</t>
        </is>
      </c>
      <c r="L87" t="inlineStr">
        <is>
          <t>RealPage pipeline (not yet in CoStar)</t>
        </is>
      </c>
    </row>
    <row r="88">
      <c r="A88" t="inlineStr">
        <is>
          <t>Rosilian Villas</t>
        </is>
      </c>
      <c r="B88" t="inlineStr">
        <is>
          <t>N Dysart Rd &amp; E Van Buren St</t>
        </is>
      </c>
      <c r="C88" t="n">
        <v>291</v>
      </c>
      <c r="F88" t="inlineStr">
        <is>
          <t>PROPOSED</t>
        </is>
      </c>
      <c r="G88" s="37" t="n"/>
      <c r="H88" s="37" t="n"/>
      <c r="I88" s="38" t="n"/>
      <c r="J88" s="38" t="n"/>
      <c r="K88" t="inlineStr">
        <is>
          <t>RealPage</t>
        </is>
      </c>
      <c r="L88" t="inlineStr">
        <is>
          <t>RealPage pipeline (not yet in CoStar)</t>
        </is>
      </c>
    </row>
    <row r="89">
      <c r="A89" t="inlineStr">
        <is>
          <t>Goodyear Civic Square at Estrella Falls</t>
        </is>
      </c>
      <c r="B89" t="inlineStr">
        <is>
          <t>W Monte Vista &amp; N 150th Dr</t>
        </is>
      </c>
      <c r="F89" t="inlineStr">
        <is>
          <t>PROPOSED</t>
        </is>
      </c>
      <c r="G89" s="37" t="n"/>
      <c r="H89" s="37" t="n"/>
      <c r="I89" s="38" t="n"/>
      <c r="J89" s="38" t="n"/>
      <c r="K89" t="inlineStr">
        <is>
          <t>RealPage</t>
        </is>
      </c>
      <c r="L89" t="inlineStr">
        <is>
          <t>RealPage pipeline (not yet in CoStar)</t>
        </is>
      </c>
    </row>
    <row r="90">
      <c r="A90" t="inlineStr">
        <is>
          <t>I-10 Innovation Center II</t>
        </is>
      </c>
      <c r="B90" t="inlineStr">
        <is>
          <t>N 91st Ave &amp; W Roosevelt St</t>
        </is>
      </c>
      <c r="F90" t="inlineStr">
        <is>
          <t>PROPOSED</t>
        </is>
      </c>
      <c r="G90" s="37" t="n"/>
      <c r="H90" s="37" t="n"/>
      <c r="I90" s="38" t="n"/>
      <c r="J90" s="38" t="n"/>
      <c r="K90" t="inlineStr">
        <is>
          <t>RealPage</t>
        </is>
      </c>
      <c r="L90" t="inlineStr">
        <is>
          <t>RealPage pipeline (not yet in CoStar)</t>
        </is>
      </c>
    </row>
    <row r="91">
      <c r="A91" t="inlineStr">
        <is>
          <t>Orion Avondale</t>
        </is>
      </c>
      <c r="B91" t="inlineStr">
        <is>
          <t>W McDowell Rd &amp; Avondale Blvd</t>
        </is>
      </c>
      <c r="C91" t="n">
        <v>268</v>
      </c>
      <c r="F91" t="inlineStr">
        <is>
          <t>PROPOSED</t>
        </is>
      </c>
      <c r="G91" s="37" t="n"/>
      <c r="H91" s="37" t="n"/>
      <c r="I91" s="38" t="n"/>
      <c r="J91" s="38" t="n"/>
      <c r="K91" t="inlineStr">
        <is>
          <t>RealPage</t>
        </is>
      </c>
      <c r="L91" t="inlineStr">
        <is>
          <t>RealPage pipeline (not yet in CoStar)</t>
        </is>
      </c>
    </row>
    <row r="92">
      <c r="A92" t="inlineStr">
        <is>
          <t>Celebration Plaza Parcel A</t>
        </is>
      </c>
      <c r="B92" t="inlineStr">
        <is>
          <t>Celebrate Life Way &amp; N Litchfield Rd</t>
        </is>
      </c>
      <c r="C92" t="n">
        <v>181</v>
      </c>
      <c r="F92" t="inlineStr">
        <is>
          <t>PROPOSED</t>
        </is>
      </c>
      <c r="G92" s="37" t="n"/>
      <c r="H92" s="37" t="n"/>
      <c r="I92" s="38" t="n"/>
      <c r="J92" s="38" t="n"/>
      <c r="K92" t="inlineStr">
        <is>
          <t>RealPage</t>
        </is>
      </c>
      <c r="L92" t="inlineStr">
        <is>
          <t>RealPage pipeline (not yet in CoStar)</t>
        </is>
      </c>
    </row>
    <row r="93">
      <c r="A93" t="inlineStr">
        <is>
          <t>Celebration Plaza Parcel D</t>
        </is>
      </c>
      <c r="B93" t="inlineStr">
        <is>
          <t>Celebrate Life Way &amp; N Litchfield Rd</t>
        </is>
      </c>
      <c r="F93" t="inlineStr">
        <is>
          <t>PROPOSED</t>
        </is>
      </c>
      <c r="G93" s="37" t="n"/>
      <c r="H93" s="37" t="n"/>
      <c r="I93" s="38" t="n"/>
      <c r="J93" s="38" t="n"/>
      <c r="K93" t="inlineStr">
        <is>
          <t>RealPage</t>
        </is>
      </c>
      <c r="L93" t="inlineStr">
        <is>
          <t>RealPage pipeline (not yet in CoStar)</t>
        </is>
      </c>
    </row>
    <row r="94">
      <c r="A94" t="inlineStr">
        <is>
          <t>Sheely Center Future Phase</t>
        </is>
      </c>
      <c r="B94" t="inlineStr">
        <is>
          <t>2215 N 99th Ave</t>
        </is>
      </c>
      <c r="C94" t="n">
        <v>697</v>
      </c>
      <c r="F94" t="inlineStr">
        <is>
          <t>PROPOSED</t>
        </is>
      </c>
      <c r="G94" s="37" t="n"/>
      <c r="H94" s="37" t="n"/>
      <c r="I94" s="38" t="n"/>
      <c r="J94" s="38" t="n"/>
      <c r="K94" t="inlineStr">
        <is>
          <t>RealPage</t>
        </is>
      </c>
      <c r="L94" t="inlineStr">
        <is>
          <t>RealPage pipeline (not yet in CoStar)</t>
        </is>
      </c>
    </row>
    <row r="95">
      <c r="A95" t="inlineStr">
        <is>
          <t>Porter Kyle Development</t>
        </is>
      </c>
      <c r="B95" t="inlineStr">
        <is>
          <t>W Camelback Rd &amp; S Denny Blvd</t>
        </is>
      </c>
      <c r="C95" t="n">
        <v>135</v>
      </c>
      <c r="F95" t="inlineStr">
        <is>
          <t>PROPOSED</t>
        </is>
      </c>
      <c r="G95" s="37" t="n"/>
      <c r="H95" s="37" t="n"/>
      <c r="I95" s="38" t="n"/>
      <c r="J95" s="38" t="n"/>
      <c r="K95" t="inlineStr">
        <is>
          <t>RealPage</t>
        </is>
      </c>
      <c r="L95" t="inlineStr">
        <is>
          <t>RealPage pipeline (not yet in CoStar)</t>
        </is>
      </c>
    </row>
    <row r="96">
      <c r="A96" t="inlineStr">
        <is>
          <t>McDowell Villas</t>
        </is>
      </c>
      <c r="B96" t="inlineStr">
        <is>
          <t>11791 W McDowell Rd</t>
        </is>
      </c>
      <c r="C96" t="n">
        <v>164</v>
      </c>
      <c r="F96" t="inlineStr">
        <is>
          <t>PROPOSED</t>
        </is>
      </c>
      <c r="G96" s="37" t="n"/>
      <c r="H96" s="37" t="n"/>
      <c r="I96" s="38" t="n"/>
      <c r="J96" s="38" t="n"/>
      <c r="K96" t="inlineStr">
        <is>
          <t>RealPage</t>
        </is>
      </c>
      <c r="L96" t="inlineStr">
        <is>
          <t>RealPage pipeline (not yet in CoStar)</t>
        </is>
      </c>
    </row>
    <row r="97">
      <c r="A97" t="inlineStr">
        <is>
          <t>SimonMed Development II</t>
        </is>
      </c>
      <c r="B97" t="inlineStr">
        <is>
          <t>W Glendale Ave &amp; N 99th Ave</t>
        </is>
      </c>
      <c r="F97" t="inlineStr">
        <is>
          <t>PROPOSED</t>
        </is>
      </c>
      <c r="G97" s="37" t="n"/>
      <c r="H97" s="37" t="n"/>
      <c r="I97" s="38" t="n"/>
      <c r="J97" s="38" t="n"/>
      <c r="K97" t="inlineStr">
        <is>
          <t>RealPage</t>
        </is>
      </c>
      <c r="L97" t="inlineStr">
        <is>
          <t>RealPage pipeline (not yet in CoStar)</t>
        </is>
      </c>
    </row>
    <row r="98">
      <c r="A98" t="inlineStr">
        <is>
          <t>182 South 95th Avenue</t>
        </is>
      </c>
      <c r="B98" t="inlineStr">
        <is>
          <t>182 S 95th Ave</t>
        </is>
      </c>
      <c r="F98" t="inlineStr">
        <is>
          <t>PROPOSED</t>
        </is>
      </c>
      <c r="G98" s="37" t="n"/>
      <c r="H98" s="37" t="n"/>
      <c r="I98" s="38" t="n"/>
      <c r="J98" s="38" t="n"/>
      <c r="K98" t="inlineStr">
        <is>
          <t>RealPage</t>
        </is>
      </c>
      <c r="L98" t="inlineStr">
        <is>
          <t>RealPage pipeline (not yet in CoStar)</t>
        </is>
      </c>
    </row>
    <row r="99">
      <c r="A99" t="inlineStr">
        <is>
          <t>Picerne at Palm Valley</t>
        </is>
      </c>
      <c r="B99" t="inlineStr">
        <is>
          <t>2128 Pebble Creek Pkwy</t>
        </is>
      </c>
      <c r="C99" t="n">
        <v>383</v>
      </c>
      <c r="F99" t="inlineStr">
        <is>
          <t>PROPOSED</t>
        </is>
      </c>
      <c r="G99" s="37" t="n"/>
      <c r="H99" s="37" t="n"/>
      <c r="I99" s="38" t="n"/>
      <c r="J99" s="38" t="n"/>
      <c r="K99" t="inlineStr">
        <is>
          <t>RealPage</t>
        </is>
      </c>
      <c r="L99" t="inlineStr">
        <is>
          <t>RealPage pipeline (not yet in CoStar)</t>
        </is>
      </c>
    </row>
    <row r="100">
      <c r="A100" t="inlineStr">
        <is>
          <t>Avondale</t>
        </is>
      </c>
      <c r="B100" t="inlineStr">
        <is>
          <t>1498 Historic US-80</t>
        </is>
      </c>
      <c r="C100" t="n">
        <v>156</v>
      </c>
      <c r="F100" t="inlineStr">
        <is>
          <t>PROPOSED</t>
        </is>
      </c>
      <c r="G100" s="37" t="n"/>
      <c r="H100" s="37" t="n"/>
      <c r="I100" s="38" t="n"/>
      <c r="J100" s="38" t="n"/>
      <c r="K100" t="inlineStr">
        <is>
          <t>RealPage</t>
        </is>
      </c>
      <c r="L100" t="inlineStr">
        <is>
          <t>RealPage pipeline (not yet in CoStar)</t>
        </is>
      </c>
    </row>
    <row r="101">
      <c r="A101" t="inlineStr">
        <is>
          <t>Fuze 623</t>
        </is>
      </c>
      <c r="B101" t="inlineStr">
        <is>
          <t>11745 W Corporate Dr</t>
        </is>
      </c>
      <c r="C101" t="n">
        <v>321</v>
      </c>
      <c r="F101" t="inlineStr">
        <is>
          <t>PROPOSED</t>
        </is>
      </c>
      <c r="G101" s="37" t="n"/>
      <c r="H101" s="37" t="n"/>
      <c r="I101" s="38" t="n"/>
      <c r="J101" s="38" t="n"/>
      <c r="K101" t="inlineStr">
        <is>
          <t>RealPage</t>
        </is>
      </c>
      <c r="L101" t="inlineStr">
        <is>
          <t>RealPage pipeline (not yet in CoStar)</t>
        </is>
      </c>
    </row>
    <row r="102">
      <c r="A102" t="inlineStr">
        <is>
          <t>Villages at River Grove</t>
        </is>
      </c>
      <c r="B102" t="inlineStr">
        <is>
          <t>W Buckeye Rd &amp; S El Mirage Rd</t>
        </is>
      </c>
      <c r="C102" t="n">
        <v>180</v>
      </c>
      <c r="F102" t="inlineStr">
        <is>
          <t>PROPOSED</t>
        </is>
      </c>
      <c r="G102" s="37" t="n"/>
      <c r="H102" s="37" t="n"/>
      <c r="I102" s="38" t="n"/>
      <c r="J102" s="38" t="n"/>
      <c r="K102" t="inlineStr">
        <is>
          <t>RealPage</t>
        </is>
      </c>
      <c r="L102" t="inlineStr">
        <is>
          <t>RealPage pipeline (not yet in CoStar)</t>
        </is>
      </c>
    </row>
    <row r="103">
      <c r="A103" t="inlineStr">
        <is>
          <t>Zenn @ Sierra Verde</t>
        </is>
      </c>
      <c r="B103" t="inlineStr">
        <is>
          <t>W Olive Ave &amp; N El Mirage Rd</t>
        </is>
      </c>
      <c r="C103" t="n">
        <v>66</v>
      </c>
      <c r="F103" t="inlineStr">
        <is>
          <t>PROPOSED</t>
        </is>
      </c>
      <c r="G103" s="37" t="n"/>
      <c r="H103" s="37" t="n"/>
      <c r="I103" s="38" t="n"/>
      <c r="J103" s="38" t="n"/>
      <c r="K103" t="inlineStr">
        <is>
          <t>RealPage</t>
        </is>
      </c>
      <c r="L103" t="inlineStr">
        <is>
          <t>RealPage pipeline (not yet in CoStar)</t>
        </is>
      </c>
    </row>
    <row r="104">
      <c r="A104" t="inlineStr">
        <is>
          <t>Envision Encore</t>
        </is>
      </c>
      <c r="B104" t="inlineStr">
        <is>
          <t>N Ball Park Blvd &amp; N 99th Ave</t>
        </is>
      </c>
      <c r="F104" t="inlineStr">
        <is>
          <t>PROPOSED</t>
        </is>
      </c>
      <c r="G104" s="37" t="n"/>
      <c r="H104" s="37" t="n"/>
      <c r="I104" s="38" t="n"/>
      <c r="J104" s="38" t="n"/>
      <c r="K104" t="inlineStr">
        <is>
          <t>RealPage</t>
        </is>
      </c>
      <c r="L104" t="inlineStr">
        <is>
          <t>RealPage pipeline (not yet in CoStar)</t>
        </is>
      </c>
    </row>
    <row r="105">
      <c r="A105" t="inlineStr">
        <is>
          <t>Marbella Ranch East Future Phase</t>
        </is>
      </c>
      <c r="B105" t="inlineStr">
        <is>
          <t>W Northern Ave &amp; N El Mirage Rd</t>
        </is>
      </c>
      <c r="C105" t="n">
        <v>266</v>
      </c>
      <c r="F105" t="inlineStr">
        <is>
          <t>PROPOSED</t>
        </is>
      </c>
      <c r="G105" s="37" t="n"/>
      <c r="H105" s="37" t="n"/>
      <c r="I105" s="38" t="n"/>
      <c r="J105" s="38" t="n"/>
      <c r="K105" t="inlineStr">
        <is>
          <t>RealPage</t>
        </is>
      </c>
      <c r="L105" t="inlineStr">
        <is>
          <t>RealPage pipeline (not yet in CoStar)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M98"/>
  <sheetViews>
    <sheetView showGridLines="0" workbookViewId="0">
      <selection activeCell="A1" sqref="A1"/>
    </sheetView>
  </sheetViews>
  <sheetFormatPr baseColWidth="8" defaultRowHeight="15"/>
  <cols>
    <col width="2.5" customWidth="1" min="1" max="1"/>
    <col width="11" customWidth="1" min="2" max="2"/>
    <col width="13" customWidth="1" min="3" max="3"/>
    <col width="13" customWidth="1" min="4" max="4"/>
    <col width="12" customWidth="1" min="5" max="5"/>
    <col width="12" customWidth="1" min="6" max="6"/>
    <col width="12" customWidth="1" min="7" max="7"/>
    <col width="9" customWidth="1" min="8" max="8"/>
    <col width="28" customWidth="1" min="10" max="10"/>
    <col width="8" customWidth="1" min="11" max="11"/>
    <col width="12" customWidth="1" min="12" max="12"/>
    <col width="9" customWidth="1" min="13" max="13"/>
  </cols>
  <sheetData>
    <row r="2" ht="22" customHeight="1">
      <c r="B2" s="1" t="inlineStr">
        <is>
          <t>SUPPLY &amp; ABSORPTION FORECAST — 5-MILE MARKET</t>
        </is>
      </c>
    </row>
    <row r="3">
      <c r="B3" s="39" t="inlineStr">
        <is>
          <t>Stabilization Target</t>
        </is>
      </c>
      <c r="C3" s="40">
        <f>Settings!$B$2</f>
        <v/>
      </c>
      <c r="J3" s="36" t="inlineStr">
        <is>
          <t>PIPELINE INPUTS  (forward new supply — edit date / include)</t>
        </is>
      </c>
    </row>
    <row r="4">
      <c r="B4" s="41" t="inlineStr">
        <is>
          <t>Demand Scenario (Bear/Base/Bull)</t>
        </is>
      </c>
      <c r="C4" s="42" t="inlineStr">
        <is>
          <t>Base</t>
        </is>
      </c>
      <c r="J4" s="43" t="inlineStr">
        <is>
          <t>Property</t>
        </is>
      </c>
      <c r="K4" s="43" t="inlineStr">
        <is>
          <t>Units</t>
        </is>
      </c>
      <c r="L4" s="43" t="inlineStr">
        <is>
          <t>Est. Delivery</t>
        </is>
      </c>
      <c r="M4" s="43" t="inlineStr">
        <is>
          <t>Include?</t>
        </is>
      </c>
    </row>
    <row r="5">
      <c r="B5" s="39" t="inlineStr">
        <is>
          <t>Hist. Avg Annual Absorption (CoStar)</t>
        </is>
      </c>
      <c r="C5" s="44" t="n">
        <v>2525</v>
      </c>
      <c r="J5" s="45" t="inlineStr">
        <is>
          <t>Sheely Center Future Phase</t>
        </is>
      </c>
      <c r="K5" s="46" t="n">
        <v>697</v>
      </c>
      <c r="L5" s="47" t="inlineStr"/>
      <c r="M5" s="47" t="inlineStr">
        <is>
          <t>N</t>
        </is>
      </c>
    </row>
    <row r="6">
      <c r="B6" s="39" t="inlineStr">
        <is>
          <t>Bear — Annual Absorption (units)</t>
        </is>
      </c>
      <c r="C6" s="44" t="n">
        <v>1250</v>
      </c>
      <c r="J6" s="45" t="inlineStr">
        <is>
          <t>Urban 95 Parcel C</t>
        </is>
      </c>
      <c r="K6" s="46" t="n">
        <v>500</v>
      </c>
      <c r="L6" s="47" t="inlineStr"/>
      <c r="M6" s="47" t="inlineStr">
        <is>
          <t>N</t>
        </is>
      </c>
    </row>
    <row r="7">
      <c r="B7" s="39" t="inlineStr">
        <is>
          <t>Base — Annual Absorption (units)</t>
        </is>
      </c>
      <c r="C7" s="44" t="n">
        <v>2525</v>
      </c>
      <c r="J7" s="45" t="inlineStr">
        <is>
          <t>Urban 95 Parcel B</t>
        </is>
      </c>
      <c r="K7" s="46" t="n">
        <v>478</v>
      </c>
      <c r="L7" s="47" t="inlineStr"/>
      <c r="M7" s="47" t="inlineStr">
        <is>
          <t>N</t>
        </is>
      </c>
    </row>
    <row r="8">
      <c r="B8" s="39" t="inlineStr">
        <is>
          <t>Bull — Annual Absorption (units)</t>
        </is>
      </c>
      <c r="C8" s="44" t="n">
        <v>3800</v>
      </c>
      <c r="J8" s="45" t="inlineStr">
        <is>
          <t>Celebration Plaza Parcel B</t>
        </is>
      </c>
      <c r="K8" s="46" t="n">
        <v>410</v>
      </c>
      <c r="L8" s="47" t="inlineStr"/>
      <c r="M8" s="47" t="inlineStr">
        <is>
          <t>N</t>
        </is>
      </c>
    </row>
    <row r="9">
      <c r="B9" s="39" t="inlineStr">
        <is>
          <t>Selected Annual Demand</t>
        </is>
      </c>
      <c r="C9" s="44">
        <f>IF($C$4="Bear",$C$6,IF($C$4="Bull",$C$8,$C$7))</f>
        <v/>
      </c>
      <c r="J9" s="45" t="inlineStr">
        <is>
          <t>The District at Westgate</t>
        </is>
      </c>
      <c r="K9" s="46" t="n">
        <v>384</v>
      </c>
      <c r="L9" s="47" t="inlineStr"/>
      <c r="M9" s="47" t="inlineStr">
        <is>
          <t>N</t>
        </is>
      </c>
    </row>
    <row r="10">
      <c r="B10" s="39" t="inlineStr">
        <is>
          <t>Selected Quarterly Demand</t>
        </is>
      </c>
      <c r="C10" s="44">
        <f>$C$9/4</f>
        <v/>
      </c>
      <c r="J10" s="45" t="inlineStr">
        <is>
          <t>Picerne at Palm Valley</t>
        </is>
      </c>
      <c r="K10" s="46" t="n">
        <v>383</v>
      </c>
      <c r="L10" s="47" t="inlineStr"/>
      <c r="M10" s="47" t="inlineStr">
        <is>
          <t>N</t>
        </is>
      </c>
    </row>
    <row r="11">
      <c r="J11" s="45" t="inlineStr">
        <is>
          <t>Liv Avondale</t>
        </is>
      </c>
      <c r="K11" s="46" t="n">
        <v>333</v>
      </c>
      <c r="L11" s="47" t="inlineStr"/>
      <c r="M11" s="47" t="inlineStr">
        <is>
          <t>N</t>
        </is>
      </c>
    </row>
    <row r="12">
      <c r="J12" s="45" t="inlineStr">
        <is>
          <t>Urban 95 Parcel A</t>
        </is>
      </c>
      <c r="K12" s="46" t="n">
        <v>324</v>
      </c>
      <c r="L12" s="47" t="inlineStr"/>
      <c r="M12" s="47" t="inlineStr">
        <is>
          <t>N</t>
        </is>
      </c>
    </row>
    <row r="13">
      <c r="J13" s="45" t="inlineStr">
        <is>
          <t>The Waverly</t>
        </is>
      </c>
      <c r="K13" s="46" t="n">
        <v>323</v>
      </c>
      <c r="L13" s="47" t="inlineStr"/>
      <c r="M13" s="47" t="inlineStr">
        <is>
          <t>N</t>
        </is>
      </c>
    </row>
    <row r="14">
      <c r="J14" s="45" t="inlineStr">
        <is>
          <t>Fuze 623</t>
        </is>
      </c>
      <c r="K14" s="46" t="n">
        <v>321</v>
      </c>
      <c r="L14" s="47" t="inlineStr"/>
      <c r="M14" s="47" t="inlineStr">
        <is>
          <t>N</t>
        </is>
      </c>
    </row>
    <row r="15">
      <c r="J15" s="45" t="inlineStr">
        <is>
          <t>Anton Glendale</t>
        </is>
      </c>
      <c r="K15" s="46" t="n">
        <v>320</v>
      </c>
      <c r="L15" s="47" t="inlineStr"/>
      <c r="M15" s="47" t="inlineStr">
        <is>
          <t>N</t>
        </is>
      </c>
    </row>
    <row r="16">
      <c r="J16" s="45" t="inlineStr">
        <is>
          <t>Western Garden II</t>
        </is>
      </c>
      <c r="K16" s="46" t="n">
        <v>314</v>
      </c>
      <c r="L16" s="47" t="inlineStr"/>
      <c r="M16" s="47" t="inlineStr">
        <is>
          <t>N</t>
        </is>
      </c>
    </row>
    <row r="17">
      <c r="J17" s="45" t="inlineStr">
        <is>
          <t>Sanctuair at Centerscape</t>
        </is>
      </c>
      <c r="K17" s="46" t="n">
        <v>303</v>
      </c>
      <c r="L17" s="47" t="inlineStr"/>
      <c r="M17" s="47" t="inlineStr">
        <is>
          <t>N</t>
        </is>
      </c>
    </row>
    <row r="18">
      <c r="J18" s="45" t="inlineStr">
        <is>
          <t>Encore Avondale</t>
        </is>
      </c>
      <c r="K18" s="46" t="n">
        <v>300</v>
      </c>
      <c r="L18" s="47" t="inlineStr"/>
      <c r="M18" s="47" t="inlineStr">
        <is>
          <t>N</t>
        </is>
      </c>
    </row>
    <row r="19">
      <c r="J19" s="45" t="inlineStr">
        <is>
          <t>Banyan Avondale</t>
        </is>
      </c>
      <c r="K19" s="46" t="n">
        <v>296</v>
      </c>
      <c r="L19" s="47" t="inlineStr"/>
      <c r="M19" s="47" t="inlineStr">
        <is>
          <t>N</t>
        </is>
      </c>
    </row>
    <row r="20">
      <c r="J20" s="45" t="inlineStr">
        <is>
          <t>Rosilian Villas</t>
        </is>
      </c>
      <c r="K20" s="46" t="n">
        <v>291</v>
      </c>
      <c r="L20" s="47" t="inlineStr"/>
      <c r="M20" s="47" t="inlineStr">
        <is>
          <t>N</t>
        </is>
      </c>
    </row>
    <row r="21">
      <c r="J21" s="45" t="inlineStr">
        <is>
          <t>The Statler at Estrella Parkway</t>
        </is>
      </c>
      <c r="K21" s="46" t="n">
        <v>284</v>
      </c>
      <c r="L21" s="47" t="inlineStr"/>
      <c r="M21" s="47" t="inlineStr">
        <is>
          <t>N</t>
        </is>
      </c>
    </row>
    <row r="22">
      <c r="J22" s="45" t="inlineStr">
        <is>
          <t>Orion Avondale</t>
        </is>
      </c>
      <c r="K22" s="46" t="n">
        <v>268</v>
      </c>
      <c r="L22" s="47" t="inlineStr"/>
      <c r="M22" s="47" t="inlineStr">
        <is>
          <t>N</t>
        </is>
      </c>
    </row>
    <row r="23">
      <c r="J23" s="45" t="inlineStr">
        <is>
          <t>Tavalo at Avondale</t>
        </is>
      </c>
      <c r="K23" s="46" t="n">
        <v>266</v>
      </c>
      <c r="L23" s="47" t="inlineStr"/>
      <c r="M23" s="47" t="inlineStr">
        <is>
          <t>N</t>
        </is>
      </c>
    </row>
    <row r="24">
      <c r="J24" s="45" t="inlineStr">
        <is>
          <t>Marbella Ranch East Future Phase</t>
        </is>
      </c>
      <c r="K24" s="46" t="n">
        <v>266</v>
      </c>
      <c r="L24" s="47" t="inlineStr"/>
      <c r="M24" s="47" t="inlineStr">
        <is>
          <t>N</t>
        </is>
      </c>
    </row>
    <row r="25">
      <c r="J25" s="45" t="inlineStr">
        <is>
          <t>Crystal Cove</t>
        </is>
      </c>
      <c r="K25" s="46" t="n">
        <v>260</v>
      </c>
      <c r="L25" s="47" t="inlineStr"/>
      <c r="M25" s="47" t="inlineStr">
        <is>
          <t>N</t>
        </is>
      </c>
    </row>
    <row r="26">
      <c r="J26" s="45" t="inlineStr">
        <is>
          <t>Cornerstone at the Wigwam</t>
        </is>
      </c>
      <c r="K26" s="46" t="n">
        <v>212</v>
      </c>
      <c r="L26" s="47" t="inlineStr"/>
      <c r="M26" s="47" t="inlineStr">
        <is>
          <t>N</t>
        </is>
      </c>
    </row>
    <row r="27">
      <c r="J27" s="45" t="inlineStr">
        <is>
          <t>Radia Avondale Station III</t>
        </is>
      </c>
      <c r="K27" s="46" t="n">
        <v>212</v>
      </c>
      <c r="L27" s="47" t="inlineStr"/>
      <c r="M27" s="47" t="inlineStr">
        <is>
          <t>N</t>
        </is>
      </c>
    </row>
    <row r="28">
      <c r="J28" s="45" t="inlineStr">
        <is>
          <t>Celebration Plaza Parcel A</t>
        </is>
      </c>
      <c r="K28" s="46" t="n">
        <v>181</v>
      </c>
      <c r="L28" s="47" t="inlineStr"/>
      <c r="M28" s="47" t="inlineStr">
        <is>
          <t>N</t>
        </is>
      </c>
    </row>
    <row r="29">
      <c r="J29" s="45" t="inlineStr">
        <is>
          <t>Villages at River Grove</t>
        </is>
      </c>
      <c r="K29" s="46" t="n">
        <v>180</v>
      </c>
      <c r="L29" s="47" t="inlineStr"/>
      <c r="M29" s="47" t="inlineStr">
        <is>
          <t>N</t>
        </is>
      </c>
    </row>
    <row r="30">
      <c r="J30" s="45" t="inlineStr">
        <is>
          <t>District 99</t>
        </is>
      </c>
      <c r="K30" s="46" t="n">
        <v>172</v>
      </c>
      <c r="L30" s="47" t="inlineStr"/>
      <c r="M30" s="47" t="inlineStr">
        <is>
          <t>N</t>
        </is>
      </c>
    </row>
    <row r="31">
      <c r="J31" s="45" t="inlineStr">
        <is>
          <t>McDowell Villas</t>
        </is>
      </c>
      <c r="K31" s="46" t="n">
        <v>164</v>
      </c>
      <c r="L31" s="47" t="inlineStr"/>
      <c r="M31" s="47" t="inlineStr">
        <is>
          <t>N</t>
        </is>
      </c>
    </row>
    <row r="32">
      <c r="J32" s="45" t="inlineStr">
        <is>
          <t>Avondale</t>
        </is>
      </c>
      <c r="K32" s="46" t="n">
        <v>156</v>
      </c>
      <c r="L32" s="47" t="inlineStr"/>
      <c r="M32" s="47" t="inlineStr">
        <is>
          <t>N</t>
        </is>
      </c>
    </row>
    <row r="33">
      <c r="J33" s="45" t="inlineStr">
        <is>
          <t>Porter Kyle Development</t>
        </is>
      </c>
      <c r="K33" s="46" t="n">
        <v>135</v>
      </c>
      <c r="L33" s="47" t="inlineStr"/>
      <c r="M33" s="47" t="inlineStr">
        <is>
          <t>N</t>
        </is>
      </c>
    </row>
    <row r="34">
      <c r="J34" s="45" t="inlineStr">
        <is>
          <t>Ascent Goodyear</t>
        </is>
      </c>
      <c r="K34" s="46" t="n">
        <v>113</v>
      </c>
      <c r="L34" s="47" t="inlineStr"/>
      <c r="M34" s="47" t="inlineStr">
        <is>
          <t>N</t>
        </is>
      </c>
    </row>
    <row r="35">
      <c r="J35" s="45" t="inlineStr">
        <is>
          <t>Northern 107</t>
        </is>
      </c>
      <c r="K35" s="46" t="n">
        <v>74</v>
      </c>
      <c r="L35" s="47" t="inlineStr"/>
      <c r="M35" s="47" t="inlineStr">
        <is>
          <t>N</t>
        </is>
      </c>
    </row>
    <row r="36">
      <c r="J36" s="45" t="inlineStr">
        <is>
          <t>Zenn @ Sierra Verde</t>
        </is>
      </c>
      <c r="K36" s="46" t="n">
        <v>66</v>
      </c>
      <c r="L36" s="47" t="inlineStr"/>
      <c r="M36" s="47" t="inlineStr">
        <is>
          <t>N</t>
        </is>
      </c>
    </row>
    <row r="37">
      <c r="J37" s="45" t="inlineStr">
        <is>
          <t>The BLVD Residential District</t>
        </is>
      </c>
      <c r="K37" s="46" t="n"/>
      <c r="L37" s="47" t="inlineStr"/>
      <c r="M37" s="47" t="inlineStr">
        <is>
          <t>N</t>
        </is>
      </c>
    </row>
    <row r="38">
      <c r="J38" s="45" t="inlineStr">
        <is>
          <t>The BLVD Park Avenue District</t>
        </is>
      </c>
      <c r="K38" s="46" t="n"/>
      <c r="L38" s="47" t="inlineStr"/>
      <c r="M38" s="47" t="inlineStr">
        <is>
          <t>N</t>
        </is>
      </c>
    </row>
    <row r="39">
      <c r="J39" s="45" t="inlineStr">
        <is>
          <t>Globe Land Investors Development</t>
        </is>
      </c>
      <c r="K39" s="46" t="n"/>
      <c r="L39" s="47" t="inlineStr"/>
      <c r="M39" s="47" t="inlineStr">
        <is>
          <t>N</t>
        </is>
      </c>
    </row>
    <row r="40">
      <c r="J40" s="45" t="inlineStr">
        <is>
          <t>Ball Park</t>
        </is>
      </c>
      <c r="K40" s="46" t="n"/>
      <c r="L40" s="47" t="inlineStr"/>
      <c r="M40" s="47" t="inlineStr">
        <is>
          <t>N</t>
        </is>
      </c>
    </row>
    <row r="41">
      <c r="J41" s="45" t="inlineStr">
        <is>
          <t>Vision 2 Parcel A</t>
        </is>
      </c>
      <c r="K41" s="46" t="n"/>
      <c r="L41" s="47" t="inlineStr"/>
      <c r="M41" s="47" t="inlineStr">
        <is>
          <t>N</t>
        </is>
      </c>
    </row>
    <row r="42">
      <c r="J42" s="45" t="inlineStr">
        <is>
          <t>Firststreet Verde</t>
        </is>
      </c>
      <c r="K42" s="46" t="n"/>
      <c r="L42" s="47" t="inlineStr"/>
      <c r="M42" s="47" t="inlineStr">
        <is>
          <t>N</t>
        </is>
      </c>
    </row>
    <row r="43">
      <c r="J43" s="45" t="inlineStr">
        <is>
          <t>Goodyear Civic Square at Estrella Falls</t>
        </is>
      </c>
      <c r="K43" s="46" t="n"/>
      <c r="L43" s="47" t="inlineStr"/>
      <c r="M43" s="47" t="inlineStr">
        <is>
          <t>N</t>
        </is>
      </c>
    </row>
    <row r="44">
      <c r="J44" s="45" t="inlineStr">
        <is>
          <t>I-10 Innovation Center II</t>
        </is>
      </c>
      <c r="K44" s="46" t="n"/>
      <c r="L44" s="47" t="inlineStr"/>
      <c r="M44" s="47" t="inlineStr">
        <is>
          <t>N</t>
        </is>
      </c>
    </row>
    <row r="45">
      <c r="J45" s="45" t="inlineStr">
        <is>
          <t>Celebration Plaza Parcel D</t>
        </is>
      </c>
      <c r="K45" s="46" t="n"/>
      <c r="L45" s="47" t="inlineStr"/>
      <c r="M45" s="47" t="inlineStr">
        <is>
          <t>N</t>
        </is>
      </c>
    </row>
    <row r="46">
      <c r="J46" s="45" t="inlineStr">
        <is>
          <t>SimonMed Development II</t>
        </is>
      </c>
      <c r="K46" s="46" t="n"/>
      <c r="L46" s="47" t="inlineStr"/>
      <c r="M46" s="47" t="inlineStr">
        <is>
          <t>N</t>
        </is>
      </c>
    </row>
    <row r="47">
      <c r="J47" s="45" t="inlineStr">
        <is>
          <t>182 South 95th Avenue</t>
        </is>
      </c>
      <c r="K47" s="46" t="n"/>
      <c r="L47" s="47" t="inlineStr"/>
      <c r="M47" s="47" t="inlineStr">
        <is>
          <t>N</t>
        </is>
      </c>
    </row>
    <row r="48">
      <c r="J48" s="45" t="inlineStr">
        <is>
          <t>Envision Encore</t>
        </is>
      </c>
      <c r="K48" s="46" t="n"/>
      <c r="L48" s="47" t="inlineStr"/>
      <c r="M48" s="47" t="inlineStr">
        <is>
          <t>N</t>
        </is>
      </c>
    </row>
    <row r="49">
      <c r="J49" s="45" t="inlineStr">
        <is>
          <t>FUZE Ballpark</t>
        </is>
      </c>
      <c r="K49" s="46" t="n">
        <v>321</v>
      </c>
      <c r="L49" s="47" t="inlineStr">
        <is>
          <t>Q4 2026</t>
        </is>
      </c>
      <c r="M49" s="47" t="inlineStr">
        <is>
          <t>Y</t>
        </is>
      </c>
    </row>
    <row r="50">
      <c r="J50" s="45" t="inlineStr">
        <is>
          <t>Zanjero III</t>
        </is>
      </c>
      <c r="K50" s="46" t="n">
        <v>301</v>
      </c>
      <c r="L50" s="47" t="inlineStr">
        <is>
          <t>Q2 2028</t>
        </is>
      </c>
      <c r="M50" s="47" t="inlineStr">
        <is>
          <t>Y</t>
        </is>
      </c>
    </row>
    <row r="51">
      <c r="J51" s="45" t="inlineStr">
        <is>
          <t>Pointe Grand Estrella at Phoenix</t>
        </is>
      </c>
      <c r="K51" s="46" t="n">
        <v>288</v>
      </c>
      <c r="L51" s="47" t="inlineStr">
        <is>
          <t>Q4 2026</t>
        </is>
      </c>
      <c r="M51" s="47" t="inlineStr">
        <is>
          <t>Y</t>
        </is>
      </c>
    </row>
    <row r="52">
      <c r="J52" s="45" t="inlineStr">
        <is>
          <t>Yardly Algodon</t>
        </is>
      </c>
      <c r="K52" s="46" t="n">
        <v>262</v>
      </c>
      <c r="L52" s="47" t="inlineStr">
        <is>
          <t>Q4 2026</t>
        </is>
      </c>
      <c r="M52" s="47" t="inlineStr">
        <is>
          <t>Y</t>
        </is>
      </c>
    </row>
    <row r="53">
      <c r="J53" s="45" t="inlineStr">
        <is>
          <t>Cerro Vista</t>
        </is>
      </c>
      <c r="K53" s="46" t="n">
        <v>255</v>
      </c>
      <c r="L53" s="47" t="inlineStr">
        <is>
          <t>Q4 2026</t>
        </is>
      </c>
      <c r="M53" s="47" t="inlineStr">
        <is>
          <t>Y</t>
        </is>
      </c>
    </row>
    <row r="54">
      <c r="J54" s="45" t="inlineStr">
        <is>
          <t>Marbella Ranch East I</t>
        </is>
      </c>
      <c r="K54" s="46" t="n">
        <v>144</v>
      </c>
      <c r="L54" s="47" t="inlineStr">
        <is>
          <t>Q2 2027</t>
        </is>
      </c>
      <c r="M54" s="47" t="inlineStr">
        <is>
          <t>Y</t>
        </is>
      </c>
    </row>
    <row r="55">
      <c r="J55" s="45" t="inlineStr">
        <is>
          <t>Zen @ Angelina</t>
        </is>
      </c>
      <c r="K55" s="46" t="n">
        <v>130</v>
      </c>
      <c r="L55" s="47" t="inlineStr">
        <is>
          <t>Q2 2027</t>
        </is>
      </c>
      <c r="M55" s="47" t="inlineStr">
        <is>
          <t>Y</t>
        </is>
      </c>
    </row>
    <row r="56">
      <c r="J56" s="45" t="inlineStr">
        <is>
          <t>HARMON Ascend</t>
        </is>
      </c>
      <c r="K56" s="46" t="n">
        <v>125</v>
      </c>
      <c r="L56" s="47" t="inlineStr">
        <is>
          <t>Q4 2026</t>
        </is>
      </c>
      <c r="M56" s="47" t="inlineStr">
        <is>
          <t>Y</t>
        </is>
      </c>
    </row>
    <row r="57">
      <c r="J57" s="45" t="inlineStr">
        <is>
          <t>Villages at Northern</t>
        </is>
      </c>
      <c r="K57" s="46" t="n">
        <v>74</v>
      </c>
      <c r="L57" s="47" t="inlineStr">
        <is>
          <t>Q2 2027</t>
        </is>
      </c>
      <c r="M57" s="47" t="inlineStr">
        <is>
          <t>Y</t>
        </is>
      </c>
    </row>
    <row r="58">
      <c r="J58" s="45" t="inlineStr">
        <is>
          <t>Prosper 47</t>
        </is>
      </c>
      <c r="K58" s="46" t="n">
        <v>47</v>
      </c>
      <c r="L58" s="47" t="inlineStr">
        <is>
          <t>Q2 2027</t>
        </is>
      </c>
      <c r="M58" s="47" t="inlineStr">
        <is>
          <t>Y</t>
        </is>
      </c>
    </row>
    <row r="60" ht="22" customHeight="1">
      <c r="B60" s="4" t="inlineStr">
        <is>
          <t>Period</t>
        </is>
      </c>
      <c r="C60" s="4" t="inlineStr">
        <is>
          <t>New Supply</t>
        </is>
      </c>
      <c r="D60" s="4" t="inlineStr">
        <is>
          <t>Absorption</t>
        </is>
      </c>
      <c r="E60" s="4" t="inlineStr">
        <is>
          <t>Occupied</t>
        </is>
      </c>
      <c r="F60" s="4" t="inlineStr">
        <is>
          <t>Inventory</t>
        </is>
      </c>
      <c r="G60" s="4" t="inlineStr">
        <is>
          <t>Overall Occ</t>
        </is>
      </c>
      <c r="H60" s="4" t="inlineStr">
        <is>
          <t>Phase</t>
        </is>
      </c>
    </row>
    <row r="61">
      <c r="B61" s="48" t="inlineStr">
        <is>
          <t>Q3 2023</t>
        </is>
      </c>
      <c r="C61" s="49" t="n">
        <v>738</v>
      </c>
      <c r="D61" s="49" t="n">
        <v>221</v>
      </c>
      <c r="E61" s="49" t="n">
        <v>15268</v>
      </c>
      <c r="F61" s="49" t="n">
        <v>18615</v>
      </c>
      <c r="G61" s="50">
        <f>IFERROR(E61/F61,0)</f>
        <v/>
      </c>
      <c r="H61" s="48" t="inlineStr">
        <is>
          <t>Actual</t>
        </is>
      </c>
    </row>
    <row r="62">
      <c r="B62" s="48" t="inlineStr">
        <is>
          <t>Q4 2023</t>
        </is>
      </c>
      <c r="C62" s="49" t="n">
        <v>1300</v>
      </c>
      <c r="D62" s="49" t="n">
        <v>590</v>
      </c>
      <c r="E62" s="49" t="n">
        <v>15857</v>
      </c>
      <c r="F62" s="49" t="n">
        <v>19915</v>
      </c>
      <c r="G62" s="50">
        <f>IFERROR(E62/F62,0)</f>
        <v/>
      </c>
      <c r="H62" s="48" t="inlineStr">
        <is>
          <t>Actual</t>
        </is>
      </c>
    </row>
    <row r="63">
      <c r="B63" s="48" t="inlineStr">
        <is>
          <t>Q1 2024</t>
        </is>
      </c>
      <c r="C63" s="49" t="n">
        <v>600</v>
      </c>
      <c r="D63" s="49" t="n">
        <v>791</v>
      </c>
      <c r="E63" s="49" t="n">
        <v>16648</v>
      </c>
      <c r="F63" s="49" t="n">
        <v>20515</v>
      </c>
      <c r="G63" s="50">
        <f>IFERROR(E63/F63,0)</f>
        <v/>
      </c>
      <c r="H63" s="48" t="inlineStr">
        <is>
          <t>Actual</t>
        </is>
      </c>
    </row>
    <row r="64">
      <c r="B64" s="48" t="inlineStr">
        <is>
          <t>Q2 2024</t>
        </is>
      </c>
      <c r="C64" s="49" t="n">
        <v>185</v>
      </c>
      <c r="D64" s="49" t="n">
        <v>912</v>
      </c>
      <c r="E64" s="49" t="n">
        <v>17560</v>
      </c>
      <c r="F64" s="49" t="n">
        <v>20700</v>
      </c>
      <c r="G64" s="50">
        <f>IFERROR(E64/F64,0)</f>
        <v/>
      </c>
      <c r="H64" s="48" t="inlineStr">
        <is>
          <t>Actual</t>
        </is>
      </c>
    </row>
    <row r="65">
      <c r="B65" s="48" t="inlineStr">
        <is>
          <t>Q3 2024</t>
        </is>
      </c>
      <c r="C65" s="49" t="n">
        <v>1403</v>
      </c>
      <c r="D65" s="49" t="n">
        <v>851</v>
      </c>
      <c r="E65" s="49" t="n">
        <v>18411</v>
      </c>
      <c r="F65" s="49" t="n">
        <v>22103</v>
      </c>
      <c r="G65" s="50">
        <f>IFERROR(E65/F65,0)</f>
        <v/>
      </c>
      <c r="H65" s="48" t="inlineStr">
        <is>
          <t>Actual</t>
        </is>
      </c>
    </row>
    <row r="66">
      <c r="B66" s="48" t="inlineStr">
        <is>
          <t>Q4 2024</t>
        </is>
      </c>
      <c r="C66" s="49" t="n">
        <v>669</v>
      </c>
      <c r="D66" s="49" t="n">
        <v>529</v>
      </c>
      <c r="E66" s="49" t="n">
        <v>18940</v>
      </c>
      <c r="F66" s="49" t="n">
        <v>22772</v>
      </c>
      <c r="G66" s="50">
        <f>IFERROR(E66/F66,0)</f>
        <v/>
      </c>
      <c r="H66" s="48" t="inlineStr">
        <is>
          <t>Actual</t>
        </is>
      </c>
    </row>
    <row r="67">
      <c r="B67" s="48" t="inlineStr">
        <is>
          <t>Q1 2025</t>
        </is>
      </c>
      <c r="C67" s="49" t="n">
        <v>1748</v>
      </c>
      <c r="D67" s="49" t="n">
        <v>641</v>
      </c>
      <c r="E67" s="49" t="n">
        <v>19581</v>
      </c>
      <c r="F67" s="49" t="n">
        <v>24520</v>
      </c>
      <c r="G67" s="50">
        <f>IFERROR(E67/F67,0)</f>
        <v/>
      </c>
      <c r="H67" s="48" t="inlineStr">
        <is>
          <t>Actual</t>
        </is>
      </c>
    </row>
    <row r="68">
      <c r="B68" s="48" t="inlineStr">
        <is>
          <t>Q2 2025</t>
        </is>
      </c>
      <c r="C68" s="49" t="n">
        <v>223</v>
      </c>
      <c r="D68" s="49" t="n">
        <v>634</v>
      </c>
      <c r="E68" s="49" t="n">
        <v>20215</v>
      </c>
      <c r="F68" s="49" t="n">
        <v>24743</v>
      </c>
      <c r="G68" s="50">
        <f>IFERROR(E68/F68,0)</f>
        <v/>
      </c>
      <c r="H68" s="48" t="inlineStr">
        <is>
          <t>Actual</t>
        </is>
      </c>
    </row>
    <row r="69">
      <c r="B69" s="48" t="inlineStr">
        <is>
          <t>Q3 2025</t>
        </is>
      </c>
      <c r="C69" s="49" t="n">
        <v>84</v>
      </c>
      <c r="D69" s="49" t="n">
        <v>498</v>
      </c>
      <c r="E69" s="49" t="n">
        <v>20713</v>
      </c>
      <c r="F69" s="49" t="n">
        <v>24827</v>
      </c>
      <c r="G69" s="50">
        <f>IFERROR(E69/F69,0)</f>
        <v/>
      </c>
      <c r="H69" s="48" t="inlineStr">
        <is>
          <t>Actual</t>
        </is>
      </c>
    </row>
    <row r="70">
      <c r="B70" s="48" t="inlineStr">
        <is>
          <t>Q4 2025</t>
        </is>
      </c>
      <c r="C70" s="49" t="n">
        <v>634</v>
      </c>
      <c r="D70" s="49" t="n">
        <v>680</v>
      </c>
      <c r="E70" s="49" t="n">
        <v>21394</v>
      </c>
      <c r="F70" s="49" t="n">
        <v>25461</v>
      </c>
      <c r="G70" s="50">
        <f>IFERROR(E70/F70,0)</f>
        <v/>
      </c>
      <c r="H70" s="48" t="inlineStr">
        <is>
          <t>Actual</t>
        </is>
      </c>
    </row>
    <row r="71">
      <c r="B71" s="48" t="inlineStr">
        <is>
          <t>Q1 2026</t>
        </is>
      </c>
      <c r="C71" s="49" t="n">
        <v>676</v>
      </c>
      <c r="D71" s="49" t="n">
        <v>726</v>
      </c>
      <c r="E71" s="49" t="n">
        <v>22120</v>
      </c>
      <c r="F71" s="49" t="n">
        <v>26137</v>
      </c>
      <c r="G71" s="50">
        <f>IFERROR(E71/F71,0)</f>
        <v/>
      </c>
      <c r="H71" s="48" t="inlineStr">
        <is>
          <t>Actual</t>
        </is>
      </c>
    </row>
    <row r="72">
      <c r="B72" s="48" t="inlineStr">
        <is>
          <t>Q2 2026</t>
        </is>
      </c>
      <c r="C72" s="49" t="n">
        <v>466</v>
      </c>
      <c r="D72" s="49" t="n">
        <v>465</v>
      </c>
      <c r="E72" s="49" t="n">
        <v>22585</v>
      </c>
      <c r="F72" s="49" t="n">
        <v>26603</v>
      </c>
      <c r="G72" s="50">
        <f>IFERROR(E72/F72,0)</f>
        <v/>
      </c>
      <c r="H72" s="48" t="inlineStr">
        <is>
          <t>Actual</t>
        </is>
      </c>
    </row>
    <row r="73">
      <c r="B73" s="51" t="inlineStr">
        <is>
          <t>Q3 2026</t>
        </is>
      </c>
      <c r="C73" s="52">
        <f>SUMIFS($K$5:$K$58,$L$5:$L$58,B73,$M$5:$M$58,"Y")</f>
        <v/>
      </c>
      <c r="D73" s="52">
        <f>MIN($C$10,MAX(0,$C$3*F73-E72))</f>
        <v/>
      </c>
      <c r="E73" s="52">
        <f>E72+D73</f>
        <v/>
      </c>
      <c r="F73" s="52">
        <f>F72+C73</f>
        <v/>
      </c>
      <c r="G73" s="53">
        <f>IFERROR(E73/F73,0)</f>
        <v/>
      </c>
      <c r="H73" s="51" t="inlineStr">
        <is>
          <t>Forecast</t>
        </is>
      </c>
    </row>
    <row r="74">
      <c r="B74" s="51" t="inlineStr">
        <is>
          <t>Q4 2026</t>
        </is>
      </c>
      <c r="C74" s="52">
        <f>SUMIFS($K$5:$K$58,$L$5:$L$58,B74,$M$5:$M$58,"Y")</f>
        <v/>
      </c>
      <c r="D74" s="52">
        <f>MIN($C$10,MAX(0,$C$3*F74-E73))</f>
        <v/>
      </c>
      <c r="E74" s="52">
        <f>E73+D74</f>
        <v/>
      </c>
      <c r="F74" s="52">
        <f>F73+C74</f>
        <v/>
      </c>
      <c r="G74" s="53">
        <f>IFERROR(E74/F74,0)</f>
        <v/>
      </c>
      <c r="H74" s="51" t="inlineStr">
        <is>
          <t>Forecast</t>
        </is>
      </c>
    </row>
    <row r="75">
      <c r="B75" s="51" t="inlineStr">
        <is>
          <t>Q1 2027</t>
        </is>
      </c>
      <c r="C75" s="52">
        <f>SUMIFS($K$5:$K$58,$L$5:$L$58,B75,$M$5:$M$58,"Y")</f>
        <v/>
      </c>
      <c r="D75" s="52">
        <f>MIN($C$10,MAX(0,$C$3*F75-E74))</f>
        <v/>
      </c>
      <c r="E75" s="52">
        <f>E74+D75</f>
        <v/>
      </c>
      <c r="F75" s="52">
        <f>F74+C75</f>
        <v/>
      </c>
      <c r="G75" s="53">
        <f>IFERROR(E75/F75,0)</f>
        <v/>
      </c>
      <c r="H75" s="51" t="inlineStr">
        <is>
          <t>Forecast</t>
        </is>
      </c>
    </row>
    <row r="76">
      <c r="B76" s="51" t="inlineStr">
        <is>
          <t>Q2 2027</t>
        </is>
      </c>
      <c r="C76" s="52">
        <f>SUMIFS($K$5:$K$58,$L$5:$L$58,B76,$M$5:$M$58,"Y")</f>
        <v/>
      </c>
      <c r="D76" s="52">
        <f>MIN($C$10,MAX(0,$C$3*F76-E75))</f>
        <v/>
      </c>
      <c r="E76" s="52">
        <f>E75+D76</f>
        <v/>
      </c>
      <c r="F76" s="52">
        <f>F75+C76</f>
        <v/>
      </c>
      <c r="G76" s="53">
        <f>IFERROR(E76/F76,0)</f>
        <v/>
      </c>
      <c r="H76" s="51" t="inlineStr">
        <is>
          <t>Forecast</t>
        </is>
      </c>
    </row>
    <row r="77">
      <c r="B77" s="51" t="inlineStr">
        <is>
          <t>Q3 2027</t>
        </is>
      </c>
      <c r="C77" s="52">
        <f>SUMIFS($K$5:$K$58,$L$5:$L$58,B77,$M$5:$M$58,"Y")</f>
        <v/>
      </c>
      <c r="D77" s="52">
        <f>MIN($C$10,MAX(0,$C$3*F77-E76))</f>
        <v/>
      </c>
      <c r="E77" s="52">
        <f>E76+D77</f>
        <v/>
      </c>
      <c r="F77" s="52">
        <f>F76+C77</f>
        <v/>
      </c>
      <c r="G77" s="53">
        <f>IFERROR(E77/F77,0)</f>
        <v/>
      </c>
      <c r="H77" s="51" t="inlineStr">
        <is>
          <t>Forecast</t>
        </is>
      </c>
    </row>
    <row r="78">
      <c r="B78" s="51" t="inlineStr">
        <is>
          <t>Q4 2027</t>
        </is>
      </c>
      <c r="C78" s="52">
        <f>SUMIFS($K$5:$K$58,$L$5:$L$58,B78,$M$5:$M$58,"Y")</f>
        <v/>
      </c>
      <c r="D78" s="52">
        <f>MIN($C$10,MAX(0,$C$3*F78-E77))</f>
        <v/>
      </c>
      <c r="E78" s="52">
        <f>E77+D78</f>
        <v/>
      </c>
      <c r="F78" s="52">
        <f>F77+C78</f>
        <v/>
      </c>
      <c r="G78" s="53">
        <f>IFERROR(E78/F78,0)</f>
        <v/>
      </c>
      <c r="H78" s="51" t="inlineStr">
        <is>
          <t>Forecast</t>
        </is>
      </c>
    </row>
    <row r="79">
      <c r="B79" s="51" t="inlineStr">
        <is>
          <t>Q1 2028</t>
        </is>
      </c>
      <c r="C79" s="52">
        <f>SUMIFS($K$5:$K$58,$L$5:$L$58,B79,$M$5:$M$58,"Y")</f>
        <v/>
      </c>
      <c r="D79" s="52">
        <f>MIN($C$10,MAX(0,$C$3*F79-E78))</f>
        <v/>
      </c>
      <c r="E79" s="52">
        <f>E78+D79</f>
        <v/>
      </c>
      <c r="F79" s="52">
        <f>F78+C79</f>
        <v/>
      </c>
      <c r="G79" s="53">
        <f>IFERROR(E79/F79,0)</f>
        <v/>
      </c>
      <c r="H79" s="51" t="inlineStr">
        <is>
          <t>Forecast</t>
        </is>
      </c>
    </row>
    <row r="80">
      <c r="B80" s="51" t="inlineStr">
        <is>
          <t>Q2 2028</t>
        </is>
      </c>
      <c r="C80" s="52">
        <f>SUMIFS($K$5:$K$58,$L$5:$L$58,B80,$M$5:$M$58,"Y")</f>
        <v/>
      </c>
      <c r="D80" s="52">
        <f>MIN($C$10,MAX(0,$C$3*F80-E79))</f>
        <v/>
      </c>
      <c r="E80" s="52">
        <f>E79+D80</f>
        <v/>
      </c>
      <c r="F80" s="52">
        <f>F79+C80</f>
        <v/>
      </c>
      <c r="G80" s="53">
        <f>IFERROR(E80/F80,0)</f>
        <v/>
      </c>
      <c r="H80" s="51" t="inlineStr">
        <is>
          <t>Forecast</t>
        </is>
      </c>
    </row>
    <row r="81">
      <c r="B81" s="51" t="inlineStr">
        <is>
          <t>Q3 2028</t>
        </is>
      </c>
      <c r="C81" s="52">
        <f>SUMIFS($K$5:$K$58,$L$5:$L$58,B81,$M$5:$M$58,"Y")</f>
        <v/>
      </c>
      <c r="D81" s="52">
        <f>MIN($C$10,MAX(0,$C$3*F81-E80))</f>
        <v/>
      </c>
      <c r="E81" s="52">
        <f>E80+D81</f>
        <v/>
      </c>
      <c r="F81" s="52">
        <f>F80+C81</f>
        <v/>
      </c>
      <c r="G81" s="53">
        <f>IFERROR(E81/F81,0)</f>
        <v/>
      </c>
      <c r="H81" s="51" t="inlineStr">
        <is>
          <t>Forecast</t>
        </is>
      </c>
    </row>
    <row r="82">
      <c r="B82" s="51" t="inlineStr">
        <is>
          <t>Q4 2028</t>
        </is>
      </c>
      <c r="C82" s="52">
        <f>SUMIFS($K$5:$K$58,$L$5:$L$58,B82,$M$5:$M$58,"Y")</f>
        <v/>
      </c>
      <c r="D82" s="52">
        <f>MIN($C$10,MAX(0,$C$3*F82-E81))</f>
        <v/>
      </c>
      <c r="E82" s="52">
        <f>E81+D82</f>
        <v/>
      </c>
      <c r="F82" s="52">
        <f>F81+C82</f>
        <v/>
      </c>
      <c r="G82" s="53">
        <f>IFERROR(E82/F82,0)</f>
        <v/>
      </c>
      <c r="H82" s="51" t="inlineStr">
        <is>
          <t>Forecast</t>
        </is>
      </c>
    </row>
    <row r="83">
      <c r="B83" s="51" t="inlineStr">
        <is>
          <t>Q1 2029</t>
        </is>
      </c>
      <c r="C83" s="52">
        <f>SUMIFS($K$5:$K$58,$L$5:$L$58,B83,$M$5:$M$58,"Y")</f>
        <v/>
      </c>
      <c r="D83" s="52">
        <f>MIN($C$10,MAX(0,$C$3*F83-E82))</f>
        <v/>
      </c>
      <c r="E83" s="52">
        <f>E82+D83</f>
        <v/>
      </c>
      <c r="F83" s="52">
        <f>F82+C83</f>
        <v/>
      </c>
      <c r="G83" s="53">
        <f>IFERROR(E83/F83,0)</f>
        <v/>
      </c>
      <c r="H83" s="51" t="inlineStr">
        <is>
          <t>Forecast</t>
        </is>
      </c>
    </row>
    <row r="84">
      <c r="B84" s="51" t="inlineStr">
        <is>
          <t>Q2 2029</t>
        </is>
      </c>
      <c r="C84" s="52">
        <f>SUMIFS($K$5:$K$58,$L$5:$L$58,B84,$M$5:$M$58,"Y")</f>
        <v/>
      </c>
      <c r="D84" s="52">
        <f>MIN($C$10,MAX(0,$C$3*F84-E83))</f>
        <v/>
      </c>
      <c r="E84" s="52">
        <f>E83+D84</f>
        <v/>
      </c>
      <c r="F84" s="52">
        <f>F83+C84</f>
        <v/>
      </c>
      <c r="G84" s="53">
        <f>IFERROR(E84/F84,0)</f>
        <v/>
      </c>
      <c r="H84" s="51" t="inlineStr">
        <is>
          <t>Forecast</t>
        </is>
      </c>
    </row>
    <row r="85">
      <c r="B85" s="51" t="inlineStr">
        <is>
          <t>Q3 2029</t>
        </is>
      </c>
      <c r="C85" s="52">
        <f>SUMIFS($K$5:$K$58,$L$5:$L$58,B85,$M$5:$M$58,"Y")</f>
        <v/>
      </c>
      <c r="D85" s="52">
        <f>MIN($C$10,MAX(0,$C$3*F85-E84))</f>
        <v/>
      </c>
      <c r="E85" s="52">
        <f>E84+D85</f>
        <v/>
      </c>
      <c r="F85" s="52">
        <f>F84+C85</f>
        <v/>
      </c>
      <c r="G85" s="53">
        <f>IFERROR(E85/F85,0)</f>
        <v/>
      </c>
      <c r="H85" s="51" t="inlineStr">
        <is>
          <t>Forecast</t>
        </is>
      </c>
    </row>
    <row r="86">
      <c r="B86" s="51" t="inlineStr">
        <is>
          <t>Q4 2029</t>
        </is>
      </c>
      <c r="C86" s="52">
        <f>SUMIFS($K$5:$K$58,$L$5:$L$58,B86,$M$5:$M$58,"Y")</f>
        <v/>
      </c>
      <c r="D86" s="52">
        <f>MIN($C$10,MAX(0,$C$3*F86-E85))</f>
        <v/>
      </c>
      <c r="E86" s="52">
        <f>E85+D86</f>
        <v/>
      </c>
      <c r="F86" s="52">
        <f>F85+C86</f>
        <v/>
      </c>
      <c r="G86" s="53">
        <f>IFERROR(E86/F86,0)</f>
        <v/>
      </c>
      <c r="H86" s="51" t="inlineStr">
        <is>
          <t>Forecast</t>
        </is>
      </c>
    </row>
    <row r="87">
      <c r="B87" s="51" t="inlineStr">
        <is>
          <t>Q1 2030</t>
        </is>
      </c>
      <c r="C87" s="52">
        <f>SUMIFS($K$5:$K$58,$L$5:$L$58,B87,$M$5:$M$58,"Y")</f>
        <v/>
      </c>
      <c r="D87" s="52">
        <f>MIN($C$10,MAX(0,$C$3*F87-E86))</f>
        <v/>
      </c>
      <c r="E87" s="52">
        <f>E86+D87</f>
        <v/>
      </c>
      <c r="F87" s="52">
        <f>F86+C87</f>
        <v/>
      </c>
      <c r="G87" s="53">
        <f>IFERROR(E87/F87,0)</f>
        <v/>
      </c>
      <c r="H87" s="51" t="inlineStr">
        <is>
          <t>Forecast</t>
        </is>
      </c>
    </row>
    <row r="88">
      <c r="B88" s="51" t="inlineStr">
        <is>
          <t>Q2 2030</t>
        </is>
      </c>
      <c r="C88" s="52">
        <f>SUMIFS($K$5:$K$58,$L$5:$L$58,B88,$M$5:$M$58,"Y")</f>
        <v/>
      </c>
      <c r="D88" s="52">
        <f>MIN($C$10,MAX(0,$C$3*F88-E87))</f>
        <v/>
      </c>
      <c r="E88" s="52">
        <f>E87+D88</f>
        <v/>
      </c>
      <c r="F88" s="52">
        <f>F87+C88</f>
        <v/>
      </c>
      <c r="G88" s="53">
        <f>IFERROR(E88/F88,0)</f>
        <v/>
      </c>
      <c r="H88" s="51" t="inlineStr">
        <is>
          <t>Forecast</t>
        </is>
      </c>
    </row>
    <row r="89">
      <c r="B89" s="51" t="inlineStr">
        <is>
          <t>Q3 2030</t>
        </is>
      </c>
      <c r="C89" s="52">
        <f>SUMIFS($K$5:$K$58,$L$5:$L$58,B89,$M$5:$M$58,"Y")</f>
        <v/>
      </c>
      <c r="D89" s="52">
        <f>MIN($C$10,MAX(0,$C$3*F89-E88))</f>
        <v/>
      </c>
      <c r="E89" s="52">
        <f>E88+D89</f>
        <v/>
      </c>
      <c r="F89" s="52">
        <f>F88+C89</f>
        <v/>
      </c>
      <c r="G89" s="53">
        <f>IFERROR(E89/F89,0)</f>
        <v/>
      </c>
      <c r="H89" s="51" t="inlineStr">
        <is>
          <t>Forecast</t>
        </is>
      </c>
    </row>
    <row r="90">
      <c r="B90" s="51" t="inlineStr">
        <is>
          <t>Q4 2030</t>
        </is>
      </c>
      <c r="C90" s="52">
        <f>SUMIFS($K$5:$K$58,$L$5:$L$58,B90,$M$5:$M$58,"Y")</f>
        <v/>
      </c>
      <c r="D90" s="52">
        <f>MIN($C$10,MAX(0,$C$3*F90-E89))</f>
        <v/>
      </c>
      <c r="E90" s="52">
        <f>E89+D90</f>
        <v/>
      </c>
      <c r="F90" s="52">
        <f>F89+C90</f>
        <v/>
      </c>
      <c r="G90" s="53">
        <f>IFERROR(E90/F90,0)</f>
        <v/>
      </c>
      <c r="H90" s="51" t="inlineStr">
        <is>
          <t>Forecast</t>
        </is>
      </c>
    </row>
    <row r="91">
      <c r="B91" s="51" t="inlineStr">
        <is>
          <t>Q1 2031</t>
        </is>
      </c>
      <c r="C91" s="52">
        <f>SUMIFS($K$5:$K$58,$L$5:$L$58,B91,$M$5:$M$58,"Y")</f>
        <v/>
      </c>
      <c r="D91" s="52">
        <f>MIN($C$10,MAX(0,$C$3*F91-E90))</f>
        <v/>
      </c>
      <c r="E91" s="52">
        <f>E90+D91</f>
        <v/>
      </c>
      <c r="F91" s="52">
        <f>F90+C91</f>
        <v/>
      </c>
      <c r="G91" s="53">
        <f>IFERROR(E91/F91,0)</f>
        <v/>
      </c>
      <c r="H91" s="51" t="inlineStr">
        <is>
          <t>Forecast</t>
        </is>
      </c>
    </row>
    <row r="92">
      <c r="B92" s="51" t="inlineStr">
        <is>
          <t>Q2 2031</t>
        </is>
      </c>
      <c r="C92" s="52">
        <f>SUMIFS($K$5:$K$58,$L$5:$L$58,B92,$M$5:$M$58,"Y")</f>
        <v/>
      </c>
      <c r="D92" s="52">
        <f>MIN($C$10,MAX(0,$C$3*F92-E91))</f>
        <v/>
      </c>
      <c r="E92" s="52">
        <f>E91+D92</f>
        <v/>
      </c>
      <c r="F92" s="52">
        <f>F91+C92</f>
        <v/>
      </c>
      <c r="G92" s="53">
        <f>IFERROR(E92/F92,0)</f>
        <v/>
      </c>
      <c r="H92" s="51" t="inlineStr">
        <is>
          <t>Forecast</t>
        </is>
      </c>
    </row>
    <row r="93">
      <c r="B93" s="51" t="inlineStr">
        <is>
          <t>Q3 2031</t>
        </is>
      </c>
      <c r="C93" s="52">
        <f>SUMIFS($K$5:$K$58,$L$5:$L$58,B93,$M$5:$M$58,"Y")</f>
        <v/>
      </c>
      <c r="D93" s="52">
        <f>MIN($C$10,MAX(0,$C$3*F93-E92))</f>
        <v/>
      </c>
      <c r="E93" s="52">
        <f>E92+D93</f>
        <v/>
      </c>
      <c r="F93" s="52">
        <f>F92+C93</f>
        <v/>
      </c>
      <c r="G93" s="53">
        <f>IFERROR(E93/F93,0)</f>
        <v/>
      </c>
      <c r="H93" s="51" t="inlineStr">
        <is>
          <t>Forecast</t>
        </is>
      </c>
    </row>
    <row r="94">
      <c r="B94" s="51" t="inlineStr">
        <is>
          <t>Q4 2031</t>
        </is>
      </c>
      <c r="C94" s="52">
        <f>SUMIFS($K$5:$K$58,$L$5:$L$58,B94,$M$5:$M$58,"Y")</f>
        <v/>
      </c>
      <c r="D94" s="52">
        <f>MIN($C$10,MAX(0,$C$3*F94-E93))</f>
        <v/>
      </c>
      <c r="E94" s="52">
        <f>E93+D94</f>
        <v/>
      </c>
      <c r="F94" s="52">
        <f>F93+C94</f>
        <v/>
      </c>
      <c r="G94" s="53">
        <f>IFERROR(E94/F94,0)</f>
        <v/>
      </c>
      <c r="H94" s="51" t="inlineStr">
        <is>
          <t>Forecast</t>
        </is>
      </c>
    </row>
    <row r="95">
      <c r="B95" s="51" t="inlineStr">
        <is>
          <t>Q1 2032</t>
        </is>
      </c>
      <c r="C95" s="52">
        <f>SUMIFS($K$5:$K$58,$L$5:$L$58,B95,$M$5:$M$58,"Y")</f>
        <v/>
      </c>
      <c r="D95" s="52">
        <f>MIN($C$10,MAX(0,$C$3*F95-E94))</f>
        <v/>
      </c>
      <c r="E95" s="52">
        <f>E94+D95</f>
        <v/>
      </c>
      <c r="F95" s="52">
        <f>F94+C95</f>
        <v/>
      </c>
      <c r="G95" s="53">
        <f>IFERROR(E95/F95,0)</f>
        <v/>
      </c>
      <c r="H95" s="51" t="inlineStr">
        <is>
          <t>Forecast</t>
        </is>
      </c>
    </row>
    <row r="96">
      <c r="B96" s="51" t="inlineStr">
        <is>
          <t>Q2 2032</t>
        </is>
      </c>
      <c r="C96" s="52">
        <f>SUMIFS($K$5:$K$58,$L$5:$L$58,B96,$M$5:$M$58,"Y")</f>
        <v/>
      </c>
      <c r="D96" s="52">
        <f>MIN($C$10,MAX(0,$C$3*F96-E95))</f>
        <v/>
      </c>
      <c r="E96" s="52">
        <f>E95+D96</f>
        <v/>
      </c>
      <c r="F96" s="52">
        <f>F95+C96</f>
        <v/>
      </c>
      <c r="G96" s="53">
        <f>IFERROR(E96/F96,0)</f>
        <v/>
      </c>
      <c r="H96" s="51" t="inlineStr">
        <is>
          <t>Forecast</t>
        </is>
      </c>
    </row>
    <row r="98">
      <c r="B98" s="33" t="inlineStr">
        <is>
          <t>Historical = CoStar 5-mi actuals. Forecast: inventory grows by scheduled pipeline deliveries (edit dates/include at right); absorption = min(quarterly demand, units to reach target); overall occ = occupied / inventory. Yellow cells are editable.</t>
        </is>
      </c>
    </row>
  </sheetData>
  <mergeCells count="3">
    <mergeCell ref="B2:H2"/>
    <mergeCell ref="J3:M3"/>
    <mergeCell ref="B98:H98"/>
  </mergeCells>
  <dataValidations count="2">
    <dataValidation sqref="C4" showDropDown="0" showInputMessage="0" showErrorMessage="0" allowBlank="0" type="list">
      <formula1>"Bear,Base,Bull"</formula1>
    </dataValidation>
    <dataValidation sqref="M5 M6 M7 M8 M9 M10 M11 M12 M13 M14 M15 M16 M17 M18 M19 M20 M21 M22 M23 M24 M25 M26 M27 M28 M29 M30 M31 M32 M33 M34 M35 M36 M37 M38 M39 M40 M41 M42 M43 M44 M45 M46 M47 M48 M49 M50 M51 M52 M53 M54 M55 M56 M57 M58"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2026-06-19T19:35:41Z</dcterms:created>
  <dcterms:modified xsi:type="dcterms:W3CDTF">2026-06-19T19:35:41Z</dcterms:modified>
</cp:coreProperties>
</file>