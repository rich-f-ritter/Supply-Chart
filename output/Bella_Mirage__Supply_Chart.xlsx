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;&quot;—&quot;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b val="1"/>
      <color rgb="FFFFFFFF"/>
      <sz val="8"/>
    </font>
    <font>
      <name val="Calibri"/>
      <color rgb="FF808080"/>
      <sz val="8"/>
    </font>
    <font>
      <name val="Calibri"/>
      <b val="1"/>
      <color rgb="FF000000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9" borderId="0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/>
    </xf>
    <xf numFmtId="3" fontId="5" fillId="10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5" fontId="5" fillId="1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BELLA MIRAGE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(22 properties, 5,296 units)</t>
        </is>
      </c>
    </row>
    <row r="6">
      <c r="B6" s="7" t="n">
        <v>1</v>
      </c>
      <c r="C6" s="8" t="inlineStr">
        <is>
          <t>Avery</t>
        </is>
      </c>
      <c r="D6" s="9" t="n">
        <v>185</v>
      </c>
      <c r="E6" s="7" t="inlineStr">
        <is>
          <t>Q2 2024</t>
        </is>
      </c>
      <c r="F6" s="10" t="n">
        <v>0.924324</v>
      </c>
      <c r="G6" s="11" t="n">
        <v>1750</v>
      </c>
      <c r="H6" s="8" t="inlineStr">
        <is>
          <t>Larson Capital Management</t>
        </is>
      </c>
      <c r="I6" s="7" t="n"/>
      <c r="J6" s="7" t="inlineStr">
        <is>
          <t>Garden</t>
        </is>
      </c>
      <c r="K6" s="8" t="inlineStr">
        <is>
          <t>Rent: CoStar ask $1,750 vs RealPage eff $1,875</t>
        </is>
      </c>
    </row>
    <row r="7">
      <c r="B7" s="7" t="n">
        <v>2</v>
      </c>
      <c r="C7" s="8" t="inlineStr">
        <is>
          <t>Ironwood at River Run</t>
        </is>
      </c>
      <c r="D7" s="9" t="n">
        <v>103</v>
      </c>
      <c r="E7" s="7" t="inlineStr">
        <is>
          <t>Q2 2024</t>
        </is>
      </c>
      <c r="F7" s="10" t="n">
        <v>0.961</v>
      </c>
      <c r="G7" s="11" t="n">
        <v>2090</v>
      </c>
      <c r="H7" s="8" t="inlineStr">
        <is>
          <t>Rockpoint Group</t>
        </is>
      </c>
      <c r="I7" s="7" t="n"/>
      <c r="J7" s="7" t="inlineStr">
        <is>
          <t>Single Family</t>
        </is>
      </c>
      <c r="K7" s="8" t="inlineStr">
        <is>
          <t>Delivery quarter estimated</t>
        </is>
      </c>
    </row>
    <row r="8">
      <c r="B8" s="7" t="n">
        <v>3</v>
      </c>
      <c r="C8" s="8" t="inlineStr">
        <is>
          <t>Prose Desert River</t>
        </is>
      </c>
      <c r="D8" s="9" t="n">
        <v>384</v>
      </c>
      <c r="E8" s="7" t="inlineStr">
        <is>
          <t>Q1 2023</t>
        </is>
      </c>
      <c r="F8" s="10" t="n">
        <v>0.895833</v>
      </c>
      <c r="G8" s="11" t="n">
        <v>1429</v>
      </c>
      <c r="H8" s="8" t="inlineStr">
        <is>
          <t>Alliance Residential Company</t>
        </is>
      </c>
      <c r="I8" s="7" t="n"/>
      <c r="J8" s="7" t="inlineStr">
        <is>
          <t>Garden</t>
        </is>
      </c>
      <c r="K8" s="8" t="inlineStr">
        <is>
          <t>Year built: 2023/2024; Delivery quarter estimated; Occ: CoStar 90% vs RealPage 97%; Rent: CoStar ask $1,429 vs RealPage eff $1,313</t>
        </is>
      </c>
    </row>
    <row r="9">
      <c r="B9" s="7" t="n">
        <v>4</v>
      </c>
      <c r="C9" s="8" t="inlineStr">
        <is>
          <t>District at Civic Square</t>
        </is>
      </c>
      <c r="D9" s="9" t="n">
        <v>352</v>
      </c>
      <c r="E9" s="7" t="inlineStr">
        <is>
          <t>Q1 2023</t>
        </is>
      </c>
      <c r="F9" s="10" t="n">
        <v>0.920455</v>
      </c>
      <c r="G9" s="11" t="n">
        <v>1526</v>
      </c>
      <c r="H9" s="8" t="inlineStr">
        <is>
          <t>Billah Khan</t>
        </is>
      </c>
      <c r="I9" s="7" t="n"/>
      <c r="J9" s="7" t="inlineStr">
        <is>
          <t>Mid-Rise</t>
        </is>
      </c>
      <c r="K9" s="8" t="inlineStr">
        <is>
          <t>Year built: 2023/2024; Delivery quarter estimated; Occ: CoStar 92% vs RealPage 100%; Rent: CoStar ask $1,526 vs RealPage eff $1,263</t>
        </is>
      </c>
    </row>
    <row r="10">
      <c r="B10" s="7" t="n">
        <v>5</v>
      </c>
      <c r="C10" s="8" t="inlineStr">
        <is>
          <t>Acero Roosevelt</t>
        </is>
      </c>
      <c r="D10" s="9" t="n">
        <v>352</v>
      </c>
      <c r="E10" s="7" t="inlineStr">
        <is>
          <t>Q1 2023</t>
        </is>
      </c>
      <c r="F10" s="10" t="n">
        <v>0.892045</v>
      </c>
      <c r="G10" s="11" t="n">
        <v>1632</v>
      </c>
      <c r="H10" s="8" t="inlineStr">
        <is>
          <t>IDM Companies</t>
        </is>
      </c>
      <c r="I10" s="7" t="n"/>
      <c r="J10" s="7" t="inlineStr">
        <is>
          <t>Garden</t>
        </is>
      </c>
      <c r="K10" s="8" t="inlineStr">
        <is>
          <t>Year built: 2023/2024; Delivery quarter estimated; Occ: CoStar 89% vs RealPage 94%; Rent: CoStar ask $1,632 vs RealPage eff $1,236</t>
        </is>
      </c>
    </row>
    <row r="11">
      <c r="B11" s="7" t="n">
        <v>6</v>
      </c>
      <c r="C11" s="8" t="inlineStr">
        <is>
          <t>Cabana Bullard</t>
        </is>
      </c>
      <c r="D11" s="9" t="n">
        <v>336</v>
      </c>
      <c r="E11" s="7" t="inlineStr">
        <is>
          <t>Q1 2023</t>
        </is>
      </c>
      <c r="F11" s="10" t="n">
        <v>0.9494050000000001</v>
      </c>
      <c r="G11" s="11" t="n">
        <v>1335</v>
      </c>
      <c r="H11" s="8" t="inlineStr">
        <is>
          <t>Greenlight Communities</t>
        </is>
      </c>
      <c r="I11" s="7" t="n"/>
      <c r="J11" s="7" t="inlineStr">
        <is>
          <t>Garden</t>
        </is>
      </c>
      <c r="K11" s="8" t="inlineStr">
        <is>
          <t>Delivery quarter estimated</t>
        </is>
      </c>
    </row>
    <row r="12">
      <c r="B12" s="7" t="n">
        <v>7</v>
      </c>
      <c r="C12" s="8" t="inlineStr">
        <is>
          <t>Bungalows at Camelback</t>
        </is>
      </c>
      <c r="D12" s="9" t="n">
        <v>334</v>
      </c>
      <c r="E12" s="7" t="inlineStr">
        <is>
          <t>Q1 2023</t>
        </is>
      </c>
      <c r="F12" s="10" t="n">
        <v>0.7634730000000001</v>
      </c>
      <c r="G12" s="11" t="n">
        <v>2026</v>
      </c>
      <c r="H12" s="8" t="inlineStr">
        <is>
          <t>Cavan Companies</t>
        </is>
      </c>
      <c r="I12" s="7" t="n"/>
      <c r="J12" s="7" t="inlineStr">
        <is>
          <t>Garden</t>
        </is>
      </c>
      <c r="K12" s="8" t="inlineStr">
        <is>
          <t>Year built: 2023/2024; Delivery quarter estimated; Occ: CoStar 76% vs RealPage 92%; Rent: CoStar ask $2,026 vs RealPage eff $1,385</t>
        </is>
      </c>
    </row>
    <row r="13">
      <c r="B13" s="7" t="n">
        <v>8</v>
      </c>
      <c r="C13" s="8" t="inlineStr">
        <is>
          <t>Cuvee Apartments</t>
        </is>
      </c>
      <c r="D13" s="9" t="n">
        <v>310</v>
      </c>
      <c r="E13" s="7" t="inlineStr">
        <is>
          <t>Q1 2023</t>
        </is>
      </c>
      <c r="F13" s="10" t="n">
        <v>0.926</v>
      </c>
      <c r="G13" s="11" t="n">
        <v>1629</v>
      </c>
      <c r="H13" s="8" t="inlineStr">
        <is>
          <t>Pillar Communities</t>
        </is>
      </c>
      <c r="I13" s="7" t="n"/>
      <c r="J13" s="7" t="inlineStr">
        <is>
          <t>Mid-Rise</t>
        </is>
      </c>
      <c r="K13" s="8" t="inlineStr">
        <is>
          <t>Delivery quarter estimated</t>
        </is>
      </c>
    </row>
    <row r="14">
      <c r="B14" s="7" t="n">
        <v>9</v>
      </c>
      <c r="C14" s="8" t="inlineStr">
        <is>
          <t>Springs At Westgate</t>
        </is>
      </c>
      <c r="D14" s="9" t="n">
        <v>292</v>
      </c>
      <c r="E14" s="7" t="inlineStr">
        <is>
          <t>Q1 2023</t>
        </is>
      </c>
      <c r="F14" s="10" t="n">
        <v>0.784247</v>
      </c>
      <c r="G14" s="11" t="n">
        <v>1516</v>
      </c>
      <c r="H14" s="8" t="inlineStr">
        <is>
          <t>Continental Properties Company, Inc.</t>
        </is>
      </c>
      <c r="I14" s="7" t="n"/>
      <c r="J14" s="7" t="inlineStr">
        <is>
          <t>Garden</t>
        </is>
      </c>
      <c r="K14" s="8" t="inlineStr">
        <is>
          <t>Year built: 2023/2024; Units: CoStar 292 vs RealPage 239; Delivery quarter estimated; Occ: CoStar 78% vs RealPage 87%</t>
        </is>
      </c>
    </row>
    <row r="15">
      <c r="B15" s="7" t="n">
        <v>10</v>
      </c>
      <c r="C15" s="8" t="inlineStr">
        <is>
          <t>BB Living at Civic Square</t>
        </is>
      </c>
      <c r="D15" s="9" t="n">
        <v>290</v>
      </c>
      <c r="E15" s="7" t="inlineStr">
        <is>
          <t>Q1 2023</t>
        </is>
      </c>
      <c r="F15" s="10" t="n">
        <v>0.934483</v>
      </c>
      <c r="G15" s="11" t="n">
        <v>2812</v>
      </c>
      <c r="H15" s="8" t="inlineStr">
        <is>
          <t>BB Living</t>
        </is>
      </c>
      <c r="I15" s="7" t="n"/>
      <c r="J15" s="7" t="inlineStr">
        <is>
          <t>Townhome</t>
        </is>
      </c>
      <c r="K15" s="8" t="inlineStr">
        <is>
          <t>Year built: 2023/2024; Delivery quarter estimated; Occ: CoStar 93% vs RealPage 96%; Rent: CoStar ask $2,812 vs RealPage eff $2,575</t>
        </is>
      </c>
    </row>
    <row r="16">
      <c r="B16" s="7" t="n">
        <v>11</v>
      </c>
      <c r="C16" s="8" t="inlineStr">
        <is>
          <t>Village at Paseo de Luces</t>
        </is>
      </c>
      <c r="D16" s="9" t="n">
        <v>272</v>
      </c>
      <c r="E16" s="7" t="inlineStr">
        <is>
          <t>Q1 2023</t>
        </is>
      </c>
      <c r="F16" s="10" t="n">
        <v>0.926471</v>
      </c>
      <c r="G16" s="11" t="n">
        <v>1820</v>
      </c>
      <c r="H16" s="8" t="inlineStr">
        <is>
          <t>Empire Group of Companies</t>
        </is>
      </c>
      <c r="I16" s="7" t="n"/>
      <c r="J16" s="7" t="inlineStr">
        <is>
          <t>Garden</t>
        </is>
      </c>
      <c r="K16" s="8" t="inlineStr">
        <is>
          <t>Year built: 2023/2024; Delivery quarter estimated; Occ: CoStar 93% vs RealPage 97%; Rent: CoStar ask $1,820 vs RealPage eff $1,597</t>
        </is>
      </c>
    </row>
    <row r="17">
      <c r="B17" s="7" t="n">
        <v>12</v>
      </c>
      <c r="C17" s="8" t="inlineStr">
        <is>
          <t>Parc Lofts</t>
        </is>
      </c>
      <c r="D17" s="9" t="n">
        <v>258</v>
      </c>
      <c r="E17" s="7" t="inlineStr">
        <is>
          <t>Q1 2023</t>
        </is>
      </c>
      <c r="F17" s="10" t="n">
        <v>0.8992249999999999</v>
      </c>
      <c r="G17" s="11" t="n">
        <v>1567</v>
      </c>
      <c r="H17" s="8" t="inlineStr">
        <is>
          <t>Millburn &amp; Company</t>
        </is>
      </c>
      <c r="I17" s="7" t="n"/>
      <c r="J17" s="7" t="inlineStr">
        <is>
          <t>Garden</t>
        </is>
      </c>
      <c r="K17" s="8" t="inlineStr">
        <is>
          <t>Delivery quarter estimated; Occ: CoStar 90% vs RealPage 94%</t>
        </is>
      </c>
    </row>
    <row r="18">
      <c r="B18" s="7" t="n">
        <v>13</v>
      </c>
      <c r="C18" s="8" t="inlineStr">
        <is>
          <t>Christopher Todd Communities at McDowell</t>
        </is>
      </c>
      <c r="D18" s="9" t="n">
        <v>217</v>
      </c>
      <c r="E18" s="7" t="inlineStr">
        <is>
          <t>Q1 2023</t>
        </is>
      </c>
      <c r="F18" s="10" t="n">
        <v>0.949309</v>
      </c>
      <c r="G18" s="11" t="n">
        <v>1576</v>
      </c>
      <c r="H18" s="8" t="inlineStr">
        <is>
          <t>Christopher Todd Communities</t>
        </is>
      </c>
      <c r="I18" s="7" t="n"/>
      <c r="J18" s="7" t="inlineStr">
        <is>
          <t>Garden</t>
        </is>
      </c>
      <c r="K18" s="8" t="inlineStr">
        <is>
          <t>Year built: 2023/2024; Delivery quarter estimated</t>
        </is>
      </c>
    </row>
    <row r="19">
      <c r="B19" s="7" t="n">
        <v>14</v>
      </c>
      <c r="C19" s="8" t="inlineStr">
        <is>
          <t>Village Camelback Park</t>
        </is>
      </c>
      <c r="D19" s="9" t="n">
        <v>194</v>
      </c>
      <c r="E19" s="7" t="inlineStr">
        <is>
          <t>Q1 2023</t>
        </is>
      </c>
      <c r="F19" s="10" t="n">
        <v>0.773196</v>
      </c>
      <c r="G19" s="11" t="n">
        <v>1874</v>
      </c>
      <c r="H19" s="8" t="inlineStr">
        <is>
          <t>The Empire Group</t>
        </is>
      </c>
      <c r="I19" s="7" t="n"/>
      <c r="J19" s="7" t="inlineStr">
        <is>
          <t>Single Family</t>
        </is>
      </c>
      <c r="K19" s="8" t="inlineStr">
        <is>
          <t>Delivery quarter estimated; Occ: CoStar 77% vs RealPage 92%</t>
        </is>
      </c>
    </row>
    <row r="20">
      <c r="B20" s="7" t="n">
        <v>15</v>
      </c>
      <c r="C20" s="8" t="inlineStr">
        <is>
          <t>Village at the BLVD</t>
        </is>
      </c>
      <c r="D20" s="9" t="n">
        <v>187</v>
      </c>
      <c r="E20" s="7" t="inlineStr">
        <is>
          <t>Q1 2023</t>
        </is>
      </c>
      <c r="F20" s="10" t="n">
        <v>0.935829</v>
      </c>
      <c r="G20" s="11" t="n">
        <v>1964</v>
      </c>
      <c r="H20" s="8" t="inlineStr">
        <is>
          <t>Empire Group of Companies</t>
        </is>
      </c>
      <c r="I20" s="7" t="n"/>
      <c r="J20" s="7" t="inlineStr">
        <is>
          <t>Single Family</t>
        </is>
      </c>
      <c r="K20" s="8" t="inlineStr">
        <is>
          <t>Year built: 2023/2024; Delivery quarter estimated; Occ: CoStar 94% vs RealPage 96%</t>
        </is>
      </c>
    </row>
    <row r="21">
      <c r="B21" s="7" t="n">
        <v>16</v>
      </c>
      <c r="C21" s="8" t="inlineStr">
        <is>
          <t>The Crofton at Sheely Farms</t>
        </is>
      </c>
      <c r="D21" s="9" t="n">
        <v>167</v>
      </c>
      <c r="E21" s="7" t="inlineStr">
        <is>
          <t>Q1 2023</t>
        </is>
      </c>
      <c r="F21" s="10" t="n">
        <v>0.9520960000000001</v>
      </c>
      <c r="G21" s="11" t="n">
        <v>1607</v>
      </c>
      <c r="H21" s="8" t="inlineStr">
        <is>
          <t>Atlantic Creek Real Estate Partners</t>
        </is>
      </c>
      <c r="I21" s="7" t="n"/>
      <c r="J21" s="7" t="inlineStr">
        <is>
          <t>Garden</t>
        </is>
      </c>
      <c r="K21" s="8" t="inlineStr">
        <is>
          <t>Delivery quarter estimated; Rent: CoStar ask $1,607 vs RealPage eff $1,388</t>
        </is>
      </c>
    </row>
    <row r="22">
      <c r="B22" s="7" t="n">
        <v>17</v>
      </c>
      <c r="C22" s="8" t="inlineStr">
        <is>
          <t>TerraLane at Park McDowell</t>
        </is>
      </c>
      <c r="D22" s="9" t="n">
        <v>162</v>
      </c>
      <c r="E22" s="7" t="inlineStr">
        <is>
          <t>Q1 2023</t>
        </is>
      </c>
      <c r="F22" s="10" t="n">
        <v>0.8518520000000001</v>
      </c>
      <c r="G22" s="11" t="n">
        <v>1576</v>
      </c>
      <c r="H22" s="8" t="inlineStr">
        <is>
          <t>TerraLane Communities</t>
        </is>
      </c>
      <c r="I22" s="7" t="n"/>
      <c r="J22" s="7" t="inlineStr">
        <is>
          <t>Garden</t>
        </is>
      </c>
      <c r="K22" s="8" t="inlineStr">
        <is>
          <t>Delivery quarter estimated; Occ: CoStar 85% vs RealPage 88%; Rent: CoStar ask $1,576 vs RealPage eff $1,211</t>
        </is>
      </c>
    </row>
    <row r="23">
      <c r="B23" s="7" t="n">
        <v>18</v>
      </c>
      <c r="C23" s="8" t="inlineStr">
        <is>
          <t>Ironwood Homes at River Run</t>
        </is>
      </c>
      <c r="D23" s="9" t="n">
        <v>103</v>
      </c>
      <c r="E23" s="7" t="inlineStr">
        <is>
          <t>Q1 2023</t>
        </is>
      </c>
      <c r="F23" s="10" t="n">
        <v>0.893204</v>
      </c>
      <c r="G23" s="11" t="n">
        <v>2523</v>
      </c>
      <c r="H23" s="8" t="inlineStr">
        <is>
          <t>Sunstone Properties Trust</t>
        </is>
      </c>
      <c r="I23" s="7" t="n"/>
      <c r="J23" s="7" t="inlineStr">
        <is>
          <t>Garden</t>
        </is>
      </c>
      <c r="K23" s="8" t="inlineStr">
        <is>
          <t>Delivery quarter estimated</t>
        </is>
      </c>
    </row>
    <row r="24">
      <c r="B24" s="7" t="n">
        <v>19</v>
      </c>
      <c r="C24" s="8" t="inlineStr">
        <is>
          <t>Avari Apartments</t>
        </is>
      </c>
      <c r="D24" s="9" t="n">
        <v>354</v>
      </c>
      <c r="E24" s="7" t="inlineStr">
        <is>
          <t>Q3 2022</t>
        </is>
      </c>
      <c r="F24" s="10" t="n">
        <v>0.951977</v>
      </c>
      <c r="G24" s="11" t="n">
        <v>1574</v>
      </c>
      <c r="H24" s="8" t="inlineStr">
        <is>
          <t>Brett C. &amp; Lorraine M. Heers</t>
        </is>
      </c>
      <c r="I24" s="7" t="n"/>
      <c r="J24" s="7" t="inlineStr">
        <is>
          <t>Mid-Rise</t>
        </is>
      </c>
      <c r="K24" s="8" t="inlineStr">
        <is>
          <t>Year built: 2022/2023; Delivery quarter estimated; Occ: CoStar 95% vs RealPage 100%</t>
        </is>
      </c>
    </row>
    <row r="25">
      <c r="B25" s="7" t="n">
        <v>20</v>
      </c>
      <c r="C25" s="8" t="inlineStr">
        <is>
          <t>Sunset View Apartments</t>
        </is>
      </c>
      <c r="D25" s="9" t="n">
        <v>286</v>
      </c>
      <c r="E25" s="7" t="inlineStr">
        <is>
          <t>Q2 2022</t>
        </is>
      </c>
      <c r="F25" s="10" t="n">
        <v>0.902098</v>
      </c>
      <c r="G25" s="11" t="n">
        <v>1338</v>
      </c>
      <c r="H25" s="8" t="inlineStr">
        <is>
          <t>Sunrise Multifamily LLC</t>
        </is>
      </c>
      <c r="I25" s="7" t="n"/>
      <c r="J25" s="7" t="inlineStr">
        <is>
          <t>Garden</t>
        </is>
      </c>
      <c r="K25" s="8" t="inlineStr">
        <is>
          <t>Occ: CoStar 90% vs RealPage 96%; Rent: CoStar ask $1,338 vs RealPage eff $1,167</t>
        </is>
      </c>
    </row>
    <row r="26">
      <c r="B26" s="7" t="n">
        <v>21</v>
      </c>
      <c r="C26" s="8" t="inlineStr">
        <is>
          <t>Luna Bear 94</t>
        </is>
      </c>
      <c r="D26" s="9" t="n">
        <v>94</v>
      </c>
      <c r="E26" s="7" t="inlineStr">
        <is>
          <t>Q1 2022</t>
        </is>
      </c>
      <c r="F26" s="10" t="n">
        <v>0.989362</v>
      </c>
      <c r="G26" s="11" t="n">
        <v>1913</v>
      </c>
      <c r="H26" s="8" t="inlineStr">
        <is>
          <t>Luna Bear Properties LLC</t>
        </is>
      </c>
      <c r="I26" s="7" t="n"/>
      <c r="J26" s="7" t="inlineStr">
        <is>
          <t>Single Family</t>
        </is>
      </c>
      <c r="K26" s="8" t="n"/>
    </row>
    <row r="27">
      <c r="B27" s="7" t="n">
        <v>22</v>
      </c>
      <c r="C27" s="8" t="inlineStr">
        <is>
          <t>Cyrene at Estrella</t>
        </is>
      </c>
      <c r="D27" s="9" t="n">
        <v>64</v>
      </c>
      <c r="E27" s="7" t="inlineStr">
        <is>
          <t>Q1 2022</t>
        </is>
      </c>
      <c r="F27" s="10" t="n">
        <v>0.984375</v>
      </c>
      <c r="G27" s="11" t="n">
        <v>2442</v>
      </c>
      <c r="H27" s="8" t="inlineStr">
        <is>
          <t>BGO</t>
        </is>
      </c>
      <c r="I27" s="7" t="n"/>
      <c r="J27" s="7" t="inlineStr">
        <is>
          <t>Single Family</t>
        </is>
      </c>
      <c r="K27" s="8" t="inlineStr">
        <is>
          <t>Year built: 2022/2023; Delivery quarter estimated; Rent: CoStar ask $2,442 vs RealPage eff $2,261</t>
        </is>
      </c>
    </row>
    <row r="29">
      <c r="B29" s="12" t="n"/>
      <c r="C29" s="13" t="inlineStr">
        <is>
          <t>LEASING UP (28 properties, 7,249 units)</t>
        </is>
      </c>
    </row>
    <row r="30">
      <c r="B30" s="14" t="n">
        <v>23</v>
      </c>
      <c r="C30" s="15" t="inlineStr">
        <is>
          <t>Flatz 623</t>
        </is>
      </c>
      <c r="D30" s="16" t="n">
        <v>360</v>
      </c>
      <c r="E30" s="14" t="inlineStr">
        <is>
          <t>Q2 2026</t>
        </is>
      </c>
      <c r="F30" s="17" t="n">
        <v>0.1333329999999999</v>
      </c>
      <c r="G30" s="18" t="n">
        <v>1411</v>
      </c>
      <c r="H30" s="15" t="inlineStr">
        <is>
          <t>Zekelman Industries</t>
        </is>
      </c>
      <c r="I30" s="14" t="n"/>
      <c r="J30" s="14" t="inlineStr">
        <is>
          <t>Low-Rise</t>
        </is>
      </c>
      <c r="K30" s="15" t="inlineStr">
        <is>
          <t>Delivery quarter estimated; Occ: CoStar 13% vs RealPage 0%; Rent: CoStar ask $1,411 vs RealPage eff $1,145; Verify rent/occ w/ HelloData</t>
        </is>
      </c>
    </row>
    <row r="31">
      <c r="B31" s="14" t="n">
        <v>24</v>
      </c>
      <c r="C31" s="15" t="inlineStr">
        <is>
          <t>Stately Avondale</t>
        </is>
      </c>
      <c r="D31" s="16" t="n">
        <v>286</v>
      </c>
      <c r="E31" s="14" t="inlineStr">
        <is>
          <t>Q2 2026</t>
        </is>
      </c>
      <c r="F31" s="17" t="n">
        <v>0.297203</v>
      </c>
      <c r="G31" s="18" t="n">
        <v>1728</v>
      </c>
      <c r="H31" s="15" t="inlineStr">
        <is>
          <t>Ascent Companies</t>
        </is>
      </c>
      <c r="I31" s="14" t="n"/>
      <c r="J31" s="14" t="inlineStr">
        <is>
          <t>Garden</t>
        </is>
      </c>
      <c r="K31" s="15" t="inlineStr">
        <is>
          <t>Year built: 2026/2027; Delivery quarter estimated; Occ: CoStar 30% vs RealPage 0%; Rent: CoStar ask $1,728 vs RealPage eff $1,243; Verify rent/occ w/ HelloData</t>
        </is>
      </c>
    </row>
    <row r="32">
      <c r="B32" s="14" t="n">
        <v>25</v>
      </c>
      <c r="C32" s="15" t="inlineStr">
        <is>
          <t>Avilla Western Garden</t>
        </is>
      </c>
      <c r="D32" s="16" t="n">
        <v>195</v>
      </c>
      <c r="E32" s="14" t="inlineStr">
        <is>
          <t>Q2 2026</t>
        </is>
      </c>
      <c r="F32" s="17" t="n">
        <v>0.4461540000000001</v>
      </c>
      <c r="G32" s="18" t="n">
        <v>1829</v>
      </c>
      <c r="H32" s="15" t="inlineStr">
        <is>
          <t>NexMetro Communities</t>
        </is>
      </c>
      <c r="I32" s="14" t="n"/>
      <c r="J32" s="14" t="inlineStr">
        <is>
          <t>Garden</t>
        </is>
      </c>
      <c r="K32" s="15" t="inlineStr">
        <is>
          <t>Delivery quarter estimated; Occ: CoStar 45% vs RealPage 0%; Rent: CoStar ask $1,829 vs RealPage eff $1,681; Verify rent/occ w/ HelloData</t>
        </is>
      </c>
    </row>
    <row r="33">
      <c r="B33" s="14" t="n">
        <v>26</v>
      </c>
      <c r="C33" s="15" t="inlineStr">
        <is>
          <t>Rev3 at Avondale Station</t>
        </is>
      </c>
      <c r="D33" s="16" t="n">
        <v>117</v>
      </c>
      <c r="E33" s="14" t="inlineStr">
        <is>
          <t>Q2 2026</t>
        </is>
      </c>
      <c r="F33" s="17" t="n">
        <v>0.273504</v>
      </c>
      <c r="G33" s="18" t="n">
        <v>2537</v>
      </c>
      <c r="H33" s="15" t="inlineStr">
        <is>
          <t>Trilogy Investment Company</t>
        </is>
      </c>
      <c r="I33" s="14" t="n"/>
      <c r="J33" s="14" t="inlineStr">
        <is>
          <t>Single Family</t>
        </is>
      </c>
      <c r="K33" s="15" t="inlineStr">
        <is>
          <t>Units: CoStar 117 vs RealPage 107; Delivery quarter estimated; Occ: CoStar 27% vs RealPage 0%; Rent: CoStar ask $2,537 vs RealPage eff $2,273; Verify rent/occ w/ HelloData</t>
        </is>
      </c>
    </row>
    <row r="34">
      <c r="B34" s="14" t="n">
        <v>27</v>
      </c>
      <c r="C34" s="15" t="inlineStr">
        <is>
          <t>Liberty at Estrella Falls</t>
        </is>
      </c>
      <c r="D34" s="16" t="n">
        <v>106</v>
      </c>
      <c r="E34" s="14" t="inlineStr">
        <is>
          <t>Q2 2026</t>
        </is>
      </c>
      <c r="F34" s="17" t="n">
        <v>0.05660399999999999</v>
      </c>
      <c r="G34" s="18" t="n">
        <v>2966</v>
      </c>
      <c r="H34" s="15" t="inlineStr">
        <is>
          <t>Ronald D Newman</t>
        </is>
      </c>
      <c r="I34" s="14" t="n"/>
      <c r="J34" s="14" t="inlineStr">
        <is>
          <t>Garden</t>
        </is>
      </c>
      <c r="K34" s="15" t="inlineStr">
        <is>
          <t>Delivery quarter estimated; Occ: CoStar 6% vs RealPage 21%; Rent: CoStar ask $2,966 vs RealPage eff $1,938; Verify rent/occ w/ HelloData</t>
        </is>
      </c>
    </row>
    <row r="35">
      <c r="B35" s="14" t="n">
        <v>28</v>
      </c>
      <c r="C35" s="15" t="inlineStr">
        <is>
          <t>Broadstone Ascend</t>
        </is>
      </c>
      <c r="D35" s="16" t="n">
        <v>432</v>
      </c>
      <c r="E35" s="14" t="inlineStr">
        <is>
          <t>Q4 2025</t>
        </is>
      </c>
      <c r="F35" s="17" t="n">
        <v>0.875</v>
      </c>
      <c r="G35" s="18" t="n">
        <v>1506</v>
      </c>
      <c r="H35" s="15" t="inlineStr">
        <is>
          <t>Alliance Residential Company</t>
        </is>
      </c>
      <c r="I35" s="14" t="n"/>
      <c r="J35" s="14" t="inlineStr">
        <is>
          <t>Garden</t>
        </is>
      </c>
      <c r="K35" s="15" t="inlineStr">
        <is>
          <t>Year built: 2025/2026; Delivery quarter estimated; Occ: CoStar 88% vs RealPage 51%; Rent: CoStar ask $1,506 vs RealPage eff $1,107; Verify rent/occ w/ HelloData</t>
        </is>
      </c>
    </row>
    <row r="36">
      <c r="B36" s="14" t="n">
        <v>29</v>
      </c>
      <c r="C36" s="15" t="inlineStr">
        <is>
          <t>Villas Litchfield Park</t>
        </is>
      </c>
      <c r="D36" s="16" t="n">
        <v>153</v>
      </c>
      <c r="E36" s="14" t="inlineStr">
        <is>
          <t>Q3 2025</t>
        </is>
      </c>
      <c r="F36" s="17" t="n">
        <v>0.810458</v>
      </c>
      <c r="G36" s="18" t="n">
        <v>1913</v>
      </c>
      <c r="H36" s="15" t="inlineStr">
        <is>
          <t>Family Development</t>
        </is>
      </c>
      <c r="I36" s="14" t="n"/>
      <c r="J36" s="14" t="inlineStr">
        <is>
          <t>Single Family</t>
        </is>
      </c>
      <c r="K36" s="15" t="inlineStr">
        <is>
          <t>Delivery quarter estimated; Occ: CoStar 81% vs RealPage 86%; Rent: CoStar ask $1,913 vs RealPage eff $1,538; Verify rent/occ w/ HelloData</t>
        </is>
      </c>
    </row>
    <row r="37">
      <c r="B37" s="14" t="n">
        <v>30</v>
      </c>
      <c r="C37" s="15" t="inlineStr">
        <is>
          <t>Villas on Van Buren</t>
        </is>
      </c>
      <c r="D37" s="16" t="n">
        <v>143</v>
      </c>
      <c r="E37" s="14" t="inlineStr">
        <is>
          <t>Q3 2025</t>
        </is>
      </c>
      <c r="F37" s="17" t="n">
        <v>0.496503</v>
      </c>
      <c r="G37" s="18" t="n">
        <v>2085</v>
      </c>
      <c r="H37" s="15" t="inlineStr">
        <is>
          <t>Sunstone Properties Trust</t>
        </is>
      </c>
      <c r="I37" s="14" t="n"/>
      <c r="J37" s="14" t="inlineStr">
        <is>
          <t>Townhome</t>
        </is>
      </c>
      <c r="K37" s="15" t="inlineStr">
        <is>
          <t>Year built: 2025/2026; Delivery quarter estimated; Occ: CoStar 50% vs RealPage 0%; Verify rent/occ w/ HelloData</t>
        </is>
      </c>
    </row>
    <row r="38">
      <c r="B38" s="14" t="n">
        <v>31</v>
      </c>
      <c r="C38" s="15" t="inlineStr">
        <is>
          <t>Pradera Estates</t>
        </is>
      </c>
      <c r="D38" s="16" t="n">
        <v>86</v>
      </c>
      <c r="E38" s="14" t="inlineStr">
        <is>
          <t>Q3 2025</t>
        </is>
      </c>
      <c r="F38" s="17" t="n">
        <v>0.895349</v>
      </c>
      <c r="G38" s="18" t="n">
        <v>2474</v>
      </c>
      <c r="H38" s="15" t="inlineStr">
        <is>
          <t>AMH</t>
        </is>
      </c>
      <c r="I38" s="14" t="n"/>
      <c r="J38" s="14" t="inlineStr">
        <is>
          <t>Garden</t>
        </is>
      </c>
      <c r="K38" s="15" t="inlineStr">
        <is>
          <t>Delivery quarter estimated; Verify rent/occ w/ HelloData</t>
        </is>
      </c>
    </row>
    <row r="39">
      <c r="B39" s="14" t="n">
        <v>32</v>
      </c>
      <c r="C39" s="15" t="inlineStr">
        <is>
          <t>Rev3 Encanto West</t>
        </is>
      </c>
      <c r="D39" s="16" t="n">
        <v>84</v>
      </c>
      <c r="E39" s="14" t="inlineStr">
        <is>
          <t>Q3 2025</t>
        </is>
      </c>
      <c r="F39" s="17" t="n">
        <v>0.52381</v>
      </c>
      <c r="G39" s="18" t="n">
        <v>2319</v>
      </c>
      <c r="H39" s="15" t="inlineStr">
        <is>
          <t>Trilogy Investment Company</t>
        </is>
      </c>
      <c r="I39" s="14" t="n"/>
      <c r="J39" s="14" t="inlineStr">
        <is>
          <t>Townhome</t>
        </is>
      </c>
      <c r="K39" s="15" t="inlineStr">
        <is>
          <t>Units: CoStar 84 vs RealPage 78; Year built: 2025/2026; Occ: CoStar 52% vs RealPage 71%; Rent: CoStar ask $2,319 vs RealPage eff $1,833; Verify rent/occ w/ HelloData</t>
        </is>
      </c>
    </row>
    <row r="40">
      <c r="B40" s="14" t="n">
        <v>33</v>
      </c>
      <c r="C40" s="15" t="inlineStr">
        <is>
          <t>Avalon Townhomes</t>
        </is>
      </c>
      <c r="D40" s="16" t="n">
        <v>70</v>
      </c>
      <c r="E40" s="14" t="inlineStr">
        <is>
          <t>Q3 2025</t>
        </is>
      </c>
      <c r="F40" s="17" t="n">
        <v>0.857143</v>
      </c>
      <c r="G40" s="18" t="n">
        <v>2325</v>
      </c>
      <c r="H40" s="15" t="inlineStr">
        <is>
          <t>LVP Partners Group</t>
        </is>
      </c>
      <c r="I40" s="14" t="n"/>
      <c r="J40" s="14" t="inlineStr">
        <is>
          <t>Townhome</t>
        </is>
      </c>
      <c r="K40" s="15" t="inlineStr">
        <is>
          <t>Delivery quarter estimated; Rent: CoStar ask $2,325 vs RealPage eff $2,169; Verify rent/occ w/ HelloData</t>
        </is>
      </c>
    </row>
    <row r="41">
      <c r="B41" s="14" t="n">
        <v>34</v>
      </c>
      <c r="C41" s="15" t="inlineStr">
        <is>
          <t>Alta Goodyear</t>
        </is>
      </c>
      <c r="D41" s="16" t="n">
        <v>342</v>
      </c>
      <c r="E41" s="14" t="inlineStr">
        <is>
          <t>Q2 2025</t>
        </is>
      </c>
      <c r="F41" s="17" t="n">
        <v>0.789474</v>
      </c>
      <c r="G41" s="18" t="n">
        <v>1638</v>
      </c>
      <c r="H41" s="15" t="inlineStr">
        <is>
          <t>Wood Partners</t>
        </is>
      </c>
      <c r="I41" s="14" t="n"/>
      <c r="J41" s="14" t="inlineStr">
        <is>
          <t>Mid-Rise</t>
        </is>
      </c>
      <c r="K41" s="15" t="inlineStr">
        <is>
          <t>Delivery quarter estimated; Rent: CoStar ask $1,638 vs RealPage eff $1,433; Verify rent/occ w/ HelloData</t>
        </is>
      </c>
    </row>
    <row r="42">
      <c r="B42" s="14" t="n">
        <v>35</v>
      </c>
      <c r="C42" s="15" t="inlineStr">
        <is>
          <t>Agave Ranch</t>
        </is>
      </c>
      <c r="D42" s="16" t="n">
        <v>324</v>
      </c>
      <c r="E42" s="14" t="inlineStr">
        <is>
          <t>Q2 2025</t>
        </is>
      </c>
      <c r="F42" s="17" t="n">
        <v>0.802469</v>
      </c>
      <c r="G42" s="18" t="n">
        <v>1747</v>
      </c>
      <c r="H42" s="15" t="inlineStr">
        <is>
          <t>The Garrett Companies</t>
        </is>
      </c>
      <c r="I42" s="14" t="n"/>
      <c r="J42" s="14" t="inlineStr">
        <is>
          <t>Mid-Rise</t>
        </is>
      </c>
      <c r="K42" s="15" t="inlineStr">
        <is>
          <t>Delivery quarter estimated; Occ: CoStar 80% vs RealPage 0%; Rent: CoStar ask $1,747 vs RealPage eff $1,582; Verify rent/occ w/ HelloData</t>
        </is>
      </c>
    </row>
    <row r="43">
      <c r="B43" s="14" t="n">
        <v>36</v>
      </c>
      <c r="C43" s="15" t="inlineStr">
        <is>
          <t>Avondale Commons</t>
        </is>
      </c>
      <c r="D43" s="16" t="n">
        <v>324</v>
      </c>
      <c r="E43" s="14" t="inlineStr">
        <is>
          <t>Q2 2025</t>
        </is>
      </c>
      <c r="F43" s="17" t="n">
        <v>0.37037</v>
      </c>
      <c r="G43" s="18" t="n">
        <v>1632</v>
      </c>
      <c r="H43" s="15" t="inlineStr">
        <is>
          <t>Overland Group</t>
        </is>
      </c>
      <c r="I43" s="14" t="n"/>
      <c r="J43" s="14" t="inlineStr">
        <is>
          <t>Mid-Rise</t>
        </is>
      </c>
      <c r="K43" s="15" t="inlineStr">
        <is>
          <t>Year built: 2025/2026; Delivery quarter estimated; Occ: CoStar 37% vs RealPage 85%; Rent: CoStar ask $1,632 vs RealPage eff $1,321; Verify rent/occ w/ HelloData</t>
        </is>
      </c>
    </row>
    <row r="44">
      <c r="B44" s="14" t="n">
        <v>37</v>
      </c>
      <c r="C44" s="15" t="inlineStr">
        <is>
          <t>Broadstone Westgate</t>
        </is>
      </c>
      <c r="D44" s="16" t="n">
        <v>308</v>
      </c>
      <c r="E44" s="14" t="inlineStr">
        <is>
          <t>Q2 2025</t>
        </is>
      </c>
      <c r="F44" s="17" t="n">
        <v>0.89</v>
      </c>
      <c r="G44" s="18" t="n">
        <v>1438</v>
      </c>
      <c r="H44" s="15" t="inlineStr">
        <is>
          <t>Alliance Residential Company/American Realty Advisors</t>
        </is>
      </c>
      <c r="I44" s="14" t="n"/>
      <c r="J44" s="14" t="inlineStr">
        <is>
          <t>Mid-Rise</t>
        </is>
      </c>
      <c r="K44" s="15" t="inlineStr">
        <is>
          <t>Delivery quarter estimated; Verify rent/occ w/ HelloData</t>
        </is>
      </c>
    </row>
    <row r="45">
      <c r="B45" s="14" t="n">
        <v>38</v>
      </c>
      <c r="C45" s="15" t="inlineStr">
        <is>
          <t>The Douglas</t>
        </is>
      </c>
      <c r="D45" s="16" t="n">
        <v>307</v>
      </c>
      <c r="E45" s="14" t="inlineStr">
        <is>
          <t>Q2 2025</t>
        </is>
      </c>
      <c r="F45" s="17" t="n">
        <v>0.583062</v>
      </c>
      <c r="G45" s="18" t="n">
        <v>2076</v>
      </c>
      <c r="H45" s="15" t="inlineStr">
        <is>
          <t>UrbanStreet Group</t>
        </is>
      </c>
      <c r="I45" s="14" t="n"/>
      <c r="J45" s="14" t="inlineStr">
        <is>
          <t>Townhome</t>
        </is>
      </c>
      <c r="K45" s="15" t="inlineStr">
        <is>
          <t>Delivery quarter estimated; Rent: CoStar ask $2,076 vs RealPage eff $1,561; Verify rent/occ w/ HelloData</t>
        </is>
      </c>
    </row>
    <row r="46">
      <c r="B46" s="14" t="n">
        <v>39</v>
      </c>
      <c r="C46" s="15" t="inlineStr">
        <is>
          <t>Streamliner Aldea</t>
        </is>
      </c>
      <c r="D46" s="16" t="n">
        <v>282</v>
      </c>
      <c r="E46" s="14" t="inlineStr">
        <is>
          <t>Q2 2025</t>
        </is>
      </c>
      <c r="F46" s="17" t="n">
        <v>0.844</v>
      </c>
      <c r="G46" s="18" t="n">
        <v>1025</v>
      </c>
      <c r="H46" s="15" t="inlineStr">
        <is>
          <t>Greenlight Communities LLC</t>
        </is>
      </c>
      <c r="I46" s="14" t="n"/>
      <c r="J46" s="14" t="inlineStr">
        <is>
          <t>Garden</t>
        </is>
      </c>
      <c r="K46" s="15" t="inlineStr">
        <is>
          <t>Delivery quarter estimated; Verify rent/occ w/ HelloData</t>
        </is>
      </c>
    </row>
    <row r="47">
      <c r="B47" s="14" t="n">
        <v>40</v>
      </c>
      <c r="C47" s="15" t="inlineStr">
        <is>
          <t>Cabana Aldea</t>
        </is>
      </c>
      <c r="D47" s="16" t="n">
        <v>257</v>
      </c>
      <c r="E47" s="14" t="inlineStr">
        <is>
          <t>Q2 2025</t>
        </is>
      </c>
      <c r="F47" s="17" t="n">
        <v>0.7393000000000001</v>
      </c>
      <c r="G47" s="18" t="n">
        <v>1330</v>
      </c>
      <c r="H47" s="15" t="inlineStr">
        <is>
          <t>Greenlight Communities</t>
        </is>
      </c>
      <c r="I47" s="14" t="n"/>
      <c r="J47" s="14" t="inlineStr">
        <is>
          <t>Garden</t>
        </is>
      </c>
      <c r="K47" s="15" t="inlineStr">
        <is>
          <t>Delivery quarter estimated; Occ: CoStar 74% vs RealPage 67%; Rent: CoStar ask $1,330 vs RealPage eff $1,253; Verify rent/occ w/ HelloData</t>
        </is>
      </c>
    </row>
    <row r="48">
      <c r="B48" s="14" t="n">
        <v>41</v>
      </c>
      <c r="C48" s="15" t="inlineStr">
        <is>
          <t>Somerset Upscale Apartments</t>
        </is>
      </c>
      <c r="D48" s="16" t="n">
        <v>234</v>
      </c>
      <c r="E48" s="14" t="inlineStr">
        <is>
          <t>Q2 2025</t>
        </is>
      </c>
      <c r="F48" s="17" t="n">
        <v>0.256</v>
      </c>
      <c r="G48" s="18" t="n">
        <v>1671</v>
      </c>
      <c r="H48" s="15" t="inlineStr">
        <is>
          <t>Ridgehouse Companies</t>
        </is>
      </c>
      <c r="I48" s="14" t="n"/>
      <c r="J48" s="14" t="inlineStr">
        <is>
          <t>Mid-Rise</t>
        </is>
      </c>
      <c r="K48" s="15" t="inlineStr">
        <is>
          <t>Delivery quarter estimated; Verify rent/occ w/ HelloData</t>
        </is>
      </c>
    </row>
    <row r="49">
      <c r="B49" s="14" t="n">
        <v>42</v>
      </c>
      <c r="C49" s="15" t="inlineStr">
        <is>
          <t>Village at Skyline Ranch</t>
        </is>
      </c>
      <c r="D49" s="16" t="n">
        <v>167</v>
      </c>
      <c r="E49" s="14" t="inlineStr">
        <is>
          <t>Q2 2025</t>
        </is>
      </c>
      <c r="F49" s="17" t="n">
        <v>0.3952100000000001</v>
      </c>
      <c r="G49" s="18" t="n">
        <v>1773</v>
      </c>
      <c r="H49" s="15" t="inlineStr">
        <is>
          <t>Empire Group of Companies</t>
        </is>
      </c>
      <c r="I49" s="14" t="n"/>
      <c r="J49" s="14" t="inlineStr">
        <is>
          <t>Single Family</t>
        </is>
      </c>
      <c r="K49" s="15" t="inlineStr">
        <is>
          <t>Year built: 2025/2026; Delivery quarter estimated; Occ: CoStar 40% vs RealPage 0%; Rent: CoStar ask $1,773 vs RealPage eff $1,632; Verify rent/occ w/ HelloData</t>
        </is>
      </c>
    </row>
    <row r="50">
      <c r="B50" s="14" t="n">
        <v>43</v>
      </c>
      <c r="C50" s="15" t="inlineStr">
        <is>
          <t>Meritum Sheely Farms</t>
        </is>
      </c>
      <c r="D50" s="16" t="n">
        <v>680</v>
      </c>
      <c r="E50" s="14" t="inlineStr">
        <is>
          <t>Q4 2024</t>
        </is>
      </c>
      <c r="F50" s="17" t="n">
        <v>0.797059</v>
      </c>
      <c r="G50" s="18" t="n">
        <v>1680</v>
      </c>
      <c r="H50" s="15" t="inlineStr">
        <is>
          <t>IDM Companies</t>
        </is>
      </c>
      <c r="I50" s="14" t="n"/>
      <c r="J50" s="14" t="inlineStr">
        <is>
          <t>Mid-Rise</t>
        </is>
      </c>
      <c r="K50" s="15" t="inlineStr">
        <is>
          <t>Year built: 2024/2025; Delivery quarter estimated; Rent: CoStar ask $1,680 vs RealPage eff $1,356; Verify rent/occ w/ HelloData</t>
        </is>
      </c>
    </row>
    <row r="51">
      <c r="B51" s="14" t="n">
        <v>44</v>
      </c>
      <c r="C51" s="15" t="inlineStr">
        <is>
          <t>Alta Avondale</t>
        </is>
      </c>
      <c r="D51" s="16" t="n">
        <v>360</v>
      </c>
      <c r="E51" s="14" t="inlineStr">
        <is>
          <t>Q2 2024</t>
        </is>
      </c>
      <c r="F51" s="17" t="n">
        <v>0.7833330000000001</v>
      </c>
      <c r="G51" s="18" t="n">
        <v>1610</v>
      </c>
      <c r="H51" s="15" t="inlineStr">
        <is>
          <t>Wood Partners</t>
        </is>
      </c>
      <c r="I51" s="14" t="n"/>
      <c r="J51" s="14" t="inlineStr">
        <is>
          <t>Mid-Rise</t>
        </is>
      </c>
      <c r="K51" s="15" t="inlineStr">
        <is>
          <t>Year built: 2024/2025; Delivery quarter estimated; Occ: CoStar 78% vs RealPage 84%; Rent: CoStar ask $1,610 vs RealPage eff $1,339; Verify rent/occ w/ HelloData</t>
        </is>
      </c>
    </row>
    <row r="52">
      <c r="B52" s="14" t="n">
        <v>45</v>
      </c>
      <c r="C52" s="15" t="inlineStr">
        <is>
          <t>Livano Avondale</t>
        </is>
      </c>
      <c r="D52" s="16" t="n">
        <v>316</v>
      </c>
      <c r="E52" s="14" t="inlineStr">
        <is>
          <t>Q2 2024</t>
        </is>
      </c>
      <c r="F52" s="17" t="n">
        <v>0.829114</v>
      </c>
      <c r="G52" s="18" t="n">
        <v>1663</v>
      </c>
      <c r="H52" s="15" t="inlineStr">
        <is>
          <t>LIV Development</t>
        </is>
      </c>
      <c r="I52" s="14" t="n"/>
      <c r="J52" s="14" t="inlineStr">
        <is>
          <t>Mid-Rise</t>
        </is>
      </c>
      <c r="K52" s="15" t="inlineStr">
        <is>
          <t>Year built: 2024/2025; Delivery quarter estimated; Rent: CoStar ask $1,663 vs RealPage eff $1,263; Verify rent/occ w/ HelloData</t>
        </is>
      </c>
    </row>
    <row r="53">
      <c r="B53" s="14" t="n">
        <v>46</v>
      </c>
      <c r="C53" s="15" t="inlineStr">
        <is>
          <t>Cardinal 95</t>
        </is>
      </c>
      <c r="D53" s="16" t="n">
        <v>198</v>
      </c>
      <c r="E53" s="14" t="inlineStr">
        <is>
          <t>Q2 2024</t>
        </is>
      </c>
      <c r="F53" s="17" t="n">
        <v>0.878788</v>
      </c>
      <c r="G53" s="18" t="n">
        <v>1691</v>
      </c>
      <c r="H53" s="15" t="inlineStr">
        <is>
          <t>Quarry Capital</t>
        </is>
      </c>
      <c r="I53" s="14" t="n"/>
      <c r="J53" s="14" t="inlineStr">
        <is>
          <t>Garden</t>
        </is>
      </c>
      <c r="K53" s="15" t="inlineStr">
        <is>
          <t>Delivery quarter estimated; Verify rent/occ w/ HelloData</t>
        </is>
      </c>
    </row>
    <row r="54">
      <c r="B54" s="14" t="n">
        <v>47</v>
      </c>
      <c r="C54" s="15" t="inlineStr">
        <is>
          <t>Moderne at Roosevelt</t>
        </is>
      </c>
      <c r="D54" s="16" t="n">
        <v>185</v>
      </c>
      <c r="E54" s="14" t="inlineStr">
        <is>
          <t>Q2 2024</t>
        </is>
      </c>
      <c r="F54" s="17" t="n">
        <v>0.891892</v>
      </c>
      <c r="G54" s="18" t="n">
        <v>1900</v>
      </c>
      <c r="H54" s="15" t="inlineStr">
        <is>
          <t>MODERNE Communities</t>
        </is>
      </c>
      <c r="I54" s="14" t="n"/>
      <c r="J54" s="14" t="inlineStr">
        <is>
          <t>Low-Rise</t>
        </is>
      </c>
      <c r="K54" s="15" t="inlineStr">
        <is>
          <t>Year built: 2024/2025; Occ: CoStar 89% vs RealPage 94%; Rent: CoStar ask $1,900 vs RealPage eff $1,769; Verify rent/occ w/ HelloData</t>
        </is>
      </c>
    </row>
    <row r="55">
      <c r="B55" s="14" t="n">
        <v>48</v>
      </c>
      <c r="C55" s="15" t="inlineStr">
        <is>
          <t>Canopy at the Trails</t>
        </is>
      </c>
      <c r="D55" s="16" t="n">
        <v>124</v>
      </c>
      <c r="E55" s="14" t="inlineStr">
        <is>
          <t>Q2 2024</t>
        </is>
      </c>
      <c r="F55" s="17" t="n">
        <v>0.879032</v>
      </c>
      <c r="G55" s="18" t="n">
        <v>2183</v>
      </c>
      <c r="H55" s="15" t="inlineStr">
        <is>
          <t>Mark-Taylor Companies</t>
        </is>
      </c>
      <c r="I55" s="14" t="n"/>
      <c r="J55" s="14" t="inlineStr">
        <is>
          <t>Townhome</t>
        </is>
      </c>
      <c r="K55" s="15" t="inlineStr">
        <is>
          <t>Delivery quarter estimated; Occ: CoStar 88% vs RealPage 92%; Verify rent/occ w/ HelloData</t>
        </is>
      </c>
    </row>
    <row r="56">
      <c r="B56" s="14" t="n">
        <v>49</v>
      </c>
      <c r="C56" s="15" t="inlineStr">
        <is>
          <t>Radia Avondale Station</t>
        </is>
      </c>
      <c r="D56" s="16" t="n">
        <v>407</v>
      </c>
      <c r="E56" s="14" t="inlineStr">
        <is>
          <t>Q1 2024</t>
        </is>
      </c>
      <c r="F56" s="17" t="n">
        <v>0.616708</v>
      </c>
      <c r="G56" s="18" t="n">
        <v>1743</v>
      </c>
      <c r="H56" s="15" t="inlineStr">
        <is>
          <t>Goodman Real Estate Inc.</t>
        </is>
      </c>
      <c r="I56" s="14" t="n"/>
      <c r="J56" s="14" t="inlineStr">
        <is>
          <t>Garden</t>
        </is>
      </c>
      <c r="K56" s="15" t="inlineStr">
        <is>
          <t>Units: CoStar 407 vs RealPage 212; Year built: 2024/2025; Delivery quarter estimated; Occ: CoStar 62% vs RealPage 51%; Verify rent/occ w/ HelloData</t>
        </is>
      </c>
    </row>
    <row r="57">
      <c r="B57" s="14" t="n">
        <v>50</v>
      </c>
      <c r="C57" s="15" t="inlineStr">
        <is>
          <t>Alta 99th</t>
        </is>
      </c>
      <c r="D57" s="16" t="n">
        <v>402</v>
      </c>
      <c r="E57" s="14" t="inlineStr">
        <is>
          <t>Q1 2024</t>
        </is>
      </c>
      <c r="F57" s="17" t="n">
        <v>0.855721</v>
      </c>
      <c r="G57" s="18" t="n">
        <v>1542</v>
      </c>
      <c r="H57" s="15" t="inlineStr">
        <is>
          <t>Wood Partners</t>
        </is>
      </c>
      <c r="I57" s="14" t="n"/>
      <c r="J57" s="14" t="inlineStr">
        <is>
          <t>Garden</t>
        </is>
      </c>
      <c r="K57" s="15" t="inlineStr">
        <is>
          <t>Delivery quarter estimated; Occ: CoStar 86% vs RealPage 90%; Rent: CoStar ask $1,542 vs RealPage eff $1,154; Verify rent/occ w/ HelloData</t>
        </is>
      </c>
    </row>
    <row r="59">
      <c r="B59" s="19" t="n"/>
      <c r="C59" s="20" t="inlineStr">
        <is>
          <t>UNDER CONSTRUCTION (10 properties, 1,947 units)</t>
        </is>
      </c>
    </row>
    <row r="60">
      <c r="B60" s="21" t="n">
        <v>51</v>
      </c>
      <c r="C60" s="22" t="inlineStr">
        <is>
          <t>FUZE Ballpark</t>
        </is>
      </c>
      <c r="D60" s="23" t="n">
        <v>321</v>
      </c>
      <c r="E60" s="21" t="inlineStr">
        <is>
          <t>TBD</t>
        </is>
      </c>
      <c r="F60" s="24" t="n"/>
      <c r="G60" s="25" t="inlineStr">
        <is>
          <t>—</t>
        </is>
      </c>
      <c r="H60" s="22" t="inlineStr">
        <is>
          <t>Zekelman Industries</t>
        </is>
      </c>
      <c r="I60" s="21" t="n"/>
      <c r="J60" s="21" t="inlineStr">
        <is>
          <t>Mid-Rise</t>
        </is>
      </c>
      <c r="K60" s="22" t="n"/>
    </row>
    <row r="61">
      <c r="B61" s="21" t="n">
        <v>52</v>
      </c>
      <c r="C61" s="22" t="inlineStr">
        <is>
          <t>Zanjero III</t>
        </is>
      </c>
      <c r="D61" s="23" t="n">
        <v>301</v>
      </c>
      <c r="E61" s="21" t="inlineStr">
        <is>
          <t>TBD</t>
        </is>
      </c>
      <c r="F61" s="24" t="n"/>
      <c r="G61" s="25" t="inlineStr">
        <is>
          <t>—</t>
        </is>
      </c>
      <c r="H61" s="22" t="inlineStr">
        <is>
          <t>Fore Property Company/Privately Owned</t>
        </is>
      </c>
      <c r="I61" s="21" t="n"/>
      <c r="J61" s="21" t="inlineStr">
        <is>
          <t>Mid-Rise</t>
        </is>
      </c>
      <c r="K61" s="22" t="n"/>
    </row>
    <row r="62">
      <c r="B62" s="21" t="n">
        <v>53</v>
      </c>
      <c r="C62" s="22" t="inlineStr">
        <is>
          <t>Pointe Grand Estrella at Phoenix</t>
        </is>
      </c>
      <c r="D62" s="23" t="n">
        <v>288</v>
      </c>
      <c r="E62" s="21" t="inlineStr">
        <is>
          <t>TBD</t>
        </is>
      </c>
      <c r="F62" s="24" t="n"/>
      <c r="G62" s="25" t="inlineStr">
        <is>
          <t>—</t>
        </is>
      </c>
      <c r="H62" s="22" t="inlineStr">
        <is>
          <t>Hillpointe, LLC</t>
        </is>
      </c>
      <c r="I62" s="21" t="n"/>
      <c r="J62" s="21" t="inlineStr">
        <is>
          <t>Garden</t>
        </is>
      </c>
      <c r="K62" s="22" t="inlineStr">
        <is>
          <t>Year built: 2026/2027</t>
        </is>
      </c>
    </row>
    <row r="63">
      <c r="B63" s="21" t="n">
        <v>54</v>
      </c>
      <c r="C63" s="22" t="inlineStr">
        <is>
          <t>Yardly Algodon</t>
        </is>
      </c>
      <c r="D63" s="23" t="n">
        <v>262</v>
      </c>
      <c r="E63" s="21" t="inlineStr">
        <is>
          <t>TBD</t>
        </is>
      </c>
      <c r="F63" s="24" t="n"/>
      <c r="G63" s="25" t="inlineStr">
        <is>
          <t>—</t>
        </is>
      </c>
      <c r="H63" s="22" t="inlineStr">
        <is>
          <t>Taylor Morrison, Inc.</t>
        </is>
      </c>
      <c r="I63" s="21" t="n"/>
      <c r="J63" s="21" t="inlineStr">
        <is>
          <t>Single Family</t>
        </is>
      </c>
      <c r="K63" s="22" t="inlineStr">
        <is>
          <t>Units: CoStar 262 vs RealPage 291; Year built: 2026/2027</t>
        </is>
      </c>
    </row>
    <row r="64">
      <c r="B64" s="21" t="n">
        <v>55</v>
      </c>
      <c r="C64" s="22" t="inlineStr">
        <is>
          <t>Cerro Vista</t>
        </is>
      </c>
      <c r="D64" s="23" t="n">
        <v>255</v>
      </c>
      <c r="E64" s="21" t="inlineStr">
        <is>
          <t>TBD</t>
        </is>
      </c>
      <c r="F64" s="24" t="n"/>
      <c r="G64" s="25" t="inlineStr">
        <is>
          <t>—</t>
        </is>
      </c>
      <c r="H64" s="22" t="inlineStr">
        <is>
          <t>Virtua Partners</t>
        </is>
      </c>
      <c r="I64" s="21" t="n"/>
      <c r="J64" s="21" t="inlineStr">
        <is>
          <t>Low-Rise</t>
        </is>
      </c>
      <c r="K64" s="22" t="n"/>
    </row>
    <row r="65">
      <c r="B65" s="21" t="n">
        <v>56</v>
      </c>
      <c r="C65" s="22" t="inlineStr">
        <is>
          <t>Marbella Ranch East I</t>
        </is>
      </c>
      <c r="D65" s="23" t="n">
        <v>144</v>
      </c>
      <c r="E65" s="21" t="inlineStr">
        <is>
          <t>TBD</t>
        </is>
      </c>
      <c r="F65" s="24" t="n"/>
      <c r="G65" s="25" t="inlineStr">
        <is>
          <t>—</t>
        </is>
      </c>
      <c r="H65" s="22" t="inlineStr">
        <is>
          <t>Symmetry Companies</t>
        </is>
      </c>
      <c r="I65" s="21" t="n"/>
      <c r="J65" s="21" t="inlineStr">
        <is>
          <t>Garden</t>
        </is>
      </c>
      <c r="K65" s="22" t="n"/>
    </row>
    <row r="66">
      <c r="B66" s="21" t="n">
        <v>57</v>
      </c>
      <c r="C66" s="22" t="inlineStr">
        <is>
          <t>Zen @ Angelina</t>
        </is>
      </c>
      <c r="D66" s="23" t="n">
        <v>130</v>
      </c>
      <c r="E66" s="21" t="inlineStr">
        <is>
          <t>TBD</t>
        </is>
      </c>
      <c r="F66" s="24" t="n"/>
      <c r="G66" s="25" t="inlineStr">
        <is>
          <t>—</t>
        </is>
      </c>
      <c r="H66" s="22" t="inlineStr">
        <is>
          <t>F &amp; S Consulting &amp; Management, LLC</t>
        </is>
      </c>
      <c r="I66" s="21" t="n"/>
      <c r="J66" s="21" t="inlineStr">
        <is>
          <t>Townhome</t>
        </is>
      </c>
      <c r="K66" s="22" t="inlineStr">
        <is>
          <t>Year built: 2027/2028</t>
        </is>
      </c>
    </row>
    <row r="67">
      <c r="B67" s="21" t="n">
        <v>58</v>
      </c>
      <c r="C67" s="22" t="inlineStr">
        <is>
          <t>HARMON Ascend</t>
        </is>
      </c>
      <c r="D67" s="23" t="n">
        <v>125</v>
      </c>
      <c r="E67" s="21" t="inlineStr">
        <is>
          <t>TBD</t>
        </is>
      </c>
      <c r="F67" s="24" t="n"/>
      <c r="G67" s="25" t="inlineStr">
        <is>
          <t>—</t>
        </is>
      </c>
      <c r="H67" s="22" t="inlineStr">
        <is>
          <t>Crescent Communities LLC</t>
        </is>
      </c>
      <c r="I67" s="21" t="n"/>
      <c r="J67" s="21" t="inlineStr">
        <is>
          <t>Townhome</t>
        </is>
      </c>
      <c r="K67" s="22" t="n"/>
    </row>
    <row r="68">
      <c r="B68" s="21" t="n">
        <v>59</v>
      </c>
      <c r="C68" s="22" t="inlineStr">
        <is>
          <t>Villages at Northern</t>
        </is>
      </c>
      <c r="D68" s="23" t="n">
        <v>74</v>
      </c>
      <c r="E68" s="21" t="inlineStr">
        <is>
          <t>TBD</t>
        </is>
      </c>
      <c r="F68" s="24" t="n"/>
      <c r="G68" s="25" t="inlineStr">
        <is>
          <t>—</t>
        </is>
      </c>
      <c r="H68" s="22" t="inlineStr">
        <is>
          <t>—</t>
        </is>
      </c>
      <c r="I68" s="21" t="n"/>
      <c r="J68" s="21" t="inlineStr">
        <is>
          <t>Garden</t>
        </is>
      </c>
      <c r="K68" s="22" t="n"/>
    </row>
    <row r="69">
      <c r="B69" s="21" t="n">
        <v>60</v>
      </c>
      <c r="C69" s="22" t="inlineStr">
        <is>
          <t>Prosper 47</t>
        </is>
      </c>
      <c r="D69" s="23" t="n">
        <v>47</v>
      </c>
      <c r="E69" s="21" t="inlineStr">
        <is>
          <t>TBD</t>
        </is>
      </c>
      <c r="F69" s="24" t="n"/>
      <c r="G69" s="25" t="inlineStr">
        <is>
          <t>—</t>
        </is>
      </c>
      <c r="H69" s="22" t="inlineStr">
        <is>
          <t>—</t>
        </is>
      </c>
      <c r="I69" s="21" t="n"/>
      <c r="J69" s="21" t="inlineStr">
        <is>
          <t>Townhome</t>
        </is>
      </c>
      <c r="K69" s="22" t="inlineStr">
        <is>
          <t>RealPage only (sub-50 unit)</t>
        </is>
      </c>
    </row>
    <row r="71">
      <c r="B71" s="26" t="n"/>
      <c r="C71" s="27" t="inlineStr">
        <is>
          <t>PROPOSED (44 properties, 8,986 units)</t>
        </is>
      </c>
    </row>
    <row r="72">
      <c r="B72" s="28" t="n">
        <v>61</v>
      </c>
      <c r="C72" s="29" t="inlineStr">
        <is>
          <t>Sheely Center Future Phase</t>
        </is>
      </c>
      <c r="D72" s="30" t="n">
        <v>697</v>
      </c>
      <c r="E72" s="28" t="inlineStr">
        <is>
          <t>TBD</t>
        </is>
      </c>
      <c r="F72" s="31" t="n"/>
      <c r="G72" s="32" t="inlineStr">
        <is>
          <t>—</t>
        </is>
      </c>
      <c r="H72" s="29" t="inlineStr">
        <is>
          <t>—</t>
        </is>
      </c>
      <c r="I72" s="28" t="n"/>
      <c r="J72" s="28" t="inlineStr">
        <is>
          <t>Garden</t>
        </is>
      </c>
      <c r="K72" s="29" t="inlineStr">
        <is>
          <t>RealPage pipeline (not yet in CoStar)</t>
        </is>
      </c>
    </row>
    <row r="73">
      <c r="B73" s="28" t="n">
        <v>62</v>
      </c>
      <c r="C73" s="29" t="inlineStr">
        <is>
          <t>Urban 95 Parcel C</t>
        </is>
      </c>
      <c r="D73" s="30" t="n">
        <v>500</v>
      </c>
      <c r="E73" s="28" t="inlineStr">
        <is>
          <t>TBD</t>
        </is>
      </c>
      <c r="F73" s="31" t="n"/>
      <c r="G73" s="32" t="inlineStr">
        <is>
          <t>—</t>
        </is>
      </c>
      <c r="H73" s="29" t="inlineStr">
        <is>
          <t>Fisher Industries</t>
        </is>
      </c>
      <c r="I73" s="28" t="n"/>
      <c r="J73" s="28" t="inlineStr">
        <is>
          <t>Garden</t>
        </is>
      </c>
      <c r="K73" s="29" t="inlineStr">
        <is>
          <t>RealPage pipeline (not yet in CoStar)</t>
        </is>
      </c>
    </row>
    <row r="74">
      <c r="B74" s="28" t="n">
        <v>63</v>
      </c>
      <c r="C74" s="29" t="inlineStr">
        <is>
          <t>Urban 95 Parcel B</t>
        </is>
      </c>
      <c r="D74" s="30" t="n">
        <v>478</v>
      </c>
      <c r="E74" s="28" t="inlineStr">
        <is>
          <t>TBD</t>
        </is>
      </c>
      <c r="F74" s="31" t="n"/>
      <c r="G74" s="32" t="inlineStr">
        <is>
          <t>—</t>
        </is>
      </c>
      <c r="H74" s="29" t="inlineStr">
        <is>
          <t>Fisher Industries</t>
        </is>
      </c>
      <c r="I74" s="28" t="n"/>
      <c r="J74" s="28" t="inlineStr">
        <is>
          <t>High-Rise</t>
        </is>
      </c>
      <c r="K74" s="29" t="inlineStr">
        <is>
          <t>RealPage pipeline (not yet in CoStar)</t>
        </is>
      </c>
    </row>
    <row r="75">
      <c r="B75" s="28" t="n">
        <v>64</v>
      </c>
      <c r="C75" s="29" t="inlineStr">
        <is>
          <t>Celebration Plaza Parcel B</t>
        </is>
      </c>
      <c r="D75" s="30" t="n">
        <v>410</v>
      </c>
      <c r="E75" s="28" t="inlineStr">
        <is>
          <t>TBD</t>
        </is>
      </c>
      <c r="F75" s="31" t="n"/>
      <c r="G75" s="32" t="inlineStr">
        <is>
          <t>—</t>
        </is>
      </c>
      <c r="H75" s="29" t="inlineStr">
        <is>
          <t>Privately Owned</t>
        </is>
      </c>
      <c r="I75" s="28" t="n"/>
      <c r="J75" s="28" t="inlineStr">
        <is>
          <t>Mid-Rise</t>
        </is>
      </c>
      <c r="K75" s="29" t="inlineStr">
        <is>
          <t>RealPage pipeline (not yet in CoStar)</t>
        </is>
      </c>
    </row>
    <row r="76">
      <c r="B76" s="28" t="n">
        <v>65</v>
      </c>
      <c r="C76" s="29" t="inlineStr">
        <is>
          <t>The District at Westgate</t>
        </is>
      </c>
      <c r="D76" s="30" t="n">
        <v>384</v>
      </c>
      <c r="E76" s="28" t="inlineStr">
        <is>
          <t>TBD</t>
        </is>
      </c>
      <c r="F76" s="31" t="n"/>
      <c r="G76" s="32" t="inlineStr">
        <is>
          <t>—</t>
        </is>
      </c>
      <c r="H76" s="29" t="inlineStr">
        <is>
          <t>Privately Owned</t>
        </is>
      </c>
      <c r="I76" s="28" t="n"/>
      <c r="J76" s="28" t="inlineStr">
        <is>
          <t>Garden</t>
        </is>
      </c>
      <c r="K76" s="29" t="inlineStr">
        <is>
          <t>RealPage pipeline (not yet in CoStar)</t>
        </is>
      </c>
    </row>
    <row r="77">
      <c r="B77" s="28" t="n">
        <v>66</v>
      </c>
      <c r="C77" s="29" t="inlineStr">
        <is>
          <t>Picerne at Palm Valley</t>
        </is>
      </c>
      <c r="D77" s="30" t="n">
        <v>383</v>
      </c>
      <c r="E77" s="28" t="inlineStr">
        <is>
          <t>TBD</t>
        </is>
      </c>
      <c r="F77" s="31" t="n"/>
      <c r="G77" s="32" t="inlineStr">
        <is>
          <t>—</t>
        </is>
      </c>
      <c r="H77" s="29" t="inlineStr">
        <is>
          <t>Picerne</t>
        </is>
      </c>
      <c r="I77" s="28" t="n"/>
      <c r="J77" s="28" t="inlineStr">
        <is>
          <t>Garden</t>
        </is>
      </c>
      <c r="K77" s="29" t="inlineStr">
        <is>
          <t>RealPage pipeline (not yet in CoStar)</t>
        </is>
      </c>
    </row>
    <row r="78">
      <c r="B78" s="28" t="n">
        <v>67</v>
      </c>
      <c r="C78" s="29" t="inlineStr">
        <is>
          <t>Liv Avondale</t>
        </is>
      </c>
      <c r="D78" s="30" t="n">
        <v>333</v>
      </c>
      <c r="E78" s="28" t="inlineStr">
        <is>
          <t>TBD</t>
        </is>
      </c>
      <c r="F78" s="31" t="n"/>
      <c r="G78" s="32" t="inlineStr">
        <is>
          <t>—</t>
        </is>
      </c>
      <c r="H78" s="29" t="inlineStr">
        <is>
          <t>Liv Communities LLC</t>
        </is>
      </c>
      <c r="I78" s="28" t="n"/>
      <c r="J78" s="28" t="inlineStr">
        <is>
          <t>Garden</t>
        </is>
      </c>
      <c r="K78" s="29" t="inlineStr">
        <is>
          <t>RealPage pipeline (not yet in CoStar)</t>
        </is>
      </c>
    </row>
    <row r="79">
      <c r="B79" s="28" t="n">
        <v>68</v>
      </c>
      <c r="C79" s="29" t="inlineStr">
        <is>
          <t>Urban 95 Parcel A</t>
        </is>
      </c>
      <c r="D79" s="30" t="n">
        <v>324</v>
      </c>
      <c r="E79" s="28" t="inlineStr">
        <is>
          <t>TBD</t>
        </is>
      </c>
      <c r="F79" s="31" t="n"/>
      <c r="G79" s="32" t="inlineStr">
        <is>
          <t>—</t>
        </is>
      </c>
      <c r="H79" s="29" t="inlineStr">
        <is>
          <t>Fisher Industries</t>
        </is>
      </c>
      <c r="I79" s="28" t="n"/>
      <c r="J79" s="28" t="inlineStr">
        <is>
          <t>High-Rise</t>
        </is>
      </c>
      <c r="K79" s="29" t="inlineStr">
        <is>
          <t>RealPage pipeline (not yet in CoStar)</t>
        </is>
      </c>
    </row>
    <row r="80">
      <c r="B80" s="28" t="n">
        <v>69</v>
      </c>
      <c r="C80" s="29" t="inlineStr">
        <is>
          <t>The Waverly</t>
        </is>
      </c>
      <c r="D80" s="30" t="n">
        <v>323</v>
      </c>
      <c r="E80" s="28" t="inlineStr">
        <is>
          <t>TBD</t>
        </is>
      </c>
      <c r="F80" s="31" t="n"/>
      <c r="G80" s="32" t="inlineStr">
        <is>
          <t>—</t>
        </is>
      </c>
      <c r="H80" s="29" t="inlineStr">
        <is>
          <t>Dominium</t>
        </is>
      </c>
      <c r="I80" s="28" t="n"/>
      <c r="J80" s="28" t="inlineStr">
        <is>
          <t>Mid-Rise</t>
        </is>
      </c>
      <c r="K80" s="29" t="n"/>
    </row>
    <row r="81">
      <c r="B81" s="28" t="n">
        <v>70</v>
      </c>
      <c r="C81" s="29" t="inlineStr">
        <is>
          <t>Fuze 623</t>
        </is>
      </c>
      <c r="D81" s="30" t="n">
        <v>321</v>
      </c>
      <c r="E81" s="28" t="inlineStr">
        <is>
          <t>TBD</t>
        </is>
      </c>
      <c r="F81" s="31" t="n"/>
      <c r="G81" s="32" t="inlineStr">
        <is>
          <t>—</t>
        </is>
      </c>
      <c r="H81" s="29" t="inlineStr">
        <is>
          <t>—</t>
        </is>
      </c>
      <c r="I81" s="28" t="n"/>
      <c r="J81" s="28" t="inlineStr">
        <is>
          <t>Garden</t>
        </is>
      </c>
      <c r="K81" s="29" t="inlineStr">
        <is>
          <t>RealPage pipeline (not yet in CoStar)</t>
        </is>
      </c>
    </row>
    <row r="82">
      <c r="B82" s="28" t="n">
        <v>71</v>
      </c>
      <c r="C82" s="29" t="inlineStr">
        <is>
          <t>Anton Glendale</t>
        </is>
      </c>
      <c r="D82" s="30" t="n">
        <v>320</v>
      </c>
      <c r="E82" s="28" t="inlineStr">
        <is>
          <t>TBD</t>
        </is>
      </c>
      <c r="F82" s="31" t="n"/>
      <c r="G82" s="32" t="inlineStr">
        <is>
          <t>—</t>
        </is>
      </c>
      <c r="H82" s="29" t="inlineStr">
        <is>
          <t>—</t>
        </is>
      </c>
      <c r="I82" s="28" t="n"/>
      <c r="J82" s="28" t="inlineStr">
        <is>
          <t>Mid-Rise</t>
        </is>
      </c>
      <c r="K82" s="29" t="inlineStr">
        <is>
          <t>RealPage pipeline (not yet in CoStar)</t>
        </is>
      </c>
    </row>
    <row r="83">
      <c r="B83" s="28" t="n">
        <v>72</v>
      </c>
      <c r="C83" s="29" t="inlineStr">
        <is>
          <t>Western Garden II</t>
        </is>
      </c>
      <c r="D83" s="30" t="n">
        <v>314</v>
      </c>
      <c r="E83" s="28" t="inlineStr">
        <is>
          <t>TBD</t>
        </is>
      </c>
      <c r="F83" s="31" t="n"/>
      <c r="G83" s="32" t="inlineStr">
        <is>
          <t>—</t>
        </is>
      </c>
      <c r="H83" s="29" t="inlineStr">
        <is>
          <t>John F Long Properties LLLP</t>
        </is>
      </c>
      <c r="I83" s="28" t="n"/>
      <c r="J83" s="28" t="inlineStr">
        <is>
          <t>Single Family</t>
        </is>
      </c>
      <c r="K83" s="29" t="inlineStr">
        <is>
          <t>RealPage pipeline (not yet in CoStar)</t>
        </is>
      </c>
    </row>
    <row r="84">
      <c r="B84" s="28" t="n">
        <v>73</v>
      </c>
      <c r="C84" s="29" t="inlineStr">
        <is>
          <t>Sanctuair at Centerscape</t>
        </is>
      </c>
      <c r="D84" s="30" t="n">
        <v>303</v>
      </c>
      <c r="E84" s="28" t="inlineStr">
        <is>
          <t>TBD</t>
        </is>
      </c>
      <c r="F84" s="31" t="n"/>
      <c r="G84" s="32" t="inlineStr">
        <is>
          <t>—</t>
        </is>
      </c>
      <c r="H84" s="29" t="inlineStr">
        <is>
          <t>Sunbelt Investment Holdings Inc</t>
        </is>
      </c>
      <c r="I84" s="28" t="n"/>
      <c r="J84" s="28" t="inlineStr">
        <is>
          <t>Garden</t>
        </is>
      </c>
      <c r="K84" s="29" t="inlineStr">
        <is>
          <t>RealPage pipeline (not yet in CoStar)</t>
        </is>
      </c>
    </row>
    <row r="85">
      <c r="B85" s="28" t="n">
        <v>74</v>
      </c>
      <c r="C85" s="29" t="inlineStr">
        <is>
          <t>Encore Avondale</t>
        </is>
      </c>
      <c r="D85" s="30" t="n">
        <v>300</v>
      </c>
      <c r="E85" s="28" t="inlineStr">
        <is>
          <t>TBD</t>
        </is>
      </c>
      <c r="F85" s="31" t="n"/>
      <c r="G85" s="32" t="inlineStr">
        <is>
          <t>—</t>
        </is>
      </c>
      <c r="H85" s="29" t="inlineStr">
        <is>
          <t>Encore Enterprises</t>
        </is>
      </c>
      <c r="I85" s="28" t="n"/>
      <c r="J85" s="28" t="inlineStr">
        <is>
          <t>Mid-Rise</t>
        </is>
      </c>
      <c r="K85" s="29" t="n"/>
    </row>
    <row r="86">
      <c r="B86" s="28" t="n">
        <v>75</v>
      </c>
      <c r="C86" s="29" t="inlineStr">
        <is>
          <t>Banyan Avondale</t>
        </is>
      </c>
      <c r="D86" s="30" t="n">
        <v>296</v>
      </c>
      <c r="E86" s="28" t="inlineStr">
        <is>
          <t>TBD</t>
        </is>
      </c>
      <c r="F86" s="31" t="n"/>
      <c r="G86" s="32" t="inlineStr">
        <is>
          <t>—</t>
        </is>
      </c>
      <c r="H86" s="29" t="inlineStr">
        <is>
          <t>—</t>
        </is>
      </c>
      <c r="I86" s="28" t="n"/>
      <c r="J86" s="28" t="inlineStr">
        <is>
          <t>Townhome</t>
        </is>
      </c>
      <c r="K86" s="29" t="inlineStr">
        <is>
          <t>RealPage pipeline (not yet in CoStar)</t>
        </is>
      </c>
    </row>
    <row r="87">
      <c r="B87" s="28" t="n">
        <v>76</v>
      </c>
      <c r="C87" s="29" t="inlineStr">
        <is>
          <t>Rosilian Villas</t>
        </is>
      </c>
      <c r="D87" s="30" t="n">
        <v>291</v>
      </c>
      <c r="E87" s="28" t="inlineStr">
        <is>
          <t>TBD</t>
        </is>
      </c>
      <c r="F87" s="31" t="n"/>
      <c r="G87" s="32" t="inlineStr">
        <is>
          <t>—</t>
        </is>
      </c>
      <c r="H87" s="29" t="inlineStr">
        <is>
          <t>—</t>
        </is>
      </c>
      <c r="I87" s="28" t="n"/>
      <c r="J87" s="28" t="inlineStr">
        <is>
          <t>Garden</t>
        </is>
      </c>
      <c r="K87" s="29" t="inlineStr">
        <is>
          <t>RealPage pipeline (not yet in CoStar)</t>
        </is>
      </c>
    </row>
    <row r="88">
      <c r="B88" s="28" t="n">
        <v>77</v>
      </c>
      <c r="C88" s="29" t="inlineStr">
        <is>
          <t>The Statler at Estrella Parkway</t>
        </is>
      </c>
      <c r="D88" s="30" t="n">
        <v>284</v>
      </c>
      <c r="E88" s="28" t="inlineStr">
        <is>
          <t>TBD</t>
        </is>
      </c>
      <c r="F88" s="31" t="n"/>
      <c r="G88" s="32" t="inlineStr">
        <is>
          <t>—</t>
        </is>
      </c>
      <c r="H88" s="29" t="inlineStr">
        <is>
          <t>Leon Capital Group</t>
        </is>
      </c>
      <c r="I88" s="28" t="n"/>
      <c r="J88" s="28" t="inlineStr">
        <is>
          <t>Mid-Rise</t>
        </is>
      </c>
      <c r="K88" s="29" t="n"/>
    </row>
    <row r="89">
      <c r="B89" s="28" t="n">
        <v>78</v>
      </c>
      <c r="C89" s="29" t="inlineStr">
        <is>
          <t>Orion Avondale</t>
        </is>
      </c>
      <c r="D89" s="30" t="n">
        <v>268</v>
      </c>
      <c r="E89" s="28" t="inlineStr">
        <is>
          <t>TBD</t>
        </is>
      </c>
      <c r="F89" s="31" t="n"/>
      <c r="G89" s="32" t="inlineStr">
        <is>
          <t>—</t>
        </is>
      </c>
      <c r="H89" s="29" t="inlineStr">
        <is>
          <t>Privately Owned</t>
        </is>
      </c>
      <c r="I89" s="28" t="n"/>
      <c r="J89" s="28" t="inlineStr">
        <is>
          <t>Townhome</t>
        </is>
      </c>
      <c r="K89" s="29" t="inlineStr">
        <is>
          <t>RealPage pipeline (not yet in CoStar)</t>
        </is>
      </c>
    </row>
    <row r="90">
      <c r="B90" s="28" t="n">
        <v>79</v>
      </c>
      <c r="C90" s="29" t="inlineStr">
        <is>
          <t>Tavalo at Avondale</t>
        </is>
      </c>
      <c r="D90" s="30" t="n">
        <v>266</v>
      </c>
      <c r="E90" s="28" t="inlineStr">
        <is>
          <t>TBD</t>
        </is>
      </c>
      <c r="F90" s="31" t="n"/>
      <c r="G90" s="32" t="inlineStr">
        <is>
          <t>—</t>
        </is>
      </c>
      <c r="H90" s="29" t="inlineStr">
        <is>
          <t>GTIS Partners LP</t>
        </is>
      </c>
      <c r="I90" s="28" t="n"/>
      <c r="J90" s="28" t="inlineStr">
        <is>
          <t>Single Family</t>
        </is>
      </c>
      <c r="K90" s="29" t="inlineStr">
        <is>
          <t>RealPage pipeline (not yet in CoStar)</t>
        </is>
      </c>
    </row>
    <row r="91">
      <c r="B91" s="28" t="n">
        <v>80</v>
      </c>
      <c r="C91" s="29" t="inlineStr">
        <is>
          <t>Marbella Ranch East Future Phase</t>
        </is>
      </c>
      <c r="D91" s="30" t="n">
        <v>266</v>
      </c>
      <c r="E91" s="28" t="inlineStr">
        <is>
          <t>TBD</t>
        </is>
      </c>
      <c r="F91" s="31" t="n"/>
      <c r="G91" s="32" t="inlineStr">
        <is>
          <t>—</t>
        </is>
      </c>
      <c r="H91" s="29" t="inlineStr">
        <is>
          <t>Symmetry Companies</t>
        </is>
      </c>
      <c r="I91" s="28" t="n"/>
      <c r="J91" s="28" t="inlineStr">
        <is>
          <t>Garden</t>
        </is>
      </c>
      <c r="K91" s="29" t="inlineStr">
        <is>
          <t>RealPage pipeline (not yet in CoStar)</t>
        </is>
      </c>
    </row>
    <row r="92">
      <c r="B92" s="28" t="n">
        <v>81</v>
      </c>
      <c r="C92" s="29" t="inlineStr">
        <is>
          <t>Crystal Cove</t>
        </is>
      </c>
      <c r="D92" s="30" t="n">
        <v>260</v>
      </c>
      <c r="E92" s="28" t="inlineStr">
        <is>
          <t>TBD</t>
        </is>
      </c>
      <c r="F92" s="31" t="n"/>
      <c r="G92" s="32" t="inlineStr">
        <is>
          <t>—</t>
        </is>
      </c>
      <c r="H92" s="29" t="inlineStr">
        <is>
          <t>Sterling Real Estate Partners</t>
        </is>
      </c>
      <c r="I92" s="28" t="n"/>
      <c r="J92" s="28" t="inlineStr">
        <is>
          <t>Garden</t>
        </is>
      </c>
      <c r="K92" s="29" t="inlineStr">
        <is>
          <t>RealPage pipeline (not yet in CoStar)</t>
        </is>
      </c>
    </row>
    <row r="93">
      <c r="B93" s="28" t="n">
        <v>82</v>
      </c>
      <c r="C93" s="29" t="inlineStr">
        <is>
          <t>Cornerstone at the Wigwam</t>
        </is>
      </c>
      <c r="D93" s="30" t="n">
        <v>212</v>
      </c>
      <c r="E93" s="28" t="inlineStr">
        <is>
          <t>TBD</t>
        </is>
      </c>
      <c r="F93" s="31" t="n"/>
      <c r="G93" s="32" t="inlineStr">
        <is>
          <t>—</t>
        </is>
      </c>
      <c r="H93" s="29" t="inlineStr">
        <is>
          <t>—</t>
        </is>
      </c>
      <c r="I93" s="28" t="n"/>
      <c r="J93" s="28" t="inlineStr">
        <is>
          <t>Townhome</t>
        </is>
      </c>
      <c r="K93" s="29" t="inlineStr">
        <is>
          <t>RealPage pipeline (not yet in CoStar)</t>
        </is>
      </c>
    </row>
    <row r="94">
      <c r="B94" s="28" t="n">
        <v>83</v>
      </c>
      <c r="C94" s="29" t="inlineStr">
        <is>
          <t>Radia Avondale Station III</t>
        </is>
      </c>
      <c r="D94" s="30" t="n">
        <v>212</v>
      </c>
      <c r="E94" s="28" t="inlineStr">
        <is>
          <t>TBD</t>
        </is>
      </c>
      <c r="F94" s="31" t="n"/>
      <c r="G94" s="32" t="inlineStr">
        <is>
          <t>—</t>
        </is>
      </c>
      <c r="H94" s="29" t="inlineStr">
        <is>
          <t>—</t>
        </is>
      </c>
      <c r="I94" s="28" t="n"/>
      <c r="J94" s="28" t="inlineStr">
        <is>
          <t>Mid-Rise</t>
        </is>
      </c>
      <c r="K94" s="29" t="inlineStr">
        <is>
          <t>RealPage pipeline (not yet in CoStar)</t>
        </is>
      </c>
    </row>
    <row r="95">
      <c r="B95" s="28" t="n">
        <v>84</v>
      </c>
      <c r="C95" s="29" t="inlineStr">
        <is>
          <t>Celebration Plaza Parcel A</t>
        </is>
      </c>
      <c r="D95" s="30" t="n">
        <v>181</v>
      </c>
      <c r="E95" s="28" t="inlineStr">
        <is>
          <t>TBD</t>
        </is>
      </c>
      <c r="F95" s="31" t="n"/>
      <c r="G95" s="32" t="inlineStr">
        <is>
          <t>—</t>
        </is>
      </c>
      <c r="H95" s="29" t="inlineStr">
        <is>
          <t>Privately Owned</t>
        </is>
      </c>
      <c r="I95" s="28" t="n"/>
      <c r="J95" s="28" t="inlineStr">
        <is>
          <t>Townhome</t>
        </is>
      </c>
      <c r="K95" s="29" t="inlineStr">
        <is>
          <t>RealPage pipeline (not yet in CoStar)</t>
        </is>
      </c>
    </row>
    <row r="96">
      <c r="B96" s="28" t="n">
        <v>85</v>
      </c>
      <c r="C96" s="29" t="inlineStr">
        <is>
          <t>Villages at River Grove</t>
        </is>
      </c>
      <c r="D96" s="30" t="n">
        <v>180</v>
      </c>
      <c r="E96" s="28" t="inlineStr">
        <is>
          <t>TBD</t>
        </is>
      </c>
      <c r="F96" s="31" t="n"/>
      <c r="G96" s="32" t="inlineStr">
        <is>
          <t>—</t>
        </is>
      </c>
      <c r="H96" s="29" t="inlineStr">
        <is>
          <t>—</t>
        </is>
      </c>
      <c r="I96" s="28" t="n"/>
      <c r="J96" s="28" t="inlineStr">
        <is>
          <t>Garden</t>
        </is>
      </c>
      <c r="K96" s="29" t="inlineStr">
        <is>
          <t>RealPage pipeline (not yet in CoStar)</t>
        </is>
      </c>
    </row>
    <row r="97">
      <c r="B97" s="28" t="n">
        <v>86</v>
      </c>
      <c r="C97" s="29" t="inlineStr">
        <is>
          <t>District 99</t>
        </is>
      </c>
      <c r="D97" s="30" t="n">
        <v>172</v>
      </c>
      <c r="E97" s="28" t="inlineStr">
        <is>
          <t>TBD</t>
        </is>
      </c>
      <c r="F97" s="31" t="n"/>
      <c r="G97" s="32" t="inlineStr">
        <is>
          <t>—</t>
        </is>
      </c>
      <c r="H97" s="29" t="inlineStr">
        <is>
          <t>Thompson Thrift</t>
        </is>
      </c>
      <c r="I97" s="28" t="n"/>
      <c r="J97" s="28" t="inlineStr">
        <is>
          <t>Mid-Rise</t>
        </is>
      </c>
      <c r="K97" s="29" t="inlineStr">
        <is>
          <t>RealPage pipeline (not yet in CoStar)</t>
        </is>
      </c>
    </row>
    <row r="98">
      <c r="B98" s="28" t="n">
        <v>87</v>
      </c>
      <c r="C98" s="29" t="inlineStr">
        <is>
          <t>McDowell Villas</t>
        </is>
      </c>
      <c r="D98" s="30" t="n">
        <v>164</v>
      </c>
      <c r="E98" s="28" t="inlineStr">
        <is>
          <t>TBD</t>
        </is>
      </c>
      <c r="F98" s="31" t="n"/>
      <c r="G98" s="32" t="inlineStr">
        <is>
          <t>—</t>
        </is>
      </c>
      <c r="H98" s="29" t="inlineStr">
        <is>
          <t>Trilogy Investment Company</t>
        </is>
      </c>
      <c r="I98" s="28" t="n"/>
      <c r="J98" s="28" t="inlineStr">
        <is>
          <t>Townhome</t>
        </is>
      </c>
      <c r="K98" s="29" t="inlineStr">
        <is>
          <t>RealPage pipeline (not yet in CoStar)</t>
        </is>
      </c>
    </row>
    <row r="99">
      <c r="B99" s="28" t="n">
        <v>88</v>
      </c>
      <c r="C99" s="29" t="inlineStr">
        <is>
          <t>Avondale</t>
        </is>
      </c>
      <c r="D99" s="30" t="n">
        <v>156</v>
      </c>
      <c r="E99" s="28" t="inlineStr">
        <is>
          <t>TBD</t>
        </is>
      </c>
      <c r="F99" s="31" t="n"/>
      <c r="G99" s="32" t="inlineStr">
        <is>
          <t>—</t>
        </is>
      </c>
      <c r="H99" s="29" t="inlineStr">
        <is>
          <t>—</t>
        </is>
      </c>
      <c r="I99" s="28" t="n"/>
      <c r="J99" s="28" t="inlineStr">
        <is>
          <t>Garden</t>
        </is>
      </c>
      <c r="K99" s="29" t="inlineStr">
        <is>
          <t>RealPage pipeline (not yet in CoStar)</t>
        </is>
      </c>
    </row>
    <row r="100">
      <c r="B100" s="28" t="n">
        <v>89</v>
      </c>
      <c r="C100" s="29" t="inlineStr">
        <is>
          <t>Porter Kyle Development</t>
        </is>
      </c>
      <c r="D100" s="30" t="n">
        <v>135</v>
      </c>
      <c r="E100" s="28" t="inlineStr">
        <is>
          <t>TBD</t>
        </is>
      </c>
      <c r="F100" s="31" t="n"/>
      <c r="G100" s="32" t="inlineStr">
        <is>
          <t>—</t>
        </is>
      </c>
      <c r="H100" s="29" t="inlineStr">
        <is>
          <t>—</t>
        </is>
      </c>
      <c r="I100" s="28" t="n"/>
      <c r="J100" s="28" t="inlineStr">
        <is>
          <t>Townhome</t>
        </is>
      </c>
      <c r="K100" s="29" t="inlineStr">
        <is>
          <t>RealPage pipeline (not yet in CoStar)</t>
        </is>
      </c>
    </row>
    <row r="101">
      <c r="B101" s="28" t="n">
        <v>90</v>
      </c>
      <c r="C101" s="29" t="inlineStr">
        <is>
          <t>Ascent Goodyear</t>
        </is>
      </c>
      <c r="D101" s="30" t="n">
        <v>113</v>
      </c>
      <c r="E101" s="28" t="inlineStr">
        <is>
          <t>TBD</t>
        </is>
      </c>
      <c r="F101" s="31" t="n"/>
      <c r="G101" s="32" t="inlineStr">
        <is>
          <t>—</t>
        </is>
      </c>
      <c r="H101" s="29" t="inlineStr">
        <is>
          <t>Ascent Companies</t>
        </is>
      </c>
      <c r="I101" s="28" t="n"/>
      <c r="J101" s="28" t="inlineStr">
        <is>
          <t>Garden</t>
        </is>
      </c>
      <c r="K101" s="29" t="n"/>
    </row>
    <row r="102">
      <c r="B102" s="28" t="n">
        <v>91</v>
      </c>
      <c r="C102" s="29" t="inlineStr">
        <is>
          <t>Northern 107</t>
        </is>
      </c>
      <c r="D102" s="30" t="n">
        <v>74</v>
      </c>
      <c r="E102" s="28" t="inlineStr">
        <is>
          <t>TBD</t>
        </is>
      </c>
      <c r="F102" s="31" t="n"/>
      <c r="G102" s="32" t="inlineStr">
        <is>
          <t>—</t>
        </is>
      </c>
      <c r="H102" s="29" t="inlineStr">
        <is>
          <t>Jacob Reuben</t>
        </is>
      </c>
      <c r="I102" s="28" t="n"/>
      <c r="J102" s="28" t="inlineStr">
        <is>
          <t>Garden</t>
        </is>
      </c>
      <c r="K102" s="29" t="n"/>
    </row>
    <row r="103">
      <c r="B103" s="28" t="n">
        <v>92</v>
      </c>
      <c r="C103" s="29" t="inlineStr">
        <is>
          <t>Zenn @ Sierra Verde</t>
        </is>
      </c>
      <c r="D103" s="30" t="n">
        <v>66</v>
      </c>
      <c r="E103" s="28" t="inlineStr">
        <is>
          <t>TBD</t>
        </is>
      </c>
      <c r="F103" s="31" t="n"/>
      <c r="G103" s="32" t="inlineStr">
        <is>
          <t>—</t>
        </is>
      </c>
      <c r="H103" s="29" t="inlineStr">
        <is>
          <t>—</t>
        </is>
      </c>
      <c r="I103" s="28" t="n"/>
      <c r="J103" s="28" t="inlineStr">
        <is>
          <t>Townhome</t>
        </is>
      </c>
      <c r="K103" s="29" t="inlineStr">
        <is>
          <t>RealPage pipeline (not yet in CoStar)</t>
        </is>
      </c>
    </row>
    <row r="104">
      <c r="B104" s="28" t="n">
        <v>93</v>
      </c>
      <c r="C104" s="29" t="inlineStr">
        <is>
          <t>The BLVD Residential District</t>
        </is>
      </c>
      <c r="D104" s="30" t="n"/>
      <c r="E104" s="28" t="inlineStr">
        <is>
          <t>TBD</t>
        </is>
      </c>
      <c r="F104" s="31" t="n"/>
      <c r="G104" s="32" t="inlineStr">
        <is>
          <t>—</t>
        </is>
      </c>
      <c r="H104" s="29" t="inlineStr">
        <is>
          <t>—</t>
        </is>
      </c>
      <c r="I104" s="28" t="n"/>
      <c r="J104" s="28" t="inlineStr">
        <is>
          <t>Garden</t>
        </is>
      </c>
      <c r="K104" s="29" t="inlineStr">
        <is>
          <t>RealPage pipeline (not yet in CoStar)</t>
        </is>
      </c>
    </row>
    <row r="105">
      <c r="B105" s="28" t="n">
        <v>94</v>
      </c>
      <c r="C105" s="29" t="inlineStr">
        <is>
          <t>The BLVD Park Avenue District</t>
        </is>
      </c>
      <c r="D105" s="30" t="n"/>
      <c r="E105" s="28" t="inlineStr">
        <is>
          <t>TBD</t>
        </is>
      </c>
      <c r="F105" s="31" t="n"/>
      <c r="G105" s="32" t="inlineStr">
        <is>
          <t>—</t>
        </is>
      </c>
      <c r="H105" s="29" t="inlineStr">
        <is>
          <t>—</t>
        </is>
      </c>
      <c r="I105" s="28" t="n"/>
      <c r="J105" s="28" t="inlineStr">
        <is>
          <t>Garden</t>
        </is>
      </c>
      <c r="K105" s="29" t="inlineStr">
        <is>
          <t>RealPage pipeline (not yet in CoStar)</t>
        </is>
      </c>
    </row>
    <row r="106">
      <c r="B106" s="28" t="n">
        <v>95</v>
      </c>
      <c r="C106" s="29" t="inlineStr">
        <is>
          <t>Globe Land Investors Development</t>
        </is>
      </c>
      <c r="D106" s="30" t="n"/>
      <c r="E106" s="28" t="inlineStr">
        <is>
          <t>TBD</t>
        </is>
      </c>
      <c r="F106" s="31" t="n"/>
      <c r="G106" s="32" t="inlineStr">
        <is>
          <t>—</t>
        </is>
      </c>
      <c r="H106" s="29" t="inlineStr">
        <is>
          <t>Globe Corporation</t>
        </is>
      </c>
      <c r="I106" s="28" t="n"/>
      <c r="J106" s="28" t="inlineStr">
        <is>
          <t>Garden</t>
        </is>
      </c>
      <c r="K106" s="29" t="inlineStr">
        <is>
          <t>RealPage pipeline (not yet in CoStar)</t>
        </is>
      </c>
    </row>
    <row r="107">
      <c r="B107" s="28" t="n">
        <v>96</v>
      </c>
      <c r="C107" s="29" t="inlineStr">
        <is>
          <t>Ball Park</t>
        </is>
      </c>
      <c r="D107" s="30" t="n"/>
      <c r="E107" s="28" t="inlineStr">
        <is>
          <t>TBD</t>
        </is>
      </c>
      <c r="F107" s="31" t="n"/>
      <c r="G107" s="32" t="inlineStr">
        <is>
          <t>—</t>
        </is>
      </c>
      <c r="H107" s="29" t="inlineStr">
        <is>
          <t>VT LandGroup</t>
        </is>
      </c>
      <c r="I107" s="28" t="n"/>
      <c r="J107" s="28" t="inlineStr">
        <is>
          <t>Garden</t>
        </is>
      </c>
      <c r="K107" s="29" t="inlineStr">
        <is>
          <t>RealPage pipeline (not yet in CoStar)</t>
        </is>
      </c>
    </row>
    <row r="108">
      <c r="B108" s="28" t="n">
        <v>97</v>
      </c>
      <c r="C108" s="29" t="inlineStr">
        <is>
          <t>Vision 2 Parcel A</t>
        </is>
      </c>
      <c r="D108" s="30" t="n"/>
      <c r="E108" s="28" t="inlineStr">
        <is>
          <t>TBD</t>
        </is>
      </c>
      <c r="F108" s="31" t="n"/>
      <c r="G108" s="32" t="inlineStr">
        <is>
          <t>—</t>
        </is>
      </c>
      <c r="H108" s="29" t="inlineStr">
        <is>
          <t>—</t>
        </is>
      </c>
      <c r="I108" s="28" t="n"/>
      <c r="J108" s="28" t="inlineStr">
        <is>
          <t>Mid-Rise</t>
        </is>
      </c>
      <c r="K108" s="29" t="inlineStr">
        <is>
          <t>RealPage pipeline (not yet in CoStar)</t>
        </is>
      </c>
    </row>
    <row r="109">
      <c r="B109" s="28" t="n">
        <v>98</v>
      </c>
      <c r="C109" s="29" t="inlineStr">
        <is>
          <t>Firststreet Verde</t>
        </is>
      </c>
      <c r="D109" s="30" t="n"/>
      <c r="E109" s="28" t="inlineStr">
        <is>
          <t>TBD</t>
        </is>
      </c>
      <c r="F109" s="31" t="n"/>
      <c r="G109" s="32" t="inlineStr">
        <is>
          <t>—</t>
        </is>
      </c>
      <c r="H109" s="29" t="inlineStr">
        <is>
          <t>—</t>
        </is>
      </c>
      <c r="I109" s="28" t="n"/>
      <c r="J109" s="28" t="inlineStr">
        <is>
          <t>Single Family</t>
        </is>
      </c>
      <c r="K109" s="29" t="inlineStr">
        <is>
          <t>RealPage pipeline (not yet in CoStar)</t>
        </is>
      </c>
    </row>
    <row r="110">
      <c r="B110" s="28" t="n">
        <v>99</v>
      </c>
      <c r="C110" s="29" t="inlineStr">
        <is>
          <t>Goodyear Civic Square at Estrella Falls</t>
        </is>
      </c>
      <c r="D110" s="30" t="n"/>
      <c r="E110" s="28" t="inlineStr">
        <is>
          <t>TBD</t>
        </is>
      </c>
      <c r="F110" s="31" t="n"/>
      <c r="G110" s="32" t="inlineStr">
        <is>
          <t>—</t>
        </is>
      </c>
      <c r="H110" s="29" t="inlineStr">
        <is>
          <t>—</t>
        </is>
      </c>
      <c r="I110" s="28" t="n"/>
      <c r="J110" s="28" t="inlineStr">
        <is>
          <t>Garden</t>
        </is>
      </c>
      <c r="K110" s="29" t="inlineStr">
        <is>
          <t>RealPage pipeline (not yet in CoStar)</t>
        </is>
      </c>
    </row>
    <row r="111">
      <c r="B111" s="28" t="n">
        <v>100</v>
      </c>
      <c r="C111" s="29" t="inlineStr">
        <is>
          <t>I-10 Innovation Center II</t>
        </is>
      </c>
      <c r="D111" s="30" t="n"/>
      <c r="E111" s="28" t="inlineStr">
        <is>
          <t>TBD</t>
        </is>
      </c>
      <c r="F111" s="31" t="n"/>
      <c r="G111" s="32" t="inlineStr">
        <is>
          <t>—</t>
        </is>
      </c>
      <c r="H111" s="29" t="inlineStr">
        <is>
          <t>Privately Owned</t>
        </is>
      </c>
      <c r="I111" s="28" t="n"/>
      <c r="J111" s="28" t="inlineStr">
        <is>
          <t>Garden</t>
        </is>
      </c>
      <c r="K111" s="29" t="inlineStr">
        <is>
          <t>RealPage pipeline (not yet in CoStar)</t>
        </is>
      </c>
    </row>
    <row r="112">
      <c r="B112" s="28" t="n">
        <v>101</v>
      </c>
      <c r="C112" s="29" t="inlineStr">
        <is>
          <t>Celebration Plaza Parcel D</t>
        </is>
      </c>
      <c r="D112" s="30" t="n"/>
      <c r="E112" s="28" t="inlineStr">
        <is>
          <t>TBD</t>
        </is>
      </c>
      <c r="F112" s="31" t="n"/>
      <c r="G112" s="32" t="inlineStr">
        <is>
          <t>—</t>
        </is>
      </c>
      <c r="H112" s="29" t="inlineStr">
        <is>
          <t>Privately Owned</t>
        </is>
      </c>
      <c r="I112" s="28" t="n"/>
      <c r="J112" s="28" t="inlineStr">
        <is>
          <t>Garden</t>
        </is>
      </c>
      <c r="K112" s="29" t="inlineStr">
        <is>
          <t>RealPage pipeline (not yet in CoStar)</t>
        </is>
      </c>
    </row>
    <row r="113">
      <c r="B113" s="28" t="n">
        <v>102</v>
      </c>
      <c r="C113" s="29" t="inlineStr">
        <is>
          <t>SimonMed Development II</t>
        </is>
      </c>
      <c r="D113" s="30" t="n"/>
      <c r="E113" s="28" t="inlineStr">
        <is>
          <t>TBD</t>
        </is>
      </c>
      <c r="F113" s="31" t="n"/>
      <c r="G113" s="32" t="inlineStr">
        <is>
          <t>—</t>
        </is>
      </c>
      <c r="H113" s="29" t="inlineStr">
        <is>
          <t>—</t>
        </is>
      </c>
      <c r="I113" s="28" t="n"/>
      <c r="J113" s="28" t="inlineStr">
        <is>
          <t>Mid-Rise</t>
        </is>
      </c>
      <c r="K113" s="29" t="inlineStr">
        <is>
          <t>RealPage pipeline (not yet in CoStar)</t>
        </is>
      </c>
    </row>
    <row r="114">
      <c r="B114" s="28" t="n">
        <v>103</v>
      </c>
      <c r="C114" s="29" t="inlineStr">
        <is>
          <t>182 South 95th Avenue</t>
        </is>
      </c>
      <c r="D114" s="30" t="n"/>
      <c r="E114" s="28" t="inlineStr">
        <is>
          <t>TBD</t>
        </is>
      </c>
      <c r="F114" s="31" t="n"/>
      <c r="G114" s="32" t="inlineStr">
        <is>
          <t>—</t>
        </is>
      </c>
      <c r="H114" s="29" t="inlineStr">
        <is>
          <t>—</t>
        </is>
      </c>
      <c r="I114" s="28" t="n"/>
      <c r="J114" s="28" t="inlineStr">
        <is>
          <t>Garden</t>
        </is>
      </c>
      <c r="K114" s="29" t="inlineStr">
        <is>
          <t>RealPage pipeline (not yet in CoStar)</t>
        </is>
      </c>
    </row>
    <row r="115">
      <c r="B115" s="28" t="n">
        <v>104</v>
      </c>
      <c r="C115" s="29" t="inlineStr">
        <is>
          <t>Envision Encore</t>
        </is>
      </c>
      <c r="D115" s="30" t="n"/>
      <c r="E115" s="28" t="inlineStr">
        <is>
          <t>TBD</t>
        </is>
      </c>
      <c r="F115" s="31" t="n"/>
      <c r="G115" s="32" t="inlineStr">
        <is>
          <t>—</t>
        </is>
      </c>
      <c r="H115" s="29" t="inlineStr">
        <is>
          <t>—</t>
        </is>
      </c>
      <c r="I115" s="28" t="n"/>
      <c r="J115" s="28" t="inlineStr">
        <is>
          <t>Garden</t>
        </is>
      </c>
      <c r="K115" s="29" t="inlineStr">
        <is>
          <t>RealPage pipeline (not yet in CoStar)</t>
        </is>
      </c>
    </row>
    <row r="118" ht="24" customHeight="1">
      <c r="B118" s="33" t="inlineStr">
        <is>
          <t>Est. Delivery</t>
        </is>
      </c>
      <c r="C118" s="33" t="n"/>
      <c r="D118" s="33" t="inlineStr">
        <is>
          <t># Props</t>
        </is>
      </c>
      <c r="E118" s="33" t="inlineStr">
        <is>
          <t>Total Units</t>
        </is>
      </c>
      <c r="F118" s="33" t="inlineStr">
        <is>
          <t>Wtd Avg
Occupancy</t>
        </is>
      </c>
      <c r="G118" s="33" t="inlineStr">
        <is>
          <t>Currently
Occupied</t>
        </is>
      </c>
      <c r="H118" s="33" t="inlineStr">
        <is>
          <t>Target
@ Goal</t>
        </is>
      </c>
      <c r="I118" s="33" t="inlineStr">
        <is>
          <t>Units to
95%</t>
        </is>
      </c>
      <c r="J118" s="33" t="inlineStr">
        <is>
          <t>Units to
92.5%</t>
        </is>
      </c>
      <c r="K118" s="33" t="inlineStr">
        <is>
          <t>Units to
90%</t>
        </is>
      </c>
    </row>
    <row r="119">
      <c r="B119" s="34" t="inlineStr">
        <is>
          <t>Q2 2026</t>
        </is>
      </c>
      <c r="C119" s="34" t="n"/>
      <c r="D119" s="34">
        <f>COUNTIF($E$6:$E$115,B119)</f>
        <v/>
      </c>
      <c r="E119" s="35">
        <f>SUMIF($E$6:$E$115,B119,$D$6:$D$115)</f>
        <v/>
      </c>
      <c r="F119" s="36">
        <f t="array" ref="F119">IFERROR(SUMPRODUCT(($E$6:$E$115=B119)*IFERROR($D$6:$D$115*$F$6:$F$115,0))/SUMPRODUCT(($E$6:$E$115=B119)*ISNUMBER($F$6:$F$115)*$D$6:$D$115),0)</f>
        <v/>
      </c>
      <c r="G119" s="35">
        <f>F119*E119</f>
        <v/>
      </c>
      <c r="H119" s="35">
        <f>E119*Settings!$B$2</f>
        <v/>
      </c>
      <c r="I119" s="35">
        <f>(E119*0.95)-G119</f>
        <v/>
      </c>
      <c r="J119" s="35">
        <f>(E119*0.925)-G119</f>
        <v/>
      </c>
      <c r="K119" s="35">
        <f>(E119*0.90)-G119</f>
        <v/>
      </c>
    </row>
    <row r="120">
      <c r="B120" s="34" t="inlineStr">
        <is>
          <t>Q1 2026</t>
        </is>
      </c>
      <c r="C120" s="34" t="n"/>
      <c r="D120" s="34">
        <f>COUNTIF($E$6:$E$115,B120)</f>
        <v/>
      </c>
      <c r="E120" s="35">
        <f>SUMIF($E$6:$E$115,B120,$D$6:$D$115)</f>
        <v/>
      </c>
      <c r="F120" s="36">
        <f t="array" ref="F120">IFERROR(SUMPRODUCT(($E$6:$E$115=B120)*IFERROR($D$6:$D$115*$F$6:$F$115,0))/SUMPRODUCT(($E$6:$E$115=B120)*ISNUMBER($F$6:$F$115)*$D$6:$D$115),0)</f>
        <v/>
      </c>
      <c r="G120" s="35">
        <f>F120*E120</f>
        <v/>
      </c>
      <c r="H120" s="35">
        <f>E120*Settings!$B$2</f>
        <v/>
      </c>
      <c r="I120" s="35">
        <f>(E120*0.95)-G120</f>
        <v/>
      </c>
      <c r="J120" s="35">
        <f>(E120*0.925)-G120</f>
        <v/>
      </c>
      <c r="K120" s="35">
        <f>(E120*0.90)-G120</f>
        <v/>
      </c>
    </row>
    <row r="121">
      <c r="B121" s="34" t="inlineStr">
        <is>
          <t>Q4 2025</t>
        </is>
      </c>
      <c r="C121" s="34" t="n"/>
      <c r="D121" s="34">
        <f>COUNTIF($E$6:$E$115,B121)</f>
        <v/>
      </c>
      <c r="E121" s="35">
        <f>SUMIF($E$6:$E$115,B121,$D$6:$D$115)</f>
        <v/>
      </c>
      <c r="F121" s="36">
        <f t="array" ref="F121">IFERROR(SUMPRODUCT(($E$6:$E$115=B121)*IFERROR($D$6:$D$115*$F$6:$F$115,0))/SUMPRODUCT(($E$6:$E$115=B121)*ISNUMBER($F$6:$F$115)*$D$6:$D$115),0)</f>
        <v/>
      </c>
      <c r="G121" s="35">
        <f>F121*E121</f>
        <v/>
      </c>
      <c r="H121" s="35">
        <f>E121*Settings!$B$2</f>
        <v/>
      </c>
      <c r="I121" s="35">
        <f>(E121*0.95)-G121</f>
        <v/>
      </c>
      <c r="J121" s="35">
        <f>(E121*0.925)-G121</f>
        <v/>
      </c>
      <c r="K121" s="35">
        <f>(E121*0.90)-G121</f>
        <v/>
      </c>
    </row>
    <row r="122">
      <c r="B122" s="34" t="inlineStr">
        <is>
          <t>Q3 2025</t>
        </is>
      </c>
      <c r="C122" s="34" t="n"/>
      <c r="D122" s="34">
        <f>COUNTIF($E$6:$E$115,B122)</f>
        <v/>
      </c>
      <c r="E122" s="35">
        <f>SUMIF($E$6:$E$115,B122,$D$6:$D$115)</f>
        <v/>
      </c>
      <c r="F122" s="36">
        <f t="array" ref="F122">IFERROR(SUMPRODUCT(($E$6:$E$115=B122)*IFERROR($D$6:$D$115*$F$6:$F$115,0))/SUMPRODUCT(($E$6:$E$115=B122)*ISNUMBER($F$6:$F$115)*$D$6:$D$115),0)</f>
        <v/>
      </c>
      <c r="G122" s="35">
        <f>F122*E122</f>
        <v/>
      </c>
      <c r="H122" s="35">
        <f>E122*Settings!$B$2</f>
        <v/>
      </c>
      <c r="I122" s="35">
        <f>(E122*0.95)-G122</f>
        <v/>
      </c>
      <c r="J122" s="35">
        <f>(E122*0.925)-G122</f>
        <v/>
      </c>
      <c r="K122" s="35">
        <f>(E122*0.90)-G122</f>
        <v/>
      </c>
    </row>
    <row r="123">
      <c r="B123" s="34" t="inlineStr">
        <is>
          <t>Q2 2025</t>
        </is>
      </c>
      <c r="C123" s="34" t="n"/>
      <c r="D123" s="34">
        <f>COUNTIF($E$6:$E$115,B123)</f>
        <v/>
      </c>
      <c r="E123" s="35">
        <f>SUMIF($E$6:$E$115,B123,$D$6:$D$115)</f>
        <v/>
      </c>
      <c r="F123" s="36">
        <f t="array" ref="F123">IFERROR(SUMPRODUCT(($E$6:$E$115=B123)*IFERROR($D$6:$D$115*$F$6:$F$115,0))/SUMPRODUCT(($E$6:$E$115=B123)*ISNUMBER($F$6:$F$115)*$D$6:$D$115),0)</f>
        <v/>
      </c>
      <c r="G123" s="35">
        <f>F123*E123</f>
        <v/>
      </c>
      <c r="H123" s="35">
        <f>E123*Settings!$B$2</f>
        <v/>
      </c>
      <c r="I123" s="35">
        <f>(E123*0.95)-G123</f>
        <v/>
      </c>
      <c r="J123" s="35">
        <f>(E123*0.925)-G123</f>
        <v/>
      </c>
      <c r="K123" s="35">
        <f>(E123*0.90)-G123</f>
        <v/>
      </c>
    </row>
    <row r="124">
      <c r="B124" s="34" t="inlineStr">
        <is>
          <t>Q1 2025</t>
        </is>
      </c>
      <c r="C124" s="34" t="n"/>
      <c r="D124" s="34">
        <f>COUNTIF($E$6:$E$115,B124)</f>
        <v/>
      </c>
      <c r="E124" s="35">
        <f>SUMIF($E$6:$E$115,B124,$D$6:$D$115)</f>
        <v/>
      </c>
      <c r="F124" s="36">
        <f t="array" ref="F124">IFERROR(SUMPRODUCT(($E$6:$E$115=B124)*IFERROR($D$6:$D$115*$F$6:$F$115,0))/SUMPRODUCT(($E$6:$E$115=B124)*ISNUMBER($F$6:$F$115)*$D$6:$D$115),0)</f>
        <v/>
      </c>
      <c r="G124" s="35">
        <f>F124*E124</f>
        <v/>
      </c>
      <c r="H124" s="35">
        <f>E124*Settings!$B$2</f>
        <v/>
      </c>
      <c r="I124" s="35">
        <f>(E124*0.95)-G124</f>
        <v/>
      </c>
      <c r="J124" s="35">
        <f>(E124*0.925)-G124</f>
        <v/>
      </c>
      <c r="K124" s="35">
        <f>(E124*0.90)-G124</f>
        <v/>
      </c>
    </row>
    <row r="125">
      <c r="B125" s="34" t="inlineStr">
        <is>
          <t>Q4 2024</t>
        </is>
      </c>
      <c r="C125" s="34" t="n"/>
      <c r="D125" s="34">
        <f>COUNTIF($E$6:$E$115,B125)</f>
        <v/>
      </c>
      <c r="E125" s="35">
        <f>SUMIF($E$6:$E$115,B125,$D$6:$D$115)</f>
        <v/>
      </c>
      <c r="F125" s="36">
        <f t="array" ref="F125">IFERROR(SUMPRODUCT(($E$6:$E$115=B125)*IFERROR($D$6:$D$115*$F$6:$F$115,0))/SUMPRODUCT(($E$6:$E$115=B125)*ISNUMBER($F$6:$F$115)*$D$6:$D$115),0)</f>
        <v/>
      </c>
      <c r="G125" s="35">
        <f>F125*E125</f>
        <v/>
      </c>
      <c r="H125" s="35">
        <f>E125*Settings!$B$2</f>
        <v/>
      </c>
      <c r="I125" s="35">
        <f>(E125*0.95)-G125</f>
        <v/>
      </c>
      <c r="J125" s="35">
        <f>(E125*0.925)-G125</f>
        <v/>
      </c>
      <c r="K125" s="35">
        <f>(E125*0.90)-G125</f>
        <v/>
      </c>
    </row>
    <row r="126">
      <c r="B126" s="34" t="inlineStr">
        <is>
          <t>Q3 2024</t>
        </is>
      </c>
      <c r="C126" s="34" t="n"/>
      <c r="D126" s="34">
        <f>COUNTIF($E$6:$E$115,B126)</f>
        <v/>
      </c>
      <c r="E126" s="35">
        <f>SUMIF($E$6:$E$115,B126,$D$6:$D$115)</f>
        <v/>
      </c>
      <c r="F126" s="36">
        <f t="array" ref="F126">IFERROR(SUMPRODUCT(($E$6:$E$115=B126)*IFERROR($D$6:$D$115*$F$6:$F$115,0))/SUMPRODUCT(($E$6:$E$115=B126)*ISNUMBER($F$6:$F$115)*$D$6:$D$115),0)</f>
        <v/>
      </c>
      <c r="G126" s="35">
        <f>F126*E126</f>
        <v/>
      </c>
      <c r="H126" s="35">
        <f>E126*Settings!$B$2</f>
        <v/>
      </c>
      <c r="I126" s="35">
        <f>(E126*0.95)-G126</f>
        <v/>
      </c>
      <c r="J126" s="35">
        <f>(E126*0.925)-G126</f>
        <v/>
      </c>
      <c r="K126" s="35">
        <f>(E126*0.90)-G126</f>
        <v/>
      </c>
    </row>
    <row r="127">
      <c r="B127" s="34" t="inlineStr">
        <is>
          <t>Q2 2024</t>
        </is>
      </c>
      <c r="C127" s="34" t="n"/>
      <c r="D127" s="34">
        <f>COUNTIF($E$6:$E$115,B127)</f>
        <v/>
      </c>
      <c r="E127" s="35">
        <f>SUMIF($E$6:$E$115,B127,$D$6:$D$115)</f>
        <v/>
      </c>
      <c r="F127" s="36">
        <f t="array" ref="F127">IFERROR(SUMPRODUCT(($E$6:$E$115=B127)*IFERROR($D$6:$D$115*$F$6:$F$115,0))/SUMPRODUCT(($E$6:$E$115=B127)*ISNUMBER($F$6:$F$115)*$D$6:$D$115),0)</f>
        <v/>
      </c>
      <c r="G127" s="35">
        <f>F127*E127</f>
        <v/>
      </c>
      <c r="H127" s="35">
        <f>E127*Settings!$B$2</f>
        <v/>
      </c>
      <c r="I127" s="35">
        <f>(E127*0.95)-G127</f>
        <v/>
      </c>
      <c r="J127" s="35">
        <f>(E127*0.925)-G127</f>
        <v/>
      </c>
      <c r="K127" s="35">
        <f>(E127*0.90)-G127</f>
        <v/>
      </c>
    </row>
    <row r="128">
      <c r="B128" s="34" t="inlineStr">
        <is>
          <t>Q1 2024</t>
        </is>
      </c>
      <c r="C128" s="34" t="n"/>
      <c r="D128" s="34">
        <f>COUNTIF($E$6:$E$115,B128)</f>
        <v/>
      </c>
      <c r="E128" s="35">
        <f>SUMIF($E$6:$E$115,B128,$D$6:$D$115)</f>
        <v/>
      </c>
      <c r="F128" s="36">
        <f t="array" ref="F128">IFERROR(SUMPRODUCT(($E$6:$E$115=B128)*IFERROR($D$6:$D$115*$F$6:$F$115,0))/SUMPRODUCT(($E$6:$E$115=B128)*ISNUMBER($F$6:$F$115)*$D$6:$D$115),0)</f>
        <v/>
      </c>
      <c r="G128" s="35">
        <f>F128*E128</f>
        <v/>
      </c>
      <c r="H128" s="35">
        <f>E128*Settings!$B$2</f>
        <v/>
      </c>
      <c r="I128" s="35">
        <f>(E128*0.95)-G128</f>
        <v/>
      </c>
      <c r="J128" s="35">
        <f>(E128*0.925)-G128</f>
        <v/>
      </c>
      <c r="K128" s="35">
        <f>(E128*0.90)-G128</f>
        <v/>
      </c>
    </row>
    <row r="129">
      <c r="B129" s="34" t="inlineStr">
        <is>
          <t>Q4 2023</t>
        </is>
      </c>
      <c r="C129" s="34" t="n"/>
      <c r="D129" s="34">
        <f>COUNTIF($E$6:$E$115,B129)</f>
        <v/>
      </c>
      <c r="E129" s="35">
        <f>SUMIF($E$6:$E$115,B129,$D$6:$D$115)</f>
        <v/>
      </c>
      <c r="F129" s="36">
        <f t="array" ref="F129">IFERROR(SUMPRODUCT(($E$6:$E$115=B129)*IFERROR($D$6:$D$115*$F$6:$F$115,0))/SUMPRODUCT(($E$6:$E$115=B129)*ISNUMBER($F$6:$F$115)*$D$6:$D$115),0)</f>
        <v/>
      </c>
      <c r="G129" s="35">
        <f>F129*E129</f>
        <v/>
      </c>
      <c r="H129" s="35">
        <f>E129*Settings!$B$2</f>
        <v/>
      </c>
      <c r="I129" s="35">
        <f>(E129*0.95)-G129</f>
        <v/>
      </c>
      <c r="J129" s="35">
        <f>(E129*0.925)-G129</f>
        <v/>
      </c>
      <c r="K129" s="35">
        <f>(E129*0.90)-G129</f>
        <v/>
      </c>
    </row>
    <row r="130">
      <c r="B130" s="34" t="inlineStr">
        <is>
          <t>Q3 2023</t>
        </is>
      </c>
      <c r="C130" s="34" t="n"/>
      <c r="D130" s="34">
        <f>COUNTIF($E$6:$E$115,B130)</f>
        <v/>
      </c>
      <c r="E130" s="35">
        <f>SUMIF($E$6:$E$115,B130,$D$6:$D$115)</f>
        <v/>
      </c>
      <c r="F130" s="36">
        <f t="array" ref="F130">IFERROR(SUMPRODUCT(($E$6:$E$115=B130)*IFERROR($D$6:$D$115*$F$6:$F$115,0))/SUMPRODUCT(($E$6:$E$115=B130)*ISNUMBER($F$6:$F$115)*$D$6:$D$115),0)</f>
        <v/>
      </c>
      <c r="G130" s="35">
        <f>F130*E130</f>
        <v/>
      </c>
      <c r="H130" s="35">
        <f>E130*Settings!$B$2</f>
        <v/>
      </c>
      <c r="I130" s="35">
        <f>(E130*0.95)-G130</f>
        <v/>
      </c>
      <c r="J130" s="35">
        <f>(E130*0.925)-G130</f>
        <v/>
      </c>
      <c r="K130" s="35">
        <f>(E130*0.90)-G130</f>
        <v/>
      </c>
    </row>
    <row r="131">
      <c r="B131" s="34" t="inlineStr">
        <is>
          <t>Q2 2023</t>
        </is>
      </c>
      <c r="C131" s="34" t="n"/>
      <c r="D131" s="34">
        <f>COUNTIF($E$6:$E$115,B131)</f>
        <v/>
      </c>
      <c r="E131" s="35">
        <f>SUMIF($E$6:$E$115,B131,$D$6:$D$115)</f>
        <v/>
      </c>
      <c r="F131" s="36">
        <f t="array" ref="F131">IFERROR(SUMPRODUCT(($E$6:$E$115=B131)*IFERROR($D$6:$D$115*$F$6:$F$115,0))/SUMPRODUCT(($E$6:$E$115=B131)*ISNUMBER($F$6:$F$115)*$D$6:$D$115),0)</f>
        <v/>
      </c>
      <c r="G131" s="35">
        <f>F131*E131</f>
        <v/>
      </c>
      <c r="H131" s="35">
        <f>E131*Settings!$B$2</f>
        <v/>
      </c>
      <c r="I131" s="35">
        <f>(E131*0.95)-G131</f>
        <v/>
      </c>
      <c r="J131" s="35">
        <f>(E131*0.925)-G131</f>
        <v/>
      </c>
      <c r="K131" s="35">
        <f>(E131*0.90)-G131</f>
        <v/>
      </c>
    </row>
    <row r="132">
      <c r="B132" s="34" t="inlineStr">
        <is>
          <t>Q1 2023</t>
        </is>
      </c>
      <c r="C132" s="34" t="n"/>
      <c r="D132" s="34">
        <f>COUNTIF($E$6:$E$115,B132)</f>
        <v/>
      </c>
      <c r="E132" s="35">
        <f>SUMIF($E$6:$E$115,B132,$D$6:$D$115)</f>
        <v/>
      </c>
      <c r="F132" s="36">
        <f t="array" ref="F132">IFERROR(SUMPRODUCT(($E$6:$E$115=B132)*IFERROR($D$6:$D$115*$F$6:$F$115,0))/SUMPRODUCT(($E$6:$E$115=B132)*ISNUMBER($F$6:$F$115)*$D$6:$D$115),0)</f>
        <v/>
      </c>
      <c r="G132" s="35">
        <f>F132*E132</f>
        <v/>
      </c>
      <c r="H132" s="35">
        <f>E132*Settings!$B$2</f>
        <v/>
      </c>
      <c r="I132" s="35">
        <f>(E132*0.95)-G132</f>
        <v/>
      </c>
      <c r="J132" s="35">
        <f>(E132*0.925)-G132</f>
        <v/>
      </c>
      <c r="K132" s="35">
        <f>(E132*0.90)-G132</f>
        <v/>
      </c>
    </row>
    <row r="133">
      <c r="B133" s="34" t="inlineStr">
        <is>
          <t>Q4 2022</t>
        </is>
      </c>
      <c r="C133" s="34" t="n"/>
      <c r="D133" s="34">
        <f>COUNTIF($E$6:$E$115,B133)</f>
        <v/>
      </c>
      <c r="E133" s="35">
        <f>SUMIF($E$6:$E$115,B133,$D$6:$D$115)</f>
        <v/>
      </c>
      <c r="F133" s="36">
        <f t="array" ref="F133">IFERROR(SUMPRODUCT(($E$6:$E$115=B133)*IFERROR($D$6:$D$115*$F$6:$F$115,0))/SUMPRODUCT(($E$6:$E$115=B133)*ISNUMBER($F$6:$F$115)*$D$6:$D$115),0)</f>
        <v/>
      </c>
      <c r="G133" s="35">
        <f>F133*E133</f>
        <v/>
      </c>
      <c r="H133" s="35">
        <f>E133*Settings!$B$2</f>
        <v/>
      </c>
      <c r="I133" s="35">
        <f>(E133*0.95)-G133</f>
        <v/>
      </c>
      <c r="J133" s="35">
        <f>(E133*0.925)-G133</f>
        <v/>
      </c>
      <c r="K133" s="35">
        <f>(E133*0.90)-G133</f>
        <v/>
      </c>
    </row>
    <row r="134">
      <c r="B134" s="34" t="inlineStr">
        <is>
          <t>Q3 2022</t>
        </is>
      </c>
      <c r="C134" s="34" t="n"/>
      <c r="D134" s="34">
        <f>COUNTIF($E$6:$E$115,B134)</f>
        <v/>
      </c>
      <c r="E134" s="35">
        <f>SUMIF($E$6:$E$115,B134,$D$6:$D$115)</f>
        <v/>
      </c>
      <c r="F134" s="36">
        <f t="array" ref="F134">IFERROR(SUMPRODUCT(($E$6:$E$115=B134)*IFERROR($D$6:$D$115*$F$6:$F$115,0))/SUMPRODUCT(($E$6:$E$115=B134)*ISNUMBER($F$6:$F$115)*$D$6:$D$115),0)</f>
        <v/>
      </c>
      <c r="G134" s="35">
        <f>F134*E134</f>
        <v/>
      </c>
      <c r="H134" s="35">
        <f>E134*Settings!$B$2</f>
        <v/>
      </c>
      <c r="I134" s="35">
        <f>(E134*0.95)-G134</f>
        <v/>
      </c>
      <c r="J134" s="35">
        <f>(E134*0.925)-G134</f>
        <v/>
      </c>
      <c r="K134" s="35">
        <f>(E134*0.90)-G134</f>
        <v/>
      </c>
    </row>
    <row r="135">
      <c r="B135" s="34" t="inlineStr">
        <is>
          <t>Q2 2022</t>
        </is>
      </c>
      <c r="C135" s="34" t="n"/>
      <c r="D135" s="34">
        <f>COUNTIF($E$6:$E$115,B135)</f>
        <v/>
      </c>
      <c r="E135" s="35">
        <f>SUMIF($E$6:$E$115,B135,$D$6:$D$115)</f>
        <v/>
      </c>
      <c r="F135" s="36">
        <f t="array" ref="F135">IFERROR(SUMPRODUCT(($E$6:$E$115=B135)*IFERROR($D$6:$D$115*$F$6:$F$115,0))/SUMPRODUCT(($E$6:$E$115=B135)*ISNUMBER($F$6:$F$115)*$D$6:$D$115),0)</f>
        <v/>
      </c>
      <c r="G135" s="35">
        <f>F135*E135</f>
        <v/>
      </c>
      <c r="H135" s="35">
        <f>E135*Settings!$B$2</f>
        <v/>
      </c>
      <c r="I135" s="35">
        <f>(E135*0.95)-G135</f>
        <v/>
      </c>
      <c r="J135" s="35">
        <f>(E135*0.925)-G135</f>
        <v/>
      </c>
      <c r="K135" s="35">
        <f>(E135*0.90)-G135</f>
        <v/>
      </c>
    </row>
    <row r="136">
      <c r="B136" s="34" t="inlineStr">
        <is>
          <t>Q1 2022</t>
        </is>
      </c>
      <c r="C136" s="34" t="n"/>
      <c r="D136" s="34">
        <f>COUNTIF($E$6:$E$115,B136)</f>
        <v/>
      </c>
      <c r="E136" s="35">
        <f>SUMIF($E$6:$E$115,B136,$D$6:$D$115)</f>
        <v/>
      </c>
      <c r="F136" s="36">
        <f t="array" ref="F136">IFERROR(SUMPRODUCT(($E$6:$E$115=B136)*IFERROR($D$6:$D$115*$F$6:$F$115,0))/SUMPRODUCT(($E$6:$E$115=B136)*ISNUMBER($F$6:$F$115)*$D$6:$D$115),0)</f>
        <v/>
      </c>
      <c r="G136" s="35">
        <f>F136*E136</f>
        <v/>
      </c>
      <c r="H136" s="35">
        <f>E136*Settings!$B$2</f>
        <v/>
      </c>
      <c r="I136" s="35">
        <f>(E136*0.95)-G136</f>
        <v/>
      </c>
      <c r="J136" s="35">
        <f>(E136*0.925)-G136</f>
        <v/>
      </c>
      <c r="K136" s="35">
        <f>(E136*0.90)-G136</f>
        <v/>
      </c>
    </row>
    <row r="137">
      <c r="B137" s="37" t="inlineStr">
        <is>
          <t>TOTAL</t>
        </is>
      </c>
      <c r="C137" s="4" t="n"/>
      <c r="D137" s="4">
        <f>SUM(D119:D136)</f>
        <v/>
      </c>
      <c r="E137" s="38">
        <f>SUM(E119:E136)</f>
        <v/>
      </c>
      <c r="F137" s="39">
        <f>IFERROR(SUMPRODUCT($E$119:$E$136,F119:F136)/$E$137,0)</f>
        <v/>
      </c>
      <c r="G137" s="38">
        <f>SUM(G119:G136)</f>
        <v/>
      </c>
      <c r="H137" s="38">
        <f>SUM(H119:H136)</f>
        <v/>
      </c>
      <c r="I137" s="38">
        <f>SUM(I119:I136)</f>
        <v/>
      </c>
      <c r="J137" s="38">
        <f>SUM(J119:J136)</f>
        <v/>
      </c>
      <c r="K137" s="38">
        <f>SUM(K119:K136)</f>
        <v/>
      </c>
    </row>
    <row r="139">
      <c r="G139" s="40" t="inlineStr">
        <is>
          <t>Total Current Inventory</t>
        </is>
      </c>
      <c r="I139" s="41" t="n">
        <v>26603</v>
      </c>
      <c r="J139" s="42">
        <f>I139</f>
        <v/>
      </c>
      <c r="K139" s="42">
        <f>I139</f>
        <v/>
      </c>
    </row>
    <row r="140">
      <c r="G140" s="40" t="inlineStr">
        <is>
          <t>% to be Absorbed</t>
        </is>
      </c>
      <c r="I140" s="43">
        <f>IFERROR(I137/I139,0)</f>
        <v/>
      </c>
      <c r="J140" s="43">
        <f>IFERROR(J137/J139,0)</f>
        <v/>
      </c>
      <c r="K140" s="43">
        <f>IFERROR(K137/K139,0)</f>
        <v/>
      </c>
    </row>
    <row r="142">
      <c r="B142" s="44" t="inlineStr">
        <is>
          <t>* 5-Mile radius. Total inventory from CoStar Data Analytics. Proximity (mi) to be filled manually. Lease-up rent/occupancy should be verified with a HelloData pull.</t>
        </is>
      </c>
    </row>
  </sheetData>
  <mergeCells count="29">
    <mergeCell ref="B129:C129"/>
    <mergeCell ref="B135:C135"/>
    <mergeCell ref="B125:C125"/>
    <mergeCell ref="B134:C134"/>
    <mergeCell ref="B3:F3"/>
    <mergeCell ref="B121:C121"/>
    <mergeCell ref="B131:C131"/>
    <mergeCell ref="B122:C122"/>
    <mergeCell ref="B142:K142"/>
    <mergeCell ref="C59:K59"/>
    <mergeCell ref="B130:C130"/>
    <mergeCell ref="C71:K71"/>
    <mergeCell ref="B120:C120"/>
    <mergeCell ref="B136:C136"/>
    <mergeCell ref="B132:C132"/>
    <mergeCell ref="B119:C119"/>
    <mergeCell ref="G139:H139"/>
    <mergeCell ref="C2:G2"/>
    <mergeCell ref="B128:C128"/>
    <mergeCell ref="B137:C137"/>
    <mergeCell ref="B127:C127"/>
    <mergeCell ref="B118:C118"/>
    <mergeCell ref="C5:K5"/>
    <mergeCell ref="B124:C124"/>
    <mergeCell ref="B133:C133"/>
    <mergeCell ref="B123:C123"/>
    <mergeCell ref="B126:C126"/>
    <mergeCell ref="G140:H140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45" t="inlineStr">
        <is>
          <t>ANALYSIS SETTINGS</t>
        </is>
      </c>
    </row>
    <row r="2">
      <c r="A2" t="inlineStr">
        <is>
          <t>Stabilized Occupancy Target</t>
        </is>
      </c>
      <c r="B2" s="46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40" t="inlineStr">
        <is>
          <t>Property</t>
        </is>
      </c>
      <c r="B1" s="40" t="inlineStr">
        <is>
          <t>Address</t>
        </is>
      </c>
      <c r="C1" s="40" t="inlineStr">
        <is>
          <t>Units</t>
        </is>
      </c>
      <c r="D1" s="40" t="inlineStr">
        <is>
          <t>Year Built</t>
        </is>
      </c>
      <c r="E1" s="40" t="inlineStr">
        <is>
          <t>Est. Delivery</t>
        </is>
      </c>
      <c r="F1" s="40" t="inlineStr">
        <is>
          <t>Bucket</t>
        </is>
      </c>
      <c r="G1" s="40" t="inlineStr">
        <is>
          <t>CoStar Occ</t>
        </is>
      </c>
      <c r="H1" s="40" t="inlineStr">
        <is>
          <t>RealPage Occ</t>
        </is>
      </c>
      <c r="I1" s="40" t="inlineStr">
        <is>
          <t>CoStar Ask Rent</t>
        </is>
      </c>
      <c r="J1" s="40" t="inlineStr">
        <is>
          <t>RealPage Eff Rent</t>
        </is>
      </c>
      <c r="K1" s="40" t="inlineStr">
        <is>
          <t>Sources</t>
        </is>
      </c>
      <c r="L1" s="40" t="inlineStr">
        <is>
          <t>Notes</t>
        </is>
      </c>
    </row>
    <row r="2">
      <c r="A2" t="inlineStr">
        <is>
          <t>Avery</t>
        </is>
      </c>
      <c r="B2" t="inlineStr">
        <is>
          <t>1700 N Harbor Shore Blvd</t>
        </is>
      </c>
      <c r="C2" t="n">
        <v>185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47" t="n">
        <v>0.924324</v>
      </c>
      <c r="H2" s="47" t="n">
        <v>0.924</v>
      </c>
      <c r="I2" s="42" t="n">
        <v>1750</v>
      </c>
      <c r="J2" s="42" t="n">
        <v>1875</v>
      </c>
      <c r="K2" t="inlineStr">
        <is>
          <t>CoStar+RealPage</t>
        </is>
      </c>
      <c r="L2" t="inlineStr">
        <is>
          <t>Rent: CoStar ask $1,750 vs RealPage eff $1,875</t>
        </is>
      </c>
    </row>
    <row r="3">
      <c r="A3" t="inlineStr">
        <is>
          <t>Ironwood at River Run</t>
        </is>
      </c>
      <c r="B3" t="inlineStr">
        <is>
          <t>11951 W Windsor Ave</t>
        </is>
      </c>
      <c r="C3" t="n">
        <v>103</v>
      </c>
      <c r="D3" t="n">
        <v>2024</v>
      </c>
      <c r="E3" t="inlineStr">
        <is>
          <t>Q2 2024</t>
        </is>
      </c>
      <c r="F3" t="inlineStr">
        <is>
          <t>STABILIZED / STABILIZING</t>
        </is>
      </c>
      <c r="G3" s="47" t="n"/>
      <c r="H3" s="47" t="n">
        <v>0.961</v>
      </c>
      <c r="I3" s="42" t="n"/>
      <c r="J3" s="42" t="n">
        <v>2090</v>
      </c>
      <c r="K3" t="inlineStr">
        <is>
          <t>RealPage</t>
        </is>
      </c>
      <c r="L3" t="inlineStr">
        <is>
          <t>Delivery quarter estimated</t>
        </is>
      </c>
    </row>
    <row r="4">
      <c r="A4" t="inlineStr">
        <is>
          <t>TerraLane at Park McDowell</t>
        </is>
      </c>
      <c r="B4" t="inlineStr">
        <is>
          <t>2250 N 95th Ave</t>
        </is>
      </c>
      <c r="C4" t="n">
        <v>162</v>
      </c>
      <c r="D4" t="n">
        <v>2023</v>
      </c>
      <c r="E4" t="inlineStr">
        <is>
          <t>Q1 2023</t>
        </is>
      </c>
      <c r="F4" t="inlineStr">
        <is>
          <t>STABILIZED / STABILIZING</t>
        </is>
      </c>
      <c r="G4" s="47" t="n">
        <v>0.8518520000000001</v>
      </c>
      <c r="H4" s="47" t="n">
        <v>0.877</v>
      </c>
      <c r="I4" s="42" t="n">
        <v>1576</v>
      </c>
      <c r="J4" s="42" t="n">
        <v>1211</v>
      </c>
      <c r="K4" t="inlineStr">
        <is>
          <t>CoStar+RealPage</t>
        </is>
      </c>
      <c r="L4" t="inlineStr">
        <is>
          <t>Delivery quarter estimated; Occ: CoStar 85% vs RealPage 88%; Rent: CoStar ask $1,576 vs RealPage eff $1,211</t>
        </is>
      </c>
    </row>
    <row r="5">
      <c r="A5" t="inlineStr">
        <is>
          <t>Bungalows at Camelback</t>
        </is>
      </c>
      <c r="B5" t="inlineStr">
        <is>
          <t>4747 N 99th Ave</t>
        </is>
      </c>
      <c r="C5" t="n">
        <v>334</v>
      </c>
      <c r="D5" t="n">
        <v>2023</v>
      </c>
      <c r="E5" t="inlineStr">
        <is>
          <t>Q1 2023</t>
        </is>
      </c>
      <c r="F5" t="inlineStr">
        <is>
          <t>STABILIZED / STABILIZING</t>
        </is>
      </c>
      <c r="G5" s="47" t="n">
        <v>0.7634730000000001</v>
      </c>
      <c r="H5" s="47" t="n">
        <v>0.916</v>
      </c>
      <c r="I5" s="42" t="n">
        <v>2026</v>
      </c>
      <c r="J5" s="42" t="n">
        <v>1385</v>
      </c>
      <c r="K5" t="inlineStr">
        <is>
          <t>CoStar+RealPage</t>
        </is>
      </c>
      <c r="L5" t="inlineStr">
        <is>
          <t>Year built: 2023/2024; Delivery quarter estimated; Occ: CoStar 76% vs RealPage 92%; Rent: CoStar ask $2,026 vs RealPage eff $1,385</t>
        </is>
      </c>
    </row>
    <row r="6">
      <c r="A6" t="inlineStr">
        <is>
          <t>Prose Desert River</t>
        </is>
      </c>
      <c r="B6" t="inlineStr">
        <is>
          <t>7430 N 100th Ave</t>
        </is>
      </c>
      <c r="C6" t="n">
        <v>384</v>
      </c>
      <c r="D6" t="n">
        <v>2023</v>
      </c>
      <c r="E6" t="inlineStr">
        <is>
          <t>Q1 2023</t>
        </is>
      </c>
      <c r="F6" t="inlineStr">
        <is>
          <t>STABILIZED / STABILIZING</t>
        </is>
      </c>
      <c r="G6" s="47" t="n">
        <v>0.895833</v>
      </c>
      <c r="H6" s="47" t="n">
        <v>0.966</v>
      </c>
      <c r="I6" s="42" t="n">
        <v>1429</v>
      </c>
      <c r="J6" s="42" t="n">
        <v>1313</v>
      </c>
      <c r="K6" t="inlineStr">
        <is>
          <t>CoStar+RealPage</t>
        </is>
      </c>
      <c r="L6" t="inlineStr">
        <is>
          <t>Year built: 2023/2024; Delivery quarter estimated; Occ: CoStar 90% vs RealPage 97%; Rent: CoStar ask $1,429 vs RealPage eff $1,313</t>
        </is>
      </c>
    </row>
    <row r="7">
      <c r="A7" t="inlineStr">
        <is>
          <t>Christopher Todd Communities at McDowell</t>
        </is>
      </c>
      <c r="B7" t="inlineStr">
        <is>
          <t>1350 N 117th Ave</t>
        </is>
      </c>
      <c r="C7" t="n">
        <v>217</v>
      </c>
      <c r="D7" t="n">
        <v>2023</v>
      </c>
      <c r="E7" t="inlineStr">
        <is>
          <t>Q1 2023</t>
        </is>
      </c>
      <c r="F7" t="inlineStr">
        <is>
          <t>STABILIZED / STABILIZING</t>
        </is>
      </c>
      <c r="G7" s="47" t="n">
        <v>0.949309</v>
      </c>
      <c r="H7" s="47" t="n">
        <v>0.968</v>
      </c>
      <c r="I7" s="42" t="n">
        <v>1576</v>
      </c>
      <c r="J7" s="42" t="n">
        <v>1602</v>
      </c>
      <c r="K7" t="inlineStr">
        <is>
          <t>CoStar+RealPage</t>
        </is>
      </c>
      <c r="L7" t="inlineStr">
        <is>
          <t>Year built: 2023/2024; Delivery quarter estimated</t>
        </is>
      </c>
    </row>
    <row r="8">
      <c r="A8" t="inlineStr">
        <is>
          <t>Village Camelback Park</t>
        </is>
      </c>
      <c r="B8" t="inlineStr">
        <is>
          <t>11200 W Camelback Rd</t>
        </is>
      </c>
      <c r="C8" t="n">
        <v>194</v>
      </c>
      <c r="D8" t="n">
        <v>2023</v>
      </c>
      <c r="E8" t="inlineStr">
        <is>
          <t>Q1 2023</t>
        </is>
      </c>
      <c r="F8" t="inlineStr">
        <is>
          <t>STABILIZED / STABILIZING</t>
        </is>
      </c>
      <c r="G8" s="47" t="n">
        <v>0.773196</v>
      </c>
      <c r="H8" s="47" t="n">
        <v>0.918</v>
      </c>
      <c r="I8" s="42" t="n">
        <v>1874</v>
      </c>
      <c r="J8" s="42" t="n">
        <v>1794</v>
      </c>
      <c r="K8" t="inlineStr">
        <is>
          <t>CoStar+RealPage</t>
        </is>
      </c>
      <c r="L8" t="inlineStr">
        <is>
          <t>Delivery quarter estimated; Occ: CoStar 77% vs RealPage 92%</t>
        </is>
      </c>
    </row>
    <row r="9">
      <c r="A9" t="inlineStr">
        <is>
          <t>Springs At Westgate</t>
        </is>
      </c>
      <c r="B9" t="inlineStr">
        <is>
          <t>10020 W Glendale Ave</t>
        </is>
      </c>
      <c r="C9" t="n">
        <v>292</v>
      </c>
      <c r="D9" t="n">
        <v>2023</v>
      </c>
      <c r="E9" t="inlineStr">
        <is>
          <t>Q1 2023</t>
        </is>
      </c>
      <c r="F9" t="inlineStr">
        <is>
          <t>STABILIZED / STABILIZING</t>
        </is>
      </c>
      <c r="G9" s="47" t="n">
        <v>0.784247</v>
      </c>
      <c r="H9" s="47" t="n">
        <v>0.87</v>
      </c>
      <c r="I9" s="42" t="n">
        <v>1516</v>
      </c>
      <c r="J9" s="42" t="n">
        <v>1517</v>
      </c>
      <c r="K9" t="inlineStr">
        <is>
          <t>CoStar+RealPage</t>
        </is>
      </c>
      <c r="L9" t="inlineStr">
        <is>
          <t>Year built: 2023/2024; Units: CoStar 292 vs RealPage 239; Delivery quarter estimated; Occ: CoStar 78% vs RealPage 87%</t>
        </is>
      </c>
    </row>
    <row r="10">
      <c r="A10" t="inlineStr">
        <is>
          <t>Parc Lofts</t>
        </is>
      </c>
      <c r="B10" t="inlineStr">
        <is>
          <t>8727 W McDowell Rd</t>
        </is>
      </c>
      <c r="C10" t="n">
        <v>258</v>
      </c>
      <c r="D10" t="n">
        <v>2023</v>
      </c>
      <c r="E10" t="inlineStr">
        <is>
          <t>Q1 2023</t>
        </is>
      </c>
      <c r="F10" t="inlineStr">
        <is>
          <t>STABILIZED / STABILIZING</t>
        </is>
      </c>
      <c r="G10" s="47" t="n">
        <v>0.8992249999999999</v>
      </c>
      <c r="H10" s="47" t="n">
        <v>0.9419999999999999</v>
      </c>
      <c r="I10" s="42" t="n">
        <v>1567</v>
      </c>
      <c r="J10" s="42" t="n">
        <v>1591</v>
      </c>
      <c r="K10" t="inlineStr">
        <is>
          <t>CoStar+RealPage</t>
        </is>
      </c>
      <c r="L10" t="inlineStr">
        <is>
          <t>Delivery quarter estimated; Occ: CoStar 90% vs RealPage 94%</t>
        </is>
      </c>
    </row>
    <row r="11">
      <c r="A11" t="inlineStr">
        <is>
          <t>The Crofton at Sheely Farms</t>
        </is>
      </c>
      <c r="B11" t="inlineStr">
        <is>
          <t>9200 W McDowell Rd</t>
        </is>
      </c>
      <c r="C11" t="n">
        <v>167</v>
      </c>
      <c r="D11" t="n">
        <v>2023</v>
      </c>
      <c r="E11" t="inlineStr">
        <is>
          <t>Q1 2023</t>
        </is>
      </c>
      <c r="F11" t="inlineStr">
        <is>
          <t>STABILIZED / STABILIZING</t>
        </is>
      </c>
      <c r="G11" s="47" t="n">
        <v>0.9520960000000001</v>
      </c>
      <c r="H11" s="47" t="n">
        <v>0.946</v>
      </c>
      <c r="I11" s="42" t="n">
        <v>1607</v>
      </c>
      <c r="J11" s="42" t="n">
        <v>1388</v>
      </c>
      <c r="K11" t="inlineStr">
        <is>
          <t>CoStar+RealPage</t>
        </is>
      </c>
      <c r="L11" t="inlineStr">
        <is>
          <t>Delivery quarter estimated; Rent: CoStar ask $1,607 vs RealPage eff $1,388</t>
        </is>
      </c>
    </row>
    <row r="12">
      <c r="A12" t="inlineStr">
        <is>
          <t>District at Civic Square</t>
        </is>
      </c>
      <c r="B12" t="inlineStr">
        <is>
          <t>15400 W Monte Vista Rd</t>
        </is>
      </c>
      <c r="C12" t="n">
        <v>352</v>
      </c>
      <c r="D12" t="n">
        <v>2023</v>
      </c>
      <c r="E12" t="inlineStr">
        <is>
          <t>Q1 2023</t>
        </is>
      </c>
      <c r="F12" t="inlineStr">
        <is>
          <t>STABILIZED / STABILIZING</t>
        </is>
      </c>
      <c r="G12" s="47" t="n">
        <v>0.920455</v>
      </c>
      <c r="H12" s="47" t="n">
        <v>1</v>
      </c>
      <c r="I12" s="42" t="n">
        <v>1526</v>
      </c>
      <c r="J12" s="42" t="n">
        <v>1263</v>
      </c>
      <c r="K12" t="inlineStr">
        <is>
          <t>CoStar+RealPage</t>
        </is>
      </c>
      <c r="L12" t="inlineStr">
        <is>
          <t>Year built: 2023/2024; Delivery quarter estimated; Occ: CoStar 92% vs RealPage 100%; Rent: CoStar ask $1,526 vs RealPage eff $1,263</t>
        </is>
      </c>
    </row>
    <row r="13">
      <c r="A13" t="inlineStr">
        <is>
          <t>BB Living at Civic Square</t>
        </is>
      </c>
      <c r="B13" t="inlineStr">
        <is>
          <t>15125 W Oak St</t>
        </is>
      </c>
      <c r="C13" t="n">
        <v>290</v>
      </c>
      <c r="D13" t="n">
        <v>2023</v>
      </c>
      <c r="E13" t="inlineStr">
        <is>
          <t>Q1 2023</t>
        </is>
      </c>
      <c r="F13" t="inlineStr">
        <is>
          <t>STABILIZED / STABILIZING</t>
        </is>
      </c>
      <c r="G13" s="47" t="n">
        <v>0.934483</v>
      </c>
      <c r="H13" s="47" t="n">
        <v>0.959</v>
      </c>
      <c r="I13" s="42" t="n">
        <v>2812</v>
      </c>
      <c r="J13" s="42" t="n">
        <v>2575</v>
      </c>
      <c r="K13" t="inlineStr">
        <is>
          <t>CoStar+RealPage</t>
        </is>
      </c>
      <c r="L13" t="inlineStr">
        <is>
          <t>Year built: 2023/2024; Delivery quarter estimated; Occ: CoStar 93% vs RealPage 96%; Rent: CoStar ask $2,812 vs RealPage eff $2,575</t>
        </is>
      </c>
    </row>
    <row r="14">
      <c r="A14" t="inlineStr">
        <is>
          <t>Village at the BLVD</t>
        </is>
      </c>
      <c r="B14" t="inlineStr">
        <is>
          <t>11175 W Roosevelt Rd</t>
        </is>
      </c>
      <c r="C14" t="n">
        <v>187</v>
      </c>
      <c r="D14" t="n">
        <v>2023</v>
      </c>
      <c r="E14" t="inlineStr">
        <is>
          <t>Q1 2023</t>
        </is>
      </c>
      <c r="F14" t="inlineStr">
        <is>
          <t>STABILIZED / STABILIZING</t>
        </is>
      </c>
      <c r="G14" s="47" t="n">
        <v>0.935829</v>
      </c>
      <c r="H14" s="47" t="n">
        <v>0.963</v>
      </c>
      <c r="I14" s="42" t="n">
        <v>1964</v>
      </c>
      <c r="J14" s="42" t="n">
        <v>1902</v>
      </c>
      <c r="K14" t="inlineStr">
        <is>
          <t>CoStar+RealPage</t>
        </is>
      </c>
      <c r="L14" t="inlineStr">
        <is>
          <t>Year built: 2023/2024; Delivery quarter estimated; Occ: CoStar 94% vs RealPage 96%</t>
        </is>
      </c>
    </row>
    <row r="15">
      <c r="A15" t="inlineStr">
        <is>
          <t>Acero Roosevelt</t>
        </is>
      </c>
      <c r="B15" t="inlineStr">
        <is>
          <t>15400 W Roosevelt St</t>
        </is>
      </c>
      <c r="C15" t="n">
        <v>352</v>
      </c>
      <c r="D15" t="n">
        <v>2023</v>
      </c>
      <c r="E15" t="inlineStr">
        <is>
          <t>Q1 2023</t>
        </is>
      </c>
      <c r="F15" t="inlineStr">
        <is>
          <t>STABILIZED / STABILIZING</t>
        </is>
      </c>
      <c r="G15" s="47" t="n">
        <v>0.892045</v>
      </c>
      <c r="H15" s="47" t="n">
        <v>0.9399999999999999</v>
      </c>
      <c r="I15" s="42" t="n">
        <v>1632</v>
      </c>
      <c r="J15" s="42" t="n">
        <v>1236</v>
      </c>
      <c r="K15" t="inlineStr">
        <is>
          <t>CoStar+RealPage</t>
        </is>
      </c>
      <c r="L15" t="inlineStr">
        <is>
          <t>Year built: 2023/2024; Delivery quarter estimated; Occ: CoStar 89% vs RealPage 94%; Rent: CoStar ask $1,632 vs RealPage eff $1,236</t>
        </is>
      </c>
    </row>
    <row r="16">
      <c r="A16" t="inlineStr">
        <is>
          <t>Village at Paseo de Luces</t>
        </is>
      </c>
      <c r="B16" t="inlineStr">
        <is>
          <t>9802 W Van Buren St</t>
        </is>
      </c>
      <c r="C16" t="n">
        <v>272</v>
      </c>
      <c r="D16" t="n">
        <v>2023</v>
      </c>
      <c r="E16" t="inlineStr">
        <is>
          <t>Q1 2023</t>
        </is>
      </c>
      <c r="F16" t="inlineStr">
        <is>
          <t>STABILIZED / STABILIZING</t>
        </is>
      </c>
      <c r="G16" s="47" t="n">
        <v>0.926471</v>
      </c>
      <c r="H16" s="47" t="n">
        <v>0.967</v>
      </c>
      <c r="I16" s="42" t="n">
        <v>1820</v>
      </c>
      <c r="J16" s="42" t="n">
        <v>1597</v>
      </c>
      <c r="K16" t="inlineStr">
        <is>
          <t>CoStar+RealPage</t>
        </is>
      </c>
      <c r="L16" t="inlineStr">
        <is>
          <t>Year built: 2023/2024; Delivery quarter estimated; Occ: CoStar 93% vs RealPage 97%; Rent: CoStar ask $1,820 vs RealPage eff $1,597</t>
        </is>
      </c>
    </row>
    <row r="17">
      <c r="A17" t="inlineStr">
        <is>
          <t>Cabana Bullard</t>
        </is>
      </c>
      <c r="B17" t="inlineStr">
        <is>
          <t>14780 W Van Buren St</t>
        </is>
      </c>
      <c r="C17" t="n">
        <v>336</v>
      </c>
      <c r="D17" t="n">
        <v>2023</v>
      </c>
      <c r="E17" t="inlineStr">
        <is>
          <t>Q1 2023</t>
        </is>
      </c>
      <c r="F17" t="inlineStr">
        <is>
          <t>STABILIZED / STABILIZING</t>
        </is>
      </c>
      <c r="G17" s="47" t="n">
        <v>0.9494050000000001</v>
      </c>
      <c r="H17" s="47" t="n">
        <v>0.949</v>
      </c>
      <c r="I17" s="42" t="n">
        <v>1335</v>
      </c>
      <c r="J17" s="42" t="n">
        <v>1325</v>
      </c>
      <c r="K17" t="inlineStr">
        <is>
          <t>CoStar+RealPage</t>
        </is>
      </c>
      <c r="L17" t="inlineStr">
        <is>
          <t>Delivery quarter estimated</t>
        </is>
      </c>
    </row>
    <row r="18">
      <c r="A18" t="inlineStr">
        <is>
          <t>Ironwood Homes at River Run</t>
        </is>
      </c>
      <c r="B18" t="inlineStr">
        <is>
          <t>11901 W Windsor Ave</t>
        </is>
      </c>
      <c r="C18" t="n">
        <v>103</v>
      </c>
      <c r="D18" t="n">
        <v>2023</v>
      </c>
      <c r="E18" t="inlineStr">
        <is>
          <t>Q1 2023</t>
        </is>
      </c>
      <c r="F18" t="inlineStr">
        <is>
          <t>STABILIZED / STABILIZING</t>
        </is>
      </c>
      <c r="G18" s="47" t="n">
        <v>0.893204</v>
      </c>
      <c r="H18" s="47" t="n"/>
      <c r="I18" s="42" t="n">
        <v>2523</v>
      </c>
      <c r="J18" s="42" t="n"/>
      <c r="K18" t="inlineStr">
        <is>
          <t>CoStar</t>
        </is>
      </c>
      <c r="L18" t="inlineStr">
        <is>
          <t>Delivery quarter estimated</t>
        </is>
      </c>
    </row>
    <row r="19">
      <c r="A19" t="inlineStr">
        <is>
          <t>Cuvee Apartments</t>
        </is>
      </c>
      <c r="B19" t="inlineStr">
        <is>
          <t>7200 N 91st Ave</t>
        </is>
      </c>
      <c r="C19" t="n">
        <v>310</v>
      </c>
      <c r="D19" t="n">
        <v>2023</v>
      </c>
      <c r="E19" t="inlineStr">
        <is>
          <t>Q1 2023</t>
        </is>
      </c>
      <c r="F19" t="inlineStr">
        <is>
          <t>STABILIZED / STABILIZING</t>
        </is>
      </c>
      <c r="G19" s="47" t="n"/>
      <c r="H19" s="47" t="n">
        <v>0.926</v>
      </c>
      <c r="I19" s="42" t="n"/>
      <c r="J19" s="42" t="n">
        <v>1629</v>
      </c>
      <c r="K19" t="inlineStr">
        <is>
          <t>RealPage</t>
        </is>
      </c>
      <c r="L19" t="inlineStr">
        <is>
          <t>Delivery quarter estimated</t>
        </is>
      </c>
    </row>
    <row r="20">
      <c r="A20" t="inlineStr">
        <is>
          <t>Avari Apartments</t>
        </is>
      </c>
      <c r="B20" t="inlineStr">
        <is>
          <t>11580 W Corporate Dr</t>
        </is>
      </c>
      <c r="C20" t="n">
        <v>354</v>
      </c>
      <c r="D20" t="n">
        <v>2022</v>
      </c>
      <c r="E20" t="inlineStr">
        <is>
          <t>Q3 2022</t>
        </is>
      </c>
      <c r="F20" t="inlineStr">
        <is>
          <t>STABILIZED / STABILIZING</t>
        </is>
      </c>
      <c r="G20" s="47" t="n">
        <v>0.951977</v>
      </c>
      <c r="H20" s="47" t="n">
        <v>1</v>
      </c>
      <c r="I20" s="42" t="n">
        <v>1574</v>
      </c>
      <c r="J20" s="42" t="n">
        <v>1583</v>
      </c>
      <c r="K20" t="inlineStr">
        <is>
          <t>CoStar+RealPage</t>
        </is>
      </c>
      <c r="L20" t="inlineStr">
        <is>
          <t>Year built: 2022/2023; Delivery quarter estimated; Occ: CoStar 95% vs RealPage 100%</t>
        </is>
      </c>
    </row>
    <row r="21">
      <c r="A21" t="inlineStr">
        <is>
          <t>Sunset View Apartments</t>
        </is>
      </c>
      <c r="B21" t="inlineStr">
        <is>
          <t>2323 N 150th Dr</t>
        </is>
      </c>
      <c r="C21" t="n">
        <v>286</v>
      </c>
      <c r="D21" t="n">
        <v>2022</v>
      </c>
      <c r="E21" t="inlineStr">
        <is>
          <t>Q2 2022</t>
        </is>
      </c>
      <c r="F21" t="inlineStr">
        <is>
          <t>STABILIZED / STABILIZING</t>
        </is>
      </c>
      <c r="G21" s="47" t="n">
        <v>0.902098</v>
      </c>
      <c r="H21" s="47" t="n">
        <v>0.955</v>
      </c>
      <c r="I21" s="42" t="n">
        <v>1338</v>
      </c>
      <c r="J21" s="42" t="n">
        <v>1167</v>
      </c>
      <c r="K21" t="inlineStr">
        <is>
          <t>CoStar+RealPage</t>
        </is>
      </c>
      <c r="L21" t="inlineStr">
        <is>
          <t>Occ: CoStar 90% vs RealPage 96%; Rent: CoStar ask $1,338 vs RealPage eff $1,167</t>
        </is>
      </c>
    </row>
    <row r="22">
      <c r="A22" t="inlineStr">
        <is>
          <t>Cyrene at Estrella</t>
        </is>
      </c>
      <c r="B22" t="inlineStr">
        <is>
          <t>15430 W Baden St</t>
        </is>
      </c>
      <c r="C22" t="n">
        <v>64</v>
      </c>
      <c r="D22" t="n">
        <v>2022</v>
      </c>
      <c r="E22" t="inlineStr">
        <is>
          <t>Q1 2022</t>
        </is>
      </c>
      <c r="F22" t="inlineStr">
        <is>
          <t>STABILIZED / STABILIZING</t>
        </is>
      </c>
      <c r="G22" s="47" t="n">
        <v>0.984375</v>
      </c>
      <c r="H22" s="47" t="n">
        <v>0.984</v>
      </c>
      <c r="I22" s="42" t="n">
        <v>2442</v>
      </c>
      <c r="J22" s="42" t="n">
        <v>2261</v>
      </c>
      <c r="K22" t="inlineStr">
        <is>
          <t>CoStar+RealPage</t>
        </is>
      </c>
      <c r="L22" t="inlineStr">
        <is>
          <t>Year built: 2022/2023; Delivery quarter estimated; Rent: CoStar ask $2,442 vs RealPage eff $2,261</t>
        </is>
      </c>
    </row>
    <row r="23">
      <c r="A23" t="inlineStr">
        <is>
          <t>Luna Bear 94</t>
        </is>
      </c>
      <c r="B23" t="inlineStr">
        <is>
          <t>9000 W Indian School Rd</t>
        </is>
      </c>
      <c r="C23" t="n">
        <v>94</v>
      </c>
      <c r="D23" t="n">
        <v>2022</v>
      </c>
      <c r="E23" t="inlineStr">
        <is>
          <t>Q1 2022</t>
        </is>
      </c>
      <c r="F23" t="inlineStr">
        <is>
          <t>STABILIZED / STABILIZING</t>
        </is>
      </c>
      <c r="G23" s="47" t="n">
        <v>0.989362</v>
      </c>
      <c r="H23" s="47" t="n">
        <v>1</v>
      </c>
      <c r="I23" s="42" t="n">
        <v>1913</v>
      </c>
      <c r="J23" s="42" t="n">
        <v>1982</v>
      </c>
      <c r="K23" t="inlineStr">
        <is>
          <t>CoStar+RealPage</t>
        </is>
      </c>
      <c r="L23" t="inlineStr"/>
    </row>
    <row r="24">
      <c r="A24" t="inlineStr">
        <is>
          <t>Avilla Western Garden</t>
        </is>
      </c>
      <c r="B24" t="inlineStr">
        <is>
          <t>4041 N 97th Ave</t>
        </is>
      </c>
      <c r="C24" t="n">
        <v>195</v>
      </c>
      <c r="D24" t="n">
        <v>2026</v>
      </c>
      <c r="E24" t="inlineStr">
        <is>
          <t>Q2 2026</t>
        </is>
      </c>
      <c r="F24" t="inlineStr">
        <is>
          <t>LEASING UP</t>
        </is>
      </c>
      <c r="G24" s="47" t="n">
        <v>0.4461540000000001</v>
      </c>
      <c r="H24" s="47" t="n">
        <v>0</v>
      </c>
      <c r="I24" s="42" t="n">
        <v>1829</v>
      </c>
      <c r="J24" s="42" t="n">
        <v>1681</v>
      </c>
      <c r="K24" t="inlineStr">
        <is>
          <t>CoStar+RealPage</t>
        </is>
      </c>
      <c r="L24" t="inlineStr">
        <is>
          <t>Delivery quarter estimated; Occ: CoStar 45% vs RealPage 0%; Rent: CoStar ask $1,829 vs RealPage eff $1,681; Verify rent/occ w/ HelloData</t>
        </is>
      </c>
    </row>
    <row r="25">
      <c r="A25" t="inlineStr">
        <is>
          <t>Liberty at Estrella Falls</t>
        </is>
      </c>
      <c r="B25" t="inlineStr">
        <is>
          <t>2505 N 153rd Dr</t>
        </is>
      </c>
      <c r="C25" t="n">
        <v>106</v>
      </c>
      <c r="D25" t="n">
        <v>2026</v>
      </c>
      <c r="E25" t="inlineStr">
        <is>
          <t>Q2 2026</t>
        </is>
      </c>
      <c r="F25" t="inlineStr">
        <is>
          <t>LEASING UP</t>
        </is>
      </c>
      <c r="G25" s="47" t="n">
        <v>0.05660399999999999</v>
      </c>
      <c r="H25" s="47" t="n">
        <v>0.208</v>
      </c>
      <c r="I25" s="42" t="n">
        <v>2966</v>
      </c>
      <c r="J25" s="42" t="n">
        <v>1938</v>
      </c>
      <c r="K25" t="inlineStr">
        <is>
          <t>CoStar+RealPage</t>
        </is>
      </c>
      <c r="L25" t="inlineStr">
        <is>
          <t>Delivery quarter estimated; Occ: CoStar 6% vs RealPage 21%; Rent: CoStar ask $2,966 vs RealPage eff $1,938; Verify rent/occ w/ HelloData</t>
        </is>
      </c>
    </row>
    <row r="26">
      <c r="A26" t="inlineStr">
        <is>
          <t>Rev3 at Avondale Station</t>
        </is>
      </c>
      <c r="B26" t="inlineStr">
        <is>
          <t>9980 W Encanto Blvd</t>
        </is>
      </c>
      <c r="C26" t="n">
        <v>117</v>
      </c>
      <c r="D26" t="n">
        <v>2026</v>
      </c>
      <c r="E26" t="inlineStr">
        <is>
          <t>Q2 2026</t>
        </is>
      </c>
      <c r="F26" t="inlineStr">
        <is>
          <t>LEASING UP</t>
        </is>
      </c>
      <c r="G26" s="47" t="n">
        <v>0.273504</v>
      </c>
      <c r="H26" s="47" t="n">
        <v>0</v>
      </c>
      <c r="I26" s="42" t="n">
        <v>2537</v>
      </c>
      <c r="J26" s="42" t="n">
        <v>2273</v>
      </c>
      <c r="K26" t="inlineStr">
        <is>
          <t>CoStar+RealPage</t>
        </is>
      </c>
      <c r="L26" t="inlineStr">
        <is>
          <t>Units: CoStar 117 vs RealPage 107; Delivery quarter estimated; Occ: CoStar 27% vs RealPage 0%; Rent: CoStar ask $2,537 vs RealPage eff $2,273; Verify rent/occ w/ HelloData</t>
        </is>
      </c>
    </row>
    <row r="27">
      <c r="A27" t="inlineStr">
        <is>
          <t>Flatz 623</t>
        </is>
      </c>
      <c r="B27" t="inlineStr">
        <is>
          <t>11850 W Fillmore St</t>
        </is>
      </c>
      <c r="C27" t="n">
        <v>360</v>
      </c>
      <c r="D27" t="n">
        <v>2026</v>
      </c>
      <c r="E27" t="inlineStr">
        <is>
          <t>Q2 2026</t>
        </is>
      </c>
      <c r="F27" t="inlineStr">
        <is>
          <t>LEASING UP</t>
        </is>
      </c>
      <c r="G27" s="47" t="n">
        <v>0.1333329999999999</v>
      </c>
      <c r="H27" s="47" t="n">
        <v>0</v>
      </c>
      <c r="I27" s="42" t="n">
        <v>1411</v>
      </c>
      <c r="J27" s="42" t="n">
        <v>1145</v>
      </c>
      <c r="K27" t="inlineStr">
        <is>
          <t>CoStar+RealPage</t>
        </is>
      </c>
      <c r="L27" t="inlineStr">
        <is>
          <t>Delivery quarter estimated; Occ: CoStar 13% vs RealPage 0%; Rent: CoStar ask $1,411 vs RealPage eff $1,145; Verify rent/occ w/ HelloData</t>
        </is>
      </c>
    </row>
    <row r="28">
      <c r="A28" t="inlineStr">
        <is>
          <t>Stately Avondale</t>
        </is>
      </c>
      <c r="B28" t="inlineStr">
        <is>
          <t>12375 W Van Buren St</t>
        </is>
      </c>
      <c r="C28" t="n">
        <v>286</v>
      </c>
      <c r="D28" t="n">
        <v>2026</v>
      </c>
      <c r="E28" t="inlineStr">
        <is>
          <t>Q2 2026</t>
        </is>
      </c>
      <c r="F28" t="inlineStr">
        <is>
          <t>LEASING UP</t>
        </is>
      </c>
      <c r="G28" s="47" t="n">
        <v>0.297203</v>
      </c>
      <c r="H28" s="47" t="n">
        <v>0</v>
      </c>
      <c r="I28" s="42" t="n">
        <v>1728</v>
      </c>
      <c r="J28" s="42" t="n">
        <v>1243</v>
      </c>
      <c r="K28" t="inlineStr">
        <is>
          <t>CoStar+RealPage</t>
        </is>
      </c>
      <c r="L28" t="inlineStr">
        <is>
          <t>Year built: 2026/2027; Delivery quarter estimated; Occ: CoStar 30% vs RealPage 0%; Rent: CoStar ask $1,728 vs RealPage eff $1,243; Verify rent/occ w/ HelloData</t>
        </is>
      </c>
    </row>
    <row r="29">
      <c r="A29" t="inlineStr">
        <is>
          <t>Broadstone Ascend</t>
        </is>
      </c>
      <c r="B29" t="inlineStr">
        <is>
          <t>12905 W Indian School Rd</t>
        </is>
      </c>
      <c r="C29" t="n">
        <v>432</v>
      </c>
      <c r="D29" t="n">
        <v>2025</v>
      </c>
      <c r="E29" t="inlineStr">
        <is>
          <t>Q4 2025</t>
        </is>
      </c>
      <c r="F29" t="inlineStr">
        <is>
          <t>LEASING UP</t>
        </is>
      </c>
      <c r="G29" s="47" t="n">
        <v>0.875</v>
      </c>
      <c r="H29" s="47" t="n">
        <v>0.512</v>
      </c>
      <c r="I29" s="42" t="n">
        <v>1506</v>
      </c>
      <c r="J29" s="42" t="n">
        <v>1107</v>
      </c>
      <c r="K29" t="inlineStr">
        <is>
          <t>CoStar+RealPage</t>
        </is>
      </c>
      <c r="L29" t="inlineStr">
        <is>
          <t>Year built: 2025/2026; Delivery quarter estimated; Occ: CoStar 88% vs RealPage 51%; Rent: CoStar ask $1,506 vs RealPage eff $1,107; Verify rent/occ w/ HelloData</t>
        </is>
      </c>
    </row>
    <row r="30">
      <c r="A30" t="inlineStr">
        <is>
          <t>Pradera Estates</t>
        </is>
      </c>
      <c r="B30" t="inlineStr">
        <is>
          <t>12616 W Adair Dr</t>
        </is>
      </c>
      <c r="C30" t="n">
        <v>86</v>
      </c>
      <c r="D30" t="n">
        <v>2025</v>
      </c>
      <c r="E30" t="inlineStr">
        <is>
          <t>Q3 2025</t>
        </is>
      </c>
      <c r="F30" t="inlineStr">
        <is>
          <t>LEASING UP</t>
        </is>
      </c>
      <c r="G30" s="47" t="n">
        <v>0.895349</v>
      </c>
      <c r="H30" s="47" t="n"/>
      <c r="I30" s="42" t="n">
        <v>2474</v>
      </c>
      <c r="J30" s="42" t="n"/>
      <c r="K30" t="inlineStr">
        <is>
          <t>CoStar</t>
        </is>
      </c>
      <c r="L30" t="inlineStr">
        <is>
          <t>Delivery quarter estimated; Verify rent/occ w/ HelloData</t>
        </is>
      </c>
    </row>
    <row r="31">
      <c r="A31" t="inlineStr">
        <is>
          <t>Rev3 Encanto West</t>
        </is>
      </c>
      <c r="B31" t="inlineStr">
        <is>
          <t>2150 N Avondale Blvd</t>
        </is>
      </c>
      <c r="C31" t="n">
        <v>84</v>
      </c>
      <c r="D31" t="n">
        <v>2025</v>
      </c>
      <c r="E31" t="inlineStr">
        <is>
          <t>Q3 2025</t>
        </is>
      </c>
      <c r="F31" t="inlineStr">
        <is>
          <t>LEASING UP</t>
        </is>
      </c>
      <c r="G31" s="47" t="n">
        <v>0.52381</v>
      </c>
      <c r="H31" s="47" t="n">
        <v>0.714</v>
      </c>
      <c r="I31" s="42" t="n">
        <v>2319</v>
      </c>
      <c r="J31" s="42" t="n">
        <v>1833</v>
      </c>
      <c r="K31" t="inlineStr">
        <is>
          <t>CoStar+RealPage</t>
        </is>
      </c>
      <c r="L31" t="inlineStr">
        <is>
          <t>Units: CoStar 84 vs RealPage 78; Year built: 2025/2026; Occ: CoStar 52% vs RealPage 71%; Rent: CoStar ask $2,319 vs RealPage eff $1,833; Verify rent/occ w/ HelloData</t>
        </is>
      </c>
    </row>
    <row r="32">
      <c r="A32" t="inlineStr">
        <is>
          <t>Villas Litchfield Park</t>
        </is>
      </c>
      <c r="B32" t="inlineStr">
        <is>
          <t>12730 W Camelback Rd</t>
        </is>
      </c>
      <c r="C32" t="n">
        <v>153</v>
      </c>
      <c r="D32" t="n">
        <v>2025</v>
      </c>
      <c r="E32" t="inlineStr">
        <is>
          <t>Q3 2025</t>
        </is>
      </c>
      <c r="F32" t="inlineStr">
        <is>
          <t>LEASING UP</t>
        </is>
      </c>
      <c r="G32" s="47" t="n">
        <v>0.810458</v>
      </c>
      <c r="H32" s="47" t="n">
        <v>0.856</v>
      </c>
      <c r="I32" s="42" t="n">
        <v>1913</v>
      </c>
      <c r="J32" s="42" t="n">
        <v>1538</v>
      </c>
      <c r="K32" t="inlineStr">
        <is>
          <t>CoStar+RealPage</t>
        </is>
      </c>
      <c r="L32" t="inlineStr">
        <is>
          <t>Delivery quarter estimated; Occ: CoStar 81% vs RealPage 86%; Rent: CoStar ask $1,913 vs RealPage eff $1,538; Verify rent/occ w/ HelloData</t>
        </is>
      </c>
    </row>
    <row r="33">
      <c r="A33" t="inlineStr">
        <is>
          <t>Avalon Townhomes</t>
        </is>
      </c>
      <c r="B33" t="inlineStr">
        <is>
          <t>13025 W Thomas Rd</t>
        </is>
      </c>
      <c r="C33" t="n">
        <v>70</v>
      </c>
      <c r="D33" t="n">
        <v>2025</v>
      </c>
      <c r="E33" t="inlineStr">
        <is>
          <t>Q3 2025</t>
        </is>
      </c>
      <c r="F33" t="inlineStr">
        <is>
          <t>LEASING UP</t>
        </is>
      </c>
      <c r="G33" s="47" t="n">
        <v>0.857143</v>
      </c>
      <c r="H33" s="47" t="n">
        <v>0.857</v>
      </c>
      <c r="I33" s="42" t="n">
        <v>2325</v>
      </c>
      <c r="J33" s="42" t="n">
        <v>2169</v>
      </c>
      <c r="K33" t="inlineStr">
        <is>
          <t>CoStar+RealPage</t>
        </is>
      </c>
      <c r="L33" t="inlineStr">
        <is>
          <t>Delivery quarter estimated; Rent: CoStar ask $2,325 vs RealPage eff $2,169; Verify rent/occ w/ HelloData</t>
        </is>
      </c>
    </row>
    <row r="34">
      <c r="A34" t="inlineStr">
        <is>
          <t>Villas on Van Buren</t>
        </is>
      </c>
      <c r="B34" t="inlineStr">
        <is>
          <t>9835 W Van Buren St</t>
        </is>
      </c>
      <c r="C34" t="n">
        <v>143</v>
      </c>
      <c r="D34" t="n">
        <v>2025</v>
      </c>
      <c r="E34" t="inlineStr">
        <is>
          <t>Q3 2025</t>
        </is>
      </c>
      <c r="F34" t="inlineStr">
        <is>
          <t>LEASING UP</t>
        </is>
      </c>
      <c r="G34" s="47" t="n">
        <v>0.496503</v>
      </c>
      <c r="H34" s="47" t="n">
        <v>0</v>
      </c>
      <c r="I34" s="42" t="n">
        <v>2085</v>
      </c>
      <c r="J34" s="42" t="n">
        <v>2095</v>
      </c>
      <c r="K34" t="inlineStr">
        <is>
          <t>CoStar+RealPage</t>
        </is>
      </c>
      <c r="L34" t="inlineStr">
        <is>
          <t>Year built: 2025/2026; Delivery quarter estimated; Occ: CoStar 50% vs RealPage 0%; Verify rent/occ w/ HelloData</t>
        </is>
      </c>
    </row>
    <row r="35">
      <c r="A35" t="inlineStr">
        <is>
          <t>Agave Ranch</t>
        </is>
      </c>
      <c r="B35" t="inlineStr">
        <is>
          <t>10060 W Desert Blvd</t>
        </is>
      </c>
      <c r="C35" t="n">
        <v>324</v>
      </c>
      <c r="D35" t="n">
        <v>2025</v>
      </c>
      <c r="E35" t="inlineStr">
        <is>
          <t>Q2 2025</t>
        </is>
      </c>
      <c r="F35" t="inlineStr">
        <is>
          <t>LEASING UP</t>
        </is>
      </c>
      <c r="G35" s="47" t="n">
        <v>0.802469</v>
      </c>
      <c r="H35" s="47" t="n">
        <v>0</v>
      </c>
      <c r="I35" s="42" t="n">
        <v>1747</v>
      </c>
      <c r="J35" s="42" t="n">
        <v>1582</v>
      </c>
      <c r="K35" t="inlineStr">
        <is>
          <t>CoStar+RealPage</t>
        </is>
      </c>
      <c r="L35" t="inlineStr">
        <is>
          <t>Delivery quarter estimated; Occ: CoStar 80% vs RealPage 0%; Rent: CoStar ask $1,747 vs RealPage eff $1,582; Verify rent/occ w/ HelloData</t>
        </is>
      </c>
    </row>
    <row r="36">
      <c r="A36" t="inlineStr">
        <is>
          <t>Alta Goodyear</t>
        </is>
      </c>
      <c r="B36" t="inlineStr">
        <is>
          <t>14965 W Encanto Blvd</t>
        </is>
      </c>
      <c r="C36" t="n">
        <v>342</v>
      </c>
      <c r="D36" t="n">
        <v>2025</v>
      </c>
      <c r="E36" t="inlineStr">
        <is>
          <t>Q2 2025</t>
        </is>
      </c>
      <c r="F36" t="inlineStr">
        <is>
          <t>LEASING UP</t>
        </is>
      </c>
      <c r="G36" s="47" t="n">
        <v>0.789474</v>
      </c>
      <c r="H36" s="47" t="n">
        <v>0.784</v>
      </c>
      <c r="I36" s="42" t="n">
        <v>1638</v>
      </c>
      <c r="J36" s="42" t="n">
        <v>1433</v>
      </c>
      <c r="K36" t="inlineStr">
        <is>
          <t>CoStar+RealPage</t>
        </is>
      </c>
      <c r="L36" t="inlineStr">
        <is>
          <t>Delivery quarter estimated; Rent: CoStar ask $1,638 vs RealPage eff $1,433; Verify rent/occ w/ HelloData</t>
        </is>
      </c>
    </row>
    <row r="37">
      <c r="A37" t="inlineStr">
        <is>
          <t>Village at Skyline Ranch</t>
        </is>
      </c>
      <c r="B37" t="inlineStr">
        <is>
          <t>13215 W Glendale Ave</t>
        </is>
      </c>
      <c r="C37" t="n">
        <v>167</v>
      </c>
      <c r="D37" t="n">
        <v>2025</v>
      </c>
      <c r="E37" t="inlineStr">
        <is>
          <t>Q2 2025</t>
        </is>
      </c>
      <c r="F37" t="inlineStr">
        <is>
          <t>LEASING UP</t>
        </is>
      </c>
      <c r="G37" s="47" t="n">
        <v>0.3952100000000001</v>
      </c>
      <c r="H37" s="47" t="n">
        <v>0</v>
      </c>
      <c r="I37" s="42" t="n">
        <v>1773</v>
      </c>
      <c r="J37" s="42" t="n">
        <v>1632</v>
      </c>
      <c r="K37" t="inlineStr">
        <is>
          <t>CoStar+RealPage</t>
        </is>
      </c>
      <c r="L37" t="inlineStr">
        <is>
          <t>Year built: 2025/2026; Delivery quarter estimated; Occ: CoStar 40% vs RealPage 0%; Rent: CoStar ask $1,773 vs RealPage eff $1,632; Verify rent/occ w/ HelloData</t>
        </is>
      </c>
    </row>
    <row r="38">
      <c r="A38" t="inlineStr">
        <is>
          <t>Avondale Commons</t>
        </is>
      </c>
      <c r="B38" t="inlineStr">
        <is>
          <t>11650 W McDowell Rd</t>
        </is>
      </c>
      <c r="C38" t="n">
        <v>324</v>
      </c>
      <c r="D38" t="n">
        <v>2025</v>
      </c>
      <c r="E38" t="inlineStr">
        <is>
          <t>Q2 2025</t>
        </is>
      </c>
      <c r="F38" t="inlineStr">
        <is>
          <t>LEASING UP</t>
        </is>
      </c>
      <c r="G38" s="47" t="n">
        <v>0.37037</v>
      </c>
      <c r="H38" s="47" t="n">
        <v>0.852</v>
      </c>
      <c r="I38" s="42" t="n">
        <v>1632</v>
      </c>
      <c r="J38" s="42" t="n">
        <v>1321</v>
      </c>
      <c r="K38" t="inlineStr">
        <is>
          <t>CoStar+RealPage</t>
        </is>
      </c>
      <c r="L38" t="inlineStr">
        <is>
          <t>Year built: 2025/2026; Delivery quarter estimated; Occ: CoStar 37% vs RealPage 85%; Rent: CoStar ask $1,632 vs RealPage eff $1,321; Verify rent/occ w/ HelloData</t>
        </is>
      </c>
    </row>
    <row r="39">
      <c r="A39" t="inlineStr">
        <is>
          <t>Cabana Aldea</t>
        </is>
      </c>
      <c r="B39" t="inlineStr">
        <is>
          <t>9910 W Montebello Ave</t>
        </is>
      </c>
      <c r="C39" t="n">
        <v>257</v>
      </c>
      <c r="D39" t="n">
        <v>2025</v>
      </c>
      <c r="E39" t="inlineStr">
        <is>
          <t>Q2 2025</t>
        </is>
      </c>
      <c r="F39" t="inlineStr">
        <is>
          <t>LEASING UP</t>
        </is>
      </c>
      <c r="G39" s="47" t="n">
        <v>0.7393000000000001</v>
      </c>
      <c r="H39" s="47" t="n">
        <v>0.673</v>
      </c>
      <c r="I39" s="42" t="n">
        <v>1330</v>
      </c>
      <c r="J39" s="42" t="n">
        <v>1253</v>
      </c>
      <c r="K39" t="inlineStr">
        <is>
          <t>CoStar+RealPage</t>
        </is>
      </c>
      <c r="L39" t="inlineStr">
        <is>
          <t>Delivery quarter estimated; Occ: CoStar 74% vs RealPage 67%; Rent: CoStar ask $1,330 vs RealPage eff $1,253; Verify rent/occ w/ HelloData</t>
        </is>
      </c>
    </row>
    <row r="40">
      <c r="A40" t="inlineStr">
        <is>
          <t>The Douglas</t>
        </is>
      </c>
      <c r="B40" t="inlineStr">
        <is>
          <t>14935 W Van Buren St</t>
        </is>
      </c>
      <c r="C40" t="n">
        <v>307</v>
      </c>
      <c r="D40" t="n">
        <v>2025</v>
      </c>
      <c r="E40" t="inlineStr">
        <is>
          <t>Q2 2025</t>
        </is>
      </c>
      <c r="F40" t="inlineStr">
        <is>
          <t>LEASING UP</t>
        </is>
      </c>
      <c r="G40" s="47" t="n">
        <v>0.583062</v>
      </c>
      <c r="H40" s="47" t="n">
        <v>0.59</v>
      </c>
      <c r="I40" s="42" t="n">
        <v>2076</v>
      </c>
      <c r="J40" s="42" t="n">
        <v>1561</v>
      </c>
      <c r="K40" t="inlineStr">
        <is>
          <t>CoStar+RealPage</t>
        </is>
      </c>
      <c r="L40" t="inlineStr">
        <is>
          <t>Delivery quarter estimated; Rent: CoStar ask $2,076 vs RealPage eff $1,561; Verify rent/occ w/ HelloData</t>
        </is>
      </c>
    </row>
    <row r="41">
      <c r="A41" t="inlineStr">
        <is>
          <t>Broadstone Westgate</t>
        </is>
      </c>
      <c r="B41" t="inlineStr">
        <is>
          <t>6851 N 93RD Ave</t>
        </is>
      </c>
      <c r="C41" t="n">
        <v>308</v>
      </c>
      <c r="D41" t="n">
        <v>2025</v>
      </c>
      <c r="E41" t="inlineStr">
        <is>
          <t>Q2 2025</t>
        </is>
      </c>
      <c r="F41" t="inlineStr">
        <is>
          <t>LEASING UP</t>
        </is>
      </c>
      <c r="G41" s="47" t="n"/>
      <c r="H41" s="47" t="n">
        <v>0.89</v>
      </c>
      <c r="I41" s="42" t="n"/>
      <c r="J41" s="42" t="n">
        <v>1438</v>
      </c>
      <c r="K41" t="inlineStr">
        <is>
          <t>RealPage</t>
        </is>
      </c>
      <c r="L41" t="inlineStr">
        <is>
          <t>Delivery quarter estimated; Verify rent/occ w/ HelloData</t>
        </is>
      </c>
    </row>
    <row r="42">
      <c r="A42" t="inlineStr">
        <is>
          <t>Somerset Upscale Apartments</t>
        </is>
      </c>
      <c r="B42" t="inlineStr">
        <is>
          <t>7811 N 99th Ave</t>
        </is>
      </c>
      <c r="C42" t="n">
        <v>234</v>
      </c>
      <c r="D42" t="n">
        <v>2025</v>
      </c>
      <c r="E42" t="inlineStr">
        <is>
          <t>Q2 2025</t>
        </is>
      </c>
      <c r="F42" t="inlineStr">
        <is>
          <t>LEASING UP</t>
        </is>
      </c>
      <c r="G42" s="47" t="n"/>
      <c r="H42" s="47" t="n">
        <v>0.256</v>
      </c>
      <c r="I42" s="42" t="n"/>
      <c r="J42" s="42" t="n">
        <v>1671</v>
      </c>
      <c r="K42" t="inlineStr">
        <is>
          <t>RealPage</t>
        </is>
      </c>
      <c r="L42" t="inlineStr">
        <is>
          <t>Delivery quarter estimated; Verify rent/occ w/ HelloData</t>
        </is>
      </c>
    </row>
    <row r="43">
      <c r="A43" t="inlineStr">
        <is>
          <t>Streamliner Aldea</t>
        </is>
      </c>
      <c r="B43" t="inlineStr">
        <is>
          <t>5900 N 99th Ave</t>
        </is>
      </c>
      <c r="C43" t="n">
        <v>282</v>
      </c>
      <c r="D43" t="n">
        <v>2025</v>
      </c>
      <c r="E43" t="inlineStr">
        <is>
          <t>Q2 2025</t>
        </is>
      </c>
      <c r="F43" t="inlineStr">
        <is>
          <t>LEASING UP</t>
        </is>
      </c>
      <c r="G43" s="47" t="n"/>
      <c r="H43" s="47" t="n">
        <v>0.844</v>
      </c>
      <c r="I43" s="42" t="n"/>
      <c r="J43" s="42" t="n">
        <v>1025</v>
      </c>
      <c r="K43" t="inlineStr">
        <is>
          <t>RealPage</t>
        </is>
      </c>
      <c r="L43" t="inlineStr">
        <is>
          <t>Delivery quarter estimated; Verify rent/occ w/ HelloData</t>
        </is>
      </c>
    </row>
    <row r="44">
      <c r="A44" t="inlineStr">
        <is>
          <t>Meritum Sheely Farms</t>
        </is>
      </c>
      <c r="B44" t="inlineStr">
        <is>
          <t>2121 N 99th Ave</t>
        </is>
      </c>
      <c r="C44" t="n">
        <v>680</v>
      </c>
      <c r="D44" t="n">
        <v>2024</v>
      </c>
      <c r="E44" t="inlineStr">
        <is>
          <t>Q4 2024</t>
        </is>
      </c>
      <c r="F44" t="inlineStr">
        <is>
          <t>LEASING UP</t>
        </is>
      </c>
      <c r="G44" s="47" t="n">
        <v>0.797059</v>
      </c>
      <c r="H44" s="47" t="n">
        <v>0.8080000000000001</v>
      </c>
      <c r="I44" s="42" t="n">
        <v>1680</v>
      </c>
      <c r="J44" s="42" t="n">
        <v>1356</v>
      </c>
      <c r="K44" t="inlineStr">
        <is>
          <t>CoStar+RealPage</t>
        </is>
      </c>
      <c r="L44" t="inlineStr">
        <is>
          <t>Year built: 2024/2025; Delivery quarter estimated; Rent: CoStar ask $1,680 vs RealPage eff $1,356; Verify rent/occ w/ HelloData</t>
        </is>
      </c>
    </row>
    <row r="45">
      <c r="A45" t="inlineStr">
        <is>
          <t>Moderne at Roosevelt</t>
        </is>
      </c>
      <c r="B45" t="inlineStr">
        <is>
          <t>805 N 97th Ave</t>
        </is>
      </c>
      <c r="C45" t="n">
        <v>185</v>
      </c>
      <c r="D45" t="n">
        <v>2024</v>
      </c>
      <c r="E45" t="inlineStr">
        <is>
          <t>Q2 2024</t>
        </is>
      </c>
      <c r="F45" t="inlineStr">
        <is>
          <t>LEASING UP</t>
        </is>
      </c>
      <c r="G45" s="47" t="n">
        <v>0.891892</v>
      </c>
      <c r="H45" s="47" t="n">
        <v>0.9350000000000001</v>
      </c>
      <c r="I45" s="42" t="n">
        <v>1900</v>
      </c>
      <c r="J45" s="42" t="n">
        <v>1769</v>
      </c>
      <c r="K45" t="inlineStr">
        <is>
          <t>CoStar+RealPage</t>
        </is>
      </c>
      <c r="L45" t="inlineStr">
        <is>
          <t>Year built: 2024/2025; Occ: CoStar 89% vs RealPage 94%; Rent: CoStar ask $1,900 vs RealPage eff $1,769; Verify rent/occ w/ HelloData</t>
        </is>
      </c>
    </row>
    <row r="46">
      <c r="A46" t="inlineStr">
        <is>
          <t>Canopy at the Trails</t>
        </is>
      </c>
      <c r="B46" t="inlineStr">
        <is>
          <t>4141 N 104th Dr</t>
        </is>
      </c>
      <c r="C46" t="n">
        <v>124</v>
      </c>
      <c r="D46" t="n">
        <v>2024</v>
      </c>
      <c r="E46" t="inlineStr">
        <is>
          <t>Q2 2024</t>
        </is>
      </c>
      <c r="F46" t="inlineStr">
        <is>
          <t>LEASING UP</t>
        </is>
      </c>
      <c r="G46" s="47" t="n">
        <v>0.879032</v>
      </c>
      <c r="H46" s="47" t="n">
        <v>0.919</v>
      </c>
      <c r="I46" s="42" t="n">
        <v>2183</v>
      </c>
      <c r="J46" s="42" t="n">
        <v>2093</v>
      </c>
      <c r="K46" t="inlineStr">
        <is>
          <t>CoStar+RealPage</t>
        </is>
      </c>
      <c r="L46" t="inlineStr">
        <is>
          <t>Delivery quarter estimated; Occ: CoStar 88% vs RealPage 92%; Verify rent/occ w/ HelloData</t>
        </is>
      </c>
    </row>
    <row r="47">
      <c r="A47" t="inlineStr">
        <is>
          <t>Cardinal 95</t>
        </is>
      </c>
      <c r="B47" t="inlineStr">
        <is>
          <t>9600 W Georgia Ave</t>
        </is>
      </c>
      <c r="C47" t="n">
        <v>198</v>
      </c>
      <c r="D47" t="n">
        <v>2024</v>
      </c>
      <c r="E47" t="inlineStr">
        <is>
          <t>Q2 2024</t>
        </is>
      </c>
      <c r="F47" t="inlineStr">
        <is>
          <t>LEASING UP</t>
        </is>
      </c>
      <c r="G47" s="47" t="n">
        <v>0.878788</v>
      </c>
      <c r="H47" s="47" t="n">
        <v>0.889</v>
      </c>
      <c r="I47" s="42" t="n">
        <v>1691</v>
      </c>
      <c r="J47" s="42" t="n">
        <v>1646</v>
      </c>
      <c r="K47" t="inlineStr">
        <is>
          <t>CoStar+RealPage</t>
        </is>
      </c>
      <c r="L47" t="inlineStr">
        <is>
          <t>Delivery quarter estimated; Verify rent/occ w/ HelloData</t>
        </is>
      </c>
    </row>
    <row r="48">
      <c r="A48" t="inlineStr">
        <is>
          <t>Livano Avondale</t>
        </is>
      </c>
      <c r="B48" t="inlineStr">
        <is>
          <t>11575 W Roosevelt St</t>
        </is>
      </c>
      <c r="C48" t="n">
        <v>316</v>
      </c>
      <c r="D48" t="n">
        <v>2024</v>
      </c>
      <c r="E48" t="inlineStr">
        <is>
          <t>Q2 2024</t>
        </is>
      </c>
      <c r="F48" t="inlineStr">
        <is>
          <t>LEASING UP</t>
        </is>
      </c>
      <c r="G48" s="47" t="n">
        <v>0.829114</v>
      </c>
      <c r="H48" s="47" t="n">
        <v>0.842</v>
      </c>
      <c r="I48" s="42" t="n">
        <v>1663</v>
      </c>
      <c r="J48" s="42" t="n">
        <v>1263</v>
      </c>
      <c r="K48" t="inlineStr">
        <is>
          <t>CoStar+RealPage</t>
        </is>
      </c>
      <c r="L48" t="inlineStr">
        <is>
          <t>Year built: 2024/2025; Delivery quarter estimated; Rent: CoStar ask $1,663 vs RealPage eff $1,263; Verify rent/occ w/ HelloData</t>
        </is>
      </c>
    </row>
    <row r="49">
      <c r="A49" t="inlineStr">
        <is>
          <t>Alta Avondale</t>
        </is>
      </c>
      <c r="B49" t="inlineStr">
        <is>
          <t>11330 W Van Buren St</t>
        </is>
      </c>
      <c r="C49" t="n">
        <v>360</v>
      </c>
      <c r="D49" t="n">
        <v>2024</v>
      </c>
      <c r="E49" t="inlineStr">
        <is>
          <t>Q2 2024</t>
        </is>
      </c>
      <c r="F49" t="inlineStr">
        <is>
          <t>LEASING UP</t>
        </is>
      </c>
      <c r="G49" s="47" t="n">
        <v>0.7833330000000001</v>
      </c>
      <c r="H49" s="47" t="n">
        <v>0.836</v>
      </c>
      <c r="I49" s="42" t="n">
        <v>1610</v>
      </c>
      <c r="J49" s="42" t="n">
        <v>1339</v>
      </c>
      <c r="K49" t="inlineStr">
        <is>
          <t>CoStar+RealPage</t>
        </is>
      </c>
      <c r="L49" t="inlineStr">
        <is>
          <t>Year built: 2024/2025; Delivery quarter estimated; Occ: CoStar 78% vs RealPage 84%; Rent: CoStar ask $1,610 vs RealPage eff $1,339; Verify rent/occ w/ HelloData</t>
        </is>
      </c>
    </row>
    <row r="50">
      <c r="A50" t="inlineStr">
        <is>
          <t>Alta 99th</t>
        </is>
      </c>
      <c r="B50" t="inlineStr">
        <is>
          <t>4411 N 99th Ave</t>
        </is>
      </c>
      <c r="C50" t="n">
        <v>402</v>
      </c>
      <c r="D50" t="n">
        <v>2024</v>
      </c>
      <c r="E50" t="inlineStr">
        <is>
          <t>Q1 2024</t>
        </is>
      </c>
      <c r="F50" t="inlineStr">
        <is>
          <t>LEASING UP</t>
        </is>
      </c>
      <c r="G50" s="47" t="n">
        <v>0.855721</v>
      </c>
      <c r="H50" s="47" t="n">
        <v>0.901</v>
      </c>
      <c r="I50" s="42" t="n">
        <v>1542</v>
      </c>
      <c r="J50" s="42" t="n">
        <v>1154</v>
      </c>
      <c r="K50" t="inlineStr">
        <is>
          <t>CoStar+RealPage</t>
        </is>
      </c>
      <c r="L50" t="inlineStr">
        <is>
          <t>Delivery quarter estimated; Occ: CoStar 86% vs RealPage 90%; Rent: CoStar ask $1,542 vs RealPage eff $1,154; Verify rent/occ w/ HelloData</t>
        </is>
      </c>
    </row>
    <row r="51">
      <c r="A51" t="inlineStr">
        <is>
          <t>Radia Avondale Station</t>
        </is>
      </c>
      <c r="B51" t="inlineStr">
        <is>
          <t>9975 W Encanto Blvd</t>
        </is>
      </c>
      <c r="C51" t="n">
        <v>407</v>
      </c>
      <c r="D51" t="n">
        <v>2024</v>
      </c>
      <c r="E51" t="inlineStr">
        <is>
          <t>Q1 2024</t>
        </is>
      </c>
      <c r="F51" t="inlineStr">
        <is>
          <t>LEASING UP</t>
        </is>
      </c>
      <c r="G51" s="47" t="n">
        <v>0.616708</v>
      </c>
      <c r="H51" s="47" t="n">
        <v>0.514</v>
      </c>
      <c r="I51" s="42" t="n">
        <v>1743</v>
      </c>
      <c r="J51" s="42" t="n">
        <v>1676</v>
      </c>
      <c r="K51" t="inlineStr">
        <is>
          <t>CoStar+RealPage</t>
        </is>
      </c>
      <c r="L51" t="inlineStr">
        <is>
          <t>Units: CoStar 407 vs RealPage 212; Year built: 2024/2025; Delivery quarter estimated; Occ: CoStar 62% vs RealPage 51%; Verify rent/occ w/ HelloData</t>
        </is>
      </c>
    </row>
    <row r="52">
      <c r="A52" t="inlineStr">
        <is>
          <t>FUZE Ballpark</t>
        </is>
      </c>
      <c r="B52" t="inlineStr">
        <is>
          <t>6255 N Ball Park Blvd</t>
        </is>
      </c>
      <c r="C52" t="n">
        <v>321</v>
      </c>
      <c r="D52" t="n">
        <v>2026</v>
      </c>
      <c r="F52" t="inlineStr">
        <is>
          <t>UNDER CONSTRUCTION</t>
        </is>
      </c>
      <c r="G52" s="47" t="n"/>
      <c r="H52" s="47" t="n"/>
      <c r="I52" s="42" t="n"/>
      <c r="J52" s="42" t="n"/>
      <c r="K52" t="inlineStr">
        <is>
          <t>CoStar+RealPage</t>
        </is>
      </c>
      <c r="L52" t="inlineStr"/>
    </row>
    <row r="53">
      <c r="A53" t="inlineStr">
        <is>
          <t>Zen @ Angelina</t>
        </is>
      </c>
      <c r="B53" t="inlineStr">
        <is>
          <t>956 Castillo Dr S</t>
        </is>
      </c>
      <c r="C53" t="n">
        <v>130</v>
      </c>
      <c r="D53" t="n">
        <v>2027</v>
      </c>
      <c r="F53" t="inlineStr">
        <is>
          <t>UNDER CONSTRUCTION</t>
        </is>
      </c>
      <c r="G53" s="47" t="n"/>
      <c r="H53" s="47" t="n"/>
      <c r="I53" s="42" t="n"/>
      <c r="J53" s="42" t="n"/>
      <c r="K53" t="inlineStr">
        <is>
          <t>CoStar+RealPage</t>
        </is>
      </c>
      <c r="L53" t="inlineStr">
        <is>
          <t>Year built: 2027/2028</t>
        </is>
      </c>
    </row>
    <row r="54">
      <c r="A54" t="inlineStr">
        <is>
          <t>Yardly Algodon</t>
        </is>
      </c>
      <c r="B54" t="inlineStr">
        <is>
          <t>9225 W Indian School Rd</t>
        </is>
      </c>
      <c r="C54" t="n">
        <v>262</v>
      </c>
      <c r="D54" t="n">
        <v>2026</v>
      </c>
      <c r="F54" t="inlineStr">
        <is>
          <t>UNDER CONSTRUCTION</t>
        </is>
      </c>
      <c r="G54" s="47" t="n"/>
      <c r="H54" s="47" t="n"/>
      <c r="I54" s="42" t="n">
        <v>1781</v>
      </c>
      <c r="J54" s="42" t="n"/>
      <c r="K54" t="inlineStr">
        <is>
          <t>CoStar+RealPage</t>
        </is>
      </c>
      <c r="L54" t="inlineStr">
        <is>
          <t>Units: CoStar 262 vs RealPage 291; Year built: 2026/2027</t>
        </is>
      </c>
    </row>
    <row r="55">
      <c r="A55" t="inlineStr">
        <is>
          <t>HARMON Ascend</t>
        </is>
      </c>
      <c r="B55" t="inlineStr">
        <is>
          <t>12805 W Indian School Rd</t>
        </is>
      </c>
      <c r="C55" t="n">
        <v>125</v>
      </c>
      <c r="D55" t="n">
        <v>2026</v>
      </c>
      <c r="F55" t="inlineStr">
        <is>
          <t>UNDER CONSTRUCTION</t>
        </is>
      </c>
      <c r="G55" s="47" t="n"/>
      <c r="H55" s="47" t="n"/>
      <c r="I55" s="42" t="n">
        <v>2788</v>
      </c>
      <c r="J55" s="42" t="n"/>
      <c r="K55" t="inlineStr">
        <is>
          <t>CoStar+RealPage</t>
        </is>
      </c>
      <c r="L55" t="inlineStr"/>
    </row>
    <row r="56">
      <c r="A56" t="inlineStr">
        <is>
          <t>Cerro Vista</t>
        </is>
      </c>
      <c r="B56" t="inlineStr">
        <is>
          <t>12116 W Van Buren St</t>
        </is>
      </c>
      <c r="C56" t="n">
        <v>255</v>
      </c>
      <c r="D56" t="n">
        <v>2026</v>
      </c>
      <c r="F56" t="inlineStr">
        <is>
          <t>UNDER CONSTRUCTION</t>
        </is>
      </c>
      <c r="G56" s="47" t="n"/>
      <c r="H56" s="47" t="n"/>
      <c r="I56" s="42" t="n"/>
      <c r="J56" s="42" t="n"/>
      <c r="K56" t="inlineStr">
        <is>
          <t>CoStar</t>
        </is>
      </c>
      <c r="L56" t="inlineStr"/>
    </row>
    <row r="57">
      <c r="A57" t="inlineStr">
        <is>
          <t>Pointe Grand Estrella at Phoenix</t>
        </is>
      </c>
      <c r="B57" t="inlineStr">
        <is>
          <t>10649 W Buckeye Rd</t>
        </is>
      </c>
      <c r="C57" t="n">
        <v>288</v>
      </c>
      <c r="D57" t="n">
        <v>2026</v>
      </c>
      <c r="F57" t="inlineStr">
        <is>
          <t>UNDER CONSTRUCTION</t>
        </is>
      </c>
      <c r="G57" s="47" t="n"/>
      <c r="H57" s="47" t="n"/>
      <c r="I57" s="42" t="n">
        <v>1650</v>
      </c>
      <c r="J57" s="42" t="n"/>
      <c r="K57" t="inlineStr">
        <is>
          <t>CoStar+RealPage</t>
        </is>
      </c>
      <c r="L57" t="inlineStr">
        <is>
          <t>Year built: 2026/2027</t>
        </is>
      </c>
    </row>
    <row r="58">
      <c r="A58" t="inlineStr">
        <is>
          <t>Marbella Ranch East I</t>
        </is>
      </c>
      <c r="B58" t="inlineStr">
        <is>
          <t>7725 El Mirage Rd</t>
        </is>
      </c>
      <c r="C58" t="n">
        <v>144</v>
      </c>
      <c r="D58" t="n">
        <v>2027</v>
      </c>
      <c r="F58" t="inlineStr">
        <is>
          <t>UNDER CONSTRUCTION</t>
        </is>
      </c>
      <c r="G58" s="47" t="n"/>
      <c r="H58" s="47" t="n"/>
      <c r="I58" s="42" t="n"/>
      <c r="J58" s="42" t="n"/>
      <c r="K58" t="inlineStr">
        <is>
          <t>RealPage</t>
        </is>
      </c>
      <c r="L58" t="inlineStr"/>
    </row>
    <row r="59">
      <c r="A59" t="inlineStr">
        <is>
          <t>Villages at Northern</t>
        </is>
      </c>
      <c r="B59" t="inlineStr">
        <is>
          <t>7910 N 107th Ave</t>
        </is>
      </c>
      <c r="C59" t="n">
        <v>74</v>
      </c>
      <c r="D59" t="n">
        <v>2027</v>
      </c>
      <c r="F59" t="inlineStr">
        <is>
          <t>UNDER CONSTRUCTION</t>
        </is>
      </c>
      <c r="G59" s="47" t="n"/>
      <c r="H59" s="47" t="n"/>
      <c r="I59" s="42" t="n"/>
      <c r="J59" s="42" t="n"/>
      <c r="K59" t="inlineStr">
        <is>
          <t>RealPage</t>
        </is>
      </c>
      <c r="L59" t="inlineStr"/>
    </row>
    <row r="60">
      <c r="A60" t="inlineStr">
        <is>
          <t>Prosper 47</t>
        </is>
      </c>
      <c r="B60" t="inlineStr">
        <is>
          <t>13426 W Van Buren St</t>
        </is>
      </c>
      <c r="C60" t="n">
        <v>47</v>
      </c>
      <c r="D60" t="n">
        <v>2027</v>
      </c>
      <c r="F60" t="inlineStr">
        <is>
          <t>UNDER CONSTRUCTION</t>
        </is>
      </c>
      <c r="G60" s="47" t="n"/>
      <c r="H60" s="47" t="n"/>
      <c r="I60" s="42" t="n"/>
      <c r="J60" s="42" t="n"/>
      <c r="K60" t="inlineStr">
        <is>
          <t>RealPage</t>
        </is>
      </c>
      <c r="L60" t="inlineStr">
        <is>
          <t>RealPage only (sub-50 unit)</t>
        </is>
      </c>
    </row>
    <row r="61">
      <c r="A61" t="inlineStr">
        <is>
          <t>Zanjero III</t>
        </is>
      </c>
      <c r="B61" t="inlineStr">
        <is>
          <t>7151 N Zanjero Blvd</t>
        </is>
      </c>
      <c r="C61" t="n">
        <v>301</v>
      </c>
      <c r="D61" t="n">
        <v>2028</v>
      </c>
      <c r="F61" t="inlineStr">
        <is>
          <t>UNDER CONSTRUCTION</t>
        </is>
      </c>
      <c r="G61" s="47" t="n"/>
      <c r="H61" s="47" t="n"/>
      <c r="I61" s="42" t="n"/>
      <c r="J61" s="42" t="n"/>
      <c r="K61" t="inlineStr">
        <is>
          <t>RealPage</t>
        </is>
      </c>
      <c r="L61" t="inlineStr"/>
    </row>
    <row r="62">
      <c r="A62" t="inlineStr">
        <is>
          <t>Northern 107</t>
        </is>
      </c>
      <c r="B62" t="inlineStr">
        <is>
          <t>N 107th Ave</t>
        </is>
      </c>
      <c r="C62" t="n">
        <v>74</v>
      </c>
      <c r="F62" t="inlineStr">
        <is>
          <t>PROPOSED</t>
        </is>
      </c>
      <c r="G62" s="47" t="n"/>
      <c r="H62" s="47" t="n"/>
      <c r="I62" s="42" t="n"/>
      <c r="J62" s="42" t="n"/>
      <c r="K62" t="inlineStr">
        <is>
          <t>CoStar</t>
        </is>
      </c>
      <c r="L62" t="inlineStr"/>
    </row>
    <row r="63">
      <c r="A63" t="inlineStr">
        <is>
          <t>The Waverly</t>
        </is>
      </c>
      <c r="B63" t="inlineStr">
        <is>
          <t>391 S 99th Ave</t>
        </is>
      </c>
      <c r="C63" t="n">
        <v>323</v>
      </c>
      <c r="D63" t="n">
        <v>2028</v>
      </c>
      <c r="F63" t="inlineStr">
        <is>
          <t>PROPOSED</t>
        </is>
      </c>
      <c r="G63" s="47" t="n"/>
      <c r="H63" s="47" t="n"/>
      <c r="I63" s="42" t="n"/>
      <c r="J63" s="42" t="n"/>
      <c r="K63" t="inlineStr">
        <is>
          <t>CoStar+RealPage</t>
        </is>
      </c>
      <c r="L63" t="inlineStr"/>
    </row>
    <row r="64">
      <c r="A64" t="inlineStr">
        <is>
          <t>The Statler at Estrella Parkway</t>
        </is>
      </c>
      <c r="B64" t="inlineStr">
        <is>
          <t>240 N Estrella Pky</t>
        </is>
      </c>
      <c r="C64" t="n">
        <v>284</v>
      </c>
      <c r="F64" t="inlineStr">
        <is>
          <t>PROPOSED</t>
        </is>
      </c>
      <c r="G64" s="47" t="n"/>
      <c r="H64" s="47" t="n"/>
      <c r="I64" s="42" t="n"/>
      <c r="J64" s="42" t="n"/>
      <c r="K64" t="inlineStr">
        <is>
          <t>CoStar</t>
        </is>
      </c>
      <c r="L64" t="inlineStr"/>
    </row>
    <row r="65">
      <c r="A65" t="inlineStr">
        <is>
          <t>Encore Avondale</t>
        </is>
      </c>
      <c r="B65" t="inlineStr">
        <is>
          <t>11295 W Roosevelt St</t>
        </is>
      </c>
      <c r="C65" t="n">
        <v>300</v>
      </c>
      <c r="D65" t="n">
        <v>2027</v>
      </c>
      <c r="F65" t="inlineStr">
        <is>
          <t>PROPOSED</t>
        </is>
      </c>
      <c r="G65" s="47" t="n"/>
      <c r="H65" s="47" t="n"/>
      <c r="I65" s="42" t="n"/>
      <c r="J65" s="42" t="n"/>
      <c r="K65" t="inlineStr">
        <is>
          <t>CoStar+RealPage</t>
        </is>
      </c>
      <c r="L65" t="inlineStr"/>
    </row>
    <row r="66">
      <c r="A66" t="inlineStr">
        <is>
          <t>Ascent Goodyear</t>
        </is>
      </c>
      <c r="B66" t="inlineStr">
        <is>
          <t>15681 W Roosevelt St</t>
        </is>
      </c>
      <c r="C66" t="n">
        <v>113</v>
      </c>
      <c r="D66" t="n">
        <v>2027</v>
      </c>
      <c r="F66" t="inlineStr">
        <is>
          <t>PROPOSED</t>
        </is>
      </c>
      <c r="G66" s="47" t="n"/>
      <c r="H66" s="47" t="n"/>
      <c r="I66" s="42" t="n"/>
      <c r="J66" s="42" t="n"/>
      <c r="K66" t="inlineStr">
        <is>
          <t>CoStar</t>
        </is>
      </c>
      <c r="L66" t="inlineStr"/>
    </row>
    <row r="67">
      <c r="A67" t="inlineStr">
        <is>
          <t>District 99</t>
        </is>
      </c>
      <c r="B67" t="inlineStr">
        <is>
          <t>N 99th Ave &amp; W McDowell Rd</t>
        </is>
      </c>
      <c r="C67" t="n">
        <v>172</v>
      </c>
      <c r="F67" t="inlineStr">
        <is>
          <t>PROPOSED</t>
        </is>
      </c>
      <c r="G67" s="47" t="n"/>
      <c r="H67" s="47" t="n"/>
      <c r="I67" s="42" t="n"/>
      <c r="J67" s="42" t="n"/>
      <c r="K67" t="inlineStr">
        <is>
          <t>RealPage</t>
        </is>
      </c>
      <c r="L67" t="inlineStr">
        <is>
          <t>RealPage pipeline (not yet in CoStar)</t>
        </is>
      </c>
    </row>
    <row r="68">
      <c r="A68" t="inlineStr">
        <is>
          <t>Liv Avondale</t>
        </is>
      </c>
      <c r="B68" t="inlineStr">
        <is>
          <t>W Indian School Rd &amp; N 99th Ave</t>
        </is>
      </c>
      <c r="C68" t="n">
        <v>333</v>
      </c>
      <c r="F68" t="inlineStr">
        <is>
          <t>PROPOSED</t>
        </is>
      </c>
      <c r="G68" s="47" t="n"/>
      <c r="H68" s="47" t="n"/>
      <c r="I68" s="42" t="n"/>
      <c r="J68" s="42" t="n"/>
      <c r="K68" t="inlineStr">
        <is>
          <t>RealPage</t>
        </is>
      </c>
      <c r="L68" t="inlineStr">
        <is>
          <t>RealPage pipeline (not yet in CoStar)</t>
        </is>
      </c>
    </row>
    <row r="69">
      <c r="A69" t="inlineStr">
        <is>
          <t>Sanctuair at Centerscape</t>
        </is>
      </c>
      <c r="B69" t="inlineStr">
        <is>
          <t>1450 N 145th Ave</t>
        </is>
      </c>
      <c r="C69" t="n">
        <v>303</v>
      </c>
      <c r="F69" t="inlineStr">
        <is>
          <t>PROPOSED</t>
        </is>
      </c>
      <c r="G69" s="47" t="n"/>
      <c r="H69" s="47" t="n"/>
      <c r="I69" s="42" t="n"/>
      <c r="J69" s="42" t="n"/>
      <c r="K69" t="inlineStr">
        <is>
          <t>RealPage</t>
        </is>
      </c>
      <c r="L69" t="inlineStr">
        <is>
          <t>RealPage pipeline (not yet in CoStar)</t>
        </is>
      </c>
    </row>
    <row r="70">
      <c r="A70" t="inlineStr">
        <is>
          <t>Cornerstone at the Wigwam</t>
        </is>
      </c>
      <c r="B70" t="inlineStr">
        <is>
          <t>Litchfield Rd &amp; Wigwam Blvd</t>
        </is>
      </c>
      <c r="C70" t="n">
        <v>212</v>
      </c>
      <c r="F70" t="inlineStr">
        <is>
          <t>PROPOSED</t>
        </is>
      </c>
      <c r="G70" s="47" t="n"/>
      <c r="H70" s="47" t="n"/>
      <c r="I70" s="42" t="n"/>
      <c r="J70" s="42" t="n"/>
      <c r="K70" t="inlineStr">
        <is>
          <t>RealPage</t>
        </is>
      </c>
      <c r="L70" t="inlineStr">
        <is>
          <t>RealPage pipeline (not yet in CoStar)</t>
        </is>
      </c>
    </row>
    <row r="71">
      <c r="A71" t="inlineStr">
        <is>
          <t>The BLVD Residential District</t>
        </is>
      </c>
      <c r="B71" t="inlineStr">
        <is>
          <t>W Roosevelt St &amp; W Hilton Way</t>
        </is>
      </c>
      <c r="F71" t="inlineStr">
        <is>
          <t>PROPOSED</t>
        </is>
      </c>
      <c r="G71" s="47" t="n"/>
      <c r="H71" s="47" t="n"/>
      <c r="I71" s="42" t="n"/>
      <c r="J71" s="42" t="n"/>
      <c r="K71" t="inlineStr">
        <is>
          <t>RealPage</t>
        </is>
      </c>
      <c r="L71" t="inlineStr">
        <is>
          <t>RealPage pipeline (not yet in CoStar)</t>
        </is>
      </c>
    </row>
    <row r="72">
      <c r="A72" t="inlineStr">
        <is>
          <t>Crystal Cove</t>
        </is>
      </c>
      <c r="B72" t="inlineStr">
        <is>
          <t>290 E La Canada Blvd</t>
        </is>
      </c>
      <c r="C72" t="n">
        <v>260</v>
      </c>
      <c r="F72" t="inlineStr">
        <is>
          <t>PROPOSED</t>
        </is>
      </c>
      <c r="G72" s="47" t="n"/>
      <c r="H72" s="47" t="n"/>
      <c r="I72" s="42" t="n"/>
      <c r="J72" s="42" t="n"/>
      <c r="K72" t="inlineStr">
        <is>
          <t>RealPage</t>
        </is>
      </c>
      <c r="L72" t="inlineStr">
        <is>
          <t>RealPage pipeline (not yet in CoStar)</t>
        </is>
      </c>
    </row>
    <row r="73">
      <c r="A73" t="inlineStr">
        <is>
          <t>The BLVD Park Avenue District</t>
        </is>
      </c>
      <c r="B73" t="inlineStr">
        <is>
          <t>N Avondale Blvd &amp; W Van Buren St</t>
        </is>
      </c>
      <c r="F73" t="inlineStr">
        <is>
          <t>PROPOSED</t>
        </is>
      </c>
      <c r="G73" s="47" t="n"/>
      <c r="H73" s="47" t="n"/>
      <c r="I73" s="42" t="n"/>
      <c r="J73" s="42" t="n"/>
      <c r="K73" t="inlineStr">
        <is>
          <t>RealPage</t>
        </is>
      </c>
      <c r="L73" t="inlineStr">
        <is>
          <t>RealPage pipeline (not yet in CoStar)</t>
        </is>
      </c>
    </row>
    <row r="74">
      <c r="A74" t="inlineStr">
        <is>
          <t>Western Garden II</t>
        </is>
      </c>
      <c r="B74" t="inlineStr">
        <is>
          <t>3301 N 99th Ave</t>
        </is>
      </c>
      <c r="C74" t="n">
        <v>314</v>
      </c>
      <c r="F74" t="inlineStr">
        <is>
          <t>PROPOSED</t>
        </is>
      </c>
      <c r="G74" s="47" t="n"/>
      <c r="H74" s="47" t="n"/>
      <c r="I74" s="42" t="n"/>
      <c r="J74" s="42" t="n"/>
      <c r="K74" t="inlineStr">
        <is>
          <t>RealPage</t>
        </is>
      </c>
      <c r="L74" t="inlineStr">
        <is>
          <t>RealPage pipeline (not yet in CoStar)</t>
        </is>
      </c>
    </row>
    <row r="75">
      <c r="A75" t="inlineStr">
        <is>
          <t>Tavalo at Avondale</t>
        </is>
      </c>
      <c r="B75" t="inlineStr">
        <is>
          <t>12451 W Buckeye Rd</t>
        </is>
      </c>
      <c r="C75" t="n">
        <v>266</v>
      </c>
      <c r="F75" t="inlineStr">
        <is>
          <t>PROPOSED</t>
        </is>
      </c>
      <c r="G75" s="47" t="n"/>
      <c r="H75" s="47" t="n"/>
      <c r="I75" s="42" t="n"/>
      <c r="J75" s="42" t="n"/>
      <c r="K75" t="inlineStr">
        <is>
          <t>RealPage</t>
        </is>
      </c>
      <c r="L75" t="inlineStr">
        <is>
          <t>RealPage pipeline (not yet in CoStar)</t>
        </is>
      </c>
    </row>
    <row r="76">
      <c r="A76" t="inlineStr">
        <is>
          <t>Globe Land Investors Development</t>
        </is>
      </c>
      <c r="B76" t="inlineStr">
        <is>
          <t>N Bullard Ave &amp; W McDowell Rd</t>
        </is>
      </c>
      <c r="F76" t="inlineStr">
        <is>
          <t>PROPOSED</t>
        </is>
      </c>
      <c r="G76" s="47" t="n"/>
      <c r="H76" s="47" t="n"/>
      <c r="I76" s="42" t="n"/>
      <c r="J76" s="42" t="n"/>
      <c r="K76" t="inlineStr">
        <is>
          <t>RealPage</t>
        </is>
      </c>
      <c r="L76" t="inlineStr">
        <is>
          <t>RealPage pipeline (not yet in CoStar)</t>
        </is>
      </c>
    </row>
    <row r="77">
      <c r="A77" t="inlineStr">
        <is>
          <t>Ball Park</t>
        </is>
      </c>
      <c r="B77" t="inlineStr">
        <is>
          <t>6450 N 99th Ave</t>
        </is>
      </c>
      <c r="F77" t="inlineStr">
        <is>
          <t>PROPOSED</t>
        </is>
      </c>
      <c r="G77" s="47" t="n"/>
      <c r="H77" s="47" t="n"/>
      <c r="I77" s="42" t="n"/>
      <c r="J77" s="42" t="n"/>
      <c r="K77" t="inlineStr">
        <is>
          <t>RealPage</t>
        </is>
      </c>
      <c r="L77" t="inlineStr">
        <is>
          <t>RealPage pipeline (not yet in CoStar)</t>
        </is>
      </c>
    </row>
    <row r="78">
      <c r="A78" t="inlineStr">
        <is>
          <t>Urban 95 Parcel B</t>
        </is>
      </c>
      <c r="B78" t="inlineStr">
        <is>
          <t>N 95th Ave &amp; W Georgia Ave</t>
        </is>
      </c>
      <c r="C78" t="n">
        <v>478</v>
      </c>
      <c r="F78" t="inlineStr">
        <is>
          <t>PROPOSED</t>
        </is>
      </c>
      <c r="G78" s="47" t="n"/>
      <c r="H78" s="47" t="n"/>
      <c r="I78" s="42" t="n"/>
      <c r="J78" s="42" t="n"/>
      <c r="K78" t="inlineStr">
        <is>
          <t>RealPage</t>
        </is>
      </c>
      <c r="L78" t="inlineStr">
        <is>
          <t>RealPage pipeline (not yet in CoStar)</t>
        </is>
      </c>
    </row>
    <row r="79">
      <c r="A79" t="inlineStr">
        <is>
          <t>The District at Westgate</t>
        </is>
      </c>
      <c r="B79" t="inlineStr">
        <is>
          <t>6801 N 91st Ave</t>
        </is>
      </c>
      <c r="C79" t="n">
        <v>384</v>
      </c>
      <c r="F79" t="inlineStr">
        <is>
          <t>PROPOSED</t>
        </is>
      </c>
      <c r="G79" s="47" t="n"/>
      <c r="H79" s="47" t="n"/>
      <c r="I79" s="42" t="n"/>
      <c r="J79" s="42" t="n"/>
      <c r="K79" t="inlineStr">
        <is>
          <t>RealPage</t>
        </is>
      </c>
      <c r="L79" t="inlineStr">
        <is>
          <t>RealPage pipeline (not yet in CoStar)</t>
        </is>
      </c>
    </row>
    <row r="80">
      <c r="A80" t="inlineStr">
        <is>
          <t>Vision 2 Parcel A</t>
        </is>
      </c>
      <c r="B80" t="inlineStr">
        <is>
          <t>W Glendale Ave &amp; N 99th Ave</t>
        </is>
      </c>
      <c r="F80" t="inlineStr">
        <is>
          <t>PROPOSED</t>
        </is>
      </c>
      <c r="G80" s="47" t="n"/>
      <c r="H80" s="47" t="n"/>
      <c r="I80" s="42" t="n"/>
      <c r="J80" s="42" t="n"/>
      <c r="K80" t="inlineStr">
        <is>
          <t>RealPage</t>
        </is>
      </c>
      <c r="L80" t="inlineStr">
        <is>
          <t>RealPage pipeline (not yet in CoStar)</t>
        </is>
      </c>
    </row>
    <row r="81">
      <c r="A81" t="inlineStr">
        <is>
          <t>Anton Glendale</t>
        </is>
      </c>
      <c r="B81" t="inlineStr">
        <is>
          <t>5149 &amp; 5205 N 99th Ave</t>
        </is>
      </c>
      <c r="C81" t="n">
        <v>320</v>
      </c>
      <c r="F81" t="inlineStr">
        <is>
          <t>PROPOSED</t>
        </is>
      </c>
      <c r="G81" s="47" t="n"/>
      <c r="H81" s="47" t="n"/>
      <c r="I81" s="42" t="n"/>
      <c r="J81" s="42" t="n"/>
      <c r="K81" t="inlineStr">
        <is>
          <t>RealPage</t>
        </is>
      </c>
      <c r="L81" t="inlineStr">
        <is>
          <t>RealPage pipeline (not yet in CoStar)</t>
        </is>
      </c>
    </row>
    <row r="82">
      <c r="A82" t="inlineStr">
        <is>
          <t>Banyan Avondale</t>
        </is>
      </c>
      <c r="B82" t="inlineStr">
        <is>
          <t>Dysart Rd &amp; E Madison St</t>
        </is>
      </c>
      <c r="C82" t="n">
        <v>296</v>
      </c>
      <c r="F82" t="inlineStr">
        <is>
          <t>PROPOSED</t>
        </is>
      </c>
      <c r="G82" s="47" t="n"/>
      <c r="H82" s="47" t="n"/>
      <c r="I82" s="42" t="n"/>
      <c r="J82" s="42" t="n"/>
      <c r="K82" t="inlineStr">
        <is>
          <t>RealPage</t>
        </is>
      </c>
      <c r="L82" t="inlineStr">
        <is>
          <t>RealPage pipeline (not yet in CoStar)</t>
        </is>
      </c>
    </row>
    <row r="83">
      <c r="A83" t="inlineStr">
        <is>
          <t>Celebration Plaza Parcel B</t>
        </is>
      </c>
      <c r="B83" t="inlineStr">
        <is>
          <t>844 Litchfield Rd</t>
        </is>
      </c>
      <c r="C83" t="n">
        <v>410</v>
      </c>
      <c r="F83" t="inlineStr">
        <is>
          <t>PROPOSED</t>
        </is>
      </c>
      <c r="G83" s="47" t="n"/>
      <c r="H83" s="47" t="n"/>
      <c r="I83" s="42" t="n"/>
      <c r="J83" s="42" t="n"/>
      <c r="K83" t="inlineStr">
        <is>
          <t>RealPage</t>
        </is>
      </c>
      <c r="L83" t="inlineStr">
        <is>
          <t>RealPage pipeline (not yet in CoStar)</t>
        </is>
      </c>
    </row>
    <row r="84">
      <c r="A84" t="inlineStr">
        <is>
          <t>Urban 95 Parcel A</t>
        </is>
      </c>
      <c r="B84" t="inlineStr">
        <is>
          <t>W Georgia Ave &amp; N 95th Ave</t>
        </is>
      </c>
      <c r="C84" t="n">
        <v>324</v>
      </c>
      <c r="F84" t="inlineStr">
        <is>
          <t>PROPOSED</t>
        </is>
      </c>
      <c r="G84" s="47" t="n"/>
      <c r="H84" s="47" t="n"/>
      <c r="I84" s="42" t="n"/>
      <c r="J84" s="42" t="n"/>
      <c r="K84" t="inlineStr">
        <is>
          <t>RealPage</t>
        </is>
      </c>
      <c r="L84" t="inlineStr">
        <is>
          <t>RealPage pipeline (not yet in CoStar)</t>
        </is>
      </c>
    </row>
    <row r="85">
      <c r="A85" t="inlineStr">
        <is>
          <t>Urban 95 Parcel C</t>
        </is>
      </c>
      <c r="B85" t="inlineStr">
        <is>
          <t>W Georgia Ave &amp; N 95th Ave</t>
        </is>
      </c>
      <c r="C85" t="n">
        <v>500</v>
      </c>
      <c r="F85" t="inlineStr">
        <is>
          <t>PROPOSED</t>
        </is>
      </c>
      <c r="G85" s="47" t="n"/>
      <c r="H85" s="47" t="n"/>
      <c r="I85" s="42" t="n"/>
      <c r="J85" s="42" t="n"/>
      <c r="K85" t="inlineStr">
        <is>
          <t>RealPage</t>
        </is>
      </c>
      <c r="L85" t="inlineStr">
        <is>
          <t>RealPage pipeline (not yet in CoStar)</t>
        </is>
      </c>
    </row>
    <row r="86">
      <c r="A86" t="inlineStr">
        <is>
          <t>Firststreet Verde</t>
        </is>
      </c>
      <c r="B86" t="inlineStr">
        <is>
          <t>9275 W Van Buren St</t>
        </is>
      </c>
      <c r="F86" t="inlineStr">
        <is>
          <t>PROPOSED</t>
        </is>
      </c>
      <c r="G86" s="47" t="n"/>
      <c r="H86" s="47" t="n"/>
      <c r="I86" s="42" t="n"/>
      <c r="J86" s="42" t="n"/>
      <c r="K86" t="inlineStr">
        <is>
          <t>RealPage</t>
        </is>
      </c>
      <c r="L86" t="inlineStr">
        <is>
          <t>RealPage pipeline (not yet in CoStar)</t>
        </is>
      </c>
    </row>
    <row r="87">
      <c r="A87" t="inlineStr">
        <is>
          <t>Radia Avondale Station III</t>
        </is>
      </c>
      <c r="B87" t="inlineStr">
        <is>
          <t>W Encanto Blvd &amp; N 99th Ave</t>
        </is>
      </c>
      <c r="C87" t="n">
        <v>212</v>
      </c>
      <c r="F87" t="inlineStr">
        <is>
          <t>PROPOSED</t>
        </is>
      </c>
      <c r="G87" s="47" t="n"/>
      <c r="H87" s="47" t="n"/>
      <c r="I87" s="42" t="n"/>
      <c r="J87" s="42" t="n"/>
      <c r="K87" t="inlineStr">
        <is>
          <t>RealPage</t>
        </is>
      </c>
      <c r="L87" t="inlineStr">
        <is>
          <t>RealPage pipeline (not yet in CoStar)</t>
        </is>
      </c>
    </row>
    <row r="88">
      <c r="A88" t="inlineStr">
        <is>
          <t>Rosilian Villas</t>
        </is>
      </c>
      <c r="B88" t="inlineStr">
        <is>
          <t>N Dysart Rd &amp; E Van Buren St</t>
        </is>
      </c>
      <c r="C88" t="n">
        <v>291</v>
      </c>
      <c r="F88" t="inlineStr">
        <is>
          <t>PROPOSED</t>
        </is>
      </c>
      <c r="G88" s="47" t="n"/>
      <c r="H88" s="47" t="n"/>
      <c r="I88" s="42" t="n"/>
      <c r="J88" s="42" t="n"/>
      <c r="K88" t="inlineStr">
        <is>
          <t>RealPage</t>
        </is>
      </c>
      <c r="L88" t="inlineStr">
        <is>
          <t>RealPage pipeline (not yet in CoStar)</t>
        </is>
      </c>
    </row>
    <row r="89">
      <c r="A89" t="inlineStr">
        <is>
          <t>Goodyear Civic Square at Estrella Falls</t>
        </is>
      </c>
      <c r="B89" t="inlineStr">
        <is>
          <t>W Monte Vista &amp; N 150th Dr</t>
        </is>
      </c>
      <c r="F89" t="inlineStr">
        <is>
          <t>PROPOSED</t>
        </is>
      </c>
      <c r="G89" s="47" t="n"/>
      <c r="H89" s="47" t="n"/>
      <c r="I89" s="42" t="n"/>
      <c r="J89" s="42" t="n"/>
      <c r="K89" t="inlineStr">
        <is>
          <t>RealPage</t>
        </is>
      </c>
      <c r="L89" t="inlineStr">
        <is>
          <t>RealPage pipeline (not yet in CoStar)</t>
        </is>
      </c>
    </row>
    <row r="90">
      <c r="A90" t="inlineStr">
        <is>
          <t>I-10 Innovation Center II</t>
        </is>
      </c>
      <c r="B90" t="inlineStr">
        <is>
          <t>N 91st Ave &amp; W Roosevelt St</t>
        </is>
      </c>
      <c r="F90" t="inlineStr">
        <is>
          <t>PROPOSED</t>
        </is>
      </c>
      <c r="G90" s="47" t="n"/>
      <c r="H90" s="47" t="n"/>
      <c r="I90" s="42" t="n"/>
      <c r="J90" s="42" t="n"/>
      <c r="K90" t="inlineStr">
        <is>
          <t>RealPage</t>
        </is>
      </c>
      <c r="L90" t="inlineStr">
        <is>
          <t>RealPage pipeline (not yet in CoStar)</t>
        </is>
      </c>
    </row>
    <row r="91">
      <c r="A91" t="inlineStr">
        <is>
          <t>Orion Avondale</t>
        </is>
      </c>
      <c r="B91" t="inlineStr">
        <is>
          <t>W McDowell Rd &amp; Avondale Blvd</t>
        </is>
      </c>
      <c r="C91" t="n">
        <v>268</v>
      </c>
      <c r="F91" t="inlineStr">
        <is>
          <t>PROPOSED</t>
        </is>
      </c>
      <c r="G91" s="47" t="n"/>
      <c r="H91" s="47" t="n"/>
      <c r="I91" s="42" t="n"/>
      <c r="J91" s="42" t="n"/>
      <c r="K91" t="inlineStr">
        <is>
          <t>RealPage</t>
        </is>
      </c>
      <c r="L91" t="inlineStr">
        <is>
          <t>RealPage pipeline (not yet in CoStar)</t>
        </is>
      </c>
    </row>
    <row r="92">
      <c r="A92" t="inlineStr">
        <is>
          <t>Celebration Plaza Parcel A</t>
        </is>
      </c>
      <c r="B92" t="inlineStr">
        <is>
          <t>Celebrate Life Way &amp; N Litchfield Rd</t>
        </is>
      </c>
      <c r="C92" t="n">
        <v>181</v>
      </c>
      <c r="F92" t="inlineStr">
        <is>
          <t>PROPOSED</t>
        </is>
      </c>
      <c r="G92" s="47" t="n"/>
      <c r="H92" s="47" t="n"/>
      <c r="I92" s="42" t="n"/>
      <c r="J92" s="42" t="n"/>
      <c r="K92" t="inlineStr">
        <is>
          <t>RealPage</t>
        </is>
      </c>
      <c r="L92" t="inlineStr">
        <is>
          <t>RealPage pipeline (not yet in CoStar)</t>
        </is>
      </c>
    </row>
    <row r="93">
      <c r="A93" t="inlineStr">
        <is>
          <t>Celebration Plaza Parcel D</t>
        </is>
      </c>
      <c r="B93" t="inlineStr">
        <is>
          <t>Celebrate Life Way &amp; N Litchfield Rd</t>
        </is>
      </c>
      <c r="F93" t="inlineStr">
        <is>
          <t>PROPOSED</t>
        </is>
      </c>
      <c r="G93" s="47" t="n"/>
      <c r="H93" s="47" t="n"/>
      <c r="I93" s="42" t="n"/>
      <c r="J93" s="42" t="n"/>
      <c r="K93" t="inlineStr">
        <is>
          <t>RealPage</t>
        </is>
      </c>
      <c r="L93" t="inlineStr">
        <is>
          <t>RealPage pipeline (not yet in CoStar)</t>
        </is>
      </c>
    </row>
    <row r="94">
      <c r="A94" t="inlineStr">
        <is>
          <t>Sheely Center Future Phase</t>
        </is>
      </c>
      <c r="B94" t="inlineStr">
        <is>
          <t>2215 N 99th Ave</t>
        </is>
      </c>
      <c r="C94" t="n">
        <v>697</v>
      </c>
      <c r="F94" t="inlineStr">
        <is>
          <t>PROPOSED</t>
        </is>
      </c>
      <c r="G94" s="47" t="n"/>
      <c r="H94" s="47" t="n"/>
      <c r="I94" s="42" t="n"/>
      <c r="J94" s="42" t="n"/>
      <c r="K94" t="inlineStr">
        <is>
          <t>RealPage</t>
        </is>
      </c>
      <c r="L94" t="inlineStr">
        <is>
          <t>RealPage pipeline (not yet in CoStar)</t>
        </is>
      </c>
    </row>
    <row r="95">
      <c r="A95" t="inlineStr">
        <is>
          <t>Porter Kyle Development</t>
        </is>
      </c>
      <c r="B95" t="inlineStr">
        <is>
          <t>W Camelback Rd &amp; S Denny Blvd</t>
        </is>
      </c>
      <c r="C95" t="n">
        <v>135</v>
      </c>
      <c r="F95" t="inlineStr">
        <is>
          <t>PROPOSED</t>
        </is>
      </c>
      <c r="G95" s="47" t="n"/>
      <c r="H95" s="47" t="n"/>
      <c r="I95" s="42" t="n"/>
      <c r="J95" s="42" t="n"/>
      <c r="K95" t="inlineStr">
        <is>
          <t>RealPage</t>
        </is>
      </c>
      <c r="L95" t="inlineStr">
        <is>
          <t>RealPage pipeline (not yet in CoStar)</t>
        </is>
      </c>
    </row>
    <row r="96">
      <c r="A96" t="inlineStr">
        <is>
          <t>McDowell Villas</t>
        </is>
      </c>
      <c r="B96" t="inlineStr">
        <is>
          <t>11791 W McDowell Rd</t>
        </is>
      </c>
      <c r="C96" t="n">
        <v>164</v>
      </c>
      <c r="F96" t="inlineStr">
        <is>
          <t>PROPOSED</t>
        </is>
      </c>
      <c r="G96" s="47" t="n"/>
      <c r="H96" s="47" t="n"/>
      <c r="I96" s="42" t="n"/>
      <c r="J96" s="42" t="n"/>
      <c r="K96" t="inlineStr">
        <is>
          <t>RealPage</t>
        </is>
      </c>
      <c r="L96" t="inlineStr">
        <is>
          <t>RealPage pipeline (not yet in CoStar)</t>
        </is>
      </c>
    </row>
    <row r="97">
      <c r="A97" t="inlineStr">
        <is>
          <t>SimonMed Development II</t>
        </is>
      </c>
      <c r="B97" t="inlineStr">
        <is>
          <t>W Glendale Ave &amp; N 99th Ave</t>
        </is>
      </c>
      <c r="F97" t="inlineStr">
        <is>
          <t>PROPOSED</t>
        </is>
      </c>
      <c r="G97" s="47" t="n"/>
      <c r="H97" s="47" t="n"/>
      <c r="I97" s="42" t="n"/>
      <c r="J97" s="42" t="n"/>
      <c r="K97" t="inlineStr">
        <is>
          <t>RealPage</t>
        </is>
      </c>
      <c r="L97" t="inlineStr">
        <is>
          <t>RealPage pipeline (not yet in CoStar)</t>
        </is>
      </c>
    </row>
    <row r="98">
      <c r="A98" t="inlineStr">
        <is>
          <t>182 South 95th Avenue</t>
        </is>
      </c>
      <c r="B98" t="inlineStr">
        <is>
          <t>182 S 95th Ave</t>
        </is>
      </c>
      <c r="F98" t="inlineStr">
        <is>
          <t>PROPOSED</t>
        </is>
      </c>
      <c r="G98" s="47" t="n"/>
      <c r="H98" s="47" t="n"/>
      <c r="I98" s="42" t="n"/>
      <c r="J98" s="42" t="n"/>
      <c r="K98" t="inlineStr">
        <is>
          <t>RealPage</t>
        </is>
      </c>
      <c r="L98" t="inlineStr">
        <is>
          <t>RealPage pipeline (not yet in CoStar)</t>
        </is>
      </c>
    </row>
    <row r="99">
      <c r="A99" t="inlineStr">
        <is>
          <t>Picerne at Palm Valley</t>
        </is>
      </c>
      <c r="B99" t="inlineStr">
        <is>
          <t>2128 Pebble Creek Pkwy</t>
        </is>
      </c>
      <c r="C99" t="n">
        <v>383</v>
      </c>
      <c r="F99" t="inlineStr">
        <is>
          <t>PROPOSED</t>
        </is>
      </c>
      <c r="G99" s="47" t="n"/>
      <c r="H99" s="47" t="n"/>
      <c r="I99" s="42" t="n"/>
      <c r="J99" s="42" t="n"/>
      <c r="K99" t="inlineStr">
        <is>
          <t>RealPage</t>
        </is>
      </c>
      <c r="L99" t="inlineStr">
        <is>
          <t>RealPage pipeline (not yet in CoStar)</t>
        </is>
      </c>
    </row>
    <row r="100">
      <c r="A100" t="inlineStr">
        <is>
          <t>Avondale</t>
        </is>
      </c>
      <c r="B100" t="inlineStr">
        <is>
          <t>1498 Historic US-80</t>
        </is>
      </c>
      <c r="C100" t="n">
        <v>156</v>
      </c>
      <c r="F100" t="inlineStr">
        <is>
          <t>PROPOSED</t>
        </is>
      </c>
      <c r="G100" s="47" t="n"/>
      <c r="H100" s="47" t="n"/>
      <c r="I100" s="42" t="n"/>
      <c r="J100" s="42" t="n"/>
      <c r="K100" t="inlineStr">
        <is>
          <t>RealPage</t>
        </is>
      </c>
      <c r="L100" t="inlineStr">
        <is>
          <t>RealPage pipeline (not yet in CoStar)</t>
        </is>
      </c>
    </row>
    <row r="101">
      <c r="A101" t="inlineStr">
        <is>
          <t>Fuze 623</t>
        </is>
      </c>
      <c r="B101" t="inlineStr">
        <is>
          <t>11745 W Corporate Dr</t>
        </is>
      </c>
      <c r="C101" t="n">
        <v>321</v>
      </c>
      <c r="F101" t="inlineStr">
        <is>
          <t>PROPOSED</t>
        </is>
      </c>
      <c r="G101" s="47" t="n"/>
      <c r="H101" s="47" t="n"/>
      <c r="I101" s="42" t="n"/>
      <c r="J101" s="42" t="n"/>
      <c r="K101" t="inlineStr">
        <is>
          <t>RealPage</t>
        </is>
      </c>
      <c r="L101" t="inlineStr">
        <is>
          <t>RealPage pipeline (not yet in CoStar)</t>
        </is>
      </c>
    </row>
    <row r="102">
      <c r="A102" t="inlineStr">
        <is>
          <t>Villages at River Grove</t>
        </is>
      </c>
      <c r="B102" t="inlineStr">
        <is>
          <t>W Buckeye Rd &amp; S El Mirage Rd</t>
        </is>
      </c>
      <c r="C102" t="n">
        <v>180</v>
      </c>
      <c r="F102" t="inlineStr">
        <is>
          <t>PROPOSED</t>
        </is>
      </c>
      <c r="G102" s="47" t="n"/>
      <c r="H102" s="47" t="n"/>
      <c r="I102" s="42" t="n"/>
      <c r="J102" s="42" t="n"/>
      <c r="K102" t="inlineStr">
        <is>
          <t>RealPage</t>
        </is>
      </c>
      <c r="L102" t="inlineStr">
        <is>
          <t>RealPage pipeline (not yet in CoStar)</t>
        </is>
      </c>
    </row>
    <row r="103">
      <c r="A103" t="inlineStr">
        <is>
          <t>Zenn @ Sierra Verde</t>
        </is>
      </c>
      <c r="B103" t="inlineStr">
        <is>
          <t>W Olive Ave &amp; N El Mirage Rd</t>
        </is>
      </c>
      <c r="C103" t="n">
        <v>66</v>
      </c>
      <c r="F103" t="inlineStr">
        <is>
          <t>PROPOSED</t>
        </is>
      </c>
      <c r="G103" s="47" t="n"/>
      <c r="H103" s="47" t="n"/>
      <c r="I103" s="42" t="n"/>
      <c r="J103" s="42" t="n"/>
      <c r="K103" t="inlineStr">
        <is>
          <t>RealPage</t>
        </is>
      </c>
      <c r="L103" t="inlineStr">
        <is>
          <t>RealPage pipeline (not yet in CoStar)</t>
        </is>
      </c>
    </row>
    <row r="104">
      <c r="A104" t="inlineStr">
        <is>
          <t>Envision Encore</t>
        </is>
      </c>
      <c r="B104" t="inlineStr">
        <is>
          <t>N Ball Park Blvd &amp; N 99th Ave</t>
        </is>
      </c>
      <c r="F104" t="inlineStr">
        <is>
          <t>PROPOSED</t>
        </is>
      </c>
      <c r="G104" s="47" t="n"/>
      <c r="H104" s="47" t="n"/>
      <c r="I104" s="42" t="n"/>
      <c r="J104" s="42" t="n"/>
      <c r="K104" t="inlineStr">
        <is>
          <t>RealPage</t>
        </is>
      </c>
      <c r="L104" t="inlineStr">
        <is>
          <t>RealPage pipeline (not yet in CoStar)</t>
        </is>
      </c>
    </row>
    <row r="105">
      <c r="A105" t="inlineStr">
        <is>
          <t>Marbella Ranch East Future Phase</t>
        </is>
      </c>
      <c r="B105" t="inlineStr">
        <is>
          <t>W Northern Ave &amp; N El Mirage Rd</t>
        </is>
      </c>
      <c r="C105" t="n">
        <v>266</v>
      </c>
      <c r="F105" t="inlineStr">
        <is>
          <t>PROPOSED</t>
        </is>
      </c>
      <c r="G105" s="47" t="n"/>
      <c r="H105" s="47" t="n"/>
      <c r="I105" s="42" t="n"/>
      <c r="J105" s="42" t="n"/>
      <c r="K105" t="inlineStr">
        <is>
          <t>RealPage</t>
        </is>
      </c>
      <c r="L105" t="inlineStr">
        <is>
          <t>RealPage pipeline (not yet in CoStar)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2026-06-19T19:07:41Z</dcterms:created>
  <dcterms:modified xsi:type="dcterms:W3CDTF">2026-06-19T19:07:41Z</dcterms:modified>
</cp:coreProperties>
</file>