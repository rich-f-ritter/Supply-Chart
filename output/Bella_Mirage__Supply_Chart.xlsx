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itive Analysis" sheetId="1" state="visible" r:id="rId1"/>
    <sheet name="Supply &amp; Absorption" sheetId="2" state="visible" r:id="rId2"/>
    <sheet name="Reconciliation Log"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quot;$&quot;#,##0;;&quot;—&quot;"/>
    <numFmt numFmtId="166" formatCode="0.0&quot; mi&quot;;;&quot;—&quot;"/>
    <numFmt numFmtId="167" formatCode="&quot;$&quot;#,##0"/>
  </numFmts>
  <fonts count="17">
    <font>
      <name val="Calibri"/>
      <family val="2"/>
      <color theme="1"/>
      <sz val="11"/>
      <scheme val="minor"/>
    </font>
    <font>
      <name val="Calibri"/>
      <b val="1"/>
      <color rgb="FFFFFFFF"/>
      <sz val="13"/>
    </font>
    <font>
      <name val="Calibri"/>
      <color rgb="FFFFFFFF"/>
      <sz val="9"/>
    </font>
    <font>
      <name val="Calibri"/>
      <b val="1"/>
      <color rgb="FFFFFF00"/>
      <sz val="9"/>
    </font>
    <font>
      <name val="Calibri"/>
      <b val="1"/>
      <color rgb="FFFFFFFF"/>
      <sz val="9"/>
    </font>
    <font>
      <name val="Calibri"/>
      <color rgb="FF000000"/>
      <sz val="9"/>
    </font>
    <font>
      <name val="Calibri"/>
      <color rgb="FF808080"/>
      <sz val="8"/>
    </font>
    <font>
      <name val="Calibri"/>
      <b val="1"/>
      <color rgb="FF000000"/>
      <sz val="9"/>
    </font>
    <font>
      <name val="Calibri"/>
      <b val="1"/>
      <color rgb="FF0000FF"/>
      <sz val="9"/>
    </font>
    <font>
      <name val="Calibri"/>
      <b val="1"/>
      <color rgb="FFFFFFFF"/>
      <sz val="8"/>
    </font>
    <font>
      <name val="Calibri"/>
      <color rgb="FF0000FF"/>
      <sz val="9"/>
    </font>
    <font>
      <name val="Calibri"/>
      <i val="1"/>
      <color rgb="FF000000"/>
      <sz val="8"/>
    </font>
    <font>
      <name val="Calibri"/>
      <i val="1"/>
      <color rgb="FF808080"/>
      <sz val="8"/>
    </font>
    <font>
      <name val="Calibri"/>
      <b val="1"/>
      <color rgb="FF153D64"/>
      <sz val="9"/>
    </font>
    <font>
      <name val="Calibri"/>
      <b val="1"/>
      <color rgb="FF595959"/>
      <sz val="8"/>
    </font>
    <font>
      <name val="Calibri"/>
      <b val="1"/>
      <color rgb="FF000000"/>
      <sz val="8"/>
    </font>
    <font>
      <name val="Calibri"/>
      <color rgb="FF000000"/>
      <sz val="8"/>
    </font>
  </fonts>
  <fills count="16">
    <fill>
      <patternFill/>
    </fill>
    <fill>
      <patternFill patternType="gray125"/>
    </fill>
    <fill>
      <patternFill patternType="solid">
        <fgColor rgb="FF153D64"/>
      </patternFill>
    </fill>
    <fill>
      <patternFill patternType="solid">
        <fgColor rgb="FF2E75B6"/>
      </patternFill>
    </fill>
    <fill>
      <patternFill patternType="solid">
        <fgColor rgb="FFDDEBF7"/>
      </patternFill>
    </fill>
    <fill>
      <patternFill patternType="solid">
        <fgColor rgb="FFED7D31"/>
      </patternFill>
    </fill>
    <fill>
      <patternFill patternType="solid">
        <fgColor rgb="FFFCE4D6"/>
      </patternFill>
    </fill>
    <fill>
      <patternFill patternType="solid">
        <fgColor rgb="FF375623"/>
      </patternFill>
    </fill>
    <fill>
      <patternFill patternType="solid">
        <fgColor rgb="FFE2EFDA"/>
      </patternFill>
    </fill>
    <fill>
      <patternFill patternType="solid">
        <fgColor rgb="FFFF0000"/>
      </patternFill>
    </fill>
    <fill>
      <patternFill patternType="solid">
        <fgColor rgb="FFFCE4E4"/>
      </patternFill>
    </fill>
    <fill>
      <patternFill patternType="solid">
        <fgColor rgb="FFFFF2CC"/>
      </patternFill>
    </fill>
    <fill>
      <patternFill patternType="solid">
        <fgColor rgb="FFF2F2F2"/>
      </patternFill>
    </fill>
    <fill>
      <patternFill patternType="solid">
        <fgColor rgb="FFFFFFFF"/>
      </patternFill>
    </fill>
    <fill>
      <patternFill patternType="solid">
        <fgColor rgb="FFD6E0F0"/>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3" borderId="0" pivotButton="0" quotePrefix="0" xfId="0"/>
    <xf numFmtId="0" fontId="4" fillId="3" borderId="0" applyAlignment="1" pivotButton="0" quotePrefix="0" xfId="0">
      <alignment horizontal="left" vertical="center"/>
    </xf>
    <xf numFmtId="0" fontId="5" fillId="4" borderId="1" applyAlignment="1" pivotButton="0" quotePrefix="0" xfId="0">
      <alignment horizontal="center" vertical="center" wrapText="1"/>
    </xf>
    <xf numFmtId="0" fontId="5" fillId="4" borderId="1" applyAlignment="1" pivotButton="0" quotePrefix="0" xfId="0">
      <alignment horizontal="left" vertical="center"/>
    </xf>
    <xf numFmtId="3"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66" fontId="5" fillId="4" borderId="1" applyAlignment="1" pivotButton="0" quotePrefix="0" xfId="0">
      <alignment horizontal="center" vertical="center" wrapText="1"/>
    </xf>
    <xf numFmtId="0" fontId="0" fillId="5" borderId="0" pivotButton="0" quotePrefix="0" xfId="0"/>
    <xf numFmtId="0" fontId="4" fillId="5" borderId="0" applyAlignment="1" pivotButton="0" quotePrefix="0" xfId="0">
      <alignment horizontal="left" vertical="center"/>
    </xf>
    <xf numFmtId="0" fontId="5" fillId="6" borderId="1" applyAlignment="1" pivotButton="0" quotePrefix="0" xfId="0">
      <alignment horizontal="center" vertical="center" wrapText="1"/>
    </xf>
    <xf numFmtId="0" fontId="5" fillId="6" borderId="1" applyAlignment="1" pivotButton="0" quotePrefix="0" xfId="0">
      <alignment horizontal="left" vertical="center"/>
    </xf>
    <xf numFmtId="3"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6" borderId="1" applyAlignment="1" pivotButton="0" quotePrefix="0" xfId="0">
      <alignment horizontal="center" vertical="center" wrapText="1"/>
    </xf>
    <xf numFmtId="166" fontId="5" fillId="6" borderId="1" applyAlignment="1" pivotButton="0" quotePrefix="0" xfId="0">
      <alignment horizontal="center" vertical="center" wrapText="1"/>
    </xf>
    <xf numFmtId="0" fontId="0" fillId="7" borderId="0" pivotButton="0" quotePrefix="0" xfId="0"/>
    <xf numFmtId="0" fontId="4" fillId="7" borderId="0" applyAlignment="1" pivotButton="0" quotePrefix="0" xfId="0">
      <alignment horizontal="left" vertical="center"/>
    </xf>
    <xf numFmtId="0" fontId="5" fillId="8" borderId="1" applyAlignment="1" pivotButton="0" quotePrefix="0" xfId="0">
      <alignment horizontal="center" vertical="center" wrapText="1"/>
    </xf>
    <xf numFmtId="0" fontId="5" fillId="8" borderId="1" applyAlignment="1" pivotButton="0" quotePrefix="0" xfId="0">
      <alignment horizontal="left" vertical="center"/>
    </xf>
    <xf numFmtId="3" fontId="5" fillId="8" borderId="1" applyAlignment="1" pivotButton="0" quotePrefix="0" xfId="0">
      <alignment horizontal="center" vertical="center" wrapText="1"/>
    </xf>
    <xf numFmtId="164" fontId="5" fillId="8" borderId="1" applyAlignment="1" pivotButton="0" quotePrefix="0" xfId="0">
      <alignment horizontal="center" vertical="center" wrapText="1"/>
    </xf>
    <xf numFmtId="165" fontId="5" fillId="8" borderId="1" applyAlignment="1" pivotButton="0" quotePrefix="0" xfId="0">
      <alignment horizontal="center" vertical="center" wrapText="1"/>
    </xf>
    <xf numFmtId="166" fontId="5" fillId="8" borderId="1" applyAlignment="1" pivotButton="0" quotePrefix="0" xfId="0">
      <alignment horizontal="center" vertical="center" wrapText="1"/>
    </xf>
    <xf numFmtId="0" fontId="0" fillId="9" borderId="0" pivotButton="0" quotePrefix="0" xfId="0"/>
    <xf numFmtId="0" fontId="4" fillId="9" borderId="0" applyAlignment="1" pivotButton="0" quotePrefix="0" xfId="0">
      <alignment horizontal="left" vertical="center"/>
    </xf>
    <xf numFmtId="0" fontId="5" fillId="10" borderId="1" applyAlignment="1" pivotButton="0" quotePrefix="0" xfId="0">
      <alignment horizontal="center" vertical="center" wrapText="1"/>
    </xf>
    <xf numFmtId="0" fontId="5" fillId="10" borderId="1" applyAlignment="1" pivotButton="0" quotePrefix="0" xfId="0">
      <alignment horizontal="left" vertical="center"/>
    </xf>
    <xf numFmtId="3" fontId="5" fillId="10" borderId="1" applyAlignment="1" pivotButton="0" quotePrefix="0" xfId="0">
      <alignment horizontal="center" vertical="center" wrapText="1"/>
    </xf>
    <xf numFmtId="164" fontId="5" fillId="10" borderId="1" applyAlignment="1" pivotButton="0" quotePrefix="0" xfId="0">
      <alignment horizontal="center" vertical="center" wrapText="1"/>
    </xf>
    <xf numFmtId="165" fontId="5" fillId="10" borderId="1" applyAlignment="1" pivotButton="0" quotePrefix="0" xfId="0">
      <alignment horizontal="center" vertical="center" wrapText="1"/>
    </xf>
    <xf numFmtId="166" fontId="5" fillId="10" borderId="1" applyAlignment="1" pivotButton="0" quotePrefix="0" xfId="0">
      <alignment horizontal="center" vertical="center" wrapText="1"/>
    </xf>
    <xf numFmtId="0" fontId="6" fillId="0" borderId="0" pivotButton="0" quotePrefix="0" xfId="0"/>
    <xf numFmtId="0" fontId="4" fillId="2" borderId="0" pivotButton="0" quotePrefix="0" xfId="0"/>
    <xf numFmtId="0" fontId="7" fillId="0" borderId="0" pivotButton="0" quotePrefix="0" xfId="0"/>
    <xf numFmtId="0" fontId="7" fillId="0" borderId="0" applyAlignment="1" pivotButton="0" quotePrefix="0" xfId="0">
      <alignment horizontal="center" vertical="center" wrapText="1"/>
    </xf>
    <xf numFmtId="0" fontId="9" fillId="3" borderId="1" applyAlignment="1" pivotButton="0" quotePrefix="0" xfId="0">
      <alignment horizontal="center" vertical="center" wrapText="1"/>
    </xf>
    <xf numFmtId="0" fontId="8" fillId="11" borderId="0" applyAlignment="1" pivotButton="0" quotePrefix="0" xfId="0">
      <alignment horizontal="center" vertical="center" wrapText="1"/>
    </xf>
    <xf numFmtId="0" fontId="5" fillId="0" borderId="1" applyAlignment="1" pivotButton="0" quotePrefix="0" xfId="0">
      <alignment horizontal="left" vertical="center"/>
    </xf>
    <xf numFmtId="3"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9" fontId="8" fillId="11" borderId="0" applyAlignment="1" pivotButton="0" quotePrefix="0" xfId="0">
      <alignment horizontal="center" vertical="center" wrapText="1"/>
    </xf>
    <xf numFmtId="3" fontId="8" fillId="11" borderId="0" applyAlignment="1" pivotButton="0" quotePrefix="0" xfId="0">
      <alignment horizontal="center" vertical="center" wrapText="1"/>
    </xf>
    <xf numFmtId="3" fontId="7"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6" fillId="0" borderId="0" applyAlignment="1" pivotButton="0" quotePrefix="0" xfId="0">
      <alignment horizontal="center" vertical="center" wrapText="1"/>
    </xf>
    <xf numFmtId="3" fontId="5" fillId="12" borderId="1" applyAlignment="1" pivotButton="0" quotePrefix="0" xfId="0">
      <alignment horizontal="center" vertical="center" wrapText="1"/>
    </xf>
    <xf numFmtId="3" fontId="5" fillId="13" borderId="1" applyAlignment="1" pivotButton="0" quotePrefix="0" xfId="0">
      <alignment horizontal="center" vertical="center" wrapText="1"/>
    </xf>
    <xf numFmtId="0" fontId="10" fillId="11" borderId="1" applyAlignment="1" pivotButton="0" quotePrefix="0" xfId="0">
      <alignment horizontal="center" vertical="center" wrapText="1"/>
    </xf>
    <xf numFmtId="164" fontId="7" fillId="12" borderId="1" applyAlignment="1" pivotButton="0" quotePrefix="0" xfId="0">
      <alignment horizontal="center" vertical="center" wrapText="1"/>
    </xf>
    <xf numFmtId="164" fontId="7" fillId="13" borderId="1" applyAlignment="1" pivotButton="0" quotePrefix="0" xfId="0">
      <alignment horizontal="center" vertical="center" wrapText="1"/>
    </xf>
    <xf numFmtId="167" fontId="5" fillId="12" borderId="1" applyAlignment="1" pivotButton="0" quotePrefix="0" xfId="0">
      <alignment horizontal="center" vertical="center" wrapText="1"/>
    </xf>
    <xf numFmtId="167" fontId="5" fillId="13" borderId="1" applyAlignment="1" pivotButton="0" quotePrefix="0" xfId="0">
      <alignment horizontal="center" vertical="center" wrapText="1"/>
    </xf>
    <xf numFmtId="0" fontId="11" fillId="0" borderId="0" pivotButton="0" quotePrefix="0" xfId="0"/>
    <xf numFmtId="164" fontId="12" fillId="12" borderId="1" applyAlignment="1" pivotButton="0" quotePrefix="0" xfId="0">
      <alignment horizontal="center" vertical="center" wrapText="1"/>
    </xf>
    <xf numFmtId="164" fontId="12" fillId="13" borderId="1" applyAlignment="1" pivotButton="0" quotePrefix="0" xfId="0">
      <alignment horizontal="center" vertical="center" wrapText="1"/>
    </xf>
    <xf numFmtId="164" fontId="5" fillId="12" borderId="1" applyAlignment="1" pivotButton="0" quotePrefix="0" xfId="0">
      <alignment horizontal="center" vertical="center" wrapText="1"/>
    </xf>
    <xf numFmtId="164" fontId="5" fillId="13" borderId="1" applyAlignment="1" pivotButton="0" quotePrefix="0" xfId="0">
      <alignment horizontal="center" vertical="center" wrapText="1"/>
    </xf>
    <xf numFmtId="3" fontId="5" fillId="0" borderId="1" applyAlignment="1" pivotButton="0" quotePrefix="0" xfId="0">
      <alignment horizontal="center" vertical="center" wrapText="1"/>
    </xf>
    <xf numFmtId="0" fontId="0" fillId="2" borderId="0" pivotButton="0" quotePrefix="0" xfId="0"/>
    <xf numFmtId="0" fontId="4" fillId="2" borderId="0" applyAlignment="1" pivotButton="0" quotePrefix="0" xfId="0">
      <alignment horizontal="center" vertical="center" wrapText="1"/>
    </xf>
    <xf numFmtId="0" fontId="5" fillId="12" borderId="0" pivotButton="0" quotePrefix="0" xfId="0"/>
    <xf numFmtId="0" fontId="0" fillId="12" borderId="0" pivotButton="0" quotePrefix="0" xfId="0"/>
    <xf numFmtId="0" fontId="7" fillId="14" borderId="0" pivotButton="0" quotePrefix="0" xfId="0"/>
    <xf numFmtId="0" fontId="0" fillId="14" borderId="0" pivotButton="0" quotePrefix="0" xfId="0"/>
    <xf numFmtId="164" fontId="7" fillId="14" borderId="1" applyAlignment="1" pivotButton="0" quotePrefix="0" xfId="0">
      <alignment horizontal="center" vertical="center" wrapText="1"/>
    </xf>
    <xf numFmtId="0" fontId="13" fillId="15" borderId="0" pivotButton="0" quotePrefix="0" xfId="0"/>
    <xf numFmtId="0" fontId="0" fillId="15" borderId="0" pivotButton="0" quotePrefix="0" xfId="0"/>
    <xf numFmtId="164" fontId="7" fillId="15" borderId="1" applyAlignment="1" pivotButton="0" quotePrefix="0" xfId="0">
      <alignment horizontal="center" vertical="center" wrapText="1"/>
    </xf>
    <xf numFmtId="0" fontId="14" fillId="0" borderId="0" pivotButton="0" quotePrefix="0" xfId="0"/>
    <xf numFmtId="0" fontId="4" fillId="3" borderId="0" applyAlignment="1" pivotButton="0" quotePrefix="0" xfId="0">
      <alignment horizontal="center" vertical="center" wrapText="1"/>
    </xf>
    <xf numFmtId="164" fontId="5" fillId="0" borderId="1" applyAlignment="1" pivotButton="0" quotePrefix="0" xfId="0">
      <alignment horizontal="center" vertical="center" wrapText="1"/>
    </xf>
    <xf numFmtId="0" fontId="15" fillId="0" borderId="0" pivotButton="0" quotePrefix="0" xfId="0"/>
    <xf numFmtId="164" fontId="10" fillId="11" borderId="1" applyAlignment="1" pivotButton="0" quotePrefix="0" xfId="0">
      <alignment horizontal="center" vertical="center" wrapText="1"/>
    </xf>
    <xf numFmtId="0" fontId="16" fillId="0" borderId="0" pivotButton="0" quotePrefix="0" xfId="0"/>
    <xf numFmtId="164"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120"/>
  <sheetViews>
    <sheetView showGridLines="0" workbookViewId="0">
      <selection activeCell="A1" sqref="A1"/>
    </sheetView>
  </sheetViews>
  <sheetFormatPr baseColWidth="8" defaultRowHeight="15"/>
  <cols>
    <col width="3" customWidth="1" min="1" max="1"/>
    <col width="3.5" customWidth="1" min="2" max="2"/>
    <col width="30" customWidth="1" min="3" max="3"/>
    <col width="8" customWidth="1" min="4" max="4"/>
    <col width="11.5" customWidth="1" min="5" max="5"/>
    <col width="10" customWidth="1" min="6" max="6"/>
    <col width="13" customWidth="1" min="7" max="7"/>
    <col width="22" customWidth="1" min="8" max="8"/>
    <col width="11" customWidth="1" min="9" max="9"/>
    <col width="14" customWidth="1" min="10" max="10"/>
    <col width="30" customWidth="1" min="11" max="11"/>
  </cols>
  <sheetData>
    <row r="2" ht="22" customHeight="1">
      <c r="C2" s="1" t="inlineStr">
        <is>
          <t>BELLA MIRAGE — 5-Mile Competitive Supply</t>
        </is>
      </c>
    </row>
    <row r="3">
      <c r="B3" s="2" t="inlineStr">
        <is>
          <t>2022–2026 New Construction  |  5-mile radius  |  As of 2026 Q2 QTD  |  Stabilization Target:</t>
        </is>
      </c>
      <c r="G3" s="3" t="inlineStr">
        <is>
          <t>95% target</t>
        </is>
      </c>
    </row>
    <row r="4" ht="18" customHeight="1">
      <c r="B4" s="4" t="inlineStr">
        <is>
          <t>#</t>
        </is>
      </c>
      <c r="C4" s="4" t="inlineStr">
        <is>
          <t>Property</t>
        </is>
      </c>
      <c r="D4" s="4" t="inlineStr">
        <is>
          <t>Units</t>
        </is>
      </c>
      <c r="E4" s="4" t="inlineStr">
        <is>
          <t>Est. Delivery</t>
        </is>
      </c>
      <c r="F4" s="4" t="inlineStr">
        <is>
          <t>Occupancy</t>
        </is>
      </c>
      <c r="G4" s="4" t="inlineStr">
        <is>
          <t>Avg Mkt Rent</t>
        </is>
      </c>
      <c r="H4" s="4" t="inlineStr">
        <is>
          <t>Owner</t>
        </is>
      </c>
      <c r="I4" s="4" t="inlineStr">
        <is>
          <t>Proximity</t>
        </is>
      </c>
      <c r="J4" s="4" t="inlineStr">
        <is>
          <t>Type</t>
        </is>
      </c>
      <c r="K4" s="4" t="inlineStr">
        <is>
          <t>Notes</t>
        </is>
      </c>
    </row>
    <row r="5">
      <c r="B5" s="5" t="n"/>
      <c r="C5" s="6" t="inlineStr">
        <is>
          <t>STABILIZED / STABILIZING (22 properties, 5,296 units)</t>
        </is>
      </c>
    </row>
    <row r="6">
      <c r="B6" s="7" t="n">
        <v>1</v>
      </c>
      <c r="C6" s="8" t="inlineStr">
        <is>
          <t>Luna Bear 94</t>
        </is>
      </c>
      <c r="D6" s="9" t="n">
        <v>94</v>
      </c>
      <c r="E6" s="7" t="inlineStr">
        <is>
          <t>Q1 2022</t>
        </is>
      </c>
      <c r="F6" s="10" t="n">
        <v>0.989362</v>
      </c>
      <c r="G6" s="11" t="n">
        <v>1913</v>
      </c>
      <c r="H6" s="8" t="inlineStr">
        <is>
          <t>Luna Bear Properties LLC</t>
        </is>
      </c>
      <c r="I6" s="12" t="n">
        <v>4.1</v>
      </c>
      <c r="J6" s="7" t="inlineStr">
        <is>
          <t>Single Family</t>
        </is>
      </c>
      <c r="K6" s="8" t="n"/>
    </row>
    <row r="7">
      <c r="B7" s="7" t="n">
        <v>2</v>
      </c>
      <c r="C7" s="8" t="inlineStr">
        <is>
          <t>Cyrene at Estrella</t>
        </is>
      </c>
      <c r="D7" s="9" t="n">
        <v>64</v>
      </c>
      <c r="E7" s="7" t="inlineStr">
        <is>
          <t>Q1 2022</t>
        </is>
      </c>
      <c r="F7" s="10" t="n">
        <v>0.984375</v>
      </c>
      <c r="G7" s="11" t="n">
        <v>2442</v>
      </c>
      <c r="H7" s="8" t="inlineStr">
        <is>
          <t>BGO</t>
        </is>
      </c>
      <c r="I7" s="12" t="n">
        <v>4.4</v>
      </c>
      <c r="J7" s="7" t="inlineStr">
        <is>
          <t>Single Family</t>
        </is>
      </c>
      <c r="K7" s="8" t="inlineStr">
        <is>
          <t>Year built: 2022/2023; Delivery quarter estimated; Rent: CoStar ask $2,442 vs RealPage eff $2,261</t>
        </is>
      </c>
    </row>
    <row r="8">
      <c r="B8" s="7" t="n">
        <v>3</v>
      </c>
      <c r="C8" s="8" t="inlineStr">
        <is>
          <t>Sunset View Apartments</t>
        </is>
      </c>
      <c r="D8" s="9" t="n">
        <v>286</v>
      </c>
      <c r="E8" s="7" t="inlineStr">
        <is>
          <t>Q2 2022</t>
        </is>
      </c>
      <c r="F8" s="10" t="n">
        <v>0.902098</v>
      </c>
      <c r="G8" s="11" t="n">
        <v>1338</v>
      </c>
      <c r="H8" s="8" t="inlineStr">
        <is>
          <t>Sunrise Multifamily LLC</t>
        </is>
      </c>
      <c r="I8" s="12" t="n">
        <v>3.7</v>
      </c>
      <c r="J8" s="7" t="inlineStr">
        <is>
          <t>Garden</t>
        </is>
      </c>
      <c r="K8" s="8" t="inlineStr">
        <is>
          <t>Occ: CoStar 90% vs RealPage 96%; Rent: CoStar ask $1,338 vs RealPage eff $1,167</t>
        </is>
      </c>
    </row>
    <row r="9">
      <c r="B9" s="7" t="n">
        <v>4</v>
      </c>
      <c r="C9" s="8" t="inlineStr">
        <is>
          <t>Avari Apartments</t>
        </is>
      </c>
      <c r="D9" s="9" t="n">
        <v>354</v>
      </c>
      <c r="E9" s="7" t="inlineStr">
        <is>
          <t>Q3 2022</t>
        </is>
      </c>
      <c r="F9" s="10" t="n">
        <v>0.951977</v>
      </c>
      <c r="G9" s="11" t="n">
        <v>1574</v>
      </c>
      <c r="H9" s="8" t="inlineStr">
        <is>
          <t>Brett C. &amp; Lorraine M. Heers</t>
        </is>
      </c>
      <c r="I9" s="12" t="n">
        <v>2.6</v>
      </c>
      <c r="J9" s="7" t="inlineStr">
        <is>
          <t>Mid-Rise</t>
        </is>
      </c>
      <c r="K9" s="8" t="inlineStr">
        <is>
          <t>Year built: 2022/2023; Delivery quarter estimated; Occ: CoStar 95% vs RealPage 100%</t>
        </is>
      </c>
    </row>
    <row r="10">
      <c r="B10" s="7" t="n">
        <v>5</v>
      </c>
      <c r="C10" s="8" t="inlineStr">
        <is>
          <t>Prose Desert River</t>
        </is>
      </c>
      <c r="D10" s="9" t="n">
        <v>384</v>
      </c>
      <c r="E10" s="7" t="inlineStr">
        <is>
          <t>Q1 2023</t>
        </is>
      </c>
      <c r="F10" s="10" t="n">
        <v>0.895833</v>
      </c>
      <c r="G10" s="11" t="n">
        <v>1429</v>
      </c>
      <c r="H10" s="8" t="inlineStr">
        <is>
          <t>Alliance Residential Company</t>
        </is>
      </c>
      <c r="I10" s="12" t="n">
        <v>4.8</v>
      </c>
      <c r="J10" s="7" t="inlineStr">
        <is>
          <t>Garden</t>
        </is>
      </c>
      <c r="K10" s="8" t="inlineStr">
        <is>
          <t>Year built: 2023/2024; Delivery quarter estimated; Occ: CoStar 90% vs RealPage 97%; Rent: CoStar ask $1,429 vs RealPage eff $1,313</t>
        </is>
      </c>
    </row>
    <row r="11">
      <c r="B11" s="7" t="n">
        <v>6</v>
      </c>
      <c r="C11" s="8" t="inlineStr">
        <is>
          <t>District at Civic Square</t>
        </is>
      </c>
      <c r="D11" s="9" t="n">
        <v>352</v>
      </c>
      <c r="E11" s="7" t="inlineStr">
        <is>
          <t>Q1 2023</t>
        </is>
      </c>
      <c r="F11" s="10" t="n">
        <v>0.920455</v>
      </c>
      <c r="G11" s="11" t="n">
        <v>1526</v>
      </c>
      <c r="H11" s="8" t="inlineStr">
        <is>
          <t>Billah Khan</t>
        </is>
      </c>
      <c r="I11" s="12" t="n">
        <v>4</v>
      </c>
      <c r="J11" s="7" t="inlineStr">
        <is>
          <t>Mid-Rise</t>
        </is>
      </c>
      <c r="K11" s="8" t="inlineStr">
        <is>
          <t>Year built: 2023/2024; Delivery quarter estimated; Occ: CoStar 92% vs RealPage 100%; Rent: CoStar ask $1,526 vs RealPage eff $1,263</t>
        </is>
      </c>
    </row>
    <row r="12">
      <c r="B12" s="7" t="n">
        <v>7</v>
      </c>
      <c r="C12" s="8" t="inlineStr">
        <is>
          <t>Acero Roosevelt</t>
        </is>
      </c>
      <c r="D12" s="9" t="n">
        <v>352</v>
      </c>
      <c r="E12" s="7" t="inlineStr">
        <is>
          <t>Q1 2023</t>
        </is>
      </c>
      <c r="F12" s="10" t="n">
        <v>0.892045</v>
      </c>
      <c r="G12" s="11" t="n">
        <v>1632</v>
      </c>
      <c r="H12" s="8" t="inlineStr">
        <is>
          <t>IDM Companies</t>
        </is>
      </c>
      <c r="I12" s="12" t="n">
        <v>5.8</v>
      </c>
      <c r="J12" s="7" t="inlineStr">
        <is>
          <t>Garden</t>
        </is>
      </c>
      <c r="K12" s="8" t="inlineStr">
        <is>
          <t>Year built: 2023/2024; Delivery quarter estimated; Occ: CoStar 89% vs RealPage 94%; Rent: CoStar ask $1,632 vs RealPage eff $1,236</t>
        </is>
      </c>
    </row>
    <row r="13">
      <c r="B13" s="7" t="n">
        <v>8</v>
      </c>
      <c r="C13" s="8" t="inlineStr">
        <is>
          <t>Cabana Bullard</t>
        </is>
      </c>
      <c r="D13" s="9" t="n">
        <v>336</v>
      </c>
      <c r="E13" s="7" t="inlineStr">
        <is>
          <t>Q1 2023</t>
        </is>
      </c>
      <c r="F13" s="10" t="n">
        <v>0.9494050000000001</v>
      </c>
      <c r="G13" s="11" t="n">
        <v>1335</v>
      </c>
      <c r="H13" s="8" t="inlineStr">
        <is>
          <t>Greenlight Communities</t>
        </is>
      </c>
      <c r="I13" s="12" t="n">
        <v>4.1</v>
      </c>
      <c r="J13" s="7" t="inlineStr">
        <is>
          <t>Garden</t>
        </is>
      </c>
      <c r="K13" s="8" t="inlineStr">
        <is>
          <t>Delivery quarter estimated</t>
        </is>
      </c>
    </row>
    <row r="14">
      <c r="B14" s="7" t="n">
        <v>9</v>
      </c>
      <c r="C14" s="8" t="inlineStr">
        <is>
          <t>Bungalows at Camelback</t>
        </is>
      </c>
      <c r="D14" s="9" t="n">
        <v>334</v>
      </c>
      <c r="E14" s="7" t="inlineStr">
        <is>
          <t>Q1 2023</t>
        </is>
      </c>
      <c r="F14" s="10" t="n">
        <v>0.7634730000000001</v>
      </c>
      <c r="G14" s="11" t="n">
        <v>2026</v>
      </c>
      <c r="H14" s="8" t="inlineStr">
        <is>
          <t>Cavan Companies</t>
        </is>
      </c>
      <c r="I14" s="12" t="n">
        <v>3.3</v>
      </c>
      <c r="J14" s="7" t="inlineStr">
        <is>
          <t>Garden</t>
        </is>
      </c>
      <c r="K14" s="8" t="inlineStr">
        <is>
          <t>Year built: 2023/2024; Delivery quarter estimated; Occ: CoStar 76% vs RealPage 92%; Rent: CoStar ask $2,026 vs RealPage eff $1,385</t>
        </is>
      </c>
    </row>
    <row r="15">
      <c r="B15" s="7" t="n">
        <v>10</v>
      </c>
      <c r="C15" s="8" t="inlineStr">
        <is>
          <t>Cuvee Apartments</t>
        </is>
      </c>
      <c r="D15" s="9" t="n">
        <v>310</v>
      </c>
      <c r="E15" s="7" t="inlineStr">
        <is>
          <t>Q1 2023</t>
        </is>
      </c>
      <c r="F15" s="10" t="n">
        <v>0.926</v>
      </c>
      <c r="G15" s="11" t="inlineStr">
        <is>
          <t>—</t>
        </is>
      </c>
      <c r="H15" s="8" t="inlineStr">
        <is>
          <t>Pillar Communities</t>
        </is>
      </c>
      <c r="I15" s="12" t="n">
        <v>5.3</v>
      </c>
      <c r="J15" s="7" t="inlineStr">
        <is>
          <t>Mid-Rise</t>
        </is>
      </c>
      <c r="K15" s="8" t="inlineStr">
        <is>
          <t>Delivery quarter estimated</t>
        </is>
      </c>
    </row>
    <row r="16">
      <c r="B16" s="7" t="n">
        <v>11</v>
      </c>
      <c r="C16" s="8" t="inlineStr">
        <is>
          <t>Springs At Westgate</t>
        </is>
      </c>
      <c r="D16" s="9" t="n">
        <v>292</v>
      </c>
      <c r="E16" s="7" t="inlineStr">
        <is>
          <t>Q1 2023</t>
        </is>
      </c>
      <c r="F16" s="10" t="n">
        <v>0.784247</v>
      </c>
      <c r="G16" s="11" t="n">
        <v>1516</v>
      </c>
      <c r="H16" s="8" t="inlineStr">
        <is>
          <t>Continental Properties Company, Inc.</t>
        </is>
      </c>
      <c r="I16" s="12" t="n">
        <v>4.3</v>
      </c>
      <c r="J16" s="7" t="inlineStr">
        <is>
          <t>Garden</t>
        </is>
      </c>
      <c r="K16" s="8" t="inlineStr">
        <is>
          <t>Year built: 2023/2024; Delivery quarter estimated; Occ: CoStar 78% vs RealPage 87%</t>
        </is>
      </c>
    </row>
    <row r="17">
      <c r="B17" s="7" t="n">
        <v>12</v>
      </c>
      <c r="C17" s="8" t="inlineStr">
        <is>
          <t>BB Living at Civic Square</t>
        </is>
      </c>
      <c r="D17" s="9" t="n">
        <v>290</v>
      </c>
      <c r="E17" s="7" t="inlineStr">
        <is>
          <t>Q1 2023</t>
        </is>
      </c>
      <c r="F17" s="10" t="n">
        <v>0.934483</v>
      </c>
      <c r="G17" s="11" t="n">
        <v>2812</v>
      </c>
      <c r="H17" s="8" t="inlineStr">
        <is>
          <t>BB Living</t>
        </is>
      </c>
      <c r="I17" s="12" t="n">
        <v>3.7</v>
      </c>
      <c r="J17" s="7" t="inlineStr">
        <is>
          <t>Townhome</t>
        </is>
      </c>
      <c r="K17" s="8" t="inlineStr">
        <is>
          <t>Year built: 2023/2024; Delivery quarter estimated; Occ: CoStar 93% vs RealPage 96%; Rent: CoStar ask $2,812 vs RealPage eff $2,575</t>
        </is>
      </c>
    </row>
    <row r="18">
      <c r="B18" s="7" t="n">
        <v>13</v>
      </c>
      <c r="C18" s="8" t="inlineStr">
        <is>
          <t>Village at Paseo de Luces</t>
        </is>
      </c>
      <c r="D18" s="9" t="n">
        <v>272</v>
      </c>
      <c r="E18" s="7" t="inlineStr">
        <is>
          <t>Q1 2023</t>
        </is>
      </c>
      <c r="F18" s="10" t="n">
        <v>0.926471</v>
      </c>
      <c r="G18" s="11" t="n">
        <v>1820</v>
      </c>
      <c r="H18" s="8" t="inlineStr">
        <is>
          <t>Empire Group of Companies</t>
        </is>
      </c>
      <c r="I18" s="12" t="n">
        <v>4.1</v>
      </c>
      <c r="J18" s="7" t="inlineStr">
        <is>
          <t>Garden</t>
        </is>
      </c>
      <c r="K18" s="8" t="inlineStr">
        <is>
          <t>Year built: 2023/2024; Delivery quarter estimated; Occ: CoStar 93% vs RealPage 97%; Rent: CoStar ask $1,820 vs RealPage eff $1,597</t>
        </is>
      </c>
    </row>
    <row r="19">
      <c r="B19" s="7" t="n">
        <v>14</v>
      </c>
      <c r="C19" s="8" t="inlineStr">
        <is>
          <t>Parc Lofts</t>
        </is>
      </c>
      <c r="D19" s="9" t="n">
        <v>258</v>
      </c>
      <c r="E19" s="7" t="inlineStr">
        <is>
          <t>Q1 2023</t>
        </is>
      </c>
      <c r="F19" s="10" t="n">
        <v>0.8992249999999999</v>
      </c>
      <c r="G19" s="11" t="n">
        <v>1567</v>
      </c>
      <c r="H19" s="8" t="inlineStr">
        <is>
          <t>Millburn &amp; Company</t>
        </is>
      </c>
      <c r="I19" s="12" t="n">
        <v>4.6</v>
      </c>
      <c r="J19" s="7" t="inlineStr">
        <is>
          <t>Garden</t>
        </is>
      </c>
      <c r="K19" s="8" t="inlineStr">
        <is>
          <t>Delivery quarter estimated; Occ: CoStar 90% vs RealPage 94%</t>
        </is>
      </c>
    </row>
    <row r="20">
      <c r="B20" s="7" t="n">
        <v>15</v>
      </c>
      <c r="C20" s="8" t="inlineStr">
        <is>
          <t>Christopher Todd Communities at McDowell</t>
        </is>
      </c>
      <c r="D20" s="9" t="n">
        <v>217</v>
      </c>
      <c r="E20" s="7" t="inlineStr">
        <is>
          <t>Q1 2023</t>
        </is>
      </c>
      <c r="F20" s="10" t="n">
        <v>0.949309</v>
      </c>
      <c r="G20" s="11" t="n">
        <v>1576</v>
      </c>
      <c r="H20" s="8" t="inlineStr">
        <is>
          <t>Christopher Todd Communities</t>
        </is>
      </c>
      <c r="I20" s="12" t="n">
        <v>1.9</v>
      </c>
      <c r="J20" s="7" t="inlineStr">
        <is>
          <t>Garden</t>
        </is>
      </c>
      <c r="K20" s="8" t="inlineStr">
        <is>
          <t>Year built: 2023/2024; Delivery quarter estimated</t>
        </is>
      </c>
    </row>
    <row r="21">
      <c r="B21" s="7" t="n">
        <v>16</v>
      </c>
      <c r="C21" s="8" t="inlineStr">
        <is>
          <t>Village Camelback Park</t>
        </is>
      </c>
      <c r="D21" s="9" t="n">
        <v>194</v>
      </c>
      <c r="E21" s="7" t="inlineStr">
        <is>
          <t>Q1 2023</t>
        </is>
      </c>
      <c r="F21" s="10" t="n">
        <v>0.773196</v>
      </c>
      <c r="G21" s="11" t="n">
        <v>1874</v>
      </c>
      <c r="H21" s="8" t="inlineStr">
        <is>
          <t>The Empire Group</t>
        </is>
      </c>
      <c r="I21" s="12" t="n">
        <v>1.9</v>
      </c>
      <c r="J21" s="7" t="inlineStr">
        <is>
          <t>Single Family</t>
        </is>
      </c>
      <c r="K21" s="8" t="inlineStr">
        <is>
          <t>Delivery quarter estimated; Occ: CoStar 77% vs RealPage 92%</t>
        </is>
      </c>
    </row>
    <row r="22">
      <c r="B22" s="7" t="n">
        <v>17</v>
      </c>
      <c r="C22" s="8" t="inlineStr">
        <is>
          <t>Village at the BLVD</t>
        </is>
      </c>
      <c r="D22" s="9" t="n">
        <v>187</v>
      </c>
      <c r="E22" s="7" t="inlineStr">
        <is>
          <t>Q1 2023</t>
        </is>
      </c>
      <c r="F22" s="10" t="n">
        <v>0.935829</v>
      </c>
      <c r="G22" s="11" t="n">
        <v>1964</v>
      </c>
      <c r="H22" s="8" t="inlineStr">
        <is>
          <t>Empire Group of Companies</t>
        </is>
      </c>
      <c r="I22" s="12" t="n">
        <v>4</v>
      </c>
      <c r="J22" s="7" t="inlineStr">
        <is>
          <t>Single Family</t>
        </is>
      </c>
      <c r="K22" s="8" t="inlineStr">
        <is>
          <t>Year built: 2023/2024; Delivery quarter estimated; Occ: CoStar 94% vs RealPage 96%</t>
        </is>
      </c>
    </row>
    <row r="23">
      <c r="B23" s="7" t="n">
        <v>18</v>
      </c>
      <c r="C23" s="8" t="inlineStr">
        <is>
          <t>The Crofton at Sheely Farms</t>
        </is>
      </c>
      <c r="D23" s="9" t="n">
        <v>167</v>
      </c>
      <c r="E23" s="7" t="inlineStr">
        <is>
          <t>Q1 2023</t>
        </is>
      </c>
      <c r="F23" s="10" t="n">
        <v>0.9520960000000001</v>
      </c>
      <c r="G23" s="11" t="n">
        <v>1607</v>
      </c>
      <c r="H23" s="8" t="inlineStr">
        <is>
          <t>Atlantic Creek Real Estate Partners</t>
        </is>
      </c>
      <c r="I23" s="12" t="n">
        <v>5.3</v>
      </c>
      <c r="J23" s="7" t="inlineStr">
        <is>
          <t>Garden</t>
        </is>
      </c>
      <c r="K23" s="8" t="inlineStr">
        <is>
          <t>Delivery quarter estimated; Rent: CoStar ask $1,607 vs RealPage eff $1,388</t>
        </is>
      </c>
    </row>
    <row r="24">
      <c r="B24" s="7" t="n">
        <v>19</v>
      </c>
      <c r="C24" s="8" t="inlineStr">
        <is>
          <t>TerraLane at Park McDowell</t>
        </is>
      </c>
      <c r="D24" s="9" t="n">
        <v>162</v>
      </c>
      <c r="E24" s="7" t="inlineStr">
        <is>
          <t>Q1 2023</t>
        </is>
      </c>
      <c r="F24" s="10" t="n">
        <v>0.8518520000000001</v>
      </c>
      <c r="G24" s="11" t="n">
        <v>1576</v>
      </c>
      <c r="H24" s="8" t="inlineStr">
        <is>
          <t>TerraLane Communities</t>
        </is>
      </c>
      <c r="I24" s="12" t="n">
        <v>3.5</v>
      </c>
      <c r="J24" s="7" t="inlineStr">
        <is>
          <t>Garden</t>
        </is>
      </c>
      <c r="K24" s="8" t="inlineStr">
        <is>
          <t>Delivery quarter estimated; Occ: CoStar 85% vs RealPage 88%; Rent: CoStar ask $1,576 vs RealPage eff $1,211</t>
        </is>
      </c>
    </row>
    <row r="25">
      <c r="B25" s="7" t="n">
        <v>20</v>
      </c>
      <c r="C25" s="8" t="inlineStr">
        <is>
          <t>Ironwood Homes at River Run</t>
        </is>
      </c>
      <c r="D25" s="9" t="n">
        <v>103</v>
      </c>
      <c r="E25" s="7" t="inlineStr">
        <is>
          <t>Q1 2023</t>
        </is>
      </c>
      <c r="F25" s="10" t="n">
        <v>0.893204</v>
      </c>
      <c r="G25" s="11" t="n">
        <v>2523</v>
      </c>
      <c r="H25" s="8" t="inlineStr">
        <is>
          <t>Sunstone Properties Trust</t>
        </is>
      </c>
      <c r="I25" s="12" t="n">
        <v>1.1</v>
      </c>
      <c r="J25" s="7" t="inlineStr">
        <is>
          <t>Garden</t>
        </is>
      </c>
      <c r="K25" s="8" t="inlineStr">
        <is>
          <t>Delivery quarter estimated</t>
        </is>
      </c>
    </row>
    <row r="26">
      <c r="B26" s="7" t="n">
        <v>21</v>
      </c>
      <c r="C26" s="8" t="inlineStr">
        <is>
          <t>Avery</t>
        </is>
      </c>
      <c r="D26" s="9" t="n">
        <v>185</v>
      </c>
      <c r="E26" s="7" t="inlineStr">
        <is>
          <t>Q2 2024</t>
        </is>
      </c>
      <c r="F26" s="10" t="n">
        <v>0.924324</v>
      </c>
      <c r="G26" s="11" t="n">
        <v>1750</v>
      </c>
      <c r="H26" s="8" t="inlineStr">
        <is>
          <t>Larson Capital Management</t>
        </is>
      </c>
      <c r="I26" s="12" t="n">
        <v>1.1</v>
      </c>
      <c r="J26" s="7" t="inlineStr">
        <is>
          <t>Garden</t>
        </is>
      </c>
      <c r="K26" s="8" t="inlineStr">
        <is>
          <t>Rent: CoStar ask $1,750 vs RealPage eff $1,875</t>
        </is>
      </c>
    </row>
    <row r="27">
      <c r="B27" s="7" t="n">
        <v>22</v>
      </c>
      <c r="C27" s="8" t="inlineStr">
        <is>
          <t>Ironwood at River Run</t>
        </is>
      </c>
      <c r="D27" s="9" t="n">
        <v>103</v>
      </c>
      <c r="E27" s="7" t="inlineStr">
        <is>
          <t>Q2 2024</t>
        </is>
      </c>
      <c r="F27" s="10" t="n">
        <v>0.961</v>
      </c>
      <c r="G27" s="11" t="inlineStr">
        <is>
          <t>—</t>
        </is>
      </c>
      <c r="H27" s="8" t="inlineStr">
        <is>
          <t>Rockpoint Group</t>
        </is>
      </c>
      <c r="I27" s="12" t="n">
        <v>1.3</v>
      </c>
      <c r="J27" s="7" t="inlineStr">
        <is>
          <t>Single Family</t>
        </is>
      </c>
      <c r="K27" s="8" t="inlineStr">
        <is>
          <t>Delivery quarter estimated</t>
        </is>
      </c>
    </row>
    <row r="29">
      <c r="B29" s="13" t="n"/>
      <c r="C29" s="14" t="inlineStr">
        <is>
          <t>LEASING UP (28 properties, 7,249 units)</t>
        </is>
      </c>
    </row>
    <row r="30">
      <c r="B30" s="15" t="n">
        <v>23</v>
      </c>
      <c r="C30" s="16" t="inlineStr">
        <is>
          <t>Radia Avondale Station</t>
        </is>
      </c>
      <c r="D30" s="17" t="n">
        <v>407</v>
      </c>
      <c r="E30" s="15" t="inlineStr">
        <is>
          <t>Q1 2024</t>
        </is>
      </c>
      <c r="F30" s="18" t="n">
        <v>0.616708</v>
      </c>
      <c r="G30" s="19" t="n">
        <v>1743</v>
      </c>
      <c r="H30" s="16" t="inlineStr">
        <is>
          <t>Goodman Real Estate Inc.</t>
        </is>
      </c>
      <c r="I30" s="20" t="n">
        <v>3.1</v>
      </c>
      <c r="J30" s="15" t="inlineStr">
        <is>
          <t>Garden</t>
        </is>
      </c>
      <c r="K30" s="16" t="inlineStr">
        <is>
          <t>Units: CoStar 407 vs RealPage 212; Year built: 2024/2025; Delivery quarter estimated; Occ: CoStar 62% vs RealPage 51%; Verify rent/occ w/ HelloData</t>
        </is>
      </c>
    </row>
    <row r="31">
      <c r="B31" s="15" t="n">
        <v>24</v>
      </c>
      <c r="C31" s="16" t="inlineStr">
        <is>
          <t>Alta 99th</t>
        </is>
      </c>
      <c r="D31" s="17" t="n">
        <v>402</v>
      </c>
      <c r="E31" s="15" t="inlineStr">
        <is>
          <t>Q1 2024</t>
        </is>
      </c>
      <c r="F31" s="18" t="n">
        <v>0.855721</v>
      </c>
      <c r="G31" s="19" t="n">
        <v>1542</v>
      </c>
      <c r="H31" s="16" t="inlineStr">
        <is>
          <t>Wood Partners</t>
        </is>
      </c>
      <c r="I31" s="20" t="n">
        <v>3.1</v>
      </c>
      <c r="J31" s="15" t="inlineStr">
        <is>
          <t>Garden</t>
        </is>
      </c>
      <c r="K31" s="16" t="inlineStr">
        <is>
          <t>Delivery quarter estimated; Occ: CoStar 86% vs RealPage 90%; Rent: CoStar ask $1,542 vs RealPage eff $1,154; Verify rent/occ w/ HelloData</t>
        </is>
      </c>
    </row>
    <row r="32">
      <c r="B32" s="15" t="n">
        <v>25</v>
      </c>
      <c r="C32" s="16" t="inlineStr">
        <is>
          <t>Alta Avondale</t>
        </is>
      </c>
      <c r="D32" s="17" t="n">
        <v>360</v>
      </c>
      <c r="E32" s="15" t="inlineStr">
        <is>
          <t>Q2 2024</t>
        </is>
      </c>
      <c r="F32" s="18" t="n">
        <v>0.7833330000000001</v>
      </c>
      <c r="G32" s="19" t="n">
        <v>1610</v>
      </c>
      <c r="H32" s="16" t="inlineStr">
        <is>
          <t>Wood Partners</t>
        </is>
      </c>
      <c r="I32" s="20" t="n">
        <v>2.9</v>
      </c>
      <c r="J32" s="15" t="inlineStr">
        <is>
          <t>Mid-Rise</t>
        </is>
      </c>
      <c r="K32" s="16" t="inlineStr">
        <is>
          <t>Year built: 2024/2025; Delivery quarter estimated; Occ: CoStar 78% vs RealPage 84%; Rent: CoStar ask $1,610 vs RealPage eff $1,339; Verify rent/occ w/ HelloData</t>
        </is>
      </c>
    </row>
    <row r="33">
      <c r="B33" s="15" t="n">
        <v>26</v>
      </c>
      <c r="C33" s="16" t="inlineStr">
        <is>
          <t>Livano Avondale</t>
        </is>
      </c>
      <c r="D33" s="17" t="n">
        <v>316</v>
      </c>
      <c r="E33" s="15" t="inlineStr">
        <is>
          <t>Q2 2024</t>
        </is>
      </c>
      <c r="F33" s="18" t="n">
        <v>0.829114</v>
      </c>
      <c r="G33" s="19" t="n">
        <v>1663</v>
      </c>
      <c r="H33" s="16" t="inlineStr">
        <is>
          <t>LIV Development</t>
        </is>
      </c>
      <c r="I33" s="20" t="n">
        <v>2.5</v>
      </c>
      <c r="J33" s="15" t="inlineStr">
        <is>
          <t>Mid-Rise</t>
        </is>
      </c>
      <c r="K33" s="16" t="inlineStr">
        <is>
          <t>Year built: 2024/2025; Delivery quarter estimated; Rent: CoStar ask $1,663 vs RealPage eff $1,263; Verify rent/occ w/ HelloData</t>
        </is>
      </c>
    </row>
    <row r="34">
      <c r="B34" s="15" t="n">
        <v>27</v>
      </c>
      <c r="C34" s="16" t="inlineStr">
        <is>
          <t>Cardinal 95</t>
        </is>
      </c>
      <c r="D34" s="17" t="n">
        <v>198</v>
      </c>
      <c r="E34" s="15" t="inlineStr">
        <is>
          <t>Q2 2024</t>
        </is>
      </c>
      <c r="F34" s="18" t="n">
        <v>0.878788</v>
      </c>
      <c r="G34" s="19" t="n">
        <v>1691</v>
      </c>
      <c r="H34" s="16" t="inlineStr">
        <is>
          <t>Quarry Capital</t>
        </is>
      </c>
      <c r="I34" s="20" t="n">
        <v>4.4</v>
      </c>
      <c r="J34" s="15" t="inlineStr">
        <is>
          <t>Garden</t>
        </is>
      </c>
      <c r="K34" s="16" t="inlineStr">
        <is>
          <t>Delivery quarter estimated; Verify rent/occ w/ HelloData</t>
        </is>
      </c>
    </row>
    <row r="35">
      <c r="B35" s="15" t="n">
        <v>28</v>
      </c>
      <c r="C35" s="16" t="inlineStr">
        <is>
          <t>Moderne at Roosevelt</t>
        </is>
      </c>
      <c r="D35" s="17" t="n">
        <v>185</v>
      </c>
      <c r="E35" s="15" t="inlineStr">
        <is>
          <t>Q2 2024</t>
        </is>
      </c>
      <c r="F35" s="18" t="n">
        <v>0.891892</v>
      </c>
      <c r="G35" s="19" t="n">
        <v>1900</v>
      </c>
      <c r="H35" s="16" t="inlineStr">
        <is>
          <t>MODERNE Communities</t>
        </is>
      </c>
      <c r="I35" s="20" t="n">
        <v>3.9</v>
      </c>
      <c r="J35" s="15" t="inlineStr">
        <is>
          <t>Low-Rise</t>
        </is>
      </c>
      <c r="K35" s="16" t="inlineStr">
        <is>
          <t>Year built: 2024/2025; Occ: CoStar 89% vs RealPage 94%; Rent: CoStar ask $1,900 vs RealPage eff $1,769; Verify rent/occ w/ HelloData</t>
        </is>
      </c>
    </row>
    <row r="36">
      <c r="B36" s="15" t="n">
        <v>29</v>
      </c>
      <c r="C36" s="16" t="inlineStr">
        <is>
          <t>Canopy at the Trails</t>
        </is>
      </c>
      <c r="D36" s="17" t="n">
        <v>124</v>
      </c>
      <c r="E36" s="15" t="inlineStr">
        <is>
          <t>Q2 2024</t>
        </is>
      </c>
      <c r="F36" s="18" t="n">
        <v>0.879032</v>
      </c>
      <c r="G36" s="19" t="n">
        <v>2183</v>
      </c>
      <c r="H36" s="16" t="inlineStr">
        <is>
          <t>Mark-Taylor Companies</t>
        </is>
      </c>
      <c r="I36" s="20" t="n">
        <v>2.3</v>
      </c>
      <c r="J36" s="15" t="inlineStr">
        <is>
          <t>Townhome</t>
        </is>
      </c>
      <c r="K36" s="16" t="inlineStr">
        <is>
          <t>Delivery quarter estimated; Occ: CoStar 88% vs RealPage 92%; Verify rent/occ w/ HelloData</t>
        </is>
      </c>
    </row>
    <row r="37">
      <c r="B37" s="15" t="n">
        <v>30</v>
      </c>
      <c r="C37" s="16" t="inlineStr">
        <is>
          <t>Meritum Sheely Farms</t>
        </is>
      </c>
      <c r="D37" s="17" t="n">
        <v>680</v>
      </c>
      <c r="E37" s="15" t="inlineStr">
        <is>
          <t>Q4 2024</t>
        </is>
      </c>
      <c r="F37" s="18" t="n">
        <v>0.797059</v>
      </c>
      <c r="G37" s="19" t="n">
        <v>1680</v>
      </c>
      <c r="H37" s="16" t="inlineStr">
        <is>
          <t>IDM Companies</t>
        </is>
      </c>
      <c r="I37" s="20" t="n">
        <v>3.2</v>
      </c>
      <c r="J37" s="15" t="inlineStr">
        <is>
          <t>Mid-Rise</t>
        </is>
      </c>
      <c r="K37" s="16" t="inlineStr">
        <is>
          <t>Year built: 2024/2025; Delivery quarter estimated; Rent: CoStar ask $1,680 vs RealPage eff $1,356; Verify rent/occ w/ HelloData</t>
        </is>
      </c>
    </row>
    <row r="38">
      <c r="B38" s="15" t="n">
        <v>31</v>
      </c>
      <c r="C38" s="16" t="inlineStr">
        <is>
          <t>Alta Goodyear</t>
        </is>
      </c>
      <c r="D38" s="17" t="n">
        <v>342</v>
      </c>
      <c r="E38" s="15" t="inlineStr">
        <is>
          <t>Q2 2025</t>
        </is>
      </c>
      <c r="F38" s="18" t="n">
        <v>0.789474</v>
      </c>
      <c r="G38" s="19" t="n">
        <v>1638</v>
      </c>
      <c r="H38" s="16" t="inlineStr">
        <is>
          <t>Wood Partners</t>
        </is>
      </c>
      <c r="I38" s="20" t="n">
        <v>3.5</v>
      </c>
      <c r="J38" s="15" t="inlineStr">
        <is>
          <t>Mid-Rise</t>
        </is>
      </c>
      <c r="K38" s="16" t="inlineStr">
        <is>
          <t>Delivery quarter estimated; Rent: CoStar ask $1,638 vs RealPage eff $1,433; Verify rent/occ w/ HelloData</t>
        </is>
      </c>
    </row>
    <row r="39">
      <c r="B39" s="15" t="n">
        <v>32</v>
      </c>
      <c r="C39" s="16" t="inlineStr">
        <is>
          <t>Agave Ranch</t>
        </is>
      </c>
      <c r="D39" s="17" t="n">
        <v>324</v>
      </c>
      <c r="E39" s="15" t="inlineStr">
        <is>
          <t>Q2 2025</t>
        </is>
      </c>
      <c r="F39" s="18" t="n">
        <v>0.802469</v>
      </c>
      <c r="G39" s="19" t="n">
        <v>1747</v>
      </c>
      <c r="H39" s="16" t="inlineStr">
        <is>
          <t>The Garrett Companies</t>
        </is>
      </c>
      <c r="I39" s="20" t="n">
        <v>3.5</v>
      </c>
      <c r="J39" s="15" t="inlineStr">
        <is>
          <t>Mid-Rise</t>
        </is>
      </c>
      <c r="K39" s="16" t="inlineStr">
        <is>
          <t>Delivery quarter estimated; Occ: CoStar 80% vs RealPage 0%; Rent: CoStar ask $1,747 vs RealPage eff $1,582; Verify rent/occ w/ HelloData</t>
        </is>
      </c>
    </row>
    <row r="40">
      <c r="B40" s="15" t="n">
        <v>33</v>
      </c>
      <c r="C40" s="16" t="inlineStr">
        <is>
          <t>Avondale Commons</t>
        </is>
      </c>
      <c r="D40" s="17" t="n">
        <v>324</v>
      </c>
      <c r="E40" s="15" t="inlineStr">
        <is>
          <t>Q2 2025</t>
        </is>
      </c>
      <c r="F40" s="18" t="n">
        <v>0.37037</v>
      </c>
      <c r="G40" s="19" t="n">
        <v>1632</v>
      </c>
      <c r="H40" s="16" t="inlineStr">
        <is>
          <t>Overland Group</t>
        </is>
      </c>
      <c r="I40" s="20" t="n">
        <v>1.9</v>
      </c>
      <c r="J40" s="15" t="inlineStr">
        <is>
          <t>Mid-Rise</t>
        </is>
      </c>
      <c r="K40" s="16" t="inlineStr">
        <is>
          <t>Year built: 2025/2026; Delivery quarter estimated; Occ: CoStar 37% vs RealPage 85%; Rent: CoStar ask $1,632 vs RealPage eff $1,321; Verify rent/occ w/ HelloData</t>
        </is>
      </c>
    </row>
    <row r="41">
      <c r="B41" s="15" t="n">
        <v>34</v>
      </c>
      <c r="C41" s="16" t="inlineStr">
        <is>
          <t>Broadstone Westgate</t>
        </is>
      </c>
      <c r="D41" s="17" t="n">
        <v>308</v>
      </c>
      <c r="E41" s="15" t="inlineStr">
        <is>
          <t>Q2 2025</t>
        </is>
      </c>
      <c r="F41" s="18" t="n">
        <v>0.89</v>
      </c>
      <c r="G41" s="19" t="inlineStr">
        <is>
          <t>—</t>
        </is>
      </c>
      <c r="H41" s="16" t="inlineStr">
        <is>
          <t>Alliance Residential Company/American Realty Advisors</t>
        </is>
      </c>
      <c r="I41" s="20" t="n">
        <v>4.9</v>
      </c>
      <c r="J41" s="15" t="inlineStr">
        <is>
          <t>Mid-Rise</t>
        </is>
      </c>
      <c r="K41" s="16" t="inlineStr">
        <is>
          <t>Delivery quarter estimated; Verify rent/occ w/ HelloData</t>
        </is>
      </c>
    </row>
    <row r="42">
      <c r="B42" s="15" t="n">
        <v>35</v>
      </c>
      <c r="C42" s="16" t="inlineStr">
        <is>
          <t>The Douglas</t>
        </is>
      </c>
      <c r="D42" s="17" t="n">
        <v>307</v>
      </c>
      <c r="E42" s="15" t="inlineStr">
        <is>
          <t>Q2 2025</t>
        </is>
      </c>
      <c r="F42" s="18" t="n">
        <v>0.583062</v>
      </c>
      <c r="G42" s="19" t="n">
        <v>2076</v>
      </c>
      <c r="H42" s="16" t="inlineStr">
        <is>
          <t>UrbanStreet Group</t>
        </is>
      </c>
      <c r="I42" s="20" t="n">
        <v>4.1</v>
      </c>
      <c r="J42" s="15" t="inlineStr">
        <is>
          <t>Townhome</t>
        </is>
      </c>
      <c r="K42" s="16" t="inlineStr">
        <is>
          <t>Delivery quarter estimated; Rent: CoStar ask $2,076 vs RealPage eff $1,561; Verify rent/occ w/ HelloData</t>
        </is>
      </c>
    </row>
    <row r="43">
      <c r="B43" s="15" t="n">
        <v>36</v>
      </c>
      <c r="C43" s="16" t="inlineStr">
        <is>
          <t>Streamliner Aldea</t>
        </is>
      </c>
      <c r="D43" s="17" t="n">
        <v>282</v>
      </c>
      <c r="E43" s="15" t="inlineStr">
        <is>
          <t>Q2 2025</t>
        </is>
      </c>
      <c r="F43" s="18" t="n">
        <v>0.844</v>
      </c>
      <c r="G43" s="19" t="inlineStr">
        <is>
          <t>—</t>
        </is>
      </c>
      <c r="H43" s="16" t="inlineStr">
        <is>
          <t>Greenlight Communities LLC</t>
        </is>
      </c>
      <c r="I43" s="20" t="n">
        <v>4.3</v>
      </c>
      <c r="J43" s="15" t="inlineStr">
        <is>
          <t>Garden</t>
        </is>
      </c>
      <c r="K43" s="16" t="inlineStr">
        <is>
          <t>Delivery quarter estimated; Verify rent/occ w/ HelloData</t>
        </is>
      </c>
    </row>
    <row r="44">
      <c r="B44" s="15" t="n">
        <v>37</v>
      </c>
      <c r="C44" s="16" t="inlineStr">
        <is>
          <t>Cabana Aldea</t>
        </is>
      </c>
      <c r="D44" s="17" t="n">
        <v>257</v>
      </c>
      <c r="E44" s="15" t="inlineStr">
        <is>
          <t>Q2 2025</t>
        </is>
      </c>
      <c r="F44" s="18" t="n">
        <v>0.7393000000000001</v>
      </c>
      <c r="G44" s="19" t="n">
        <v>1330</v>
      </c>
      <c r="H44" s="16" t="inlineStr">
        <is>
          <t>Greenlight Communities</t>
        </is>
      </c>
      <c r="I44" s="20" t="n">
        <v>3.6</v>
      </c>
      <c r="J44" s="15" t="inlineStr">
        <is>
          <t>Garden</t>
        </is>
      </c>
      <c r="K44" s="16" t="inlineStr">
        <is>
          <t>Delivery quarter estimated; Occ: CoStar 74% vs RealPage 67%; Rent: CoStar ask $1,330 vs RealPage eff $1,253; Verify rent/occ w/ HelloData</t>
        </is>
      </c>
    </row>
    <row r="45">
      <c r="B45" s="15" t="n">
        <v>38</v>
      </c>
      <c r="C45" s="16" t="inlineStr">
        <is>
          <t>Somerset Upscale Apartments</t>
        </is>
      </c>
      <c r="D45" s="17" t="n">
        <v>234</v>
      </c>
      <c r="E45" s="15" t="inlineStr">
        <is>
          <t>Q2 2025</t>
        </is>
      </c>
      <c r="F45" s="18" t="n">
        <v>0.256</v>
      </c>
      <c r="G45" s="19" t="inlineStr">
        <is>
          <t>—</t>
        </is>
      </c>
      <c r="H45" s="16" t="inlineStr">
        <is>
          <t>Ridgehouse Companies</t>
        </is>
      </c>
      <c r="I45" s="20" t="n">
        <v>5.1</v>
      </c>
      <c r="J45" s="15" t="inlineStr">
        <is>
          <t>Mid-Rise</t>
        </is>
      </c>
      <c r="K45" s="16" t="inlineStr">
        <is>
          <t>Delivery quarter estimated; Verify rent/occ w/ HelloData</t>
        </is>
      </c>
    </row>
    <row r="46">
      <c r="B46" s="15" t="n">
        <v>39</v>
      </c>
      <c r="C46" s="16" t="inlineStr">
        <is>
          <t>Village at Skyline Ranch</t>
        </is>
      </c>
      <c r="D46" s="17" t="n">
        <v>167</v>
      </c>
      <c r="E46" s="15" t="inlineStr">
        <is>
          <t>Q2 2025</t>
        </is>
      </c>
      <c r="F46" s="18" t="n">
        <v>0.3952100000000001</v>
      </c>
      <c r="G46" s="19" t="n">
        <v>1773</v>
      </c>
      <c r="H46" s="16" t="inlineStr">
        <is>
          <t>Empire Group of Companies</t>
        </is>
      </c>
      <c r="I46" s="20" t="n">
        <v>3.7</v>
      </c>
      <c r="J46" s="15" t="inlineStr">
        <is>
          <t>Single Family</t>
        </is>
      </c>
      <c r="K46" s="16" t="inlineStr">
        <is>
          <t>Year built: 2025/2026; Delivery quarter estimated; Occ: CoStar 40% vs RealPage 0%; Rent: CoStar ask $1,773 vs RealPage eff $1,632; Verify rent/occ w/ HelloData</t>
        </is>
      </c>
    </row>
    <row r="47">
      <c r="B47" s="15" t="n">
        <v>40</v>
      </c>
      <c r="C47" s="16" t="inlineStr">
        <is>
          <t>Villas Litchfield Park</t>
        </is>
      </c>
      <c r="D47" s="17" t="n">
        <v>153</v>
      </c>
      <c r="E47" s="15" t="inlineStr">
        <is>
          <t>Q3 2025</t>
        </is>
      </c>
      <c r="F47" s="18" t="n">
        <v>0.810458</v>
      </c>
      <c r="G47" s="19" t="n">
        <v>1913</v>
      </c>
      <c r="H47" s="16" t="inlineStr">
        <is>
          <t>Family Development</t>
        </is>
      </c>
      <c r="I47" s="20" t="n">
        <v>1.5</v>
      </c>
      <c r="J47" s="15" t="inlineStr">
        <is>
          <t>Single Family</t>
        </is>
      </c>
      <c r="K47" s="16" t="inlineStr">
        <is>
          <t>Delivery quarter estimated; Occ: CoStar 81% vs RealPage 86%; Rent: CoStar ask $1,913 vs RealPage eff $1,538; Verify rent/occ w/ HelloData</t>
        </is>
      </c>
    </row>
    <row r="48">
      <c r="B48" s="15" t="n">
        <v>41</v>
      </c>
      <c r="C48" s="16" t="inlineStr">
        <is>
          <t>Villas on Van Buren</t>
        </is>
      </c>
      <c r="D48" s="17" t="n">
        <v>143</v>
      </c>
      <c r="E48" s="15" t="inlineStr">
        <is>
          <t>Q3 2025</t>
        </is>
      </c>
      <c r="F48" s="18" t="n">
        <v>0.496503</v>
      </c>
      <c r="G48" s="19" t="n">
        <v>2085</v>
      </c>
      <c r="H48" s="16" t="inlineStr">
        <is>
          <t>Sunstone Properties Trust</t>
        </is>
      </c>
      <c r="I48" s="20" t="n">
        <v>4</v>
      </c>
      <c r="J48" s="15" t="inlineStr">
        <is>
          <t>Townhome</t>
        </is>
      </c>
      <c r="K48" s="16" t="inlineStr">
        <is>
          <t>Year built: 2025/2026; Delivery quarter estimated; Occ: CoStar 50% vs RealPage 0%; Verify rent/occ w/ HelloData</t>
        </is>
      </c>
    </row>
    <row r="49">
      <c r="B49" s="15" t="n">
        <v>42</v>
      </c>
      <c r="C49" s="16" t="inlineStr">
        <is>
          <t>Pradera Estates</t>
        </is>
      </c>
      <c r="D49" s="17" t="n">
        <v>86</v>
      </c>
      <c r="E49" s="15" t="inlineStr">
        <is>
          <t>Q3 2025</t>
        </is>
      </c>
      <c r="F49" s="18" t="n">
        <v>0.895349</v>
      </c>
      <c r="G49" s="19" t="n">
        <v>2474</v>
      </c>
      <c r="H49" s="16" t="inlineStr">
        <is>
          <t>AMH</t>
        </is>
      </c>
      <c r="I49" s="20" t="n">
        <v>3.3</v>
      </c>
      <c r="J49" s="15" t="inlineStr">
        <is>
          <t>Garden</t>
        </is>
      </c>
      <c r="K49" s="16" t="inlineStr">
        <is>
          <t>Delivery quarter estimated; Verify rent/occ w/ HelloData</t>
        </is>
      </c>
    </row>
    <row r="50">
      <c r="B50" s="15" t="n">
        <v>43</v>
      </c>
      <c r="C50" s="16" t="inlineStr">
        <is>
          <t>Rev3 Encanto West</t>
        </is>
      </c>
      <c r="D50" s="17" t="n">
        <v>84</v>
      </c>
      <c r="E50" s="15" t="inlineStr">
        <is>
          <t>Q3 2025</t>
        </is>
      </c>
      <c r="F50" s="18" t="n">
        <v>0.52381</v>
      </c>
      <c r="G50" s="19" t="n">
        <v>2319</v>
      </c>
      <c r="H50" s="16" t="inlineStr">
        <is>
          <t>Trilogy Investment Company</t>
        </is>
      </c>
      <c r="I50" s="20" t="n">
        <v>1.6</v>
      </c>
      <c r="J50" s="15" t="inlineStr">
        <is>
          <t>Townhome</t>
        </is>
      </c>
      <c r="K50" s="16" t="inlineStr">
        <is>
          <t>Units: CoStar 84 vs RealPage 78; Year built: 2025/2026; Occ: CoStar 52% vs RealPage 71%; Rent: CoStar ask $2,319 vs RealPage eff $1,833; Verify rent/occ w/ HelloData</t>
        </is>
      </c>
    </row>
    <row r="51">
      <c r="B51" s="15" t="n">
        <v>44</v>
      </c>
      <c r="C51" s="16" t="inlineStr">
        <is>
          <t>Avalon Townhomes</t>
        </is>
      </c>
      <c r="D51" s="17" t="n">
        <v>70</v>
      </c>
      <c r="E51" s="15" t="inlineStr">
        <is>
          <t>Q3 2025</t>
        </is>
      </c>
      <c r="F51" s="18" t="n">
        <v>0.857143</v>
      </c>
      <c r="G51" s="19" t="n">
        <v>2325</v>
      </c>
      <c r="H51" s="16" t="inlineStr">
        <is>
          <t>LVP Partners Group</t>
        </is>
      </c>
      <c r="I51" s="20" t="n">
        <v>1.1</v>
      </c>
      <c r="J51" s="15" t="inlineStr">
        <is>
          <t>Townhome</t>
        </is>
      </c>
      <c r="K51" s="16" t="inlineStr">
        <is>
          <t>Delivery quarter estimated; Rent: CoStar ask $2,325 vs RealPage eff $2,169; Verify rent/occ w/ HelloData</t>
        </is>
      </c>
    </row>
    <row r="52">
      <c r="B52" s="15" t="n">
        <v>45</v>
      </c>
      <c r="C52" s="16" t="inlineStr">
        <is>
          <t>Broadstone Ascend</t>
        </is>
      </c>
      <c r="D52" s="17" t="n">
        <v>432</v>
      </c>
      <c r="E52" s="15" t="inlineStr">
        <is>
          <t>Q4 2025</t>
        </is>
      </c>
      <c r="F52" s="18" t="n">
        <v>0.875</v>
      </c>
      <c r="G52" s="19" t="n">
        <v>1506</v>
      </c>
      <c r="H52" s="16" t="inlineStr">
        <is>
          <t>Alliance Residential Company</t>
        </is>
      </c>
      <c r="I52" s="20" t="n">
        <v>0.7</v>
      </c>
      <c r="J52" s="15" t="inlineStr">
        <is>
          <t>Garden</t>
        </is>
      </c>
      <c r="K52" s="16" t="inlineStr">
        <is>
          <t>Year built: 2025/2026; Delivery quarter estimated; Occ: CoStar 88% vs RealPage 51%; Rent: CoStar ask $1,506 vs RealPage eff $1,107; Verify rent/occ w/ HelloData</t>
        </is>
      </c>
    </row>
    <row r="53">
      <c r="B53" s="15" t="n">
        <v>46</v>
      </c>
      <c r="C53" s="16" t="inlineStr">
        <is>
          <t>Flatz 623</t>
        </is>
      </c>
      <c r="D53" s="17" t="n">
        <v>360</v>
      </c>
      <c r="E53" s="15" t="inlineStr">
        <is>
          <t>Q2 2026</t>
        </is>
      </c>
      <c r="F53" s="18" t="n">
        <v>0.1333329999999999</v>
      </c>
      <c r="G53" s="19" t="n">
        <v>1411</v>
      </c>
      <c r="H53" s="16" t="inlineStr">
        <is>
          <t>Zekelman Industries</t>
        </is>
      </c>
      <c r="I53" s="20" t="n">
        <v>2.9</v>
      </c>
      <c r="J53" s="15" t="inlineStr">
        <is>
          <t>Low-Rise</t>
        </is>
      </c>
      <c r="K53" s="16" t="inlineStr">
        <is>
          <t>Delivery quarter estimated; Verify rent/occ w/ HelloData</t>
        </is>
      </c>
    </row>
    <row r="54">
      <c r="B54" s="15" t="n">
        <v>47</v>
      </c>
      <c r="C54" s="16" t="inlineStr">
        <is>
          <t>Stately Avondale</t>
        </is>
      </c>
      <c r="D54" s="17" t="n">
        <v>286</v>
      </c>
      <c r="E54" s="15" t="inlineStr">
        <is>
          <t>Q2 2026</t>
        </is>
      </c>
      <c r="F54" s="18" t="n">
        <v>0.297203</v>
      </c>
      <c r="G54" s="19" t="n">
        <v>1728</v>
      </c>
      <c r="H54" s="16" t="inlineStr">
        <is>
          <t>Ascent Companies</t>
        </is>
      </c>
      <c r="I54" s="20" t="n">
        <v>2.7</v>
      </c>
      <c r="J54" s="15" t="inlineStr">
        <is>
          <t>Garden</t>
        </is>
      </c>
      <c r="K54" s="16" t="inlineStr">
        <is>
          <t>Year built: 2026/2027; Delivery quarter estimated; Occ: CoStar 30% vs RealPage 0%; Rent: CoStar ask $1,728 vs RealPage eff $1,243; Verify rent/occ w/ HelloData</t>
        </is>
      </c>
    </row>
    <row r="55">
      <c r="B55" s="15" t="n">
        <v>48</v>
      </c>
      <c r="C55" s="16" t="inlineStr">
        <is>
          <t>Avilla Western Garden</t>
        </is>
      </c>
      <c r="D55" s="17" t="n">
        <v>195</v>
      </c>
      <c r="E55" s="15" t="inlineStr">
        <is>
          <t>Q2 2026</t>
        </is>
      </c>
      <c r="F55" s="18" t="n">
        <v>0.4461540000000001</v>
      </c>
      <c r="G55" s="19" t="n">
        <v>1829</v>
      </c>
      <c r="H55" s="16" t="inlineStr">
        <is>
          <t>NexMetro Communities</t>
        </is>
      </c>
      <c r="I55" s="20" t="n">
        <v>3.2</v>
      </c>
      <c r="J55" s="15" t="inlineStr">
        <is>
          <t>Garden</t>
        </is>
      </c>
      <c r="K55" s="16" t="inlineStr">
        <is>
          <t>Delivery quarter estimated; Occ: CoStar 45% vs RealPage 0%; Rent: CoStar ask $1,829 vs RealPage eff $1,681; Verify rent/occ w/ HelloData</t>
        </is>
      </c>
    </row>
    <row r="56">
      <c r="B56" s="15" t="n">
        <v>49</v>
      </c>
      <c r="C56" s="16" t="inlineStr">
        <is>
          <t>Rev3 at Avondale Station</t>
        </is>
      </c>
      <c r="D56" s="17" t="n">
        <v>117</v>
      </c>
      <c r="E56" s="15" t="inlineStr">
        <is>
          <t>Q2 2026</t>
        </is>
      </c>
      <c r="F56" s="18" t="n">
        <v>0.273504</v>
      </c>
      <c r="G56" s="19" t="n">
        <v>2537</v>
      </c>
      <c r="H56" s="16" t="inlineStr">
        <is>
          <t>Trilogy Investment Company</t>
        </is>
      </c>
      <c r="I56" s="20" t="n">
        <v>3.1</v>
      </c>
      <c r="J56" s="15" t="inlineStr">
        <is>
          <t>Single Family</t>
        </is>
      </c>
      <c r="K56" s="16" t="inlineStr">
        <is>
          <t>Units: CoStar 117 vs RealPage 107; Delivery quarter estimated; Occ: CoStar 27% vs RealPage 0%; Rent: CoStar ask $2,537 vs RealPage eff $2,273; Verify rent/occ w/ HelloData</t>
        </is>
      </c>
    </row>
    <row r="57">
      <c r="B57" s="15" t="n">
        <v>50</v>
      </c>
      <c r="C57" s="16" t="inlineStr">
        <is>
          <t>Liberty at Estrella Falls</t>
        </is>
      </c>
      <c r="D57" s="17" t="n">
        <v>106</v>
      </c>
      <c r="E57" s="15" t="inlineStr">
        <is>
          <t>Q2 2026</t>
        </is>
      </c>
      <c r="F57" s="18" t="n">
        <v>0.05660399999999999</v>
      </c>
      <c r="G57" s="19" t="n">
        <v>2966</v>
      </c>
      <c r="H57" s="16" t="inlineStr">
        <is>
          <t>Ronald D Newman</t>
        </is>
      </c>
      <c r="I57" s="20" t="n">
        <v>4.3</v>
      </c>
      <c r="J57" s="15" t="inlineStr">
        <is>
          <t>Garden</t>
        </is>
      </c>
      <c r="K57" s="16" t="inlineStr">
        <is>
          <t>Delivery quarter estimated; Occ: CoStar 6% vs RealPage 21%; Rent: CoStar ask $2,966 vs RealPage eff $1,938; Verify rent/occ w/ HelloData</t>
        </is>
      </c>
    </row>
    <row r="59">
      <c r="B59" s="21" t="n"/>
      <c r="C59" s="22" t="inlineStr">
        <is>
          <t>UNDER CONSTRUCTION (11 properties, 2,307 units)</t>
        </is>
      </c>
    </row>
    <row r="60">
      <c r="B60" s="23" t="n">
        <v>51</v>
      </c>
      <c r="C60" s="24" t="inlineStr">
        <is>
          <t>Flatz623</t>
        </is>
      </c>
      <c r="D60" s="25" t="n">
        <v>360</v>
      </c>
      <c r="E60" s="23" t="inlineStr">
        <is>
          <t>Q3 2026</t>
        </is>
      </c>
      <c r="F60" s="26" t="n"/>
      <c r="G60" s="27" t="inlineStr">
        <is>
          <t>—</t>
        </is>
      </c>
      <c r="H60" s="24" t="inlineStr">
        <is>
          <t>Zekelman Industries</t>
        </is>
      </c>
      <c r="I60" s="28" t="n">
        <v>2.9</v>
      </c>
      <c r="J60" s="23" t="inlineStr">
        <is>
          <t>Low-Rise</t>
        </is>
      </c>
      <c r="K60" s="24" t="n"/>
    </row>
    <row r="61">
      <c r="B61" s="23" t="n">
        <v>52</v>
      </c>
      <c r="C61" s="24" t="inlineStr">
        <is>
          <t>FUZE Ballpark</t>
        </is>
      </c>
      <c r="D61" s="25" t="n">
        <v>321</v>
      </c>
      <c r="E61" s="23" t="inlineStr">
        <is>
          <t>Q3 2026</t>
        </is>
      </c>
      <c r="F61" s="26" t="n"/>
      <c r="G61" s="27" t="inlineStr">
        <is>
          <t>—</t>
        </is>
      </c>
      <c r="H61" s="24" t="inlineStr">
        <is>
          <t>Zekelman Industries</t>
        </is>
      </c>
      <c r="I61" s="28" t="n">
        <v>3.1</v>
      </c>
      <c r="J61" s="23" t="inlineStr">
        <is>
          <t>Mid-Rise</t>
        </is>
      </c>
      <c r="K61" s="24" t="n"/>
    </row>
    <row r="62">
      <c r="B62" s="23" t="n">
        <v>53</v>
      </c>
      <c r="C62" s="24" t="inlineStr">
        <is>
          <t>HARMON Ascend</t>
        </is>
      </c>
      <c r="D62" s="25" t="n">
        <v>125</v>
      </c>
      <c r="E62" s="23" t="inlineStr">
        <is>
          <t>Q1 2027</t>
        </is>
      </c>
      <c r="F62" s="26" t="n"/>
      <c r="G62" s="27" t="n">
        <v>2788</v>
      </c>
      <c r="H62" s="24" t="inlineStr">
        <is>
          <t>Crescent Communities LLC</t>
        </is>
      </c>
      <c r="I62" s="28" t="n">
        <v>0.7</v>
      </c>
      <c r="J62" s="23" t="inlineStr">
        <is>
          <t>Townhome</t>
        </is>
      </c>
      <c r="K62" s="24" t="n"/>
    </row>
    <row r="63">
      <c r="B63" s="23" t="n">
        <v>54</v>
      </c>
      <c r="C63" s="24" t="inlineStr">
        <is>
          <t>Pointe Grand Estrella at Phoenix</t>
        </is>
      </c>
      <c r="D63" s="25" t="n">
        <v>288</v>
      </c>
      <c r="E63" s="23" t="inlineStr">
        <is>
          <t>Q2 2027</t>
        </is>
      </c>
      <c r="F63" s="26" t="n"/>
      <c r="G63" s="27" t="n">
        <v>1650</v>
      </c>
      <c r="H63" s="24" t="inlineStr">
        <is>
          <t>Hillpointe, LLC</t>
        </is>
      </c>
      <c r="I63" s="28" t="n">
        <v>5</v>
      </c>
      <c r="J63" s="23" t="inlineStr">
        <is>
          <t>Garden</t>
        </is>
      </c>
      <c r="K63" s="24" t="inlineStr">
        <is>
          <t>Year built: 2026/2027</t>
        </is>
      </c>
    </row>
    <row r="64">
      <c r="B64" s="23" t="n">
        <v>55</v>
      </c>
      <c r="C64" s="24" t="inlineStr">
        <is>
          <t>Marbella Ranch East I</t>
        </is>
      </c>
      <c r="D64" s="25" t="n">
        <v>144</v>
      </c>
      <c r="E64" s="23" t="inlineStr">
        <is>
          <t>Q2 2027</t>
        </is>
      </c>
      <c r="F64" s="26" t="n"/>
      <c r="G64" s="27" t="inlineStr">
        <is>
          <t>—</t>
        </is>
      </c>
      <c r="H64" s="24" t="inlineStr">
        <is>
          <t>Symmetry Companies</t>
        </is>
      </c>
      <c r="I64" s="28" t="n">
        <v>4</v>
      </c>
      <c r="J64" s="23" t="inlineStr">
        <is>
          <t>Garden</t>
        </is>
      </c>
      <c r="K64" s="24" t="n"/>
    </row>
    <row r="65">
      <c r="B65" s="23" t="n">
        <v>56</v>
      </c>
      <c r="C65" s="24" t="inlineStr">
        <is>
          <t>Villages at Northern</t>
        </is>
      </c>
      <c r="D65" s="25" t="n">
        <v>74</v>
      </c>
      <c r="E65" s="23" t="inlineStr">
        <is>
          <t>Q2 2027</t>
        </is>
      </c>
      <c r="F65" s="26" t="n"/>
      <c r="G65" s="27" t="inlineStr">
        <is>
          <t>—</t>
        </is>
      </c>
      <c r="H65" s="24" t="inlineStr">
        <is>
          <t>—</t>
        </is>
      </c>
      <c r="I65" s="28" t="n">
        <v>4.7</v>
      </c>
      <c r="J65" s="23" t="inlineStr">
        <is>
          <t>Garden</t>
        </is>
      </c>
      <c r="K65" s="24" t="n"/>
    </row>
    <row r="66">
      <c r="B66" s="23" t="n">
        <v>57</v>
      </c>
      <c r="C66" s="24" t="inlineStr">
        <is>
          <t>Prosper 47</t>
        </is>
      </c>
      <c r="D66" s="25" t="n">
        <v>47</v>
      </c>
      <c r="E66" s="23" t="inlineStr">
        <is>
          <t>Q2 2027</t>
        </is>
      </c>
      <c r="F66" s="26" t="n"/>
      <c r="G66" s="27" t="inlineStr">
        <is>
          <t>—</t>
        </is>
      </c>
      <c r="H66" s="24" t="inlineStr">
        <is>
          <t>—</t>
        </is>
      </c>
      <c r="I66" s="28" t="n">
        <v>6.1</v>
      </c>
      <c r="J66" s="23" t="inlineStr">
        <is>
          <t>Townhome</t>
        </is>
      </c>
      <c r="K66" s="24" t="inlineStr">
        <is>
          <t>RealPage only (sub-50 unit)</t>
        </is>
      </c>
    </row>
    <row r="67">
      <c r="B67" s="23" t="n">
        <v>58</v>
      </c>
      <c r="C67" s="24" t="inlineStr">
        <is>
          <t>Yardly Algodon</t>
        </is>
      </c>
      <c r="D67" s="25" t="n">
        <v>262</v>
      </c>
      <c r="E67" s="23" t="inlineStr">
        <is>
          <t>Q4 2027</t>
        </is>
      </c>
      <c r="F67" s="26" t="n"/>
      <c r="G67" s="27" t="n">
        <v>1781</v>
      </c>
      <c r="H67" s="24" t="inlineStr">
        <is>
          <t>Taylor Morrison, Inc.</t>
        </is>
      </c>
      <c r="I67" s="28" t="n">
        <v>3.8</v>
      </c>
      <c r="J67" s="23" t="inlineStr">
        <is>
          <t>Single Family</t>
        </is>
      </c>
      <c r="K67" s="24" t="inlineStr">
        <is>
          <t>Units: CoStar 262 vs RealPage 291; Year built: 2026/2027</t>
        </is>
      </c>
    </row>
    <row r="68">
      <c r="B68" s="23" t="n">
        <v>59</v>
      </c>
      <c r="C68" s="24" t="inlineStr">
        <is>
          <t>Cerro Vista</t>
        </is>
      </c>
      <c r="D68" s="25" t="n">
        <v>255</v>
      </c>
      <c r="E68" s="23" t="inlineStr">
        <is>
          <t>Q4 2027</t>
        </is>
      </c>
      <c r="F68" s="26" t="n"/>
      <c r="G68" s="27" t="inlineStr">
        <is>
          <t>—</t>
        </is>
      </c>
      <c r="H68" s="24" t="inlineStr">
        <is>
          <t>Virtua Partners</t>
        </is>
      </c>
      <c r="I68" s="28" t="n">
        <v>2.7</v>
      </c>
      <c r="J68" s="23" t="inlineStr">
        <is>
          <t>Low-Rise</t>
        </is>
      </c>
      <c r="K68" s="24" t="n"/>
    </row>
    <row r="69">
      <c r="B69" s="23" t="n">
        <v>60</v>
      </c>
      <c r="C69" s="24" t="inlineStr">
        <is>
          <t>Zanjero III</t>
        </is>
      </c>
      <c r="D69" s="25" t="n">
        <v>301</v>
      </c>
      <c r="E69" s="23" t="inlineStr">
        <is>
          <t>Q2 2028</t>
        </is>
      </c>
      <c r="F69" s="26" t="n"/>
      <c r="G69" s="27" t="inlineStr">
        <is>
          <t>—</t>
        </is>
      </c>
      <c r="H69" s="24" t="inlineStr">
        <is>
          <t>Fore Property Company/Privately Owned</t>
        </is>
      </c>
      <c r="I69" s="28" t="n">
        <v>5.4</v>
      </c>
      <c r="J69" s="23" t="inlineStr">
        <is>
          <t>Mid-Rise</t>
        </is>
      </c>
      <c r="K69" s="24" t="n"/>
    </row>
    <row r="70">
      <c r="B70" s="23" t="n">
        <v>61</v>
      </c>
      <c r="C70" s="24" t="inlineStr">
        <is>
          <t>Zen @ Angelina</t>
        </is>
      </c>
      <c r="D70" s="25" t="n">
        <v>130</v>
      </c>
      <c r="E70" s="23" t="inlineStr">
        <is>
          <t>Q2 2028</t>
        </is>
      </c>
      <c r="F70" s="26" t="n"/>
      <c r="G70" s="27" t="inlineStr">
        <is>
          <t>—</t>
        </is>
      </c>
      <c r="H70" s="24" t="inlineStr">
        <is>
          <t>F &amp; S Consulting &amp; Management, LLC</t>
        </is>
      </c>
      <c r="I70" s="28" t="n">
        <v>1.1</v>
      </c>
      <c r="J70" s="23" t="inlineStr">
        <is>
          <t>Townhome</t>
        </is>
      </c>
      <c r="K70" s="24" t="inlineStr">
        <is>
          <t>Year built: 2027/2028</t>
        </is>
      </c>
    </row>
    <row r="72">
      <c r="B72" s="29" t="n"/>
      <c r="C72" s="30" t="inlineStr">
        <is>
          <t>PROPOSED (45 properties, 9,225 units)</t>
        </is>
      </c>
    </row>
    <row r="73">
      <c r="B73" s="31" t="n">
        <v>62</v>
      </c>
      <c r="C73" s="32" t="inlineStr">
        <is>
          <t>The Waverly</t>
        </is>
      </c>
      <c r="D73" s="33" t="n">
        <v>323</v>
      </c>
      <c r="E73" s="31" t="inlineStr">
        <is>
          <t>Q3 2028</t>
        </is>
      </c>
      <c r="F73" s="34" t="n"/>
      <c r="G73" s="35" t="inlineStr">
        <is>
          <t>—</t>
        </is>
      </c>
      <c r="H73" s="32" t="inlineStr">
        <is>
          <t>Dominium</t>
        </is>
      </c>
      <c r="I73" s="36" t="n">
        <v>4.3</v>
      </c>
      <c r="J73" s="31" t="inlineStr">
        <is>
          <t>Mid-Rise</t>
        </is>
      </c>
      <c r="K73" s="32" t="n"/>
    </row>
    <row r="74">
      <c r="B74" s="31" t="n">
        <v>63</v>
      </c>
      <c r="C74" s="32" t="inlineStr">
        <is>
          <t>Encore Avondale</t>
        </is>
      </c>
      <c r="D74" s="33" t="n">
        <v>300</v>
      </c>
      <c r="E74" s="31" t="inlineStr">
        <is>
          <t>Q3 2028</t>
        </is>
      </c>
      <c r="F74" s="34" t="n"/>
      <c r="G74" s="35" t="inlineStr">
        <is>
          <t>—</t>
        </is>
      </c>
      <c r="H74" s="32" t="inlineStr">
        <is>
          <t>Encore Enterprises</t>
        </is>
      </c>
      <c r="I74" s="36" t="n">
        <v>2.4</v>
      </c>
      <c r="J74" s="31" t="inlineStr">
        <is>
          <t>Mid-Rise</t>
        </is>
      </c>
      <c r="K74" s="32" t="n"/>
    </row>
    <row r="75">
      <c r="B75" s="31" t="n">
        <v>64</v>
      </c>
      <c r="C75" s="32" t="inlineStr">
        <is>
          <t>The Statler at Estrella Parkway</t>
        </is>
      </c>
      <c r="D75" s="33" t="n">
        <v>284</v>
      </c>
      <c r="E75" s="31" t="inlineStr">
        <is>
          <t>Q3 2028</t>
        </is>
      </c>
      <c r="F75" s="34" t="n"/>
      <c r="G75" s="35" t="inlineStr">
        <is>
          <t>—</t>
        </is>
      </c>
      <c r="H75" s="32" t="inlineStr">
        <is>
          <t>Leon Capital Group</t>
        </is>
      </c>
      <c r="I75" s="36" t="n">
        <v>4.8</v>
      </c>
      <c r="J75" s="31" t="inlineStr">
        <is>
          <t>Mid-Rise</t>
        </is>
      </c>
      <c r="K75" s="32" t="n"/>
    </row>
    <row r="76">
      <c r="B76" s="31" t="n">
        <v>65</v>
      </c>
      <c r="C76" s="32" t="inlineStr">
        <is>
          <t>Ascent Goodyear</t>
        </is>
      </c>
      <c r="D76" s="33" t="n">
        <v>113</v>
      </c>
      <c r="E76" s="31" t="inlineStr">
        <is>
          <t>Q3 2028</t>
        </is>
      </c>
      <c r="F76" s="34" t="n"/>
      <c r="G76" s="35" t="inlineStr">
        <is>
          <t>—</t>
        </is>
      </c>
      <c r="H76" s="32" t="inlineStr">
        <is>
          <t>Ascent Companies</t>
        </is>
      </c>
      <c r="I76" s="36" t="n">
        <v>4.7</v>
      </c>
      <c r="J76" s="31" t="inlineStr">
        <is>
          <t>Garden</t>
        </is>
      </c>
      <c r="K76" s="32" t="n"/>
    </row>
    <row r="77">
      <c r="B77" s="31" t="n">
        <v>66</v>
      </c>
      <c r="C77" s="32" t="inlineStr">
        <is>
          <t>Northern 107</t>
        </is>
      </c>
      <c r="D77" s="33" t="n">
        <v>74</v>
      </c>
      <c r="E77" s="31" t="inlineStr">
        <is>
          <t>Q4 2028</t>
        </is>
      </c>
      <c r="F77" s="34" t="n"/>
      <c r="G77" s="35" t="inlineStr">
        <is>
          <t>—</t>
        </is>
      </c>
      <c r="H77" s="32" t="inlineStr">
        <is>
          <t>Jacob Reuben</t>
        </is>
      </c>
      <c r="I77" s="36" t="n">
        <v>4.5</v>
      </c>
      <c r="J77" s="31" t="inlineStr">
        <is>
          <t>Garden</t>
        </is>
      </c>
      <c r="K77" s="32" t="n"/>
    </row>
    <row r="78">
      <c r="B78" s="31" t="n">
        <v>67</v>
      </c>
      <c r="C78" s="32" t="inlineStr">
        <is>
          <t>Sheely Center Future Phase</t>
        </is>
      </c>
      <c r="D78" s="33" t="n">
        <v>697</v>
      </c>
      <c r="E78" s="31" t="inlineStr">
        <is>
          <t>TBD</t>
        </is>
      </c>
      <c r="F78" s="34" t="n"/>
      <c r="G78" s="35" t="inlineStr">
        <is>
          <t>—</t>
        </is>
      </c>
      <c r="H78" s="32" t="inlineStr">
        <is>
          <t>—</t>
        </is>
      </c>
      <c r="I78" s="36" t="n">
        <v>3.1</v>
      </c>
      <c r="J78" s="31" t="inlineStr">
        <is>
          <t>Garden</t>
        </is>
      </c>
      <c r="K78" s="32" t="inlineStr">
        <is>
          <t>RealPage pipeline (not yet in CoStar)</t>
        </is>
      </c>
    </row>
    <row r="79">
      <c r="B79" s="31" t="n">
        <v>68</v>
      </c>
      <c r="C79" s="32" t="inlineStr">
        <is>
          <t>Urban 95 Parcel C</t>
        </is>
      </c>
      <c r="D79" s="33" t="n">
        <v>500</v>
      </c>
      <c r="E79" s="31" t="inlineStr">
        <is>
          <t>TBD</t>
        </is>
      </c>
      <c r="F79" s="34" t="n"/>
      <c r="G79" s="35" t="inlineStr">
        <is>
          <t>—</t>
        </is>
      </c>
      <c r="H79" s="32" t="inlineStr">
        <is>
          <t>Fisher Industries</t>
        </is>
      </c>
      <c r="I79" s="36" t="n">
        <v>5.1</v>
      </c>
      <c r="J79" s="31" t="inlineStr">
        <is>
          <t>Garden</t>
        </is>
      </c>
      <c r="K79" s="32" t="inlineStr">
        <is>
          <t>RealPage pipeline (not yet in CoStar)</t>
        </is>
      </c>
    </row>
    <row r="80">
      <c r="B80" s="31" t="n">
        <v>69</v>
      </c>
      <c r="C80" s="32" t="inlineStr">
        <is>
          <t>Urban 95 Parcel B</t>
        </is>
      </c>
      <c r="D80" s="33" t="n">
        <v>478</v>
      </c>
      <c r="E80" s="31" t="inlineStr">
        <is>
          <t>TBD</t>
        </is>
      </c>
      <c r="F80" s="34" t="n"/>
      <c r="G80" s="35" t="inlineStr">
        <is>
          <t>—</t>
        </is>
      </c>
      <c r="H80" s="32" t="inlineStr">
        <is>
          <t>Fisher Industries</t>
        </is>
      </c>
      <c r="I80" s="36" t="n">
        <v>5.1</v>
      </c>
      <c r="J80" s="31" t="inlineStr">
        <is>
          <t>High-Rise</t>
        </is>
      </c>
      <c r="K80" s="32" t="inlineStr">
        <is>
          <t>RealPage pipeline (not yet in CoStar)</t>
        </is>
      </c>
    </row>
    <row r="81">
      <c r="B81" s="31" t="n">
        <v>70</v>
      </c>
      <c r="C81" s="32" t="inlineStr">
        <is>
          <t>Celebration Plaza Parcel B</t>
        </is>
      </c>
      <c r="D81" s="33" t="n">
        <v>410</v>
      </c>
      <c r="E81" s="31" t="inlineStr">
        <is>
          <t>TBD</t>
        </is>
      </c>
      <c r="F81" s="34" t="n"/>
      <c r="G81" s="35" t="inlineStr">
        <is>
          <t>—</t>
        </is>
      </c>
      <c r="H81" s="32" t="inlineStr">
        <is>
          <t>Privately Owned</t>
        </is>
      </c>
      <c r="I81" s="36" t="n">
        <v>4.5</v>
      </c>
      <c r="J81" s="31" t="inlineStr">
        <is>
          <t>Mid-Rise</t>
        </is>
      </c>
      <c r="K81" s="32" t="inlineStr">
        <is>
          <t>RealPage pipeline (not yet in CoStar)</t>
        </is>
      </c>
    </row>
    <row r="82">
      <c r="B82" s="31" t="n">
        <v>71</v>
      </c>
      <c r="C82" s="32" t="inlineStr">
        <is>
          <t>The District at Westgate</t>
        </is>
      </c>
      <c r="D82" s="33" t="n">
        <v>384</v>
      </c>
      <c r="E82" s="31" t="inlineStr">
        <is>
          <t>TBD</t>
        </is>
      </c>
      <c r="F82" s="34" t="n"/>
      <c r="G82" s="35" t="inlineStr">
        <is>
          <t>—</t>
        </is>
      </c>
      <c r="H82" s="32" t="inlineStr">
        <is>
          <t>Privately Owned</t>
        </is>
      </c>
      <c r="I82" s="36" t="n">
        <v>5.1</v>
      </c>
      <c r="J82" s="31" t="inlineStr">
        <is>
          <t>Garden</t>
        </is>
      </c>
      <c r="K82" s="32" t="inlineStr">
        <is>
          <t>RealPage pipeline (not yet in CoStar)</t>
        </is>
      </c>
    </row>
    <row r="83">
      <c r="B83" s="31" t="n">
        <v>72</v>
      </c>
      <c r="C83" s="32" t="inlineStr">
        <is>
          <t>Picerne at Palm Valley</t>
        </is>
      </c>
      <c r="D83" s="33" t="n">
        <v>383</v>
      </c>
      <c r="E83" s="31" t="inlineStr">
        <is>
          <t>TBD</t>
        </is>
      </c>
      <c r="F83" s="34" t="n"/>
      <c r="G83" s="35" t="inlineStr">
        <is>
          <t>—</t>
        </is>
      </c>
      <c r="H83" s="32" t="inlineStr">
        <is>
          <t>Picerne</t>
        </is>
      </c>
      <c r="I83" s="36" t="n">
        <v>4.1</v>
      </c>
      <c r="J83" s="31" t="inlineStr">
        <is>
          <t>Garden</t>
        </is>
      </c>
      <c r="K83" s="32" t="inlineStr">
        <is>
          <t>RealPage pipeline (not yet in CoStar)</t>
        </is>
      </c>
    </row>
    <row r="84">
      <c r="B84" s="31" t="n">
        <v>73</v>
      </c>
      <c r="C84" s="32" t="inlineStr">
        <is>
          <t>Liv Avondale</t>
        </is>
      </c>
      <c r="D84" s="33" t="n">
        <v>333</v>
      </c>
      <c r="E84" s="31" t="inlineStr">
        <is>
          <t>TBD</t>
        </is>
      </c>
      <c r="F84" s="34" t="n"/>
      <c r="G84" s="35" t="inlineStr">
        <is>
          <t>—</t>
        </is>
      </c>
      <c r="H84" s="32" t="inlineStr">
        <is>
          <t>Liv Communities LLC</t>
        </is>
      </c>
      <c r="I84" s="36" t="n">
        <v>1.2</v>
      </c>
      <c r="J84" s="31" t="inlineStr">
        <is>
          <t>Garden</t>
        </is>
      </c>
      <c r="K84" s="32" t="inlineStr">
        <is>
          <t>RealPage pipeline (not yet in CoStar)</t>
        </is>
      </c>
    </row>
    <row r="85">
      <c r="B85" s="31" t="n">
        <v>74</v>
      </c>
      <c r="C85" s="32" t="inlineStr">
        <is>
          <t>Urban 95 Parcel A</t>
        </is>
      </c>
      <c r="D85" s="33" t="n">
        <v>324</v>
      </c>
      <c r="E85" s="31" t="inlineStr">
        <is>
          <t>TBD</t>
        </is>
      </c>
      <c r="F85" s="34" t="n"/>
      <c r="G85" s="35" t="inlineStr">
        <is>
          <t>—</t>
        </is>
      </c>
      <c r="H85" s="32" t="inlineStr">
        <is>
          <t>Fisher Industries</t>
        </is>
      </c>
      <c r="I85" s="36" t="n">
        <v>5.2</v>
      </c>
      <c r="J85" s="31" t="inlineStr">
        <is>
          <t>High-Rise</t>
        </is>
      </c>
      <c r="K85" s="32" t="inlineStr">
        <is>
          <t>RealPage pipeline (not yet in CoStar)</t>
        </is>
      </c>
    </row>
    <row r="86">
      <c r="B86" s="31" t="n">
        <v>75</v>
      </c>
      <c r="C86" s="32" t="inlineStr">
        <is>
          <t>Fuze 623</t>
        </is>
      </c>
      <c r="D86" s="33" t="n">
        <v>321</v>
      </c>
      <c r="E86" s="31" t="inlineStr">
        <is>
          <t>TBD</t>
        </is>
      </c>
      <c r="F86" s="34" t="n"/>
      <c r="G86" s="35" t="inlineStr">
        <is>
          <t>—</t>
        </is>
      </c>
      <c r="H86" s="32" t="inlineStr">
        <is>
          <t>—</t>
        </is>
      </c>
      <c r="I86" s="36" t="n">
        <v>2.6</v>
      </c>
      <c r="J86" s="31" t="inlineStr">
        <is>
          <t>Garden</t>
        </is>
      </c>
      <c r="K86" s="32" t="inlineStr">
        <is>
          <t>RealPage pipeline (not yet in CoStar)</t>
        </is>
      </c>
    </row>
    <row r="87">
      <c r="B87" s="31" t="n">
        <v>76</v>
      </c>
      <c r="C87" s="32" t="inlineStr">
        <is>
          <t>Anton Glendale</t>
        </is>
      </c>
      <c r="D87" s="33" t="n">
        <v>320</v>
      </c>
      <c r="E87" s="31" t="inlineStr">
        <is>
          <t>TBD</t>
        </is>
      </c>
      <c r="F87" s="34" t="n"/>
      <c r="G87" s="35" t="inlineStr">
        <is>
          <t>—</t>
        </is>
      </c>
      <c r="H87" s="32" t="inlineStr">
        <is>
          <t>—</t>
        </is>
      </c>
      <c r="I87" s="36" t="n">
        <v>3.2</v>
      </c>
      <c r="J87" s="31" t="inlineStr">
        <is>
          <t>Mid-Rise</t>
        </is>
      </c>
      <c r="K87" s="32" t="inlineStr">
        <is>
          <t>RealPage pipeline (not yet in CoStar)</t>
        </is>
      </c>
    </row>
    <row r="88">
      <c r="B88" s="31" t="n">
        <v>77</v>
      </c>
      <c r="C88" s="32" t="inlineStr">
        <is>
          <t>Western Garden II</t>
        </is>
      </c>
      <c r="D88" s="33" t="n">
        <v>314</v>
      </c>
      <c r="E88" s="31" t="inlineStr">
        <is>
          <t>TBD</t>
        </is>
      </c>
      <c r="F88" s="34" t="n"/>
      <c r="G88" s="35" t="inlineStr">
        <is>
          <t>—</t>
        </is>
      </c>
      <c r="H88" s="32" t="inlineStr">
        <is>
          <t>John F Long Properties LLLP</t>
        </is>
      </c>
      <c r="I88" s="36" t="n">
        <v>3</v>
      </c>
      <c r="J88" s="31" t="inlineStr">
        <is>
          <t>Single Family</t>
        </is>
      </c>
      <c r="K88" s="32" t="inlineStr">
        <is>
          <t>RealPage pipeline (not yet in CoStar)</t>
        </is>
      </c>
    </row>
    <row r="89">
      <c r="B89" s="31" t="n">
        <v>78</v>
      </c>
      <c r="C89" s="32" t="inlineStr">
        <is>
          <t>Sanctuair at Centerscape</t>
        </is>
      </c>
      <c r="D89" s="33" t="n">
        <v>303</v>
      </c>
      <c r="E89" s="31" t="inlineStr">
        <is>
          <t>TBD</t>
        </is>
      </c>
      <c r="F89" s="34" t="n"/>
      <c r="G89" s="35" t="inlineStr">
        <is>
          <t>—</t>
        </is>
      </c>
      <c r="H89" s="32" t="inlineStr">
        <is>
          <t>Sunbelt Investment Holdings Inc</t>
        </is>
      </c>
      <c r="I89" s="36" t="n">
        <v>3.9</v>
      </c>
      <c r="J89" s="31" t="inlineStr">
        <is>
          <t>Garden</t>
        </is>
      </c>
      <c r="K89" s="32" t="inlineStr">
        <is>
          <t>RealPage pipeline (not yet in CoStar)</t>
        </is>
      </c>
    </row>
    <row r="90">
      <c r="B90" s="31" t="n">
        <v>79</v>
      </c>
      <c r="C90" s="32" t="inlineStr">
        <is>
          <t>Banyan Avondale</t>
        </is>
      </c>
      <c r="D90" s="33" t="n">
        <v>296</v>
      </c>
      <c r="E90" s="31" t="inlineStr">
        <is>
          <t>TBD</t>
        </is>
      </c>
      <c r="F90" s="34" t="n"/>
      <c r="G90" s="35" t="inlineStr">
        <is>
          <t>—</t>
        </is>
      </c>
      <c r="H90" s="32" t="inlineStr">
        <is>
          <t>—</t>
        </is>
      </c>
      <c r="I90" s="36" t="n">
        <v>4.2</v>
      </c>
      <c r="J90" s="31" t="inlineStr">
        <is>
          <t>Townhome</t>
        </is>
      </c>
      <c r="K90" s="32" t="inlineStr">
        <is>
          <t>RealPage pipeline (not yet in CoStar)</t>
        </is>
      </c>
    </row>
    <row r="91">
      <c r="B91" s="31" t="n">
        <v>80</v>
      </c>
      <c r="C91" s="32" t="inlineStr">
        <is>
          <t>Rosilian Villas</t>
        </is>
      </c>
      <c r="D91" s="33" t="n">
        <v>291</v>
      </c>
      <c r="E91" s="31" t="inlineStr">
        <is>
          <t>TBD</t>
        </is>
      </c>
      <c r="F91" s="34" t="n"/>
      <c r="G91" s="35" t="inlineStr">
        <is>
          <t>—</t>
        </is>
      </c>
      <c r="H91" s="32" t="inlineStr">
        <is>
          <t>—</t>
        </is>
      </c>
      <c r="I91" s="36" t="n">
        <v>4.3</v>
      </c>
      <c r="J91" s="31" t="inlineStr">
        <is>
          <t>Garden</t>
        </is>
      </c>
      <c r="K91" s="32" t="inlineStr">
        <is>
          <t>RealPage pipeline (not yet in CoStar)</t>
        </is>
      </c>
    </row>
    <row r="92">
      <c r="B92" s="31" t="n">
        <v>81</v>
      </c>
      <c r="C92" s="32" t="inlineStr">
        <is>
          <t>Orion Avondale</t>
        </is>
      </c>
      <c r="D92" s="33" t="n">
        <v>268</v>
      </c>
      <c r="E92" s="31" t="inlineStr">
        <is>
          <t>TBD</t>
        </is>
      </c>
      <c r="F92" s="34" t="n"/>
      <c r="G92" s="35" t="inlineStr">
        <is>
          <t>—</t>
        </is>
      </c>
      <c r="H92" s="32" t="inlineStr">
        <is>
          <t>Privately Owned</t>
        </is>
      </c>
      <c r="I92" s="36" t="n">
        <v>1.3</v>
      </c>
      <c r="J92" s="31" t="inlineStr">
        <is>
          <t>Townhome</t>
        </is>
      </c>
      <c r="K92" s="32" t="inlineStr">
        <is>
          <t>RealPage pipeline (not yet in CoStar)</t>
        </is>
      </c>
    </row>
    <row r="93">
      <c r="B93" s="31" t="n">
        <v>82</v>
      </c>
      <c r="C93" s="32" t="inlineStr">
        <is>
          <t>Tavalo at Avondale</t>
        </is>
      </c>
      <c r="D93" s="33" t="n">
        <v>266</v>
      </c>
      <c r="E93" s="31" t="inlineStr">
        <is>
          <t>TBD</t>
        </is>
      </c>
      <c r="F93" s="34" t="n"/>
      <c r="G93" s="35" t="inlineStr">
        <is>
          <t>—</t>
        </is>
      </c>
      <c r="H93" s="32" t="inlineStr">
        <is>
          <t>GTIS Partners LP</t>
        </is>
      </c>
      <c r="I93" s="36" t="n">
        <v>3.9</v>
      </c>
      <c r="J93" s="31" t="inlineStr">
        <is>
          <t>Single Family</t>
        </is>
      </c>
      <c r="K93" s="32" t="inlineStr">
        <is>
          <t>RealPage pipeline (not yet in CoStar)</t>
        </is>
      </c>
    </row>
    <row r="94">
      <c r="B94" s="31" t="n">
        <v>83</v>
      </c>
      <c r="C94" s="32" t="inlineStr">
        <is>
          <t>Marbella Ranch East Future Phase</t>
        </is>
      </c>
      <c r="D94" s="33" t="n">
        <v>266</v>
      </c>
      <c r="E94" s="31" t="inlineStr">
        <is>
          <t>TBD</t>
        </is>
      </c>
      <c r="F94" s="34" t="n"/>
      <c r="G94" s="35" t="inlineStr">
        <is>
          <t>—</t>
        </is>
      </c>
      <c r="H94" s="32" t="inlineStr">
        <is>
          <t>Symmetry Companies</t>
        </is>
      </c>
      <c r="I94" s="36" t="n">
        <v>3.7</v>
      </c>
      <c r="J94" s="31" t="inlineStr">
        <is>
          <t>Garden</t>
        </is>
      </c>
      <c r="K94" s="32" t="inlineStr">
        <is>
          <t>RealPage pipeline (not yet in CoStar)</t>
        </is>
      </c>
    </row>
    <row r="95">
      <c r="B95" s="31" t="n">
        <v>84</v>
      </c>
      <c r="C95" s="32" t="inlineStr">
        <is>
          <t>Crystal Cove</t>
        </is>
      </c>
      <c r="D95" s="33" t="n">
        <v>260</v>
      </c>
      <c r="E95" s="31" t="inlineStr">
        <is>
          <t>TBD</t>
        </is>
      </c>
      <c r="F95" s="34" t="n"/>
      <c r="G95" s="35" t="inlineStr">
        <is>
          <t>—</t>
        </is>
      </c>
      <c r="H95" s="32" t="inlineStr">
        <is>
          <t>Sterling Real Estate Partners</t>
        </is>
      </c>
      <c r="I95" s="36" t="n">
        <v>3.2</v>
      </c>
      <c r="J95" s="31" t="inlineStr">
        <is>
          <t>Garden</t>
        </is>
      </c>
      <c r="K95" s="32" t="inlineStr">
        <is>
          <t>RealPage pipeline (not yet in CoStar)</t>
        </is>
      </c>
    </row>
    <row r="96">
      <c r="B96" s="31" t="n">
        <v>85</v>
      </c>
      <c r="C96" s="32" t="inlineStr">
        <is>
          <t>SimonMed Development I</t>
        </is>
      </c>
      <c r="D96" s="33" t="n">
        <v>239</v>
      </c>
      <c r="E96" s="31" t="inlineStr">
        <is>
          <t>TBD</t>
        </is>
      </c>
      <c r="F96" s="34" t="n"/>
      <c r="G96" s="35" t="inlineStr">
        <is>
          <t>—</t>
        </is>
      </c>
      <c r="H96" s="32" t="inlineStr">
        <is>
          <t>—</t>
        </is>
      </c>
      <c r="I96" s="36" t="n">
        <v>4.3</v>
      </c>
      <c r="J96" s="31" t="inlineStr">
        <is>
          <t>Mid-Rise</t>
        </is>
      </c>
      <c r="K96" s="32" t="inlineStr">
        <is>
          <t>RealPage pipeline (not yet in CoStar)</t>
        </is>
      </c>
    </row>
    <row r="97">
      <c r="B97" s="31" t="n">
        <v>86</v>
      </c>
      <c r="C97" s="32" t="inlineStr">
        <is>
          <t>Cornerstone at the Wigwam</t>
        </is>
      </c>
      <c r="D97" s="33" t="n">
        <v>212</v>
      </c>
      <c r="E97" s="31" t="inlineStr">
        <is>
          <t>TBD</t>
        </is>
      </c>
      <c r="F97" s="34" t="n"/>
      <c r="G97" s="35" t="inlineStr">
        <is>
          <t>—</t>
        </is>
      </c>
      <c r="H97" s="32" t="inlineStr">
        <is>
          <t>—</t>
        </is>
      </c>
      <c r="I97" s="36" t="n">
        <v>5.4</v>
      </c>
      <c r="J97" s="31" t="inlineStr">
        <is>
          <t>Townhome</t>
        </is>
      </c>
      <c r="K97" s="32" t="inlineStr">
        <is>
          <t>RealPage pipeline (not yet in CoStar)</t>
        </is>
      </c>
    </row>
    <row r="98">
      <c r="B98" s="31" t="n">
        <v>87</v>
      </c>
      <c r="C98" s="32" t="inlineStr">
        <is>
          <t>Radia Avondale Station III</t>
        </is>
      </c>
      <c r="D98" s="33" t="n">
        <v>212</v>
      </c>
      <c r="E98" s="31" t="inlineStr">
        <is>
          <t>TBD</t>
        </is>
      </c>
      <c r="F98" s="34" t="n"/>
      <c r="G98" s="35" t="inlineStr">
        <is>
          <t>—</t>
        </is>
      </c>
      <c r="H98" s="32" t="inlineStr">
        <is>
          <t>—</t>
        </is>
      </c>
      <c r="I98" s="36" t="n">
        <v>1</v>
      </c>
      <c r="J98" s="31" t="inlineStr">
        <is>
          <t>Mid-Rise</t>
        </is>
      </c>
      <c r="K98" s="32" t="inlineStr">
        <is>
          <t>RealPage pipeline (not yet in CoStar)</t>
        </is>
      </c>
    </row>
    <row r="99">
      <c r="B99" s="31" t="n">
        <v>88</v>
      </c>
      <c r="C99" s="32" t="inlineStr">
        <is>
          <t>Celebration Plaza Parcel A</t>
        </is>
      </c>
      <c r="D99" s="33" t="n">
        <v>181</v>
      </c>
      <c r="E99" s="31" t="inlineStr">
        <is>
          <t>TBD</t>
        </is>
      </c>
      <c r="F99" s="34" t="n"/>
      <c r="G99" s="35" t="inlineStr">
        <is>
          <t>—</t>
        </is>
      </c>
      <c r="H99" s="32" t="inlineStr">
        <is>
          <t>Privately Owned</t>
        </is>
      </c>
      <c r="I99" s="36" t="n">
        <v>5.1</v>
      </c>
      <c r="J99" s="31" t="inlineStr">
        <is>
          <t>Townhome</t>
        </is>
      </c>
      <c r="K99" s="32" t="inlineStr">
        <is>
          <t>RealPage pipeline (not yet in CoStar)</t>
        </is>
      </c>
    </row>
    <row r="100">
      <c r="B100" s="31" t="n">
        <v>89</v>
      </c>
      <c r="C100" s="32" t="inlineStr">
        <is>
          <t>Villages at River Grove</t>
        </is>
      </c>
      <c r="D100" s="33" t="n">
        <v>180</v>
      </c>
      <c r="E100" s="31" t="inlineStr">
        <is>
          <t>TBD</t>
        </is>
      </c>
      <c r="F100" s="34" t="n"/>
      <c r="G100" s="35" t="inlineStr">
        <is>
          <t>—</t>
        </is>
      </c>
      <c r="H100" s="32" t="inlineStr">
        <is>
          <t>—</t>
        </is>
      </c>
      <c r="I100" s="36" t="n">
        <v>4</v>
      </c>
      <c r="J100" s="31" t="inlineStr">
        <is>
          <t>Garden</t>
        </is>
      </c>
      <c r="K100" s="32" t="inlineStr">
        <is>
          <t>RealPage pipeline (not yet in CoStar)</t>
        </is>
      </c>
    </row>
    <row r="101">
      <c r="B101" s="31" t="n">
        <v>90</v>
      </c>
      <c r="C101" s="32" t="inlineStr">
        <is>
          <t>District 99</t>
        </is>
      </c>
      <c r="D101" s="33" t="n">
        <v>172</v>
      </c>
      <c r="E101" s="31" t="inlineStr">
        <is>
          <t>TBD</t>
        </is>
      </c>
      <c r="F101" s="34" t="n"/>
      <c r="G101" s="35" t="inlineStr">
        <is>
          <t>—</t>
        </is>
      </c>
      <c r="H101" s="32" t="inlineStr">
        <is>
          <t>Thompson Thrift</t>
        </is>
      </c>
      <c r="I101" s="36" t="n">
        <v>4.7</v>
      </c>
      <c r="J101" s="31" t="inlineStr">
        <is>
          <t>Mid-Rise</t>
        </is>
      </c>
      <c r="K101" s="32" t="inlineStr">
        <is>
          <t>RealPage pipeline (not yet in CoStar)</t>
        </is>
      </c>
    </row>
    <row r="102">
      <c r="B102" s="31" t="n">
        <v>91</v>
      </c>
      <c r="C102" s="32" t="inlineStr">
        <is>
          <t>McDowell Villas</t>
        </is>
      </c>
      <c r="D102" s="33" t="n">
        <v>164</v>
      </c>
      <c r="E102" s="31" t="inlineStr">
        <is>
          <t>TBD</t>
        </is>
      </c>
      <c r="F102" s="34" t="n"/>
      <c r="G102" s="35" t="inlineStr">
        <is>
          <t>—</t>
        </is>
      </c>
      <c r="H102" s="32" t="inlineStr">
        <is>
          <t>Trilogy Investment Company</t>
        </is>
      </c>
      <c r="I102" s="36" t="n">
        <v>1.8</v>
      </c>
      <c r="J102" s="31" t="inlineStr">
        <is>
          <t>Townhome</t>
        </is>
      </c>
      <c r="K102" s="32" t="inlineStr">
        <is>
          <t>RealPage pipeline (not yet in CoStar)</t>
        </is>
      </c>
    </row>
    <row r="103">
      <c r="B103" s="31" t="n">
        <v>92</v>
      </c>
      <c r="C103" s="32" t="inlineStr">
        <is>
          <t>Avondale</t>
        </is>
      </c>
      <c r="D103" s="33" t="n">
        <v>156</v>
      </c>
      <c r="E103" s="31" t="inlineStr">
        <is>
          <t>TBD</t>
        </is>
      </c>
      <c r="F103" s="34" t="n"/>
      <c r="G103" s="35" t="inlineStr">
        <is>
          <t>—</t>
        </is>
      </c>
      <c r="H103" s="32" t="inlineStr">
        <is>
          <t>—</t>
        </is>
      </c>
      <c r="I103" s="36" t="n">
        <v>4.2</v>
      </c>
      <c r="J103" s="31" t="inlineStr">
        <is>
          <t>Garden</t>
        </is>
      </c>
      <c r="K103" s="32" t="inlineStr">
        <is>
          <t>RealPage pipeline (not yet in CoStar)</t>
        </is>
      </c>
    </row>
    <row r="104">
      <c r="B104" s="31" t="n">
        <v>93</v>
      </c>
      <c r="C104" s="32" t="inlineStr">
        <is>
          <t>Porter Kyle Development</t>
        </is>
      </c>
      <c r="D104" s="33" t="n">
        <v>135</v>
      </c>
      <c r="E104" s="31" t="inlineStr">
        <is>
          <t>TBD</t>
        </is>
      </c>
      <c r="F104" s="34" t="n"/>
      <c r="G104" s="35" t="inlineStr">
        <is>
          <t>—</t>
        </is>
      </c>
      <c r="H104" s="32" t="inlineStr">
        <is>
          <t>—</t>
        </is>
      </c>
      <c r="I104" s="36" t="n">
        <v>5.3</v>
      </c>
      <c r="J104" s="31" t="inlineStr">
        <is>
          <t>Townhome</t>
        </is>
      </c>
      <c r="K104" s="32" t="inlineStr">
        <is>
          <t>RealPage pipeline (not yet in CoStar)</t>
        </is>
      </c>
    </row>
    <row r="105">
      <c r="B105" s="31" t="n">
        <v>94</v>
      </c>
      <c r="C105" s="32" t="inlineStr">
        <is>
          <t>Zenn @ Sierra Verde</t>
        </is>
      </c>
      <c r="D105" s="33" t="n">
        <v>66</v>
      </c>
      <c r="E105" s="31" t="inlineStr">
        <is>
          <t>TBD</t>
        </is>
      </c>
      <c r="F105" s="34" t="n"/>
      <c r="G105" s="35" t="inlineStr">
        <is>
          <t>—</t>
        </is>
      </c>
      <c r="H105" s="32" t="inlineStr">
        <is>
          <t>—</t>
        </is>
      </c>
      <c r="I105" s="36" t="n">
        <v>7.2</v>
      </c>
      <c r="J105" s="31" t="inlineStr">
        <is>
          <t>Townhome</t>
        </is>
      </c>
      <c r="K105" s="32" t="inlineStr">
        <is>
          <t>RealPage pipeline (not yet in CoStar)</t>
        </is>
      </c>
    </row>
    <row r="106">
      <c r="B106" s="31" t="n">
        <v>95</v>
      </c>
      <c r="C106" s="32" t="inlineStr">
        <is>
          <t>The BLVD Residential District</t>
        </is>
      </c>
      <c r="D106" s="33" t="n"/>
      <c r="E106" s="31" t="inlineStr">
        <is>
          <t>TBD</t>
        </is>
      </c>
      <c r="F106" s="34" t="n"/>
      <c r="G106" s="35" t="inlineStr">
        <is>
          <t>—</t>
        </is>
      </c>
      <c r="H106" s="32" t="inlineStr">
        <is>
          <t>—</t>
        </is>
      </c>
      <c r="I106" s="36" t="n">
        <v>4.1</v>
      </c>
      <c r="J106" s="31" t="inlineStr">
        <is>
          <t>Garden</t>
        </is>
      </c>
      <c r="K106" s="32" t="inlineStr">
        <is>
          <t>RealPage pipeline (not yet in CoStar)</t>
        </is>
      </c>
    </row>
    <row r="107">
      <c r="B107" s="31" t="n">
        <v>96</v>
      </c>
      <c r="C107" s="32" t="inlineStr">
        <is>
          <t>The BLVD Park Avenue District</t>
        </is>
      </c>
      <c r="D107" s="33" t="n"/>
      <c r="E107" s="31" t="inlineStr">
        <is>
          <t>TBD</t>
        </is>
      </c>
      <c r="F107" s="34" t="n"/>
      <c r="G107" s="35" t="inlineStr">
        <is>
          <t>—</t>
        </is>
      </c>
      <c r="H107" s="32" t="inlineStr">
        <is>
          <t>—</t>
        </is>
      </c>
      <c r="I107" s="36" t="n">
        <v>4</v>
      </c>
      <c r="J107" s="31" t="inlineStr">
        <is>
          <t>Garden</t>
        </is>
      </c>
      <c r="K107" s="32" t="inlineStr">
        <is>
          <t>RealPage pipeline (not yet in CoStar)</t>
        </is>
      </c>
    </row>
    <row r="108">
      <c r="B108" s="31" t="n">
        <v>97</v>
      </c>
      <c r="C108" s="32" t="inlineStr">
        <is>
          <t>Globe Land Investors Development</t>
        </is>
      </c>
      <c r="D108" s="33" t="n"/>
      <c r="E108" s="31" t="inlineStr">
        <is>
          <t>TBD</t>
        </is>
      </c>
      <c r="F108" s="34" t="n"/>
      <c r="G108" s="35" t="inlineStr">
        <is>
          <t>—</t>
        </is>
      </c>
      <c r="H108" s="32" t="inlineStr">
        <is>
          <t>Globe Corporation</t>
        </is>
      </c>
      <c r="I108" s="36" t="n">
        <v>4.4</v>
      </c>
      <c r="J108" s="31" t="inlineStr">
        <is>
          <t>Garden</t>
        </is>
      </c>
      <c r="K108" s="32" t="inlineStr">
        <is>
          <t>RealPage pipeline (not yet in CoStar)</t>
        </is>
      </c>
    </row>
    <row r="109">
      <c r="B109" s="31" t="n">
        <v>98</v>
      </c>
      <c r="C109" s="32" t="inlineStr">
        <is>
          <t>Ball Park</t>
        </is>
      </c>
      <c r="D109" s="33" t="n"/>
      <c r="E109" s="31" t="inlineStr">
        <is>
          <t>TBD</t>
        </is>
      </c>
      <c r="F109" s="34" t="n"/>
      <c r="G109" s="35" t="inlineStr">
        <is>
          <t>—</t>
        </is>
      </c>
      <c r="H109" s="32" t="inlineStr">
        <is>
          <t>VT LandGroup</t>
        </is>
      </c>
      <c r="I109" s="36" t="n">
        <v>4.1</v>
      </c>
      <c r="J109" s="31" t="inlineStr">
        <is>
          <t>Garden</t>
        </is>
      </c>
      <c r="K109" s="32" t="inlineStr">
        <is>
          <t>RealPage pipeline (not yet in CoStar)</t>
        </is>
      </c>
    </row>
    <row r="110">
      <c r="B110" s="31" t="n">
        <v>99</v>
      </c>
      <c r="C110" s="32" t="inlineStr">
        <is>
          <t>Vision 2 Parcel A</t>
        </is>
      </c>
      <c r="D110" s="33" t="n"/>
      <c r="E110" s="31" t="inlineStr">
        <is>
          <t>TBD</t>
        </is>
      </c>
      <c r="F110" s="34" t="n"/>
      <c r="G110" s="35" t="inlineStr">
        <is>
          <t>—</t>
        </is>
      </c>
      <c r="H110" s="32" t="inlineStr">
        <is>
          <t>—</t>
        </is>
      </c>
      <c r="I110" s="36" t="n">
        <v>3.5</v>
      </c>
      <c r="J110" s="31" t="inlineStr">
        <is>
          <t>Mid-Rise</t>
        </is>
      </c>
      <c r="K110" s="32" t="inlineStr">
        <is>
          <t>RealPage pipeline (not yet in CoStar)</t>
        </is>
      </c>
    </row>
    <row r="111">
      <c r="B111" s="31" t="n">
        <v>100</v>
      </c>
      <c r="C111" s="32" t="inlineStr">
        <is>
          <t>Firststreet Verde</t>
        </is>
      </c>
      <c r="D111" s="33" t="n"/>
      <c r="E111" s="31" t="inlineStr">
        <is>
          <t>TBD</t>
        </is>
      </c>
      <c r="F111" s="34" t="n"/>
      <c r="G111" s="35" t="inlineStr">
        <is>
          <t>—</t>
        </is>
      </c>
      <c r="H111" s="32" t="inlineStr">
        <is>
          <t>—</t>
        </is>
      </c>
      <c r="I111" s="36" t="n">
        <v>4.6</v>
      </c>
      <c r="J111" s="31" t="inlineStr">
        <is>
          <t>Single Family</t>
        </is>
      </c>
      <c r="K111" s="32" t="inlineStr">
        <is>
          <t>RealPage pipeline (not yet in CoStar)</t>
        </is>
      </c>
    </row>
    <row r="112">
      <c r="B112" s="31" t="n">
        <v>101</v>
      </c>
      <c r="C112" s="32" t="inlineStr">
        <is>
          <t>Goodyear Civic Square at Estrella Falls</t>
        </is>
      </c>
      <c r="D112" s="33" t="n"/>
      <c r="E112" s="31" t="inlineStr">
        <is>
          <t>TBD</t>
        </is>
      </c>
      <c r="F112" s="34" t="n"/>
      <c r="G112" s="35" t="inlineStr">
        <is>
          <t>—</t>
        </is>
      </c>
      <c r="H112" s="32" t="inlineStr">
        <is>
          <t>—</t>
        </is>
      </c>
      <c r="I112" s="36" t="n">
        <v>4.1</v>
      </c>
      <c r="J112" s="31" t="inlineStr">
        <is>
          <t>Garden</t>
        </is>
      </c>
      <c r="K112" s="32" t="inlineStr">
        <is>
          <t>RealPage pipeline (not yet in CoStar)</t>
        </is>
      </c>
    </row>
    <row r="113">
      <c r="B113" s="31" t="n">
        <v>102</v>
      </c>
      <c r="C113" s="32" t="inlineStr">
        <is>
          <t>I-10 Innovation Center II</t>
        </is>
      </c>
      <c r="D113" s="33" t="n"/>
      <c r="E113" s="31" t="inlineStr">
        <is>
          <t>TBD</t>
        </is>
      </c>
      <c r="F113" s="34" t="n"/>
      <c r="G113" s="35" t="inlineStr">
        <is>
          <t>—</t>
        </is>
      </c>
      <c r="H113" s="32" t="inlineStr">
        <is>
          <t>Privately Owned</t>
        </is>
      </c>
      <c r="I113" s="36" t="n">
        <v>4.5</v>
      </c>
      <c r="J113" s="31" t="inlineStr">
        <is>
          <t>Garden</t>
        </is>
      </c>
      <c r="K113" s="32" t="inlineStr">
        <is>
          <t>RealPage pipeline (not yet in CoStar)</t>
        </is>
      </c>
    </row>
    <row r="114">
      <c r="B114" s="31" t="n">
        <v>103</v>
      </c>
      <c r="C114" s="32" t="inlineStr">
        <is>
          <t>Celebration Plaza Parcel D</t>
        </is>
      </c>
      <c r="D114" s="33" t="n"/>
      <c r="E114" s="31" t="inlineStr">
        <is>
          <t>TBD</t>
        </is>
      </c>
      <c r="F114" s="34" t="n"/>
      <c r="G114" s="35" t="inlineStr">
        <is>
          <t>—</t>
        </is>
      </c>
      <c r="H114" s="32" t="inlineStr">
        <is>
          <t>Privately Owned</t>
        </is>
      </c>
      <c r="I114" s="36" t="n">
        <v>5</v>
      </c>
      <c r="J114" s="31" t="inlineStr">
        <is>
          <t>Garden</t>
        </is>
      </c>
      <c r="K114" s="32" t="inlineStr">
        <is>
          <t>RealPage pipeline (not yet in CoStar)</t>
        </is>
      </c>
    </row>
    <row r="115">
      <c r="B115" s="31" t="n">
        <v>104</v>
      </c>
      <c r="C115" s="32" t="inlineStr">
        <is>
          <t>SimonMed Development II</t>
        </is>
      </c>
      <c r="D115" s="33" t="n"/>
      <c r="E115" s="31" t="inlineStr">
        <is>
          <t>TBD</t>
        </is>
      </c>
      <c r="F115" s="34" t="n"/>
      <c r="G115" s="35" t="inlineStr">
        <is>
          <t>—</t>
        </is>
      </c>
      <c r="H115" s="32" t="inlineStr">
        <is>
          <t>—</t>
        </is>
      </c>
      <c r="I115" s="36" t="n">
        <v>3.5</v>
      </c>
      <c r="J115" s="31" t="inlineStr">
        <is>
          <t>Mid-Rise</t>
        </is>
      </c>
      <c r="K115" s="32" t="inlineStr">
        <is>
          <t>RealPage pipeline (not yet in CoStar)</t>
        </is>
      </c>
    </row>
    <row r="116">
      <c r="B116" s="31" t="n">
        <v>105</v>
      </c>
      <c r="C116" s="32" t="inlineStr">
        <is>
          <t>182 South 95th Avenue</t>
        </is>
      </c>
      <c r="D116" s="33" t="n"/>
      <c r="E116" s="31" t="inlineStr">
        <is>
          <t>TBD</t>
        </is>
      </c>
      <c r="F116" s="34" t="n"/>
      <c r="G116" s="35" t="inlineStr">
        <is>
          <t>—</t>
        </is>
      </c>
      <c r="H116" s="32" t="inlineStr">
        <is>
          <t>—</t>
        </is>
      </c>
      <c r="I116" s="36" t="n">
        <v>4.6</v>
      </c>
      <c r="J116" s="31" t="inlineStr">
        <is>
          <t>Garden</t>
        </is>
      </c>
      <c r="K116" s="32" t="inlineStr">
        <is>
          <t>RealPage pipeline (not yet in CoStar)</t>
        </is>
      </c>
    </row>
    <row r="117">
      <c r="B117" s="31" t="n">
        <v>106</v>
      </c>
      <c r="C117" s="32" t="inlineStr">
        <is>
          <t>Envision Encore</t>
        </is>
      </c>
      <c r="D117" s="33" t="n"/>
      <c r="E117" s="31" t="inlineStr">
        <is>
          <t>TBD</t>
        </is>
      </c>
      <c r="F117" s="34" t="n"/>
      <c r="G117" s="35" t="inlineStr">
        <is>
          <t>—</t>
        </is>
      </c>
      <c r="H117" s="32" t="inlineStr">
        <is>
          <t>—</t>
        </is>
      </c>
      <c r="I117" s="36" t="n">
        <v>5.4</v>
      </c>
      <c r="J117" s="31" t="inlineStr">
        <is>
          <t>Garden</t>
        </is>
      </c>
      <c r="K117" s="32" t="inlineStr">
        <is>
          <t>RealPage pipeline (not yet in CoStar)</t>
        </is>
      </c>
    </row>
    <row r="120">
      <c r="B120" s="37" t="inlineStr">
        <is>
          <t>* 5-Mile radius. Rent ($) = market asking. Proximity (mi) = straight-line distance from the subject (geocoded); lease-up rent/occupancy to be verified w/ HelloData. See the 'Supply &amp; Absorption' tab for the forward supply / absorption / overall-occupancy forecast.</t>
        </is>
      </c>
    </row>
  </sheetData>
  <mergeCells count="7">
    <mergeCell ref="C59:K59"/>
    <mergeCell ref="C72:K72"/>
    <mergeCell ref="C5:K5"/>
    <mergeCell ref="C2:G2"/>
    <mergeCell ref="B3:F3"/>
    <mergeCell ref="B120:K120"/>
    <mergeCell ref="C29:K29"/>
  </mergeCells>
  <pageMargins left="0.75" right="0.75" top="1" bottom="1" header="0.5" footer="0.5"/>
</worksheet>
</file>

<file path=xl/worksheets/sheet2.xml><?xml version="1.0" encoding="utf-8"?>
<worksheet xmlns="http://schemas.openxmlformats.org/spreadsheetml/2006/main">
  <sheetPr>
    <outlinePr summaryBelow="0" summaryRight="1"/>
    <pageSetUpPr/>
  </sheetPr>
  <dimension ref="B1:Z69"/>
  <sheetViews>
    <sheetView showGridLines="0" workbookViewId="0">
      <selection activeCell="A1" sqref="A1"/>
    </sheetView>
  </sheetViews>
  <sheetFormatPr baseColWidth="8" defaultRowHeight="15"/>
  <cols>
    <col width="2.5" customWidth="1" min="1" max="1"/>
    <col width="26"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28" customWidth="1" min="18" max="18"/>
    <col width="7" customWidth="1" min="19" max="19"/>
    <col width="11" customWidth="1" min="20" max="20"/>
    <col width="9" customWidth="1" min="21" max="21"/>
    <col hidden="1" width="8" customWidth="1" min="22" max="22"/>
    <col hidden="1" width="7" customWidth="1" min="23" max="23"/>
    <col hidden="1" width="6" customWidth="1" min="24" max="24"/>
    <col hidden="1" width="13" customWidth="1" min="26" max="26"/>
  </cols>
  <sheetData>
    <row r="1" ht="14.4" customHeight="1">
      <c r="Z1" t="n">
        <v>8105</v>
      </c>
    </row>
    <row r="2" ht="20" customHeight="1">
      <c r="B2" s="1" t="inlineStr">
        <is>
          <t>SUPPLY &amp; ABSORPTION  —  5-MILE MARKET (relative-year / TTM)</t>
        </is>
      </c>
      <c r="Z2">
        <f>IFERROR(VALUE(RIGHT($C$5,4))*4+MATCH(LEFT($C$5,2),{"Q1","Q2","Q3","Q4"},0)-1,0)</f>
        <v/>
      </c>
    </row>
    <row r="3" ht="14.4" customHeight="1">
      <c r="R3" s="38" t="inlineStr">
        <is>
          <t>UNDER CONSTRUCTION (linked from Competitive Analysis)</t>
        </is>
      </c>
      <c r="Z3">
        <f>IF($C$7="Bear",3,IF($C$7="Base",2,1))</f>
        <v/>
      </c>
    </row>
    <row r="4" ht="14.4" customHeight="1">
      <c r="B4" s="39" t="inlineStr">
        <is>
          <t>As-of Quarter</t>
        </is>
      </c>
      <c r="C4" s="40" t="inlineStr">
        <is>
          <t>Q2 2026</t>
        </is>
      </c>
      <c r="R4" s="41" t="inlineStr">
        <is>
          <t>Property</t>
        </is>
      </c>
      <c r="S4" s="41" t="inlineStr">
        <is>
          <t>Units</t>
        </is>
      </c>
      <c r="T4" s="41" t="inlineStr">
        <is>
          <t>Est. Delivery</t>
        </is>
      </c>
    </row>
    <row r="5" ht="14.4" customHeight="1">
      <c r="B5" s="39" t="inlineStr">
        <is>
          <t>Close Quarter (Y1 start)</t>
        </is>
      </c>
      <c r="C5" s="42" t="inlineStr">
        <is>
          <t>Q4 2026</t>
        </is>
      </c>
      <c r="R5" s="43">
        <f>'Competitive Analysis'!C60</f>
        <v/>
      </c>
      <c r="S5" s="44">
        <f>'Competitive Analysis'!D60</f>
        <v/>
      </c>
      <c r="T5" s="45">
        <f>'Competitive Analysis'!E60</f>
        <v/>
      </c>
      <c r="V5">
        <f>IFERROR(VALUE(RIGHT(T5,4))*4+MATCH(LEFT(T5,2),{"Q1","Q2","Q3","Q4"},0)-1,"")</f>
        <v/>
      </c>
      <c r="W5">
        <f>IF(V5="","",IF(V5&lt;=$Z$1,0,MAX(1,INT((V5-$Z$2)/4)+1)))</f>
        <v/>
      </c>
    </row>
    <row r="6" ht="14.4" customHeight="1">
      <c r="B6" s="39" t="inlineStr">
        <is>
          <t>Stabilization Target</t>
        </is>
      </c>
      <c r="C6" s="46" t="n">
        <v>0.95</v>
      </c>
      <c r="R6" s="43">
        <f>'Competitive Analysis'!C61</f>
        <v/>
      </c>
      <c r="S6" s="44">
        <f>'Competitive Analysis'!D61</f>
        <v/>
      </c>
      <c r="T6" s="45">
        <f>'Competitive Analysis'!E61</f>
        <v/>
      </c>
      <c r="V6">
        <f>IFERROR(VALUE(RIGHT(T6,4))*4+MATCH(LEFT(T6,2),{"Q1","Q2","Q3","Q4"},0)-1,"")</f>
        <v/>
      </c>
      <c r="W6">
        <f>IF(V6="","",IF(V6&lt;=$Z$1,0,MAX(1,INT((V6-$Z$2)/4)+1)))</f>
        <v/>
      </c>
    </row>
    <row r="7" ht="14.4" customHeight="1">
      <c r="B7" s="39" t="inlineStr">
        <is>
          <t>Demand Scenario</t>
        </is>
      </c>
      <c r="C7" s="42" t="inlineStr">
        <is>
          <t>Base</t>
        </is>
      </c>
      <c r="R7" s="43">
        <f>'Competitive Analysis'!C69</f>
        <v/>
      </c>
      <c r="S7" s="44">
        <f>'Competitive Analysis'!D69</f>
        <v/>
      </c>
      <c r="T7" s="45">
        <f>'Competitive Analysis'!E69</f>
        <v/>
      </c>
      <c r="V7">
        <f>IFERROR(VALUE(RIGHT(T7,4))*4+MATCH(LEFT(T7,2),{"Q1","Q2","Q3","Q4"},0)-1,"")</f>
        <v/>
      </c>
      <c r="W7">
        <f>IF(V7="","",IF(V7&lt;=$Z$1,0,MAX(1,INT((V7-$Z$2)/4)+1)))</f>
        <v/>
      </c>
    </row>
    <row r="8" ht="14.4" customHeight="1">
      <c r="B8" s="39" t="inlineStr">
        <is>
          <t>Bear Annual Absorption</t>
        </is>
      </c>
      <c r="C8" s="47" t="n">
        <v>1250</v>
      </c>
      <c r="R8" s="43">
        <f>'Competitive Analysis'!C63</f>
        <v/>
      </c>
      <c r="S8" s="44">
        <f>'Competitive Analysis'!D63</f>
        <v/>
      </c>
      <c r="T8" s="45">
        <f>'Competitive Analysis'!E63</f>
        <v/>
      </c>
      <c r="V8">
        <f>IFERROR(VALUE(RIGHT(T8,4))*4+MATCH(LEFT(T8,2),{"Q1","Q2","Q3","Q4"},0)-1,"")</f>
        <v/>
      </c>
      <c r="W8">
        <f>IF(V8="","",IF(V8&lt;=$Z$1,0,MAX(1,INT((V8-$Z$2)/4)+1)))</f>
        <v/>
      </c>
    </row>
    <row r="9" ht="14.4" customHeight="1">
      <c r="B9" s="39" t="inlineStr">
        <is>
          <t>Base Annual Absorption</t>
        </is>
      </c>
      <c r="C9" s="47" t="n">
        <v>2525</v>
      </c>
      <c r="R9" s="43">
        <f>'Competitive Analysis'!C67</f>
        <v/>
      </c>
      <c r="S9" s="44">
        <f>'Competitive Analysis'!D67</f>
        <v/>
      </c>
      <c r="T9" s="45">
        <f>'Competitive Analysis'!E67</f>
        <v/>
      </c>
      <c r="V9">
        <f>IFERROR(VALUE(RIGHT(T9,4))*4+MATCH(LEFT(T9,2),{"Q1","Q2","Q3","Q4"},0)-1,"")</f>
        <v/>
      </c>
      <c r="W9">
        <f>IF(V9="","",IF(V9&lt;=$Z$1,0,MAX(1,INT((V9-$Z$2)/4)+1)))</f>
        <v/>
      </c>
    </row>
    <row r="10" ht="14.4" customHeight="1">
      <c r="B10" s="39" t="inlineStr">
        <is>
          <t>Bull Annual Absorption</t>
        </is>
      </c>
      <c r="C10" s="47" t="n">
        <v>3800</v>
      </c>
      <c r="R10" s="43">
        <f>'Competitive Analysis'!C68</f>
        <v/>
      </c>
      <c r="S10" s="44">
        <f>'Competitive Analysis'!D68</f>
        <v/>
      </c>
      <c r="T10" s="45">
        <f>'Competitive Analysis'!E68</f>
        <v/>
      </c>
      <c r="V10">
        <f>IFERROR(VALUE(RIGHT(T10,4))*4+MATCH(LEFT(T10,2),{"Q1","Q2","Q3","Q4"},0)-1,"")</f>
        <v/>
      </c>
      <c r="W10">
        <f>IF(V10="","",IF(V10&lt;=$Z$1,0,MAX(1,INT((V10-$Z$2)/4)+1)))</f>
        <v/>
      </c>
    </row>
    <row r="11" ht="14.4" customHeight="1">
      <c r="B11" s="39" t="inlineStr">
        <is>
          <t>Selected Annual Demand</t>
        </is>
      </c>
      <c r="C11" s="48">
        <f>IF($C$7="Bear",$C$8,IF($C$7="Bull",$C$10,$C$9))</f>
        <v/>
      </c>
      <c r="R11" s="43">
        <f>'Competitive Analysis'!C64</f>
        <v/>
      </c>
      <c r="S11" s="44">
        <f>'Competitive Analysis'!D64</f>
        <v/>
      </c>
      <c r="T11" s="45">
        <f>'Competitive Analysis'!E64</f>
        <v/>
      </c>
      <c r="V11">
        <f>IFERROR(VALUE(RIGHT(T11,4))*4+MATCH(LEFT(T11,2),{"Q1","Q2","Q3","Q4"},0)-1,"")</f>
        <v/>
      </c>
      <c r="W11">
        <f>IF(V11="","",IF(V11&lt;=$Z$1,0,MAX(1,INT((V11-$Z$2)/4)+1)))</f>
        <v/>
      </c>
    </row>
    <row r="12" ht="14.4" customHeight="1">
      <c r="R12" s="43">
        <f>'Competitive Analysis'!C70</f>
        <v/>
      </c>
      <c r="S12" s="44">
        <f>'Competitive Analysis'!D70</f>
        <v/>
      </c>
      <c r="T12" s="45">
        <f>'Competitive Analysis'!E70</f>
        <v/>
      </c>
      <c r="V12">
        <f>IFERROR(VALUE(RIGHT(T12,4))*4+MATCH(LEFT(T12,2),{"Q1","Q2","Q3","Q4"},0)-1,"")</f>
        <v/>
      </c>
      <c r="W12">
        <f>IF(V12="","",IF(V12&lt;=$Z$1,0,MAX(1,INT((V12-$Z$2)/4)+1)))</f>
        <v/>
      </c>
    </row>
    <row r="13" ht="14.4" customHeight="1">
      <c r="R13" s="43">
        <f>'Competitive Analysis'!C62</f>
        <v/>
      </c>
      <c r="S13" s="44">
        <f>'Competitive Analysis'!D62</f>
        <v/>
      </c>
      <c r="T13" s="45">
        <f>'Competitive Analysis'!E62</f>
        <v/>
      </c>
      <c r="V13">
        <f>IFERROR(VALUE(RIGHT(T13,4))*4+MATCH(LEFT(T13,2),{"Q1","Q2","Q3","Q4"},0)-1,"")</f>
        <v/>
      </c>
      <c r="W13">
        <f>IF(V13="","",IF(V13&lt;=$Z$1,0,MAX(1,INT((V13-$Z$2)/4)+1)))</f>
        <v/>
      </c>
    </row>
    <row r="14" ht="14.4" customHeight="1">
      <c r="R14" s="43">
        <f>'Competitive Analysis'!C65</f>
        <v/>
      </c>
      <c r="S14" s="44">
        <f>'Competitive Analysis'!D65</f>
        <v/>
      </c>
      <c r="T14" s="45">
        <f>'Competitive Analysis'!E65</f>
        <v/>
      </c>
      <c r="V14">
        <f>IFERROR(VALUE(RIGHT(T14,4))*4+MATCH(LEFT(T14,2),{"Q1","Q2","Q3","Q4"},0)-1,"")</f>
        <v/>
      </c>
      <c r="W14">
        <f>IF(V14="","",IF(V14&lt;=$Z$1,0,MAX(1,INT((V14-$Z$2)/4)+1)))</f>
        <v/>
      </c>
    </row>
    <row r="15" ht="14.4" customHeight="1">
      <c r="R15" s="43">
        <f>'Competitive Analysis'!C66</f>
        <v/>
      </c>
      <c r="S15" s="44">
        <f>'Competitive Analysis'!D66</f>
        <v/>
      </c>
      <c r="T15" s="45">
        <f>'Competitive Analysis'!E66</f>
        <v/>
      </c>
      <c r="V15">
        <f>IFERROR(VALUE(RIGHT(T15,4))*4+MATCH(LEFT(T15,2),{"Q1","Q2","Q3","Q4"},0)-1,"")</f>
        <v/>
      </c>
      <c r="W15">
        <f>IF(V15="","",IF(V15&lt;=$Z$1,0,MAX(1,INT((V15-$Z$2)/4)+1)))</f>
        <v/>
      </c>
    </row>
    <row r="16" ht="14.4" customHeight="1"/>
    <row r="17" ht="14.4" customHeight="1">
      <c r="B17" s="39" t="inlineStr">
        <is>
          <t>5-MILE MARKET</t>
        </is>
      </c>
      <c r="C17" s="4" t="inlineStr">
        <is>
          <t>-Y6</t>
        </is>
      </c>
      <c r="D17" s="4" t="inlineStr">
        <is>
          <t>-Y5</t>
        </is>
      </c>
      <c r="E17" s="4" t="inlineStr">
        <is>
          <t>-Y4</t>
        </is>
      </c>
      <c r="F17" s="4" t="inlineStr">
        <is>
          <t>-Y3</t>
        </is>
      </c>
      <c r="G17" s="4" t="inlineStr">
        <is>
          <t>-Y2</t>
        </is>
      </c>
      <c r="H17" s="4" t="inlineStr">
        <is>
          <t>-Y1</t>
        </is>
      </c>
      <c r="I17" s="4" t="inlineStr">
        <is>
          <t>Y0</t>
        </is>
      </c>
      <c r="J17" s="49" t="inlineStr">
        <is>
          <t>Y1</t>
        </is>
      </c>
      <c r="K17" s="49" t="inlineStr">
        <is>
          <t>Y2</t>
        </is>
      </c>
      <c r="L17" s="49" t="inlineStr">
        <is>
          <t>Y3</t>
        </is>
      </c>
      <c r="M17" s="49" t="inlineStr">
        <is>
          <t>Y4</t>
        </is>
      </c>
      <c r="N17" s="49" t="inlineStr">
        <is>
          <t>Y5</t>
        </is>
      </c>
      <c r="O17" s="49" t="inlineStr">
        <is>
          <t>Y6</t>
        </is>
      </c>
      <c r="R17" s="38" t="inlineStr">
        <is>
          <t>PROPOSED PIPELINE (scenario toggle)</t>
        </is>
      </c>
    </row>
    <row r="18" ht="14.4" customHeight="1">
      <c r="C18" s="50" t="inlineStr">
        <is>
          <t>Q3'19-Q2'20</t>
        </is>
      </c>
      <c r="D18" s="50" t="inlineStr">
        <is>
          <t>Q3'20-Q2'21</t>
        </is>
      </c>
      <c r="E18" s="50" t="inlineStr">
        <is>
          <t>Q3'21-Q2'22</t>
        </is>
      </c>
      <c r="F18" s="50" t="inlineStr">
        <is>
          <t>Q3'22-Q2'23</t>
        </is>
      </c>
      <c r="G18" s="50" t="inlineStr">
        <is>
          <t>Q3'23-Q2'24</t>
        </is>
      </c>
      <c r="H18" s="50" t="inlineStr">
        <is>
          <t>Q3'24-Q2'25</t>
        </is>
      </c>
      <c r="I18" s="50" t="inlineStr">
        <is>
          <t>Q3'25-Q2'26</t>
        </is>
      </c>
      <c r="J18" s="50" t="inlineStr">
        <is>
          <t>Hold Yr 1</t>
        </is>
      </c>
      <c r="K18" s="50" t="inlineStr">
        <is>
          <t>Hold Yr 2</t>
        </is>
      </c>
      <c r="L18" s="50" t="inlineStr">
        <is>
          <t>Hold Yr 3</t>
        </is>
      </c>
      <c r="M18" s="50" t="inlineStr">
        <is>
          <t>Hold Yr 4</t>
        </is>
      </c>
      <c r="N18" s="50" t="inlineStr">
        <is>
          <t>Hold Yr 5</t>
        </is>
      </c>
      <c r="O18" s="50" t="inlineStr">
        <is>
          <t>Hold Yr 6</t>
        </is>
      </c>
      <c r="R18" s="41" t="inlineStr">
        <is>
          <t>Property</t>
        </is>
      </c>
      <c r="S18" s="41" t="inlineStr">
        <is>
          <t>Units</t>
        </is>
      </c>
      <c r="T18" s="41" t="inlineStr">
        <is>
          <t>Est. Delivery</t>
        </is>
      </c>
      <c r="U18" s="41" t="inlineStr">
        <is>
          <t>Built In</t>
        </is>
      </c>
    </row>
    <row r="19" ht="14.4" customHeight="1">
      <c r="B19" s="39" t="inlineStr">
        <is>
          <t>NEW SUPPLY (5-mi)</t>
        </is>
      </c>
      <c r="C19" s="51" t="n">
        <v>1133</v>
      </c>
      <c r="D19" s="51" t="n">
        <v>1860</v>
      </c>
      <c r="E19" s="51" t="n">
        <v>1336</v>
      </c>
      <c r="F19" s="51" t="n">
        <v>2280</v>
      </c>
      <c r="G19" s="51" t="n">
        <v>2823</v>
      </c>
      <c r="H19" s="51" t="n">
        <v>4043</v>
      </c>
      <c r="I19" s="51" t="n">
        <v>1860</v>
      </c>
      <c r="J19" s="52">
        <f>SUMIFS($S$5:$S$15,$W$5:$W$15,1)+SUMIFS($S$19:$S$63,$W$19:$W$63,1,$X$19:$X$63,1)</f>
        <v/>
      </c>
      <c r="K19" s="52">
        <f>SUMIFS($S$5:$S$15,$W$5:$W$15,2)+SUMIFS($S$19:$S$63,$W$19:$W$63,2,$X$19:$X$63,1)</f>
        <v/>
      </c>
      <c r="L19" s="52">
        <f>SUMIFS($S$5:$S$15,$W$5:$W$15,3)+SUMIFS($S$19:$S$63,$W$19:$W$63,3,$X$19:$X$63,1)</f>
        <v/>
      </c>
      <c r="M19" s="52">
        <f>SUMIFS($S$5:$S$15,$W$5:$W$15,4)+SUMIFS($S$19:$S$63,$W$19:$W$63,4,$X$19:$X$63,1)</f>
        <v/>
      </c>
      <c r="N19" s="52">
        <f>SUMIFS($S$5:$S$15,$W$5:$W$15,5)+SUMIFS($S$19:$S$63,$W$19:$W$63,5,$X$19:$X$63,1)</f>
        <v/>
      </c>
      <c r="O19" s="52">
        <f>SUMIFS($S$5:$S$15,$W$5:$W$15,6)+SUMIFS($S$19:$S$63,$W$19:$W$63,6,$X$19:$X$63,1)</f>
        <v/>
      </c>
      <c r="R19" s="43" t="inlineStr">
        <is>
          <t>Sheely Center Future Phase</t>
        </is>
      </c>
      <c r="S19" s="44" t="n">
        <v>697</v>
      </c>
      <c r="T19" s="53" t="inlineStr"/>
      <c r="U19" s="53" t="inlineStr">
        <is>
          <t>Bear only</t>
        </is>
      </c>
      <c r="V19">
        <f>IFERROR(VALUE(RIGHT(T19,4))*4+MATCH(LEFT(T19,2),{"Q1","Q2","Q3","Q4"},0)-1,"")</f>
        <v/>
      </c>
      <c r="W19">
        <f>IF(V19="","",IF(V19&lt;=$Z$1,0,MAX(1,INT((V19-$Z$2)/4)+1)))</f>
        <v/>
      </c>
      <c r="X19">
        <f>IF(U19="All",1,IF(U19="Bear+Base",IF($Z$3&gt;=2,1,0),IF(U19="Bear only",IF($Z$3&gt;=3,1,0),0)))</f>
        <v/>
      </c>
    </row>
    <row r="20" ht="14.4" customHeight="1">
      <c r="B20" s="39" t="inlineStr">
        <is>
          <t>ABSORPTION (5-mi)</t>
        </is>
      </c>
      <c r="C20" s="51" t="n">
        <v>719</v>
      </c>
      <c r="D20" s="51" t="n">
        <v>1876</v>
      </c>
      <c r="E20" s="51" t="n">
        <v>1210</v>
      </c>
      <c r="F20" s="51" t="n">
        <v>685</v>
      </c>
      <c r="G20" s="51" t="n">
        <v>2514</v>
      </c>
      <c r="H20" s="51" t="n">
        <v>2655</v>
      </c>
      <c r="I20" s="51" t="n">
        <v>2369</v>
      </c>
      <c r="J20" s="52">
        <f>J31-I31</f>
        <v/>
      </c>
      <c r="K20" s="52">
        <f>K31-J31</f>
        <v/>
      </c>
      <c r="L20" s="52">
        <f>L31-K31</f>
        <v/>
      </c>
      <c r="M20" s="52">
        <f>M31-L31</f>
        <v/>
      </c>
      <c r="N20" s="52">
        <f>N31-M31</f>
        <v/>
      </c>
      <c r="O20" s="52">
        <f>O31-N31</f>
        <v/>
      </c>
      <c r="R20" s="43" t="inlineStr">
        <is>
          <t>Urban 95 Parcel C</t>
        </is>
      </c>
      <c r="S20" s="44" t="n">
        <v>500</v>
      </c>
      <c r="T20" s="53" t="inlineStr"/>
      <c r="U20" s="53" t="inlineStr">
        <is>
          <t>Bear only</t>
        </is>
      </c>
      <c r="V20">
        <f>IFERROR(VALUE(RIGHT(T20,4))*4+MATCH(LEFT(T20,2),{"Q1","Q2","Q3","Q4"},0)-1,"")</f>
        <v/>
      </c>
      <c r="W20">
        <f>IF(V20="","",IF(V20&lt;=$Z$1,0,MAX(1,INT((V20-$Z$2)/4)+1)))</f>
        <v/>
      </c>
      <c r="X20">
        <f>IF(U20="All",1,IF(U20="Bear+Base",IF($Z$3&gt;=2,1,0),IF(U20="Bear only",IF($Z$3&gt;=3,1,0),0)))</f>
        <v/>
      </c>
    </row>
    <row r="21" ht="14.4" customHeight="1">
      <c r="B21" s="39" t="inlineStr">
        <is>
          <t>OCCUPANCY (5-mi)</t>
        </is>
      </c>
      <c r="C21" s="54" t="n">
        <v>0.909</v>
      </c>
      <c r="D21" s="54" t="n">
        <v>0.922</v>
      </c>
      <c r="E21" s="54" t="n">
        <v>0.921</v>
      </c>
      <c r="F21" s="54" t="n">
        <v>0.842</v>
      </c>
      <c r="G21" s="54" t="n">
        <v>0.848</v>
      </c>
      <c r="H21" s="54" t="n">
        <v>0.8169999999999999</v>
      </c>
      <c r="I21" s="54" t="n">
        <v>0.849</v>
      </c>
      <c r="J21" s="55">
        <f>IFERROR(J31/J30,0)</f>
        <v/>
      </c>
      <c r="K21" s="55">
        <f>IFERROR(K31/K30,0)</f>
        <v/>
      </c>
      <c r="L21" s="55">
        <f>IFERROR(L31/L30,0)</f>
        <v/>
      </c>
      <c r="M21" s="55">
        <f>IFERROR(M31/M30,0)</f>
        <v/>
      </c>
      <c r="N21" s="55">
        <f>IFERROR(N31/N30,0)</f>
        <v/>
      </c>
      <c r="O21" s="55">
        <f>IFERROR(O31/O30,0)</f>
        <v/>
      </c>
      <c r="R21" s="43" t="inlineStr">
        <is>
          <t>Urban 95 Parcel B</t>
        </is>
      </c>
      <c r="S21" s="44" t="n">
        <v>478</v>
      </c>
      <c r="T21" s="53" t="inlineStr"/>
      <c r="U21" s="53" t="inlineStr">
        <is>
          <t>Bear only</t>
        </is>
      </c>
      <c r="V21">
        <f>IFERROR(VALUE(RIGHT(T21,4))*4+MATCH(LEFT(T21,2),{"Q1","Q2","Q3","Q4"},0)-1,"")</f>
        <v/>
      </c>
      <c r="W21">
        <f>IF(V21="","",IF(V21&lt;=$Z$1,0,MAX(1,INT((V21-$Z$2)/4)+1)))</f>
        <v/>
      </c>
      <c r="X21">
        <f>IF(U21="All",1,IF(U21="Bear+Base",IF($Z$3&gt;=2,1,0),IF(U21="Bear only",IF($Z$3&gt;=3,1,0),0)))</f>
        <v/>
      </c>
    </row>
    <row r="22" ht="14.4" customHeight="1">
      <c r="B22" s="39" t="inlineStr">
        <is>
          <t>SUBJECT (Bella Mirage)</t>
        </is>
      </c>
      <c r="R22" s="43" t="inlineStr">
        <is>
          <t>Celebration Plaza Parcel B</t>
        </is>
      </c>
      <c r="S22" s="44" t="n">
        <v>410</v>
      </c>
      <c r="T22" s="53" t="inlineStr"/>
      <c r="U22" s="53" t="inlineStr">
        <is>
          <t>Bear only</t>
        </is>
      </c>
      <c r="V22">
        <f>IFERROR(VALUE(RIGHT(T22,4))*4+MATCH(LEFT(T22,2),{"Q1","Q2","Q3","Q4"},0)-1,"")</f>
        <v/>
      </c>
      <c r="W22">
        <f>IF(V22="","",IF(V22&lt;=$Z$1,0,MAX(1,INT((V22-$Z$2)/4)+1)))</f>
        <v/>
      </c>
      <c r="X22">
        <f>IF(U22="All",1,IF(U22="Bear+Base",IF($Z$3&gt;=2,1,0),IF(U22="Bear only",IF($Z$3&gt;=3,1,0),0)))</f>
        <v/>
      </c>
    </row>
    <row r="23" ht="14.4" customHeight="1">
      <c r="B23" s="39" t="inlineStr">
        <is>
          <t xml:space="preserve">  Market Rent  (CoStar→HD)</t>
        </is>
      </c>
      <c r="C23" s="56" t="n">
        <v>1088</v>
      </c>
      <c r="D23" s="56" t="n">
        <v>1437</v>
      </c>
      <c r="E23" s="56" t="n">
        <v>1730</v>
      </c>
      <c r="F23" s="56" t="n">
        <v>1572</v>
      </c>
      <c r="G23" s="56" t="n">
        <v>1497</v>
      </c>
      <c r="H23" s="56" t="n">
        <v>1444</v>
      </c>
      <c r="I23" s="56">
        <f>IFERROR('Cash Flow (Annual)'!$F$4,1332)</f>
        <v/>
      </c>
      <c r="J23" s="57">
        <f>IFERROR('Cash Flow (Annual)'!$K$4,"")</f>
        <v/>
      </c>
      <c r="K23" s="57">
        <f>IFERROR('Cash Flow (Annual)'!$L$4,"")</f>
        <v/>
      </c>
      <c r="L23" s="57">
        <f>IFERROR('Cash Flow (Annual)'!$M$4,"")</f>
        <v/>
      </c>
      <c r="M23" s="57">
        <f>IFERROR('Cash Flow (Annual)'!$N$4,"")</f>
        <v/>
      </c>
      <c r="N23" s="57">
        <f>IFERROR('Cash Flow (Annual)'!$O$4,"")</f>
        <v/>
      </c>
      <c r="O23" s="57">
        <f>IFERROR('Cash Flow (Annual)'!$P$4,"")</f>
        <v/>
      </c>
      <c r="R23" s="43" t="inlineStr">
        <is>
          <t>The District at Westgate</t>
        </is>
      </c>
      <c r="S23" s="44" t="n">
        <v>384</v>
      </c>
      <c r="T23" s="53" t="inlineStr"/>
      <c r="U23" s="53" t="inlineStr">
        <is>
          <t>Bear only</t>
        </is>
      </c>
      <c r="V23">
        <f>IFERROR(VALUE(RIGHT(T23,4))*4+MATCH(LEFT(T23,2),{"Q1","Q2","Q3","Q4"},0)-1,"")</f>
        <v/>
      </c>
      <c r="W23">
        <f>IF(V23="","",IF(V23&lt;=$Z$1,0,MAX(1,INT((V23-$Z$2)/4)+1)))</f>
        <v/>
      </c>
      <c r="X23">
        <f>IF(U23="All",1,IF(U23="Bear+Base",IF($Z$3&gt;=2,1,0),IF(U23="Bear only",IF($Z$3&gt;=3,1,0),0)))</f>
        <v/>
      </c>
    </row>
    <row r="24" ht="14.4" customHeight="1">
      <c r="B24" s="58" t="inlineStr">
        <is>
          <t xml:space="preserve">    Market Rent YoY %</t>
        </is>
      </c>
      <c r="C24" s="59" t="n"/>
      <c r="D24" s="59">
        <f>IFERROR(D23/C23-1,"")</f>
        <v/>
      </c>
      <c r="E24" s="59">
        <f>IFERROR(E23/D23-1,"")</f>
        <v/>
      </c>
      <c r="F24" s="59">
        <f>IFERROR(F23/E23-1,"")</f>
        <v/>
      </c>
      <c r="G24" s="59">
        <f>IFERROR(G23/F23-1,"")</f>
        <v/>
      </c>
      <c r="H24" s="59">
        <f>IFERROR(H23/G23-1,"")</f>
        <v/>
      </c>
      <c r="I24" s="59">
        <f>IFERROR(I23/H23-1,"")</f>
        <v/>
      </c>
      <c r="J24" s="60">
        <f>IFERROR(J23/I23-1,"")</f>
        <v/>
      </c>
      <c r="K24" s="60">
        <f>IFERROR(K23/J23-1,"")</f>
        <v/>
      </c>
      <c r="L24" s="60">
        <f>IFERROR(L23/K23-1,"")</f>
        <v/>
      </c>
      <c r="M24" s="60">
        <f>IFERROR(M23/L23-1,"")</f>
        <v/>
      </c>
      <c r="N24" s="60">
        <f>IFERROR(N23/M23-1,"")</f>
        <v/>
      </c>
      <c r="O24" s="60">
        <f>IFERROR(O23/N23-1,"")</f>
        <v/>
      </c>
      <c r="R24" s="43" t="inlineStr">
        <is>
          <t>Picerne at Palm Valley</t>
        </is>
      </c>
      <c r="S24" s="44" t="n">
        <v>383</v>
      </c>
      <c r="T24" s="53" t="inlineStr"/>
      <c r="U24" s="53" t="inlineStr">
        <is>
          <t>Bear only</t>
        </is>
      </c>
      <c r="V24">
        <f>IFERROR(VALUE(RIGHT(T24,4))*4+MATCH(LEFT(T24,2),{"Q1","Q2","Q3","Q4"},0)-1,"")</f>
        <v/>
      </c>
      <c r="W24">
        <f>IF(V24="","",IF(V24&lt;=$Z$1,0,MAX(1,INT((V24-$Z$2)/4)+1)))</f>
        <v/>
      </c>
      <c r="X24">
        <f>IF(U24="All",1,IF(U24="Bear+Base",IF($Z$3&gt;=2,1,0),IF(U24="Bear only",IF($Z$3&gt;=3,1,0),0)))</f>
        <v/>
      </c>
    </row>
    <row r="25" ht="14.4" customHeight="1">
      <c r="B25" s="39" t="inlineStr">
        <is>
          <t xml:space="preserve">  Effective Rent</t>
        </is>
      </c>
      <c r="C25" s="56" t="n">
        <v>1086</v>
      </c>
      <c r="D25" s="56" t="n">
        <v>1434</v>
      </c>
      <c r="E25" s="56" t="n">
        <v>1730</v>
      </c>
      <c r="F25" s="56" t="n">
        <v>1555</v>
      </c>
      <c r="G25" s="56" t="n">
        <v>1402</v>
      </c>
      <c r="H25" s="56" t="n">
        <v>1369</v>
      </c>
      <c r="I25" s="56">
        <f>IFERROR('Cash Flow (Annual)'!$F$5,1301)</f>
        <v/>
      </c>
      <c r="J25" s="57">
        <f>IFERROR('Cash Flow (Annual)'!$K$5,"")</f>
        <v/>
      </c>
      <c r="K25" s="57">
        <f>IFERROR('Cash Flow (Annual)'!$L$5,"")</f>
        <v/>
      </c>
      <c r="L25" s="57">
        <f>IFERROR('Cash Flow (Annual)'!$M$5,"")</f>
        <v/>
      </c>
      <c r="M25" s="57">
        <f>IFERROR('Cash Flow (Annual)'!$N$5,"")</f>
        <v/>
      </c>
      <c r="N25" s="57">
        <f>IFERROR('Cash Flow (Annual)'!$O$5,"")</f>
        <v/>
      </c>
      <c r="O25" s="57">
        <f>IFERROR('Cash Flow (Annual)'!$P$5,"")</f>
        <v/>
      </c>
      <c r="R25" s="43" t="inlineStr">
        <is>
          <t>Liv Avondale</t>
        </is>
      </c>
      <c r="S25" s="44" t="n">
        <v>333</v>
      </c>
      <c r="T25" s="53" t="inlineStr"/>
      <c r="U25" s="53" t="inlineStr">
        <is>
          <t>Bear only</t>
        </is>
      </c>
      <c r="V25">
        <f>IFERROR(VALUE(RIGHT(T25,4))*4+MATCH(LEFT(T25,2),{"Q1","Q2","Q3","Q4"},0)-1,"")</f>
        <v/>
      </c>
      <c r="W25">
        <f>IF(V25="","",IF(V25&lt;=$Z$1,0,MAX(1,INT((V25-$Z$2)/4)+1)))</f>
        <v/>
      </c>
      <c r="X25">
        <f>IF(U25="All",1,IF(U25="Bear+Base",IF($Z$3&gt;=2,1,0),IF(U25="Bear only",IF($Z$3&gt;=3,1,0),0)))</f>
        <v/>
      </c>
    </row>
    <row r="26" ht="14.4" customHeight="1">
      <c r="B26" s="58" t="inlineStr">
        <is>
          <t xml:space="preserve">    Effective Rent YoY %</t>
        </is>
      </c>
      <c r="C26" s="59" t="n"/>
      <c r="D26" s="59">
        <f>IFERROR(D25/C25-1,"")</f>
        <v/>
      </c>
      <c r="E26" s="59">
        <f>IFERROR(E25/D25-1,"")</f>
        <v/>
      </c>
      <c r="F26" s="59">
        <f>IFERROR(F25/E25-1,"")</f>
        <v/>
      </c>
      <c r="G26" s="59">
        <f>IFERROR(G25/F25-1,"")</f>
        <v/>
      </c>
      <c r="H26" s="59">
        <f>IFERROR(H25/G25-1,"")</f>
        <v/>
      </c>
      <c r="I26" s="59">
        <f>IFERROR(I25/H25-1,"")</f>
        <v/>
      </c>
      <c r="J26" s="60">
        <f>IFERROR(J25/I25-1,"")</f>
        <v/>
      </c>
      <c r="K26" s="60">
        <f>IFERROR(K25/J25-1,"")</f>
        <v/>
      </c>
      <c r="L26" s="60">
        <f>IFERROR(L25/K25-1,"")</f>
        <v/>
      </c>
      <c r="M26" s="60">
        <f>IFERROR(M25/L25-1,"")</f>
        <v/>
      </c>
      <c r="N26" s="60">
        <f>IFERROR(N25/M25-1,"")</f>
        <v/>
      </c>
      <c r="O26" s="60">
        <f>IFERROR(O25/N25-1,"")</f>
        <v/>
      </c>
      <c r="R26" s="43" t="inlineStr">
        <is>
          <t>Urban 95 Parcel A</t>
        </is>
      </c>
      <c r="S26" s="44" t="n">
        <v>324</v>
      </c>
      <c r="T26" s="53" t="inlineStr"/>
      <c r="U26" s="53" t="inlineStr">
        <is>
          <t>Bear only</t>
        </is>
      </c>
      <c r="V26">
        <f>IFERROR(VALUE(RIGHT(T26,4))*4+MATCH(LEFT(T26,2),{"Q1","Q2","Q3","Q4"},0)-1,"")</f>
        <v/>
      </c>
      <c r="W26">
        <f>IF(V26="","",IF(V26&lt;=$Z$1,0,MAX(1,INT((V26-$Z$2)/4)+1)))</f>
        <v/>
      </c>
      <c r="X26">
        <f>IF(U26="All",1,IF(U26="Bear+Base",IF($Z$3&gt;=2,1,0),IF(U26="Bear only",IF($Z$3&gt;=3,1,0),0)))</f>
        <v/>
      </c>
    </row>
    <row r="27" ht="14.4" customHeight="1">
      <c r="B27" s="39" t="inlineStr">
        <is>
          <t xml:space="preserve">  Occupancy (financials / CoStar)</t>
        </is>
      </c>
      <c r="C27" s="61" t="n">
        <v>0.9503496503496502</v>
      </c>
      <c r="D27" s="61" t="n">
        <v>0.957692307692308</v>
      </c>
      <c r="E27" s="61" t="n">
        <v>0.9458041958041957</v>
      </c>
      <c r="F27" s="61" t="n">
        <v>0.8788971182681028</v>
      </c>
      <c r="G27" s="61" t="n">
        <v>0.9173713229249606</v>
      </c>
      <c r="H27" s="61" t="n">
        <v>0.9334854638634199</v>
      </c>
      <c r="I27" s="61">
        <f>IFERROR('Cash Flow (Annual)'!$F$14,0.9206643232607364)</f>
        <v/>
      </c>
      <c r="J27" s="62">
        <f>IFERROR('Cash Flow (Annual)'!$K$14,"")</f>
        <v/>
      </c>
      <c r="K27" s="62">
        <f>IFERROR('Cash Flow (Annual)'!$L$14,"")</f>
        <v/>
      </c>
      <c r="L27" s="62">
        <f>IFERROR('Cash Flow (Annual)'!$M$14,"")</f>
        <v/>
      </c>
      <c r="M27" s="62">
        <f>IFERROR('Cash Flow (Annual)'!$N$14,"")</f>
        <v/>
      </c>
      <c r="N27" s="62">
        <f>IFERROR('Cash Flow (Annual)'!$O$14,"")</f>
        <v/>
      </c>
      <c r="O27" s="62">
        <f>IFERROR('Cash Flow (Annual)'!$P$14,"")</f>
        <v/>
      </c>
      <c r="R27" s="43" t="inlineStr">
        <is>
          <t>The Waverly</t>
        </is>
      </c>
      <c r="S27" s="44" t="n">
        <v>323</v>
      </c>
      <c r="T27" s="53" t="inlineStr">
        <is>
          <t>Q3 2028</t>
        </is>
      </c>
      <c r="U27" s="53" t="inlineStr">
        <is>
          <t>Bear only</t>
        </is>
      </c>
      <c r="V27">
        <f>IFERROR(VALUE(RIGHT(T27,4))*4+MATCH(LEFT(T27,2),{"Q1","Q2","Q3","Q4"},0)-1,"")</f>
        <v/>
      </c>
      <c r="W27">
        <f>IF(V27="","",IF(V27&lt;=$Z$1,0,MAX(1,INT((V27-$Z$2)/4)+1)))</f>
        <v/>
      </c>
      <c r="X27">
        <f>IF(U27="All",1,IF(U27="Bear+Base",IF($Z$3&gt;=2,1,0),IF(U27="Bear only",IF($Z$3&gt;=3,1,0),0)))</f>
        <v/>
      </c>
    </row>
    <row r="28" ht="14.4" customHeight="1">
      <c r="B28" s="39" t="inlineStr">
        <is>
          <t xml:space="preserve">  Concession %</t>
        </is>
      </c>
      <c r="C28" s="61">
        <f>IFERROR((C23-C25)/C23,"")</f>
        <v/>
      </c>
      <c r="D28" s="61">
        <f>IFERROR((D23-D25)/D23,"")</f>
        <v/>
      </c>
      <c r="E28" s="61">
        <f>IFERROR((E23-E25)/E23,"")</f>
        <v/>
      </c>
      <c r="F28" s="61">
        <f>IFERROR((F23-F25)/F23,"")</f>
        <v/>
      </c>
      <c r="G28" s="61">
        <f>IFERROR((G23-G25)/G23,"")</f>
        <v/>
      </c>
      <c r="H28" s="61">
        <f>IFERROR((H23-H25)/H23,"")</f>
        <v/>
      </c>
      <c r="I28" s="61">
        <f>IFERROR((I23-I25)/I23,"")</f>
        <v/>
      </c>
      <c r="J28" s="62">
        <f>IFERROR((J23-J25)/J23,"")</f>
        <v/>
      </c>
      <c r="K28" s="62">
        <f>IFERROR((K23-K25)/K23,"")</f>
        <v/>
      </c>
      <c r="L28" s="62">
        <f>IFERROR((L23-L25)/L23,"")</f>
        <v/>
      </c>
      <c r="M28" s="62">
        <f>IFERROR((M23-M25)/M23,"")</f>
        <v/>
      </c>
      <c r="N28" s="62">
        <f>IFERROR((N23-N25)/N23,"")</f>
        <v/>
      </c>
      <c r="O28" s="62">
        <f>IFERROR((O23-O25)/O23,"")</f>
        <v/>
      </c>
      <c r="R28" s="43" t="inlineStr">
        <is>
          <t>Fuze 623</t>
        </is>
      </c>
      <c r="S28" s="44" t="n">
        <v>321</v>
      </c>
      <c r="T28" s="53" t="inlineStr"/>
      <c r="U28" s="53" t="inlineStr">
        <is>
          <t>Bear only</t>
        </is>
      </c>
      <c r="V28">
        <f>IFERROR(VALUE(RIGHT(T28,4))*4+MATCH(LEFT(T28,2),{"Q1","Q2","Q3","Q4"},0)-1,"")</f>
        <v/>
      </c>
      <c r="W28">
        <f>IF(V28="","",IF(V28&lt;=$Z$1,0,MAX(1,INT((V28-$Z$2)/4)+1)))</f>
        <v/>
      </c>
      <c r="X28">
        <f>IF(U28="All",1,IF(U28="Bear+Base",IF($Z$3&gt;=2,1,0),IF(U28="Bear only",IF($Z$3&gt;=3,1,0),0)))</f>
        <v/>
      </c>
    </row>
    <row r="29" ht="14.4" customHeight="1">
      <c r="R29" s="43" t="inlineStr">
        <is>
          <t>Anton Glendale</t>
        </is>
      </c>
      <c r="S29" s="44" t="n">
        <v>320</v>
      </c>
      <c r="T29" s="53" t="inlineStr"/>
      <c r="U29" s="53" t="inlineStr">
        <is>
          <t>Bear only</t>
        </is>
      </c>
      <c r="V29">
        <f>IFERROR(VALUE(RIGHT(T29,4))*4+MATCH(LEFT(T29,2),{"Q1","Q2","Q3","Q4"},0)-1,"")</f>
        <v/>
      </c>
      <c r="W29">
        <f>IF(V29="","",IF(V29&lt;=$Z$1,0,MAX(1,INT((V29-$Z$2)/4)+1)))</f>
        <v/>
      </c>
      <c r="X29">
        <f>IF(U29="All",1,IF(U29="Bear+Base",IF($Z$3&gt;=2,1,0),IF(U29="Bear only",IF($Z$3&gt;=3,1,0),0)))</f>
        <v/>
      </c>
    </row>
    <row r="30" hidden="1" ht="14.4" customHeight="1">
      <c r="B30" s="37" t="inlineStr">
        <is>
          <t xml:space="preserve">  inventory</t>
        </is>
      </c>
      <c r="C30" s="63" t="n">
        <v>12401</v>
      </c>
      <c r="D30" s="63" t="n">
        <v>14261</v>
      </c>
      <c r="E30" s="63" t="n">
        <v>15597</v>
      </c>
      <c r="F30" s="63" t="n">
        <v>17877</v>
      </c>
      <c r="G30" s="63" t="n">
        <v>20700</v>
      </c>
      <c r="H30" s="63" t="n">
        <v>24743</v>
      </c>
      <c r="I30" s="63" t="n">
        <v>26603</v>
      </c>
      <c r="J30" s="63">
        <f>I30+J19</f>
        <v/>
      </c>
      <c r="K30" s="63">
        <f>J30+K19</f>
        <v/>
      </c>
      <c r="L30" s="63">
        <f>K30+L19</f>
        <v/>
      </c>
      <c r="M30" s="63">
        <f>L30+M19</f>
        <v/>
      </c>
      <c r="N30" s="63">
        <f>M30+N19</f>
        <v/>
      </c>
      <c r="O30" s="63">
        <f>N30+O19</f>
        <v/>
      </c>
      <c r="R30" s="43" t="inlineStr">
        <is>
          <t>Western Garden II</t>
        </is>
      </c>
      <c r="S30" s="44" t="n">
        <v>314</v>
      </c>
      <c r="T30" s="53" t="inlineStr"/>
      <c r="U30" s="53" t="inlineStr">
        <is>
          <t>Bear only</t>
        </is>
      </c>
      <c r="V30">
        <f>IFERROR(VALUE(RIGHT(T30,4))*4+MATCH(LEFT(T30,2),{"Q1","Q2","Q3","Q4"},0)-1,"")</f>
        <v/>
      </c>
      <c r="W30">
        <f>IF(V30="","",IF(V30&lt;=$Z$1,0,MAX(1,INT((V30-$Z$2)/4)+1)))</f>
        <v/>
      </c>
      <c r="X30">
        <f>IF(U30="All",1,IF(U30="Bear+Base",IF($Z$3&gt;=2,1,0),IF(U30="Bear only",IF($Z$3&gt;=3,1,0),0)))</f>
        <v/>
      </c>
    </row>
    <row r="31" hidden="1" ht="14.4" customHeight="1">
      <c r="B31" s="37" t="inlineStr">
        <is>
          <t xml:space="preserve">  occupied</t>
        </is>
      </c>
      <c r="C31" s="63" t="n">
        <v>11277</v>
      </c>
      <c r="D31" s="63" t="n">
        <v>13152</v>
      </c>
      <c r="E31" s="63" t="n">
        <v>14362</v>
      </c>
      <c r="F31" s="63" t="n">
        <v>15047</v>
      </c>
      <c r="G31" s="63" t="n">
        <v>17560</v>
      </c>
      <c r="H31" s="63" t="n">
        <v>20215</v>
      </c>
      <c r="I31" s="63" t="n">
        <v>22585</v>
      </c>
      <c r="J31" s="63">
        <f>MIN($C$6*J30,I31+$C$11)</f>
        <v/>
      </c>
      <c r="K31" s="63">
        <f>MIN($C$6*K30,J31+$C$11)</f>
        <v/>
      </c>
      <c r="L31" s="63">
        <f>MIN($C$6*L30,K31+$C$11)</f>
        <v/>
      </c>
      <c r="M31" s="63">
        <f>MIN($C$6*M30,L31+$C$11)</f>
        <v/>
      </c>
      <c r="N31" s="63">
        <f>MIN($C$6*N30,M31+$C$11)</f>
        <v/>
      </c>
      <c r="O31" s="63">
        <f>MIN($C$6*O30,N31+$C$11)</f>
        <v/>
      </c>
      <c r="R31" s="43" t="inlineStr">
        <is>
          <t>Sanctuair at Centerscape</t>
        </is>
      </c>
      <c r="S31" s="44" t="n">
        <v>303</v>
      </c>
      <c r="T31" s="53" t="inlineStr"/>
      <c r="U31" s="53" t="inlineStr">
        <is>
          <t>Bear only</t>
        </is>
      </c>
      <c r="V31">
        <f>IFERROR(VALUE(RIGHT(T31,4))*4+MATCH(LEFT(T31,2),{"Q1","Q2","Q3","Q4"},0)-1,"")</f>
        <v/>
      </c>
      <c r="W31">
        <f>IF(V31="","",IF(V31&lt;=$Z$1,0,MAX(1,INT((V31-$Z$2)/4)+1)))</f>
        <v/>
      </c>
      <c r="X31">
        <f>IF(U31="All",1,IF(U31="Bear+Base",IF($Z$3&gt;=2,1,0),IF(U31="Bear only",IF($Z$3&gt;=3,1,0),0)))</f>
        <v/>
      </c>
    </row>
    <row r="32" ht="14.4" customHeight="1">
      <c r="R32" s="43" t="inlineStr">
        <is>
          <t>Encore Avondale</t>
        </is>
      </c>
      <c r="S32" s="44" t="n">
        <v>300</v>
      </c>
      <c r="T32" s="53" t="inlineStr">
        <is>
          <t>Q3 2028</t>
        </is>
      </c>
      <c r="U32" s="53" t="inlineStr">
        <is>
          <t>Bear only</t>
        </is>
      </c>
      <c r="V32">
        <f>IFERROR(VALUE(RIGHT(T32,4))*4+MATCH(LEFT(T32,2),{"Q1","Q2","Q3","Q4"},0)-1,"")</f>
        <v/>
      </c>
      <c r="W32">
        <f>IF(V32="","",IF(V32&lt;=$Z$1,0,MAX(1,INT((V32-$Z$2)/4)+1)))</f>
        <v/>
      </c>
      <c r="X32">
        <f>IF(U32="All",1,IF(U32="Bear+Base",IF($Z$3&gt;=2,1,0),IF(U32="Bear only",IF($Z$3&gt;=3,1,0),0)))</f>
        <v/>
      </c>
    </row>
    <row r="33" ht="14.4" customHeight="1">
      <c r="B33" s="38" t="inlineStr">
        <is>
          <t>MARKET-RENT GROWTH — TMG vs 3RD-PARTY FORECAST</t>
        </is>
      </c>
      <c r="C33" s="64" t="n"/>
      <c r="D33" s="64" t="n"/>
      <c r="E33" s="64" t="n"/>
      <c r="F33" s="64" t="n"/>
      <c r="G33" s="64" t="n"/>
      <c r="H33" s="64" t="n"/>
      <c r="I33" s="64" t="n"/>
      <c r="J33" s="65" t="inlineStr">
        <is>
          <t>Y1</t>
        </is>
      </c>
      <c r="K33" s="65" t="inlineStr">
        <is>
          <t>Y2</t>
        </is>
      </c>
      <c r="L33" s="65" t="inlineStr">
        <is>
          <t>Y3</t>
        </is>
      </c>
      <c r="M33" s="65" t="inlineStr">
        <is>
          <t>Y4</t>
        </is>
      </c>
      <c r="N33" s="65" t="inlineStr">
        <is>
          <t>Y5</t>
        </is>
      </c>
      <c r="O33" s="65" t="inlineStr">
        <is>
          <t>Y6</t>
        </is>
      </c>
      <c r="P33" s="65" t="inlineStr">
        <is>
          <t>AVG</t>
        </is>
      </c>
      <c r="R33" s="43" t="inlineStr">
        <is>
          <t>Banyan Avondale</t>
        </is>
      </c>
      <c r="S33" s="44" t="n">
        <v>296</v>
      </c>
      <c r="T33" s="53" t="inlineStr"/>
      <c r="U33" s="53" t="inlineStr">
        <is>
          <t>Bear only</t>
        </is>
      </c>
      <c r="V33">
        <f>IFERROR(VALUE(RIGHT(T33,4))*4+MATCH(LEFT(T33,2),{"Q1","Q2","Q3","Q4"},0)-1,"")</f>
        <v/>
      </c>
      <c r="W33">
        <f>IF(V33="","",IF(V33&lt;=$Z$1,0,MAX(1,INT((V33-$Z$2)/4)+1)))</f>
        <v/>
      </c>
      <c r="X33">
        <f>IF(U33="All",1,IF(U33="Bear+Base",IF($Z$3&gt;=2,1,0),IF(U33="Bear only",IF($Z$3&gt;=3,1,0),0)))</f>
        <v/>
      </c>
    </row>
    <row r="34" ht="14.4" customHeight="1">
      <c r="B34" s="66" t="inlineStr">
        <is>
          <t xml:space="preserve">  CoStar</t>
        </is>
      </c>
      <c r="C34" s="67" t="n"/>
      <c r="D34" s="67" t="n"/>
      <c r="E34" s="67" t="n"/>
      <c r="F34" s="67" t="n"/>
      <c r="G34" s="67" t="n"/>
      <c r="H34" s="67" t="n"/>
      <c r="I34" s="67" t="n"/>
      <c r="J34" s="61">
        <f>IFERROR('Rent &amp; Occ Data'!$C$31,"")</f>
        <v/>
      </c>
      <c r="K34" s="61">
        <f>IFERROR('Rent &amp; Occ Data'!$D$31,"")</f>
        <v/>
      </c>
      <c r="L34" s="61">
        <f>IFERROR('Rent &amp; Occ Data'!$E$31,"")</f>
        <v/>
      </c>
      <c r="M34" s="61">
        <f>IFERROR('Rent &amp; Occ Data'!$F$31,"")</f>
        <v/>
      </c>
      <c r="N34" s="61">
        <f>IFERROR('Rent &amp; Occ Data'!$G$31,"")</f>
        <v/>
      </c>
      <c r="O34" s="61">
        <f>IFERROR('Rent &amp; Occ Data'!$H$31,"")</f>
        <v/>
      </c>
      <c r="P34" s="61">
        <f>IFERROR(AVERAGE(J34:O34),"")</f>
        <v/>
      </c>
      <c r="R34" s="43" t="inlineStr">
        <is>
          <t>Rosilian Villas</t>
        </is>
      </c>
      <c r="S34" s="44" t="n">
        <v>291</v>
      </c>
      <c r="T34" s="53" t="inlineStr"/>
      <c r="U34" s="53" t="inlineStr">
        <is>
          <t>Bear only</t>
        </is>
      </c>
      <c r="V34">
        <f>IFERROR(VALUE(RIGHT(T34,4))*4+MATCH(LEFT(T34,2),{"Q1","Q2","Q3","Q4"},0)-1,"")</f>
        <v/>
      </c>
      <c r="W34">
        <f>IF(V34="","",IF(V34&lt;=$Z$1,0,MAX(1,INT((V34-$Z$2)/4)+1)))</f>
        <v/>
      </c>
      <c r="X34">
        <f>IF(U34="All",1,IF(U34="Bear+Base",IF($Z$3&gt;=2,1,0),IF(U34="Bear only",IF($Z$3&gt;=3,1,0),0)))</f>
        <v/>
      </c>
    </row>
    <row r="35" ht="14.4" customHeight="1">
      <c r="B35" s="66" t="inlineStr">
        <is>
          <t xml:space="preserve">  RealPage</t>
        </is>
      </c>
      <c r="C35" s="67" t="n"/>
      <c r="D35" s="67" t="n"/>
      <c r="E35" s="67" t="n"/>
      <c r="F35" s="67" t="n"/>
      <c r="G35" s="67" t="n"/>
      <c r="H35" s="67" t="n"/>
      <c r="I35" s="67" t="n"/>
      <c r="J35" s="61">
        <f>IFERROR('Rent &amp; Occ Data'!$C$32,"")</f>
        <v/>
      </c>
      <c r="K35" s="61">
        <f>IFERROR('Rent &amp; Occ Data'!$D$32,"")</f>
        <v/>
      </c>
      <c r="L35" s="61">
        <f>IFERROR('Rent &amp; Occ Data'!$E$32,"")</f>
        <v/>
      </c>
      <c r="M35" s="61">
        <f>IFERROR('Rent &amp; Occ Data'!$F$32,"")</f>
        <v/>
      </c>
      <c r="N35" s="61">
        <f>IFERROR('Rent &amp; Occ Data'!$G$32,"")</f>
        <v/>
      </c>
      <c r="O35" s="61">
        <f>IFERROR('Rent &amp; Occ Data'!$H$32,"")</f>
        <v/>
      </c>
      <c r="P35" s="61">
        <f>IFERROR(AVERAGE(J35:O35),"")</f>
        <v/>
      </c>
      <c r="R35" s="43" t="inlineStr">
        <is>
          <t>The Statler at Estrella Parkway</t>
        </is>
      </c>
      <c r="S35" s="44" t="n">
        <v>284</v>
      </c>
      <c r="T35" s="53" t="inlineStr">
        <is>
          <t>Q3 2028</t>
        </is>
      </c>
      <c r="U35" s="53" t="inlineStr">
        <is>
          <t>Bear only</t>
        </is>
      </c>
      <c r="V35">
        <f>IFERROR(VALUE(RIGHT(T35,4))*4+MATCH(LEFT(T35,2),{"Q1","Q2","Q3","Q4"},0)-1,"")</f>
        <v/>
      </c>
      <c r="W35">
        <f>IF(V35="","",IF(V35&lt;=$Z$1,0,MAX(1,INT((V35-$Z$2)/4)+1)))</f>
        <v/>
      </c>
      <c r="X35">
        <f>IF(U35="All",1,IF(U35="Bear+Base",IF($Z$3&gt;=2,1,0),IF(U35="Bear only",IF($Z$3&gt;=3,1,0),0)))</f>
        <v/>
      </c>
    </row>
    <row r="36" ht="14.4" customHeight="1">
      <c r="B36" s="66" t="inlineStr">
        <is>
          <t xml:space="preserve">  Yardi</t>
        </is>
      </c>
      <c r="C36" s="67" t="n"/>
      <c r="D36" s="67" t="n"/>
      <c r="E36" s="67" t="n"/>
      <c r="F36" s="67" t="n"/>
      <c r="G36" s="67" t="n"/>
      <c r="H36" s="67" t="n"/>
      <c r="I36" s="67" t="n"/>
      <c r="J36" s="61">
        <f>IFERROR('Rent &amp; Occ Data'!$C$33,"")</f>
        <v/>
      </c>
      <c r="K36" s="61">
        <f>IFERROR('Rent &amp; Occ Data'!$D$33,"")</f>
        <v/>
      </c>
      <c r="L36" s="61">
        <f>IFERROR('Rent &amp; Occ Data'!$E$33,"")</f>
        <v/>
      </c>
      <c r="M36" s="61">
        <f>IFERROR('Rent &amp; Occ Data'!$F$33,"")</f>
        <v/>
      </c>
      <c r="N36" s="61">
        <f>IFERROR('Rent &amp; Occ Data'!$G$33,"")</f>
        <v/>
      </c>
      <c r="O36" s="61">
        <f>IFERROR('Rent &amp; Occ Data'!$H$33,"")</f>
        <v/>
      </c>
      <c r="P36" s="61">
        <f>IFERROR(AVERAGE(J36:O36),"")</f>
        <v/>
      </c>
      <c r="R36" s="43" t="inlineStr">
        <is>
          <t>Orion Avondale</t>
        </is>
      </c>
      <c r="S36" s="44" t="n">
        <v>268</v>
      </c>
      <c r="T36" s="53" t="inlineStr"/>
      <c r="U36" s="53" t="inlineStr">
        <is>
          <t>Bear only</t>
        </is>
      </c>
      <c r="V36">
        <f>IFERROR(VALUE(RIGHT(T36,4))*4+MATCH(LEFT(T36,2),{"Q1","Q2","Q3","Q4"},0)-1,"")</f>
        <v/>
      </c>
      <c r="W36">
        <f>IF(V36="","",IF(V36&lt;=$Z$1,0,MAX(1,INT((V36-$Z$2)/4)+1)))</f>
        <v/>
      </c>
      <c r="X36">
        <f>IF(U36="All",1,IF(U36="Bear+Base",IF($Z$3&gt;=2,1,0),IF(U36="Bear only",IF($Z$3&gt;=3,1,0),0)))</f>
        <v/>
      </c>
    </row>
    <row r="37" ht="14.4" customHeight="1">
      <c r="B37" s="66" t="inlineStr">
        <is>
          <t xml:space="preserve">  GreenStreet</t>
        </is>
      </c>
      <c r="C37" s="67" t="n"/>
      <c r="D37" s="67" t="n"/>
      <c r="E37" s="67" t="n"/>
      <c r="F37" s="67" t="n"/>
      <c r="G37" s="67" t="n"/>
      <c r="H37" s="67" t="n"/>
      <c r="I37" s="67" t="n"/>
      <c r="J37" s="61">
        <f>IFERROR('Rent &amp; Occ Data'!$C$34,"")</f>
        <v/>
      </c>
      <c r="K37" s="61">
        <f>IFERROR('Rent &amp; Occ Data'!$D$34,"")</f>
        <v/>
      </c>
      <c r="L37" s="61">
        <f>IFERROR('Rent &amp; Occ Data'!$E$34,"")</f>
        <v/>
      </c>
      <c r="M37" s="61">
        <f>IFERROR('Rent &amp; Occ Data'!$F$34,"")</f>
        <v/>
      </c>
      <c r="N37" s="61">
        <f>IFERROR('Rent &amp; Occ Data'!$G$34,"")</f>
        <v/>
      </c>
      <c r="O37" s="61">
        <f>IFERROR('Rent &amp; Occ Data'!$H$34,"")</f>
        <v/>
      </c>
      <c r="P37" s="61">
        <f>IFERROR(AVERAGE(J37:O37),"")</f>
        <v/>
      </c>
      <c r="R37" s="43" t="inlineStr">
        <is>
          <t>Tavalo at Avondale</t>
        </is>
      </c>
      <c r="S37" s="44" t="n">
        <v>266</v>
      </c>
      <c r="T37" s="53" t="inlineStr"/>
      <c r="U37" s="53" t="inlineStr">
        <is>
          <t>Bear only</t>
        </is>
      </c>
      <c r="V37">
        <f>IFERROR(VALUE(RIGHT(T37,4))*4+MATCH(LEFT(T37,2),{"Q1","Q2","Q3","Q4"},0)-1,"")</f>
        <v/>
      </c>
      <c r="W37">
        <f>IF(V37="","",IF(V37&lt;=$Z$1,0,MAX(1,INT((V37-$Z$2)/4)+1)))</f>
        <v/>
      </c>
      <c r="X37">
        <f>IF(U37="All",1,IF(U37="Bear+Base",IF($Z$3&gt;=2,1,0),IF(U37="Bear only",IF($Z$3&gt;=3,1,0),0)))</f>
        <v/>
      </c>
    </row>
    <row r="38" ht="14.4" customHeight="1">
      <c r="B38" s="68" t="inlineStr">
        <is>
          <t xml:space="preserve">  Consensus (4-source avg)</t>
        </is>
      </c>
      <c r="C38" s="69" t="n"/>
      <c r="D38" s="69" t="n"/>
      <c r="E38" s="69" t="n"/>
      <c r="F38" s="69" t="n"/>
      <c r="G38" s="69" t="n"/>
      <c r="H38" s="69" t="n"/>
      <c r="I38" s="69" t="n"/>
      <c r="J38" s="70">
        <f>IFERROR(AVERAGE(J34:J37),"")</f>
        <v/>
      </c>
      <c r="K38" s="70">
        <f>IFERROR(AVERAGE(K34:K37),"")</f>
        <v/>
      </c>
      <c r="L38" s="70">
        <f>IFERROR(AVERAGE(L34:L37),"")</f>
        <v/>
      </c>
      <c r="M38" s="70">
        <f>IFERROR(AVERAGE(M34:M37),"")</f>
        <v/>
      </c>
      <c r="N38" s="70">
        <f>IFERROR(AVERAGE(N34:N37),"")</f>
        <v/>
      </c>
      <c r="O38" s="70">
        <f>IFERROR(AVERAGE(O34:O37),"")</f>
        <v/>
      </c>
      <c r="P38" s="70">
        <f>IFERROR(AVERAGE(P34:P37),"")</f>
        <v/>
      </c>
      <c r="R38" s="43" t="inlineStr">
        <is>
          <t>Marbella Ranch East Future Phase</t>
        </is>
      </c>
      <c r="S38" s="44" t="n">
        <v>266</v>
      </c>
      <c r="T38" s="53" t="inlineStr"/>
      <c r="U38" s="53" t="inlineStr">
        <is>
          <t>Bear only</t>
        </is>
      </c>
      <c r="V38">
        <f>IFERROR(VALUE(RIGHT(T38,4))*4+MATCH(LEFT(T38,2),{"Q1","Q2","Q3","Q4"},0)-1,"")</f>
        <v/>
      </c>
      <c r="W38">
        <f>IF(V38="","",IF(V38&lt;=$Z$1,0,MAX(1,INT((V38-$Z$2)/4)+1)))</f>
        <v/>
      </c>
      <c r="X38">
        <f>IF(U38="All",1,IF(U38="Bear+Base",IF($Z$3&gt;=2,1,0),IF(U38="Bear only",IF($Z$3&gt;=3,1,0),0)))</f>
        <v/>
      </c>
    </row>
    <row r="39" ht="14.4" customHeight="1">
      <c r="B39" s="71" t="inlineStr">
        <is>
          <t xml:space="preserve">  TMG — our market-rent growth  ◄</t>
        </is>
      </c>
      <c r="C39" s="72" t="n"/>
      <c r="D39" s="72" t="n"/>
      <c r="E39" s="72" t="n"/>
      <c r="F39" s="72" t="n"/>
      <c r="G39" s="72" t="n"/>
      <c r="H39" s="72" t="n"/>
      <c r="I39" s="72" t="n"/>
      <c r="J39" s="73">
        <f>IFERROR(J24,"")</f>
        <v/>
      </c>
      <c r="K39" s="73">
        <f>IFERROR(K24,"")</f>
        <v/>
      </c>
      <c r="L39" s="73">
        <f>IFERROR(L24,"")</f>
        <v/>
      </c>
      <c r="M39" s="73">
        <f>IFERROR(M24,"")</f>
        <v/>
      </c>
      <c r="N39" s="73">
        <f>IFERROR(N24,"")</f>
        <v/>
      </c>
      <c r="O39" s="73">
        <f>IFERROR(O24,"")</f>
        <v/>
      </c>
      <c r="P39" s="73">
        <f>IFERROR(AVERAGE(J39:O39),"")</f>
        <v/>
      </c>
      <c r="R39" s="43" t="inlineStr">
        <is>
          <t>Crystal Cove</t>
        </is>
      </c>
      <c r="S39" s="44" t="n">
        <v>260</v>
      </c>
      <c r="T39" s="53" t="inlineStr"/>
      <c r="U39" s="53" t="inlineStr">
        <is>
          <t>Bear only</t>
        </is>
      </c>
      <c r="V39">
        <f>IFERROR(VALUE(RIGHT(T39,4))*4+MATCH(LEFT(T39,2),{"Q1","Q2","Q3","Q4"},0)-1,"")</f>
        <v/>
      </c>
      <c r="W39">
        <f>IF(V39="","",IF(V39&lt;=$Z$1,0,MAX(1,INT((V39-$Z$2)/4)+1)))</f>
        <v/>
      </c>
      <c r="X39">
        <f>IF(U39="All",1,IF(U39="Bear+Base",IF($Z$3&gt;=2,1,0),IF(U39="Bear only",IF($Z$3&gt;=3,1,0),0)))</f>
        <v/>
      </c>
    </row>
    <row r="40" ht="14.4" customHeight="1">
      <c r="R40" s="43" t="inlineStr">
        <is>
          <t>SimonMed Development I</t>
        </is>
      </c>
      <c r="S40" s="44" t="n">
        <v>239</v>
      </c>
      <c r="T40" s="53" t="inlineStr"/>
      <c r="U40" s="53" t="inlineStr">
        <is>
          <t>Bear only</t>
        </is>
      </c>
      <c r="V40">
        <f>IFERROR(VALUE(RIGHT(T40,4))*4+MATCH(LEFT(T40,2),{"Q1","Q2","Q3","Q4"},0)-1,"")</f>
        <v/>
      </c>
      <c r="W40">
        <f>IF(V40="","",IF(V40&lt;=$Z$1,0,MAX(1,INT((V40-$Z$2)/4)+1)))</f>
        <v/>
      </c>
      <c r="X40">
        <f>IF(U40="All",1,IF(U40="Bear+Base",IF($Z$3&gt;=2,1,0),IF(U40="Bear only",IF($Z$3&gt;=3,1,0),0)))</f>
        <v/>
      </c>
    </row>
    <row r="41" ht="14.4" customHeight="1">
      <c r="B41" s="74" t="inlineStr">
        <is>
          <t>▸ SCENARIO INPUTS — Bear / Base / Bull  (implied occupancy, rent-growth &amp; concession assumptions — click + to expand)</t>
        </is>
      </c>
      <c r="R41" s="43" t="inlineStr">
        <is>
          <t>Cornerstone at the Wigwam</t>
        </is>
      </c>
      <c r="S41" s="44" t="n">
        <v>212</v>
      </c>
      <c r="T41" s="53" t="inlineStr"/>
      <c r="U41" s="53" t="inlineStr">
        <is>
          <t>Bear only</t>
        </is>
      </c>
      <c r="V41">
        <f>IFERROR(VALUE(RIGHT(T41,4))*4+MATCH(LEFT(T41,2),{"Q1","Q2","Q3","Q4"},0)-1,"")</f>
        <v/>
      </c>
      <c r="W41">
        <f>IF(V41="","",IF(V41&lt;=$Z$1,0,MAX(1,INT((V41-$Z$2)/4)+1)))</f>
        <v/>
      </c>
      <c r="X41">
        <f>IF(U41="All",1,IF(U41="Bear+Base",IF($Z$3&gt;=2,1,0),IF(U41="Bear only",IF($Z$3&gt;=3,1,0),0)))</f>
        <v/>
      </c>
    </row>
    <row r="42" hidden="1" outlineLevel="1" ht="14.4" customHeight="1">
      <c r="B42" s="39" t="inlineStr">
        <is>
          <t>IMPLIED 5-MI OCCUPANCY BY DEMAND SCENARIO</t>
        </is>
      </c>
      <c r="J42" s="75" t="inlineStr">
        <is>
          <t>Y1</t>
        </is>
      </c>
      <c r="K42" s="75" t="inlineStr">
        <is>
          <t>Y2</t>
        </is>
      </c>
      <c r="L42" s="75" t="inlineStr">
        <is>
          <t>Y3</t>
        </is>
      </c>
      <c r="M42" s="75" t="inlineStr">
        <is>
          <t>Y4</t>
        </is>
      </c>
      <c r="N42" s="75" t="inlineStr">
        <is>
          <t>Y5</t>
        </is>
      </c>
      <c r="O42" s="75" t="inlineStr">
        <is>
          <t>Y6</t>
        </is>
      </c>
      <c r="R42" s="43" t="inlineStr">
        <is>
          <t>Radia Avondale Station III</t>
        </is>
      </c>
      <c r="S42" s="44" t="n">
        <v>212</v>
      </c>
      <c r="T42" s="53" t="inlineStr"/>
      <c r="U42" s="53" t="inlineStr">
        <is>
          <t>Bear only</t>
        </is>
      </c>
      <c r="V42">
        <f>IFERROR(VALUE(RIGHT(T42,4))*4+MATCH(LEFT(T42,2),{"Q1","Q2","Q3","Q4"},0)-1,"")</f>
        <v/>
      </c>
      <c r="W42">
        <f>IF(V42="","",IF(V42&lt;=$Z$1,0,MAX(1,INT((V42-$Z$2)/4)+1)))</f>
        <v/>
      </c>
      <c r="X42">
        <f>IF(U42="All",1,IF(U42="Bear+Base",IF($Z$3&gt;=2,1,0),IF(U42="Bear only",IF($Z$3&gt;=3,1,0),0)))</f>
        <v/>
      </c>
    </row>
    <row r="43" hidden="1" outlineLevel="1" ht="14.4" customHeight="1">
      <c r="B43" s="39" t="inlineStr">
        <is>
          <t>Bear</t>
        </is>
      </c>
      <c r="J43" s="76">
        <f>MIN($C$6,($I$31+$C$8*1)/J30)</f>
        <v/>
      </c>
      <c r="K43" s="76">
        <f>MIN($C$6,($I$31+$C$8*2)/K30)</f>
        <v/>
      </c>
      <c r="L43" s="76">
        <f>MIN($C$6,($I$31+$C$8*3)/L30)</f>
        <v/>
      </c>
      <c r="M43" s="76">
        <f>MIN($C$6,($I$31+$C$8*4)/M30)</f>
        <v/>
      </c>
      <c r="N43" s="76">
        <f>MIN($C$6,($I$31+$C$8*5)/N30)</f>
        <v/>
      </c>
      <c r="O43" s="76">
        <f>MIN($C$6,($I$31+$C$8*6)/O30)</f>
        <v/>
      </c>
      <c r="R43" s="43" t="inlineStr">
        <is>
          <t>Celebration Plaza Parcel A</t>
        </is>
      </c>
      <c r="S43" s="44" t="n">
        <v>181</v>
      </c>
      <c r="T43" s="53" t="inlineStr"/>
      <c r="U43" s="53" t="inlineStr">
        <is>
          <t>Bear only</t>
        </is>
      </c>
      <c r="V43">
        <f>IFERROR(VALUE(RIGHT(T43,4))*4+MATCH(LEFT(T43,2),{"Q1","Q2","Q3","Q4"},0)-1,"")</f>
        <v/>
      </c>
      <c r="W43">
        <f>IF(V43="","",IF(V43&lt;=$Z$1,0,MAX(1,INT((V43-$Z$2)/4)+1)))</f>
        <v/>
      </c>
      <c r="X43">
        <f>IF(U43="All",1,IF(U43="Bear+Base",IF($Z$3&gt;=2,1,0),IF(U43="Bear only",IF($Z$3&gt;=3,1,0),0)))</f>
        <v/>
      </c>
    </row>
    <row r="44" hidden="1" outlineLevel="1" ht="14.4" customHeight="1">
      <c r="B44" s="39" t="inlineStr">
        <is>
          <t>Base</t>
        </is>
      </c>
      <c r="J44" s="76">
        <f>MIN($C$6,($I$31+$C$9*1)/J30)</f>
        <v/>
      </c>
      <c r="K44" s="76">
        <f>MIN($C$6,($I$31+$C$9*2)/K30)</f>
        <v/>
      </c>
      <c r="L44" s="76">
        <f>MIN($C$6,($I$31+$C$9*3)/L30)</f>
        <v/>
      </c>
      <c r="M44" s="76">
        <f>MIN($C$6,($I$31+$C$9*4)/M30)</f>
        <v/>
      </c>
      <c r="N44" s="76">
        <f>MIN($C$6,($I$31+$C$9*5)/N30)</f>
        <v/>
      </c>
      <c r="O44" s="76">
        <f>MIN($C$6,($I$31+$C$9*6)/O30)</f>
        <v/>
      </c>
      <c r="R44" s="43" t="inlineStr">
        <is>
          <t>Villages at River Grove</t>
        </is>
      </c>
      <c r="S44" s="44" t="n">
        <v>180</v>
      </c>
      <c r="T44" s="53" t="inlineStr"/>
      <c r="U44" s="53" t="inlineStr">
        <is>
          <t>Bear only</t>
        </is>
      </c>
      <c r="V44">
        <f>IFERROR(VALUE(RIGHT(T44,4))*4+MATCH(LEFT(T44,2),{"Q1","Q2","Q3","Q4"},0)-1,"")</f>
        <v/>
      </c>
      <c r="W44">
        <f>IF(V44="","",IF(V44&lt;=$Z$1,0,MAX(1,INT((V44-$Z$2)/4)+1)))</f>
        <v/>
      </c>
      <c r="X44">
        <f>IF(U44="All",1,IF(U44="Bear+Base",IF($Z$3&gt;=2,1,0),IF(U44="Bear only",IF($Z$3&gt;=3,1,0),0)))</f>
        <v/>
      </c>
    </row>
    <row r="45" hidden="1" outlineLevel="1" ht="14.4" customHeight="1">
      <c r="B45" s="39" t="inlineStr">
        <is>
          <t>Bull</t>
        </is>
      </c>
      <c r="J45" s="76">
        <f>MIN($C$6,($I$31+$C$10*1)/J30)</f>
        <v/>
      </c>
      <c r="K45" s="76">
        <f>MIN($C$6,($I$31+$C$10*2)/K30)</f>
        <v/>
      </c>
      <c r="L45" s="76">
        <f>MIN($C$6,($I$31+$C$10*3)/L30)</f>
        <v/>
      </c>
      <c r="M45" s="76">
        <f>MIN($C$6,($I$31+$C$10*4)/M30)</f>
        <v/>
      </c>
      <c r="N45" s="76">
        <f>MIN($C$6,($I$31+$C$10*5)/N30)</f>
        <v/>
      </c>
      <c r="O45" s="76">
        <f>MIN($C$6,($I$31+$C$10*6)/O30)</f>
        <v/>
      </c>
      <c r="R45" s="43" t="inlineStr">
        <is>
          <t>District 99</t>
        </is>
      </c>
      <c r="S45" s="44" t="n">
        <v>172</v>
      </c>
      <c r="T45" s="53" t="inlineStr"/>
      <c r="U45" s="53" t="inlineStr">
        <is>
          <t>Bear only</t>
        </is>
      </c>
      <c r="V45">
        <f>IFERROR(VALUE(RIGHT(T45,4))*4+MATCH(LEFT(T45,2),{"Q1","Q2","Q3","Q4"},0)-1,"")</f>
        <v/>
      </c>
      <c r="W45">
        <f>IF(V45="","",IF(V45&lt;=$Z$1,0,MAX(1,INT((V45-$Z$2)/4)+1)))</f>
        <v/>
      </c>
      <c r="X45">
        <f>IF(U45="All",1,IF(U45="Bear+Base",IF($Z$3&gt;=2,1,0),IF(U45="Bear only",IF($Z$3&gt;=3,1,0),0)))</f>
        <v/>
      </c>
    </row>
    <row r="46" hidden="1" outlineLevel="1" ht="14.4" customHeight="1">
      <c r="R46" s="43" t="inlineStr">
        <is>
          <t>McDowell Villas</t>
        </is>
      </c>
      <c r="S46" s="44" t="n">
        <v>164</v>
      </c>
      <c r="T46" s="53" t="inlineStr"/>
      <c r="U46" s="53" t="inlineStr">
        <is>
          <t>Bear only</t>
        </is>
      </c>
      <c r="V46">
        <f>IFERROR(VALUE(RIGHT(T46,4))*4+MATCH(LEFT(T46,2),{"Q1","Q2","Q3","Q4"},0)-1,"")</f>
        <v/>
      </c>
      <c r="W46">
        <f>IF(V46="","",IF(V46&lt;=$Z$1,0,MAX(1,INT((V46-$Z$2)/4)+1)))</f>
        <v/>
      </c>
      <c r="X46">
        <f>IF(U46="All",1,IF(U46="Bear+Base",IF($Z$3&gt;=2,1,0),IF(U46="Bear only",IF($Z$3&gt;=3,1,0),0)))</f>
        <v/>
      </c>
    </row>
    <row r="47" hidden="1" outlineLevel="1" ht="14.4" customHeight="1">
      <c r="B47" s="39" t="inlineStr">
        <is>
          <t>MARKET RENT GROWTH (editable assumptions)</t>
        </is>
      </c>
      <c r="J47" s="77" t="inlineStr">
        <is>
          <t>Y1</t>
        </is>
      </c>
      <c r="K47" s="77" t="inlineStr">
        <is>
          <t>Y2</t>
        </is>
      </c>
      <c r="L47" s="77" t="inlineStr">
        <is>
          <t>Y3</t>
        </is>
      </c>
      <c r="M47" s="77" t="inlineStr">
        <is>
          <t>Y4</t>
        </is>
      </c>
      <c r="N47" s="77" t="inlineStr">
        <is>
          <t>Y5</t>
        </is>
      </c>
      <c r="O47" s="77" t="inlineStr">
        <is>
          <t>Y6</t>
        </is>
      </c>
      <c r="R47" s="43" t="inlineStr">
        <is>
          <t>Avondale</t>
        </is>
      </c>
      <c r="S47" s="44" t="n">
        <v>156</v>
      </c>
      <c r="T47" s="53" t="inlineStr"/>
      <c r="U47" s="53" t="inlineStr">
        <is>
          <t>Bear only</t>
        </is>
      </c>
      <c r="V47">
        <f>IFERROR(VALUE(RIGHT(T47,4))*4+MATCH(LEFT(T47,2),{"Q1","Q2","Q3","Q4"},0)-1,"")</f>
        <v/>
      </c>
      <c r="W47">
        <f>IF(V47="","",IF(V47&lt;=$Z$1,0,MAX(1,INT((V47-$Z$2)/4)+1)))</f>
        <v/>
      </c>
      <c r="X47">
        <f>IF(U47="All",1,IF(U47="Bear+Base",IF($Z$3&gt;=2,1,0),IF(U47="Bear only",IF($Z$3&gt;=3,1,0),0)))</f>
        <v/>
      </c>
    </row>
    <row r="48" hidden="1" outlineLevel="1" ht="14.4" customHeight="1">
      <c r="B48" s="39" t="inlineStr">
        <is>
          <t>Bear</t>
        </is>
      </c>
      <c r="J48" s="78" t="n">
        <v>-0.0025</v>
      </c>
      <c r="K48" s="78" t="n">
        <v>0.0175</v>
      </c>
      <c r="L48" s="78" t="n">
        <v>0.0275</v>
      </c>
      <c r="M48" s="78" t="n">
        <v>0.0375</v>
      </c>
      <c r="N48" s="78" t="n">
        <v>0.0275</v>
      </c>
      <c r="O48" s="78" t="n">
        <v>0.0175</v>
      </c>
      <c r="R48" s="43" t="inlineStr">
        <is>
          <t>Porter Kyle Development</t>
        </is>
      </c>
      <c r="S48" s="44" t="n">
        <v>135</v>
      </c>
      <c r="T48" s="53" t="inlineStr"/>
      <c r="U48" s="53" t="inlineStr">
        <is>
          <t>Bear only</t>
        </is>
      </c>
      <c r="V48">
        <f>IFERROR(VALUE(RIGHT(T48,4))*4+MATCH(LEFT(T48,2),{"Q1","Q2","Q3","Q4"},0)-1,"")</f>
        <v/>
      </c>
      <c r="W48">
        <f>IF(V48="","",IF(V48&lt;=$Z$1,0,MAX(1,INT((V48-$Z$2)/4)+1)))</f>
        <v/>
      </c>
      <c r="X48">
        <f>IF(U48="All",1,IF(U48="Bear+Base",IF($Z$3&gt;=2,1,0),IF(U48="Bear only",IF($Z$3&gt;=3,1,0),0)))</f>
        <v/>
      </c>
    </row>
    <row r="49" hidden="1" outlineLevel="1" ht="14.4" customHeight="1">
      <c r="B49" s="39" t="inlineStr">
        <is>
          <t>Base</t>
        </is>
      </c>
      <c r="J49" s="78" t="n">
        <v>0.01</v>
      </c>
      <c r="K49" s="78" t="n">
        <v>0.03</v>
      </c>
      <c r="L49" s="78" t="n">
        <v>0.04</v>
      </c>
      <c r="M49" s="78" t="n">
        <v>0.05</v>
      </c>
      <c r="N49" s="78" t="n">
        <v>0.04</v>
      </c>
      <c r="O49" s="78" t="n">
        <v>0.03</v>
      </c>
      <c r="R49" s="43" t="inlineStr">
        <is>
          <t>Ascent Goodyear</t>
        </is>
      </c>
      <c r="S49" s="44" t="n">
        <v>113</v>
      </c>
      <c r="T49" s="53" t="inlineStr">
        <is>
          <t>Q3 2028</t>
        </is>
      </c>
      <c r="U49" s="53" t="inlineStr">
        <is>
          <t>Bear only</t>
        </is>
      </c>
      <c r="V49">
        <f>IFERROR(VALUE(RIGHT(T49,4))*4+MATCH(LEFT(T49,2),{"Q1","Q2","Q3","Q4"},0)-1,"")</f>
        <v/>
      </c>
      <c r="W49">
        <f>IF(V49="","",IF(V49&lt;=$Z$1,0,MAX(1,INT((V49-$Z$2)/4)+1)))</f>
        <v/>
      </c>
      <c r="X49">
        <f>IF(U49="All",1,IF(U49="Bear+Base",IF($Z$3&gt;=2,1,0),IF(U49="Bear only",IF($Z$3&gt;=3,1,0),0)))</f>
        <v/>
      </c>
    </row>
    <row r="50" hidden="1" outlineLevel="1" ht="14.4" customHeight="1">
      <c r="B50" s="39" t="inlineStr">
        <is>
          <t>Bull</t>
        </is>
      </c>
      <c r="J50" s="78" t="n">
        <v>0.02</v>
      </c>
      <c r="K50" s="78" t="n">
        <v>0.04</v>
      </c>
      <c r="L50" s="78" t="n">
        <v>0.05</v>
      </c>
      <c r="M50" s="78" t="n">
        <v>0.06</v>
      </c>
      <c r="N50" s="78" t="n">
        <v>0.05</v>
      </c>
      <c r="O50" s="78" t="n">
        <v>0.04</v>
      </c>
      <c r="R50" s="43" t="inlineStr">
        <is>
          <t>Northern 107</t>
        </is>
      </c>
      <c r="S50" s="44" t="n">
        <v>74</v>
      </c>
      <c r="T50" s="53" t="inlineStr">
        <is>
          <t>Q4 2028</t>
        </is>
      </c>
      <c r="U50" s="53" t="inlineStr">
        <is>
          <t>Bear only</t>
        </is>
      </c>
      <c r="V50">
        <f>IFERROR(VALUE(RIGHT(T50,4))*4+MATCH(LEFT(T50,2),{"Q1","Q2","Q3","Q4"},0)-1,"")</f>
        <v/>
      </c>
      <c r="W50">
        <f>IF(V50="","",IF(V50&lt;=$Z$1,0,MAX(1,INT((V50-$Z$2)/4)+1)))</f>
        <v/>
      </c>
      <c r="X50">
        <f>IF(U50="All",1,IF(U50="Bear+Base",IF($Z$3&gt;=2,1,0),IF(U50="Bear only",IF($Z$3&gt;=3,1,0),0)))</f>
        <v/>
      </c>
    </row>
    <row r="51" hidden="1" outlineLevel="1" ht="14.4" customHeight="1">
      <c r="B51" s="39" t="inlineStr">
        <is>
          <t>CONCESSIONS % — forward assumption (editable)</t>
        </is>
      </c>
      <c r="R51" s="43" t="inlineStr">
        <is>
          <t>Zenn @ Sierra Verde</t>
        </is>
      </c>
      <c r="S51" s="44" t="n">
        <v>66</v>
      </c>
      <c r="T51" s="53" t="inlineStr"/>
      <c r="U51" s="53" t="inlineStr">
        <is>
          <t>Bear only</t>
        </is>
      </c>
      <c r="V51">
        <f>IFERROR(VALUE(RIGHT(T51,4))*4+MATCH(LEFT(T51,2),{"Q1","Q2","Q3","Q4"},0)-1,"")</f>
        <v/>
      </c>
      <c r="W51">
        <f>IF(V51="","",IF(V51&lt;=$Z$1,0,MAX(1,INT((V51-$Z$2)/4)+1)))</f>
        <v/>
      </c>
      <c r="X51">
        <f>IF(U51="All",1,IF(U51="Bear+Base",IF($Z$3&gt;=2,1,0),IF(U51="Bear only",IF($Z$3&gt;=3,1,0),0)))</f>
        <v/>
      </c>
    </row>
    <row r="52" hidden="1" outlineLevel="1" ht="14.4" customHeight="1">
      <c r="B52" s="39" t="inlineStr">
        <is>
          <t>Bear</t>
        </is>
      </c>
      <c r="J52" s="78" t="n">
        <v>0.06</v>
      </c>
      <c r="K52" s="78" t="n">
        <v>0.045</v>
      </c>
      <c r="L52" s="78" t="n">
        <v>0.035</v>
      </c>
      <c r="M52" s="78" t="n">
        <v>0.035</v>
      </c>
      <c r="N52" s="78" t="n">
        <v>0.035</v>
      </c>
      <c r="O52" s="78" t="n">
        <v>0.035</v>
      </c>
      <c r="R52" s="43" t="inlineStr">
        <is>
          <t>The BLVD Residential District</t>
        </is>
      </c>
      <c r="S52" s="44" t="n"/>
      <c r="T52" s="53" t="inlineStr"/>
      <c r="U52" s="53" t="inlineStr">
        <is>
          <t>Bear only</t>
        </is>
      </c>
      <c r="V52">
        <f>IFERROR(VALUE(RIGHT(T52,4))*4+MATCH(LEFT(T52,2),{"Q1","Q2","Q3","Q4"},0)-1,"")</f>
        <v/>
      </c>
      <c r="W52">
        <f>IF(V52="","",IF(V52&lt;=$Z$1,0,MAX(1,INT((V52-$Z$2)/4)+1)))</f>
        <v/>
      </c>
      <c r="X52">
        <f>IF(U52="All",1,IF(U52="Bear+Base",IF($Z$3&gt;=2,1,0),IF(U52="Bear only",IF($Z$3&gt;=3,1,0),0)))</f>
        <v/>
      </c>
    </row>
    <row r="53" hidden="1" outlineLevel="1" ht="14.4" customHeight="1">
      <c r="B53" s="39" t="inlineStr">
        <is>
          <t>Base</t>
        </is>
      </c>
      <c r="J53" s="78" t="n">
        <v>0.03</v>
      </c>
      <c r="K53" s="78" t="n">
        <v>0.015</v>
      </c>
      <c r="L53" s="78" t="n">
        <v>0.005</v>
      </c>
      <c r="M53" s="78" t="n">
        <v>0.005</v>
      </c>
      <c r="N53" s="78" t="n">
        <v>0.005</v>
      </c>
      <c r="O53" s="78" t="n">
        <v>0.005</v>
      </c>
      <c r="R53" s="43" t="inlineStr">
        <is>
          <t>The BLVD Park Avenue District</t>
        </is>
      </c>
      <c r="S53" s="44" t="n"/>
      <c r="T53" s="53" t="inlineStr"/>
      <c r="U53" s="53" t="inlineStr">
        <is>
          <t>Bear only</t>
        </is>
      </c>
      <c r="V53">
        <f>IFERROR(VALUE(RIGHT(T53,4))*4+MATCH(LEFT(T53,2),{"Q1","Q2","Q3","Q4"},0)-1,"")</f>
        <v/>
      </c>
      <c r="W53">
        <f>IF(V53="","",IF(V53&lt;=$Z$1,0,MAX(1,INT((V53-$Z$2)/4)+1)))</f>
        <v/>
      </c>
      <c r="X53">
        <f>IF(U53="All",1,IF(U53="Bear+Base",IF($Z$3&gt;=2,1,0),IF(U53="Bear only",IF($Z$3&gt;=3,1,0),0)))</f>
        <v/>
      </c>
    </row>
    <row r="54" hidden="1" outlineLevel="1" ht="14.4" customHeight="1">
      <c r="B54" s="39" t="inlineStr">
        <is>
          <t>Bull</t>
        </is>
      </c>
      <c r="J54" s="78" t="n">
        <v>0.02</v>
      </c>
      <c r="K54" s="78" t="n">
        <v>0.005</v>
      </c>
      <c r="L54" s="78" t="n">
        <v>0</v>
      </c>
      <c r="M54" s="78" t="n">
        <v>0</v>
      </c>
      <c r="N54" s="78" t="n">
        <v>0</v>
      </c>
      <c r="O54" s="78" t="n">
        <v>0</v>
      </c>
      <c r="R54" s="43" t="inlineStr">
        <is>
          <t>Globe Land Investors Development</t>
        </is>
      </c>
      <c r="S54" s="44" t="n"/>
      <c r="T54" s="53" t="inlineStr"/>
      <c r="U54" s="53" t="inlineStr">
        <is>
          <t>Bear only</t>
        </is>
      </c>
      <c r="V54">
        <f>IFERROR(VALUE(RIGHT(T54,4))*4+MATCH(LEFT(T54,2),{"Q1","Q2","Q3","Q4"},0)-1,"")</f>
        <v/>
      </c>
      <c r="W54">
        <f>IF(V54="","",IF(V54&lt;=$Z$1,0,MAX(1,INT((V54-$Z$2)/4)+1)))</f>
        <v/>
      </c>
      <c r="X54">
        <f>IF(U54="All",1,IF(U54="Bear+Base",IF($Z$3&gt;=2,1,0),IF(U54="Bear only",IF($Z$3&gt;=3,1,0),0)))</f>
        <v/>
      </c>
    </row>
    <row r="55" hidden="1" outlineLevel="1" ht="14.4" customHeight="1">
      <c r="B55" s="39" t="inlineStr">
        <is>
          <t>EFFECTIVE RENT GROWTH (derived)</t>
        </is>
      </c>
      <c r="R55" s="43" t="inlineStr">
        <is>
          <t>Ball Park</t>
        </is>
      </c>
      <c r="S55" s="44" t="n"/>
      <c r="T55" s="53" t="inlineStr"/>
      <c r="U55" s="53" t="inlineStr">
        <is>
          <t>Bear only</t>
        </is>
      </c>
      <c r="V55">
        <f>IFERROR(VALUE(RIGHT(T55,4))*4+MATCH(LEFT(T55,2),{"Q1","Q2","Q3","Q4"},0)-1,"")</f>
        <v/>
      </c>
      <c r="W55">
        <f>IF(V55="","",IF(V55&lt;=$Z$1,0,MAX(1,INT((V55-$Z$2)/4)+1)))</f>
        <v/>
      </c>
      <c r="X55">
        <f>IF(U55="All",1,IF(U55="Bear+Base",IF($Z$3&gt;=2,1,0),IF(U55="Bear only",IF($Z$3&gt;=3,1,0),0)))</f>
        <v/>
      </c>
    </row>
    <row r="56" hidden="1" outlineLevel="1" ht="14.4" customHeight="1">
      <c r="B56" s="39" t="inlineStr">
        <is>
          <t>Bear</t>
        </is>
      </c>
      <c r="J56" s="76">
        <f>(1+J48)*(1-J52)-1</f>
        <v/>
      </c>
      <c r="K56" s="76">
        <f>(1+K48)*(1-K52)/(1-J52)-1</f>
        <v/>
      </c>
      <c r="L56" s="76">
        <f>(1+L48)*(1-L52)/(1-K52)-1</f>
        <v/>
      </c>
      <c r="M56" s="76">
        <f>(1+M48)*(1-M52)/(1-L52)-1</f>
        <v/>
      </c>
      <c r="N56" s="76">
        <f>(1+N48)*(1-N52)/(1-M52)-1</f>
        <v/>
      </c>
      <c r="O56" s="76">
        <f>(1+O48)*(1-O52)/(1-N52)-1</f>
        <v/>
      </c>
      <c r="R56" s="43" t="inlineStr">
        <is>
          <t>Vision 2 Parcel A</t>
        </is>
      </c>
      <c r="S56" s="44" t="n"/>
      <c r="T56" s="53" t="inlineStr"/>
      <c r="U56" s="53" t="inlineStr">
        <is>
          <t>Bear only</t>
        </is>
      </c>
      <c r="V56">
        <f>IFERROR(VALUE(RIGHT(T56,4))*4+MATCH(LEFT(T56,2),{"Q1","Q2","Q3","Q4"},0)-1,"")</f>
        <v/>
      </c>
      <c r="W56">
        <f>IF(V56="","",IF(V56&lt;=$Z$1,0,MAX(1,INT((V56-$Z$2)/4)+1)))</f>
        <v/>
      </c>
      <c r="X56">
        <f>IF(U56="All",1,IF(U56="Bear+Base",IF($Z$3&gt;=2,1,0),IF(U56="Bear only",IF($Z$3&gt;=3,1,0),0)))</f>
        <v/>
      </c>
    </row>
    <row r="57" hidden="1" outlineLevel="1" ht="14.4" customHeight="1">
      <c r="B57" s="39" t="inlineStr">
        <is>
          <t>Base</t>
        </is>
      </c>
      <c r="J57" s="76">
        <f>(1+J49)*(1-J53)-1</f>
        <v/>
      </c>
      <c r="K57" s="76">
        <f>(1+K49)*(1-K53)/(1-J53)-1</f>
        <v/>
      </c>
      <c r="L57" s="76">
        <f>(1+L49)*(1-L53)/(1-K53)-1</f>
        <v/>
      </c>
      <c r="M57" s="76">
        <f>(1+M49)*(1-M53)/(1-L53)-1</f>
        <v/>
      </c>
      <c r="N57" s="76">
        <f>(1+N49)*(1-N53)/(1-M53)-1</f>
        <v/>
      </c>
      <c r="O57" s="76">
        <f>(1+O49)*(1-O53)/(1-N53)-1</f>
        <v/>
      </c>
      <c r="R57" s="43" t="inlineStr">
        <is>
          <t>Firststreet Verde</t>
        </is>
      </c>
      <c r="S57" s="44" t="n"/>
      <c r="T57" s="53" t="inlineStr"/>
      <c r="U57" s="53" t="inlineStr">
        <is>
          <t>Bear only</t>
        </is>
      </c>
      <c r="V57">
        <f>IFERROR(VALUE(RIGHT(T57,4))*4+MATCH(LEFT(T57,2),{"Q1","Q2","Q3","Q4"},0)-1,"")</f>
        <v/>
      </c>
      <c r="W57">
        <f>IF(V57="","",IF(V57&lt;=$Z$1,0,MAX(1,INT((V57-$Z$2)/4)+1)))</f>
        <v/>
      </c>
      <c r="X57">
        <f>IF(U57="All",1,IF(U57="Bear+Base",IF($Z$3&gt;=2,1,0),IF(U57="Bear only",IF($Z$3&gt;=3,1,0),0)))</f>
        <v/>
      </c>
    </row>
    <row r="58" hidden="1" outlineLevel="1" ht="14.4" customHeight="1">
      <c r="B58" s="39" t="inlineStr">
        <is>
          <t>Bull</t>
        </is>
      </c>
      <c r="J58" s="76">
        <f>(1+J50)*(1-J54)-1</f>
        <v/>
      </c>
      <c r="K58" s="76">
        <f>(1+K50)*(1-K54)/(1-J54)-1</f>
        <v/>
      </c>
      <c r="L58" s="76">
        <f>(1+L50)*(1-L54)/(1-K54)-1</f>
        <v/>
      </c>
      <c r="M58" s="76">
        <f>(1+M50)*(1-M54)/(1-L54)-1</f>
        <v/>
      </c>
      <c r="N58" s="76">
        <f>(1+N50)*(1-N54)/(1-M54)-1</f>
        <v/>
      </c>
      <c r="O58" s="76">
        <f>(1+O50)*(1-O54)/(1-N54)-1</f>
        <v/>
      </c>
      <c r="R58" s="43" t="inlineStr">
        <is>
          <t>Goodyear Civic Square at Estrella Falls</t>
        </is>
      </c>
      <c r="S58" s="44" t="n"/>
      <c r="T58" s="53" t="inlineStr"/>
      <c r="U58" s="53" t="inlineStr">
        <is>
          <t>Bear only</t>
        </is>
      </c>
      <c r="V58">
        <f>IFERROR(VALUE(RIGHT(T58,4))*4+MATCH(LEFT(T58,2),{"Q1","Q2","Q3","Q4"},0)-1,"")</f>
        <v/>
      </c>
      <c r="W58">
        <f>IF(V58="","",IF(V58&lt;=$Z$1,0,MAX(1,INT((V58-$Z$2)/4)+1)))</f>
        <v/>
      </c>
      <c r="X58">
        <f>IF(U58="All",1,IF(U58="Bear+Base",IF($Z$3&gt;=2,1,0),IF(U58="Bear only",IF($Z$3&gt;=3,1,0),0)))</f>
        <v/>
      </c>
    </row>
    <row r="59" ht="14.4" customHeight="1">
      <c r="R59" s="43" t="inlineStr">
        <is>
          <t>I-10 Innovation Center II</t>
        </is>
      </c>
      <c r="S59" s="44" t="n"/>
      <c r="T59" s="53" t="inlineStr"/>
      <c r="U59" s="53" t="inlineStr">
        <is>
          <t>Bear only</t>
        </is>
      </c>
      <c r="V59">
        <f>IFERROR(VALUE(RIGHT(T59,4))*4+MATCH(LEFT(T59,2),{"Q1","Q2","Q3","Q4"},0)-1,"")</f>
        <v/>
      </c>
      <c r="W59">
        <f>IF(V59="","",IF(V59&lt;=$Z$1,0,MAX(1,INT((V59-$Z$2)/4)+1)))</f>
        <v/>
      </c>
      <c r="X59">
        <f>IF(U59="All",1,IF(U59="Bear+Base",IF($Z$3&gt;=2,1,0),IF(U59="Bear only",IF($Z$3&gt;=3,1,0),0)))</f>
        <v/>
      </c>
    </row>
    <row r="60" ht="14.4" customHeight="1">
      <c r="B60" s="77" t="inlineStr">
        <is>
          <t>▸ DETAIL: subject rent source by year &amp; reconciliation (grouped — click − to collapse)</t>
        </is>
      </c>
      <c r="R60" s="43" t="inlineStr">
        <is>
          <t>Celebration Plaza Parcel D</t>
        </is>
      </c>
      <c r="S60" s="44" t="n"/>
      <c r="T60" s="53" t="inlineStr"/>
      <c r="U60" s="53" t="inlineStr">
        <is>
          <t>Bear only</t>
        </is>
      </c>
      <c r="V60">
        <f>IFERROR(VALUE(RIGHT(T60,4))*4+MATCH(LEFT(T60,2),{"Q1","Q2","Q3","Q4"},0)-1,"")</f>
        <v/>
      </c>
      <c r="W60">
        <f>IF(V60="","",IF(V60&lt;=$Z$1,0,MAX(1,INT((V60-$Z$2)/4)+1)))</f>
        <v/>
      </c>
      <c r="X60">
        <f>IF(U60="All",1,IF(U60="Bear+Base",IF($Z$3&gt;=2,1,0),IF(U60="Bear only",IF($Z$3&gt;=3,1,0),0)))</f>
        <v/>
      </c>
    </row>
    <row r="61" hidden="1" outlineLevel="1" ht="14.4" customHeight="1">
      <c r="B61" s="79" t="inlineStr">
        <is>
          <t xml:space="preserve">  -Y6  Q3 2019–Q2 2020</t>
        </is>
      </c>
      <c r="E61" s="79" t="inlineStr">
        <is>
          <t>CoStar</t>
        </is>
      </c>
      <c r="R61" s="43" t="inlineStr">
        <is>
          <t>SimonMed Development II</t>
        </is>
      </c>
      <c r="S61" s="44" t="n"/>
      <c r="T61" s="53" t="inlineStr"/>
      <c r="U61" s="53" t="inlineStr">
        <is>
          <t>Bear only</t>
        </is>
      </c>
      <c r="V61">
        <f>IFERROR(VALUE(RIGHT(T61,4))*4+MATCH(LEFT(T61,2),{"Q1","Q2","Q3","Q4"},0)-1,"")</f>
        <v/>
      </c>
      <c r="W61">
        <f>IF(V61="","",IF(V61&lt;=$Z$1,0,MAX(1,INT((V61-$Z$2)/4)+1)))</f>
        <v/>
      </c>
      <c r="X61">
        <f>IF(U61="All",1,IF(U61="Bear+Base",IF($Z$3&gt;=2,1,0),IF(U61="Bear only",IF($Z$3&gt;=3,1,0),0)))</f>
        <v/>
      </c>
    </row>
    <row r="62" hidden="1" outlineLevel="1" ht="14.4" customHeight="1">
      <c r="B62" s="79" t="inlineStr">
        <is>
          <t xml:space="preserve">  -Y5  Q3 2020–Q2 2021</t>
        </is>
      </c>
      <c r="E62" s="79" t="inlineStr">
        <is>
          <t>CoStar</t>
        </is>
      </c>
      <c r="R62" s="43" t="inlineStr">
        <is>
          <t>182 South 95th Avenue</t>
        </is>
      </c>
      <c r="S62" s="44" t="n"/>
      <c r="T62" s="53" t="inlineStr"/>
      <c r="U62" s="53" t="inlineStr">
        <is>
          <t>Bear only</t>
        </is>
      </c>
      <c r="V62">
        <f>IFERROR(VALUE(RIGHT(T62,4))*4+MATCH(LEFT(T62,2),{"Q1","Q2","Q3","Q4"},0)-1,"")</f>
        <v/>
      </c>
      <c r="W62">
        <f>IF(V62="","",IF(V62&lt;=$Z$1,0,MAX(1,INT((V62-$Z$2)/4)+1)))</f>
        <v/>
      </c>
      <c r="X62">
        <f>IF(U62="All",1,IF(U62="Bear+Base",IF($Z$3&gt;=2,1,0),IF(U62="Bear only",IF($Z$3&gt;=3,1,0),0)))</f>
        <v/>
      </c>
    </row>
    <row r="63" hidden="1" outlineLevel="1" ht="14.4" customHeight="1">
      <c r="B63" s="79" t="inlineStr">
        <is>
          <t xml:space="preserve">  -Y4  Q3 2021–Q2 2022</t>
        </is>
      </c>
      <c r="E63" s="79" t="inlineStr">
        <is>
          <t>CoStar</t>
        </is>
      </c>
      <c r="R63" s="43" t="inlineStr">
        <is>
          <t>Envision Encore</t>
        </is>
      </c>
      <c r="S63" s="44" t="n"/>
      <c r="T63" s="53" t="inlineStr"/>
      <c r="U63" s="53" t="inlineStr">
        <is>
          <t>Bear only</t>
        </is>
      </c>
      <c r="V63">
        <f>IFERROR(VALUE(RIGHT(T63,4))*4+MATCH(LEFT(T63,2),{"Q1","Q2","Q3","Q4"},0)-1,"")</f>
        <v/>
      </c>
      <c r="W63">
        <f>IF(V63="","",IF(V63&lt;=$Z$1,0,MAX(1,INT((V63-$Z$2)/4)+1)))</f>
        <v/>
      </c>
      <c r="X63">
        <f>IF(U63="All",1,IF(U63="Bear+Base",IF($Z$3&gt;=2,1,0),IF(U63="Bear only",IF($Z$3&gt;=3,1,0),0)))</f>
        <v/>
      </c>
    </row>
    <row r="64" hidden="1" outlineLevel="1" ht="14.4" customHeight="1">
      <c r="B64" s="79" t="inlineStr">
        <is>
          <t xml:space="preserve">  -Y3  Q3 2022–Q2 2023</t>
        </is>
      </c>
      <c r="E64" s="79" t="inlineStr">
        <is>
          <t>CoStar</t>
        </is>
      </c>
    </row>
    <row r="65" hidden="1" outlineLevel="1" ht="14.4" customHeight="1">
      <c r="B65" s="79" t="inlineStr">
        <is>
          <t xml:space="preserve">  -Y2  Q3 2023–Q2 2024</t>
        </is>
      </c>
      <c r="E65" s="79" t="inlineStr">
        <is>
          <t>HD</t>
        </is>
      </c>
    </row>
    <row r="66" hidden="1" outlineLevel="1" ht="14.4" customHeight="1">
      <c r="B66" s="79" t="inlineStr">
        <is>
          <t xml:space="preserve">  -Y1  Q3 2024–Q2 2025</t>
        </is>
      </c>
      <c r="E66" s="79" t="inlineStr">
        <is>
          <t>HD</t>
        </is>
      </c>
    </row>
    <row r="67" hidden="1" outlineLevel="1" ht="14.4" customHeight="1">
      <c r="B67" s="79" t="inlineStr">
        <is>
          <t xml:space="preserve">  Y0  Q3 2025–Q2 2026</t>
        </is>
      </c>
      <c r="E67" s="79" t="inlineStr">
        <is>
          <t>HD</t>
        </is>
      </c>
    </row>
    <row r="68" hidden="1" outlineLevel="1" ht="14.4" customHeight="1">
      <c r="B68" s="79" t="inlineStr">
        <is>
          <t xml:space="preserve">  UC scheduled vs CoStar UC</t>
        </is>
      </c>
      <c r="E68" s="79" t="inlineStr">
        <is>
          <t>2,307 / 1,251</t>
        </is>
      </c>
    </row>
    <row r="69" hidden="1" outlineLevel="1" ht="14.4" customHeight="1">
      <c r="B69" s="37" t="inlineStr">
        <is>
          <t xml:space="preserve">  As-of 2026 Q2 QTD is partial (QTD); occupancy is point-in-time, Y0 flow sums partial.</t>
        </is>
      </c>
    </row>
    <row r="70" ht="14.4" customHeight="1"/>
    <row r="71" ht="14.4" customHeight="1"/>
  </sheetData>
  <mergeCells count="1">
    <mergeCell ref="B2:O2"/>
  </mergeCells>
  <dataValidations count="2">
    <dataValidation sqref="C7" showDropDown="0" showInputMessage="0" showErrorMessage="0" allowBlank="0" type="list">
      <formula1>"Bear,Base,Bull"</formula1>
    </dataValidation>
    <dataValidation sqref="U19 U20 U21 U22 U23 U24 U25 U26 U27 U28 U29 U30 U31 U32 U33 U34 U35 U36 U37 U38 U39 U40 U41 U42 U43 U44 U45 U46 U47 U48 U49 U50 U51 U52 U53 U54 U55 U56 U57 U58 U59 U60 U61 U62 U63" showDropDown="0" showInputMessage="0" showErrorMessage="0" allowBlank="1" type="list">
      <formula1>"Bear only,Bear+Base,All,None"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cols>
    <col width="3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44" customWidth="1" min="12" max="12"/>
  </cols>
  <sheetData>
    <row r="1">
      <c r="A1" s="65" t="inlineStr">
        <is>
          <t>Property</t>
        </is>
      </c>
      <c r="B1" s="65" t="inlineStr">
        <is>
          <t>Address</t>
        </is>
      </c>
      <c r="C1" s="65" t="inlineStr">
        <is>
          <t>Units</t>
        </is>
      </c>
      <c r="D1" s="65" t="inlineStr">
        <is>
          <t>Year Built</t>
        </is>
      </c>
      <c r="E1" s="65" t="inlineStr">
        <is>
          <t>Est. Delivery</t>
        </is>
      </c>
      <c r="F1" s="65" t="inlineStr">
        <is>
          <t>Bucket</t>
        </is>
      </c>
      <c r="G1" s="65" t="inlineStr">
        <is>
          <t>CoStar Occ</t>
        </is>
      </c>
      <c r="H1" s="65" t="inlineStr">
        <is>
          <t>RealPage Occ</t>
        </is>
      </c>
      <c r="I1" s="65" t="inlineStr">
        <is>
          <t>CoStar Ask Rent</t>
        </is>
      </c>
      <c r="J1" s="65" t="inlineStr">
        <is>
          <t>RealPage Eff Rent</t>
        </is>
      </c>
      <c r="K1" s="65" t="inlineStr">
        <is>
          <t>Sources</t>
        </is>
      </c>
      <c r="L1" s="65" t="inlineStr">
        <is>
          <t>Notes</t>
        </is>
      </c>
    </row>
    <row r="2">
      <c r="A2" t="inlineStr">
        <is>
          <t>Avery</t>
        </is>
      </c>
      <c r="B2" t="inlineStr">
        <is>
          <t>1700 N Harbor Shore Blvd</t>
        </is>
      </c>
      <c r="C2" t="n">
        <v>185</v>
      </c>
      <c r="D2" t="n">
        <v>2024</v>
      </c>
      <c r="E2" t="inlineStr">
        <is>
          <t>Q2 2024</t>
        </is>
      </c>
      <c r="F2" t="inlineStr">
        <is>
          <t>STABILIZED / STABILIZING</t>
        </is>
      </c>
      <c r="G2" s="80" t="n">
        <v>0.924324</v>
      </c>
      <c r="H2" s="80" t="n">
        <v>0.924</v>
      </c>
      <c r="I2" s="81" t="n">
        <v>1750</v>
      </c>
      <c r="J2" s="81" t="n">
        <v>1875</v>
      </c>
      <c r="K2" t="inlineStr">
        <is>
          <t>CoStar+RealPage</t>
        </is>
      </c>
      <c r="L2" t="inlineStr">
        <is>
          <t>Rent: CoStar ask $1,750 vs RealPage eff $1,875</t>
        </is>
      </c>
    </row>
    <row r="3">
      <c r="A3" t="inlineStr">
        <is>
          <t>Ironwood at River Run</t>
        </is>
      </c>
      <c r="B3" t="inlineStr">
        <is>
          <t>11951 W Windsor Ave</t>
        </is>
      </c>
      <c r="C3" t="n">
        <v>103</v>
      </c>
      <c r="D3" t="n">
        <v>2024</v>
      </c>
      <c r="E3" t="inlineStr">
        <is>
          <t>Q2 2024</t>
        </is>
      </c>
      <c r="F3" t="inlineStr">
        <is>
          <t>STABILIZED / STABILIZING</t>
        </is>
      </c>
      <c r="G3" s="80" t="n"/>
      <c r="H3" s="80" t="n">
        <v>0.961</v>
      </c>
      <c r="I3" s="81" t="n"/>
      <c r="J3" s="81" t="n">
        <v>2090</v>
      </c>
      <c r="K3" t="inlineStr">
        <is>
          <t>RealPage</t>
        </is>
      </c>
      <c r="L3" t="inlineStr">
        <is>
          <t>Delivery quarter estimated</t>
        </is>
      </c>
    </row>
    <row r="4">
      <c r="A4" t="inlineStr">
        <is>
          <t>TerraLane at Park McDowell</t>
        </is>
      </c>
      <c r="B4" t="inlineStr">
        <is>
          <t>2250 N 95th Ave</t>
        </is>
      </c>
      <c r="C4" t="n">
        <v>162</v>
      </c>
      <c r="D4" t="n">
        <v>2023</v>
      </c>
      <c r="E4" t="inlineStr">
        <is>
          <t>Q1 2023</t>
        </is>
      </c>
      <c r="F4" t="inlineStr">
        <is>
          <t>STABILIZED / STABILIZING</t>
        </is>
      </c>
      <c r="G4" s="80" t="n">
        <v>0.8518520000000001</v>
      </c>
      <c r="H4" s="80" t="n">
        <v>0.877</v>
      </c>
      <c r="I4" s="81" t="n">
        <v>1576</v>
      </c>
      <c r="J4" s="81" t="n">
        <v>1211</v>
      </c>
      <c r="K4" t="inlineStr">
        <is>
          <t>CoStar+RealPage</t>
        </is>
      </c>
      <c r="L4" t="inlineStr">
        <is>
          <t>Delivery quarter estimated; Occ: CoStar 85% vs RealPage 88%; Rent: CoStar ask $1,576 vs RealPage eff $1,211</t>
        </is>
      </c>
    </row>
    <row r="5">
      <c r="A5" t="inlineStr">
        <is>
          <t>Bungalows at Camelback</t>
        </is>
      </c>
      <c r="B5" t="inlineStr">
        <is>
          <t>4747 N 99th Ave</t>
        </is>
      </c>
      <c r="C5" t="n">
        <v>334</v>
      </c>
      <c r="D5" t="n">
        <v>2023</v>
      </c>
      <c r="E5" t="inlineStr">
        <is>
          <t>Q1 2023</t>
        </is>
      </c>
      <c r="F5" t="inlineStr">
        <is>
          <t>STABILIZED / STABILIZING</t>
        </is>
      </c>
      <c r="G5" s="80" t="n">
        <v>0.7634730000000001</v>
      </c>
      <c r="H5" s="80" t="n">
        <v>0.916</v>
      </c>
      <c r="I5" s="81" t="n">
        <v>2026</v>
      </c>
      <c r="J5" s="81" t="n">
        <v>1385</v>
      </c>
      <c r="K5" t="inlineStr">
        <is>
          <t>CoStar+RealPage</t>
        </is>
      </c>
      <c r="L5" t="inlineStr">
        <is>
          <t>Year built: 2023/2024; Delivery quarter estimated; Occ: CoStar 76% vs RealPage 92%; Rent: CoStar ask $2,026 vs RealPage eff $1,385</t>
        </is>
      </c>
    </row>
    <row r="6">
      <c r="A6" t="inlineStr">
        <is>
          <t>Prose Desert River</t>
        </is>
      </c>
      <c r="B6" t="inlineStr">
        <is>
          <t>7430 N 100th Ave</t>
        </is>
      </c>
      <c r="C6" t="n">
        <v>384</v>
      </c>
      <c r="D6" t="n">
        <v>2023</v>
      </c>
      <c r="E6" t="inlineStr">
        <is>
          <t>Q1 2023</t>
        </is>
      </c>
      <c r="F6" t="inlineStr">
        <is>
          <t>STABILIZED / STABILIZING</t>
        </is>
      </c>
      <c r="G6" s="80" t="n">
        <v>0.895833</v>
      </c>
      <c r="H6" s="80" t="n">
        <v>0.966</v>
      </c>
      <c r="I6" s="81" t="n">
        <v>1429</v>
      </c>
      <c r="J6" s="81" t="n">
        <v>1313</v>
      </c>
      <c r="K6" t="inlineStr">
        <is>
          <t>CoStar+RealPage</t>
        </is>
      </c>
      <c r="L6" t="inlineStr">
        <is>
          <t>Year built: 2023/2024; Delivery quarter estimated; Occ: CoStar 90% vs RealPage 97%; Rent: CoStar ask $1,429 vs RealPage eff $1,313</t>
        </is>
      </c>
    </row>
    <row r="7">
      <c r="A7" t="inlineStr">
        <is>
          <t>Christopher Todd Communities at McDowell</t>
        </is>
      </c>
      <c r="B7" t="inlineStr">
        <is>
          <t>1350 N 117th Ave</t>
        </is>
      </c>
      <c r="C7" t="n">
        <v>217</v>
      </c>
      <c r="D7" t="n">
        <v>2023</v>
      </c>
      <c r="E7" t="inlineStr">
        <is>
          <t>Q1 2023</t>
        </is>
      </c>
      <c r="F7" t="inlineStr">
        <is>
          <t>STABILIZED / STABILIZING</t>
        </is>
      </c>
      <c r="G7" s="80" t="n">
        <v>0.949309</v>
      </c>
      <c r="H7" s="80" t="n">
        <v>0.968</v>
      </c>
      <c r="I7" s="81" t="n">
        <v>1576</v>
      </c>
      <c r="J7" s="81" t="n">
        <v>1602</v>
      </c>
      <c r="K7" t="inlineStr">
        <is>
          <t>CoStar+RealPage</t>
        </is>
      </c>
      <c r="L7" t="inlineStr">
        <is>
          <t>Year built: 2023/2024; Delivery quarter estimated</t>
        </is>
      </c>
    </row>
    <row r="8">
      <c r="A8" t="inlineStr">
        <is>
          <t>Village Camelback Park</t>
        </is>
      </c>
      <c r="B8" t="inlineStr">
        <is>
          <t>11200 W Camelback Rd</t>
        </is>
      </c>
      <c r="C8" t="n">
        <v>194</v>
      </c>
      <c r="D8" t="n">
        <v>2023</v>
      </c>
      <c r="E8" t="inlineStr">
        <is>
          <t>Q1 2023</t>
        </is>
      </c>
      <c r="F8" t="inlineStr">
        <is>
          <t>STABILIZED / STABILIZING</t>
        </is>
      </c>
      <c r="G8" s="80" t="n">
        <v>0.773196</v>
      </c>
      <c r="H8" s="80" t="n">
        <v>0.918</v>
      </c>
      <c r="I8" s="81" t="n">
        <v>1874</v>
      </c>
      <c r="J8" s="81" t="n">
        <v>1794</v>
      </c>
      <c r="K8" t="inlineStr">
        <is>
          <t>CoStar+RealPage</t>
        </is>
      </c>
      <c r="L8" t="inlineStr">
        <is>
          <t>Delivery quarter estimated; Occ: CoStar 77% vs RealPage 92%</t>
        </is>
      </c>
    </row>
    <row r="9">
      <c r="A9" t="inlineStr">
        <is>
          <t>Springs At Westgate</t>
        </is>
      </c>
      <c r="B9" t="inlineStr">
        <is>
          <t>10020 W Glendale Ave</t>
        </is>
      </c>
      <c r="C9" t="n">
        <v>292</v>
      </c>
      <c r="D9" t="n">
        <v>2023</v>
      </c>
      <c r="E9" t="inlineStr">
        <is>
          <t>Q1 2023</t>
        </is>
      </c>
      <c r="F9" t="inlineStr">
        <is>
          <t>STABILIZED / STABILIZING</t>
        </is>
      </c>
      <c r="G9" s="80" t="n">
        <v>0.784247</v>
      </c>
      <c r="H9" s="80" t="n">
        <v>0.87</v>
      </c>
      <c r="I9" s="81" t="n">
        <v>1516</v>
      </c>
      <c r="J9" s="81" t="n">
        <v>1517</v>
      </c>
      <c r="K9" t="inlineStr">
        <is>
          <t>CoStar+RealPage</t>
        </is>
      </c>
      <c r="L9" t="inlineStr">
        <is>
          <t>Year built: 2023/2024; Delivery quarter estimated; Occ: CoStar 78% vs RealPage 87%</t>
        </is>
      </c>
    </row>
    <row r="10">
      <c r="A10" t="inlineStr">
        <is>
          <t>Parc Lofts</t>
        </is>
      </c>
      <c r="B10" t="inlineStr">
        <is>
          <t>8727 W McDowell Rd</t>
        </is>
      </c>
      <c r="C10" t="n">
        <v>258</v>
      </c>
      <c r="D10" t="n">
        <v>2023</v>
      </c>
      <c r="E10" t="inlineStr">
        <is>
          <t>Q1 2023</t>
        </is>
      </c>
      <c r="F10" t="inlineStr">
        <is>
          <t>STABILIZED / STABILIZING</t>
        </is>
      </c>
      <c r="G10" s="80" t="n">
        <v>0.8992249999999999</v>
      </c>
      <c r="H10" s="80" t="n">
        <v>0.9419999999999999</v>
      </c>
      <c r="I10" s="81" t="n">
        <v>1567</v>
      </c>
      <c r="J10" s="81" t="n">
        <v>1591</v>
      </c>
      <c r="K10" t="inlineStr">
        <is>
          <t>CoStar+RealPage</t>
        </is>
      </c>
      <c r="L10" t="inlineStr">
        <is>
          <t>Delivery quarter estimated; Occ: CoStar 90% vs RealPage 94%</t>
        </is>
      </c>
    </row>
    <row r="11">
      <c r="A11" t="inlineStr">
        <is>
          <t>The Crofton at Sheely Farms</t>
        </is>
      </c>
      <c r="B11" t="inlineStr">
        <is>
          <t>9200 W McDowell Rd</t>
        </is>
      </c>
      <c r="C11" t="n">
        <v>167</v>
      </c>
      <c r="D11" t="n">
        <v>2023</v>
      </c>
      <c r="E11" t="inlineStr">
        <is>
          <t>Q1 2023</t>
        </is>
      </c>
      <c r="F11" t="inlineStr">
        <is>
          <t>STABILIZED / STABILIZING</t>
        </is>
      </c>
      <c r="G11" s="80" t="n">
        <v>0.9520960000000001</v>
      </c>
      <c r="H11" s="80" t="n">
        <v>0.946</v>
      </c>
      <c r="I11" s="81" t="n">
        <v>1607</v>
      </c>
      <c r="J11" s="81" t="n">
        <v>1388</v>
      </c>
      <c r="K11" t="inlineStr">
        <is>
          <t>CoStar+RealPage</t>
        </is>
      </c>
      <c r="L11" t="inlineStr">
        <is>
          <t>Delivery quarter estimated; Rent: CoStar ask $1,607 vs RealPage eff $1,388</t>
        </is>
      </c>
    </row>
    <row r="12">
      <c r="A12" t="inlineStr">
        <is>
          <t>District at Civic Square</t>
        </is>
      </c>
      <c r="B12" t="inlineStr">
        <is>
          <t>15400 W Monte Vista Rd</t>
        </is>
      </c>
      <c r="C12" t="n">
        <v>352</v>
      </c>
      <c r="D12" t="n">
        <v>2023</v>
      </c>
      <c r="E12" t="inlineStr">
        <is>
          <t>Q1 2023</t>
        </is>
      </c>
      <c r="F12" t="inlineStr">
        <is>
          <t>STABILIZED / STABILIZING</t>
        </is>
      </c>
      <c r="G12" s="80" t="n">
        <v>0.920455</v>
      </c>
      <c r="H12" s="80" t="n">
        <v>1</v>
      </c>
      <c r="I12" s="81" t="n">
        <v>1526</v>
      </c>
      <c r="J12" s="81" t="n">
        <v>1263</v>
      </c>
      <c r="K12" t="inlineStr">
        <is>
          <t>CoStar+RealPage</t>
        </is>
      </c>
      <c r="L12" t="inlineStr">
        <is>
          <t>Year built: 2023/2024; Delivery quarter estimated; Occ: CoStar 92% vs RealPage 100%; Rent: CoStar ask $1,526 vs RealPage eff $1,263</t>
        </is>
      </c>
    </row>
    <row r="13">
      <c r="A13" t="inlineStr">
        <is>
          <t>BB Living at Civic Square</t>
        </is>
      </c>
      <c r="B13" t="inlineStr">
        <is>
          <t>15125 W Oak St</t>
        </is>
      </c>
      <c r="C13" t="n">
        <v>290</v>
      </c>
      <c r="D13" t="n">
        <v>2023</v>
      </c>
      <c r="E13" t="inlineStr">
        <is>
          <t>Q1 2023</t>
        </is>
      </c>
      <c r="F13" t="inlineStr">
        <is>
          <t>STABILIZED / STABILIZING</t>
        </is>
      </c>
      <c r="G13" s="80" t="n">
        <v>0.934483</v>
      </c>
      <c r="H13" s="80" t="n">
        <v>0.959</v>
      </c>
      <c r="I13" s="81" t="n">
        <v>2812</v>
      </c>
      <c r="J13" s="81" t="n">
        <v>2575</v>
      </c>
      <c r="K13" t="inlineStr">
        <is>
          <t>CoStar+RealPage</t>
        </is>
      </c>
      <c r="L13" t="inlineStr">
        <is>
          <t>Year built: 2023/2024; Delivery quarter estimated; Occ: CoStar 93% vs RealPage 96%; Rent: CoStar ask $2,812 vs RealPage eff $2,575</t>
        </is>
      </c>
    </row>
    <row r="14">
      <c r="A14" t="inlineStr">
        <is>
          <t>Village at the BLVD</t>
        </is>
      </c>
      <c r="B14" t="inlineStr">
        <is>
          <t>11175 W Roosevelt Rd</t>
        </is>
      </c>
      <c r="C14" t="n">
        <v>187</v>
      </c>
      <c r="D14" t="n">
        <v>2023</v>
      </c>
      <c r="E14" t="inlineStr">
        <is>
          <t>Q1 2023</t>
        </is>
      </c>
      <c r="F14" t="inlineStr">
        <is>
          <t>STABILIZED / STABILIZING</t>
        </is>
      </c>
      <c r="G14" s="80" t="n">
        <v>0.935829</v>
      </c>
      <c r="H14" s="80" t="n">
        <v>0.963</v>
      </c>
      <c r="I14" s="81" t="n">
        <v>1964</v>
      </c>
      <c r="J14" s="81" t="n">
        <v>1902</v>
      </c>
      <c r="K14" t="inlineStr">
        <is>
          <t>CoStar+RealPage</t>
        </is>
      </c>
      <c r="L14" t="inlineStr">
        <is>
          <t>Year built: 2023/2024; Delivery quarter estimated; Occ: CoStar 94% vs RealPage 96%</t>
        </is>
      </c>
    </row>
    <row r="15">
      <c r="A15" t="inlineStr">
        <is>
          <t>Acero Roosevelt</t>
        </is>
      </c>
      <c r="B15" t="inlineStr">
        <is>
          <t>15400 W Roosevelt St</t>
        </is>
      </c>
      <c r="C15" t="n">
        <v>352</v>
      </c>
      <c r="D15" t="n">
        <v>2023</v>
      </c>
      <c r="E15" t="inlineStr">
        <is>
          <t>Q1 2023</t>
        </is>
      </c>
      <c r="F15" t="inlineStr">
        <is>
          <t>STABILIZED / STABILIZING</t>
        </is>
      </c>
      <c r="G15" s="80" t="n">
        <v>0.892045</v>
      </c>
      <c r="H15" s="80" t="n">
        <v>0.9399999999999999</v>
      </c>
      <c r="I15" s="81" t="n">
        <v>1632</v>
      </c>
      <c r="J15" s="81" t="n">
        <v>1236</v>
      </c>
      <c r="K15" t="inlineStr">
        <is>
          <t>CoStar+RealPage</t>
        </is>
      </c>
      <c r="L15" t="inlineStr">
        <is>
          <t>Year built: 2023/2024; Delivery quarter estimated; Occ: CoStar 89% vs RealPage 94%; Rent: CoStar ask $1,632 vs RealPage eff $1,236</t>
        </is>
      </c>
    </row>
    <row r="16">
      <c r="A16" t="inlineStr">
        <is>
          <t>Village at Paseo de Luces</t>
        </is>
      </c>
      <c r="B16" t="inlineStr">
        <is>
          <t>9802 W Van Buren St</t>
        </is>
      </c>
      <c r="C16" t="n">
        <v>272</v>
      </c>
      <c r="D16" t="n">
        <v>2023</v>
      </c>
      <c r="E16" t="inlineStr">
        <is>
          <t>Q1 2023</t>
        </is>
      </c>
      <c r="F16" t="inlineStr">
        <is>
          <t>STABILIZED / STABILIZING</t>
        </is>
      </c>
      <c r="G16" s="80" t="n">
        <v>0.926471</v>
      </c>
      <c r="H16" s="80" t="n">
        <v>0.967</v>
      </c>
      <c r="I16" s="81" t="n">
        <v>1820</v>
      </c>
      <c r="J16" s="81" t="n">
        <v>1597</v>
      </c>
      <c r="K16" t="inlineStr">
        <is>
          <t>CoStar+RealPage</t>
        </is>
      </c>
      <c r="L16" t="inlineStr">
        <is>
          <t>Year built: 2023/2024; Delivery quarter estimated; Occ: CoStar 93% vs RealPage 97%; Rent: CoStar ask $1,820 vs RealPage eff $1,597</t>
        </is>
      </c>
    </row>
    <row r="17">
      <c r="A17" t="inlineStr">
        <is>
          <t>Cabana Bullard</t>
        </is>
      </c>
      <c r="B17" t="inlineStr">
        <is>
          <t>14780 W Van Buren St</t>
        </is>
      </c>
      <c r="C17" t="n">
        <v>336</v>
      </c>
      <c r="D17" t="n">
        <v>2023</v>
      </c>
      <c r="E17" t="inlineStr">
        <is>
          <t>Q1 2023</t>
        </is>
      </c>
      <c r="F17" t="inlineStr">
        <is>
          <t>STABILIZED / STABILIZING</t>
        </is>
      </c>
      <c r="G17" s="80" t="n">
        <v>0.9494050000000001</v>
      </c>
      <c r="H17" s="80" t="n">
        <v>0.949</v>
      </c>
      <c r="I17" s="81" t="n">
        <v>1335</v>
      </c>
      <c r="J17" s="81" t="n">
        <v>1325</v>
      </c>
      <c r="K17" t="inlineStr">
        <is>
          <t>CoStar+RealPage</t>
        </is>
      </c>
      <c r="L17" t="inlineStr">
        <is>
          <t>Delivery quarter estimated</t>
        </is>
      </c>
    </row>
    <row r="18">
      <c r="A18" t="inlineStr">
        <is>
          <t>Ironwood Homes at River Run</t>
        </is>
      </c>
      <c r="B18" t="inlineStr">
        <is>
          <t>11901 W Windsor Ave</t>
        </is>
      </c>
      <c r="C18" t="n">
        <v>103</v>
      </c>
      <c r="D18" t="n">
        <v>2023</v>
      </c>
      <c r="E18" t="inlineStr">
        <is>
          <t>Q1 2023</t>
        </is>
      </c>
      <c r="F18" t="inlineStr">
        <is>
          <t>STABILIZED / STABILIZING</t>
        </is>
      </c>
      <c r="G18" s="80" t="n">
        <v>0.893204</v>
      </c>
      <c r="H18" s="80" t="n"/>
      <c r="I18" s="81" t="n">
        <v>2523</v>
      </c>
      <c r="J18" s="81" t="n"/>
      <c r="K18" t="inlineStr">
        <is>
          <t>CoStar</t>
        </is>
      </c>
      <c r="L18" t="inlineStr">
        <is>
          <t>Delivery quarter estimated</t>
        </is>
      </c>
    </row>
    <row r="19">
      <c r="A19" t="inlineStr">
        <is>
          <t>Cuvee Apartments</t>
        </is>
      </c>
      <c r="B19" t="inlineStr">
        <is>
          <t>7200 N 91st Ave</t>
        </is>
      </c>
      <c r="C19" t="n">
        <v>310</v>
      </c>
      <c r="D19" t="n">
        <v>2023</v>
      </c>
      <c r="E19" t="inlineStr">
        <is>
          <t>Q1 2023</t>
        </is>
      </c>
      <c r="F19" t="inlineStr">
        <is>
          <t>STABILIZED / STABILIZING</t>
        </is>
      </c>
      <c r="G19" s="80" t="n"/>
      <c r="H19" s="80" t="n">
        <v>0.926</v>
      </c>
      <c r="I19" s="81" t="n"/>
      <c r="J19" s="81" t="n">
        <v>1629</v>
      </c>
      <c r="K19" t="inlineStr">
        <is>
          <t>RealPage</t>
        </is>
      </c>
      <c r="L19" t="inlineStr">
        <is>
          <t>Delivery quarter estimated</t>
        </is>
      </c>
    </row>
    <row r="20">
      <c r="A20" t="inlineStr">
        <is>
          <t>Avari Apartments</t>
        </is>
      </c>
      <c r="B20" t="inlineStr">
        <is>
          <t>11580 W Corporate Dr</t>
        </is>
      </c>
      <c r="C20" t="n">
        <v>354</v>
      </c>
      <c r="D20" t="n">
        <v>2022</v>
      </c>
      <c r="E20" t="inlineStr">
        <is>
          <t>Q3 2022</t>
        </is>
      </c>
      <c r="F20" t="inlineStr">
        <is>
          <t>STABILIZED / STABILIZING</t>
        </is>
      </c>
      <c r="G20" s="80" t="n">
        <v>0.951977</v>
      </c>
      <c r="H20" s="80" t="n">
        <v>1</v>
      </c>
      <c r="I20" s="81" t="n">
        <v>1574</v>
      </c>
      <c r="J20" s="81" t="n">
        <v>1583</v>
      </c>
      <c r="K20" t="inlineStr">
        <is>
          <t>CoStar+RealPage</t>
        </is>
      </c>
      <c r="L20" t="inlineStr">
        <is>
          <t>Year built: 2022/2023; Delivery quarter estimated; Occ: CoStar 95% vs RealPage 100%</t>
        </is>
      </c>
    </row>
    <row r="21">
      <c r="A21" t="inlineStr">
        <is>
          <t>Sunset View Apartments</t>
        </is>
      </c>
      <c r="B21" t="inlineStr">
        <is>
          <t>2323 N 150th Dr</t>
        </is>
      </c>
      <c r="C21" t="n">
        <v>286</v>
      </c>
      <c r="D21" t="n">
        <v>2022</v>
      </c>
      <c r="E21" t="inlineStr">
        <is>
          <t>Q2 2022</t>
        </is>
      </c>
      <c r="F21" t="inlineStr">
        <is>
          <t>STABILIZED / STABILIZING</t>
        </is>
      </c>
      <c r="G21" s="80" t="n">
        <v>0.902098</v>
      </c>
      <c r="H21" s="80" t="n">
        <v>0.955</v>
      </c>
      <c r="I21" s="81" t="n">
        <v>1338</v>
      </c>
      <c r="J21" s="81" t="n">
        <v>1167</v>
      </c>
      <c r="K21" t="inlineStr">
        <is>
          <t>CoStar+RealPage</t>
        </is>
      </c>
      <c r="L21" t="inlineStr">
        <is>
          <t>Occ: CoStar 90% vs RealPage 96%; Rent: CoStar ask $1,338 vs RealPage eff $1,167</t>
        </is>
      </c>
    </row>
    <row r="22">
      <c r="A22" t="inlineStr">
        <is>
          <t>Cyrene at Estrella</t>
        </is>
      </c>
      <c r="B22" t="inlineStr">
        <is>
          <t>15430 W Baden St</t>
        </is>
      </c>
      <c r="C22" t="n">
        <v>64</v>
      </c>
      <c r="D22" t="n">
        <v>2022</v>
      </c>
      <c r="E22" t="inlineStr">
        <is>
          <t>Q1 2022</t>
        </is>
      </c>
      <c r="F22" t="inlineStr">
        <is>
          <t>STABILIZED / STABILIZING</t>
        </is>
      </c>
      <c r="G22" s="80" t="n">
        <v>0.984375</v>
      </c>
      <c r="H22" s="80" t="n">
        <v>0.984</v>
      </c>
      <c r="I22" s="81" t="n">
        <v>2442</v>
      </c>
      <c r="J22" s="81" t="n">
        <v>2261</v>
      </c>
      <c r="K22" t="inlineStr">
        <is>
          <t>CoStar+RealPage</t>
        </is>
      </c>
      <c r="L22" t="inlineStr">
        <is>
          <t>Year built: 2022/2023; Delivery quarter estimated; Rent: CoStar ask $2,442 vs RealPage eff $2,261</t>
        </is>
      </c>
    </row>
    <row r="23">
      <c r="A23" t="inlineStr">
        <is>
          <t>Luna Bear 94</t>
        </is>
      </c>
      <c r="B23" t="inlineStr">
        <is>
          <t>9000 W Indian School Rd</t>
        </is>
      </c>
      <c r="C23" t="n">
        <v>94</v>
      </c>
      <c r="D23" t="n">
        <v>2022</v>
      </c>
      <c r="E23" t="inlineStr">
        <is>
          <t>Q1 2022</t>
        </is>
      </c>
      <c r="F23" t="inlineStr">
        <is>
          <t>STABILIZED / STABILIZING</t>
        </is>
      </c>
      <c r="G23" s="80" t="n">
        <v>0.989362</v>
      </c>
      <c r="H23" s="80" t="n">
        <v>1</v>
      </c>
      <c r="I23" s="81" t="n">
        <v>1913</v>
      </c>
      <c r="J23" s="81" t="n">
        <v>1982</v>
      </c>
      <c r="K23" t="inlineStr">
        <is>
          <t>CoStar+RealPage</t>
        </is>
      </c>
      <c r="L23" t="inlineStr"/>
    </row>
    <row r="24">
      <c r="A24" t="inlineStr">
        <is>
          <t>Avilla Western Garden</t>
        </is>
      </c>
      <c r="B24" t="inlineStr">
        <is>
          <t>4041 N 97th Ave</t>
        </is>
      </c>
      <c r="C24" t="n">
        <v>195</v>
      </c>
      <c r="D24" t="n">
        <v>2026</v>
      </c>
      <c r="E24" t="inlineStr">
        <is>
          <t>Q2 2026</t>
        </is>
      </c>
      <c r="F24" t="inlineStr">
        <is>
          <t>LEASING UP</t>
        </is>
      </c>
      <c r="G24" s="80" t="n">
        <v>0.4461540000000001</v>
      </c>
      <c r="H24" s="80" t="n">
        <v>0</v>
      </c>
      <c r="I24" s="81" t="n">
        <v>1829</v>
      </c>
      <c r="J24" s="81" t="n">
        <v>1681</v>
      </c>
      <c r="K24" t="inlineStr">
        <is>
          <t>CoStar+RealPage</t>
        </is>
      </c>
      <c r="L24" t="inlineStr">
        <is>
          <t>Delivery quarter estimated; Occ: CoStar 45% vs RealPage 0%; Rent: CoStar ask $1,829 vs RealPage eff $1,681; Verify rent/occ w/ HelloData</t>
        </is>
      </c>
    </row>
    <row r="25">
      <c r="A25" t="inlineStr">
        <is>
          <t>Liberty at Estrella Falls</t>
        </is>
      </c>
      <c r="B25" t="inlineStr">
        <is>
          <t>2505 N 153rd Dr</t>
        </is>
      </c>
      <c r="C25" t="n">
        <v>106</v>
      </c>
      <c r="D25" t="n">
        <v>2026</v>
      </c>
      <c r="E25" t="inlineStr">
        <is>
          <t>Q2 2026</t>
        </is>
      </c>
      <c r="F25" t="inlineStr">
        <is>
          <t>LEASING UP</t>
        </is>
      </c>
      <c r="G25" s="80" t="n">
        <v>0.05660399999999999</v>
      </c>
      <c r="H25" s="80" t="n">
        <v>0.208</v>
      </c>
      <c r="I25" s="81" t="n">
        <v>2966</v>
      </c>
      <c r="J25" s="81" t="n">
        <v>1938</v>
      </c>
      <c r="K25" t="inlineStr">
        <is>
          <t>CoStar+RealPage</t>
        </is>
      </c>
      <c r="L25" t="inlineStr">
        <is>
          <t>Delivery quarter estimated; Occ: CoStar 6% vs RealPage 21%; Rent: CoStar ask $2,966 vs RealPage eff $1,938; Verify rent/occ w/ HelloData</t>
        </is>
      </c>
    </row>
    <row r="26">
      <c r="A26" t="inlineStr">
        <is>
          <t>Rev3 at Avondale Station</t>
        </is>
      </c>
      <c r="B26" t="inlineStr">
        <is>
          <t>9980 W Encanto Blvd</t>
        </is>
      </c>
      <c r="C26" t="n">
        <v>117</v>
      </c>
      <c r="D26" t="n">
        <v>2026</v>
      </c>
      <c r="E26" t="inlineStr">
        <is>
          <t>Q2 2026</t>
        </is>
      </c>
      <c r="F26" t="inlineStr">
        <is>
          <t>LEASING UP</t>
        </is>
      </c>
      <c r="G26" s="80" t="n">
        <v>0.273504</v>
      </c>
      <c r="H26" s="80" t="n">
        <v>0</v>
      </c>
      <c r="I26" s="81" t="n">
        <v>2537</v>
      </c>
      <c r="J26" s="81" t="n">
        <v>2273</v>
      </c>
      <c r="K26" t="inlineStr">
        <is>
          <t>CoStar+RealPage</t>
        </is>
      </c>
      <c r="L26" t="inlineStr">
        <is>
          <t>Units: CoStar 117 vs RealPage 107; Delivery quarter estimated; Occ: CoStar 27% vs RealPage 0%; Rent: CoStar ask $2,537 vs RealPage eff $2,273; Verify rent/occ w/ HelloData</t>
        </is>
      </c>
    </row>
    <row r="27">
      <c r="A27" t="inlineStr">
        <is>
          <t>Flatz 623</t>
        </is>
      </c>
      <c r="B27" t="inlineStr">
        <is>
          <t>11850 W Fillmore St</t>
        </is>
      </c>
      <c r="C27" t="n">
        <v>360</v>
      </c>
      <c r="D27" t="n">
        <v>2026</v>
      </c>
      <c r="E27" t="inlineStr">
        <is>
          <t>Q2 2026</t>
        </is>
      </c>
      <c r="F27" t="inlineStr">
        <is>
          <t>LEASING UP</t>
        </is>
      </c>
      <c r="G27" s="80" t="n">
        <v>0.1333329999999999</v>
      </c>
      <c r="H27" s="80" t="n"/>
      <c r="I27" s="81" t="n">
        <v>1411</v>
      </c>
      <c r="J27" s="81" t="n"/>
      <c r="K27" t="inlineStr">
        <is>
          <t>CoStar</t>
        </is>
      </c>
      <c r="L27" t="inlineStr">
        <is>
          <t>Delivery quarter estimated; Verify rent/occ w/ HelloData</t>
        </is>
      </c>
    </row>
    <row r="28">
      <c r="A28" t="inlineStr">
        <is>
          <t>Stately Avondale</t>
        </is>
      </c>
      <c r="B28" t="inlineStr">
        <is>
          <t>12375 W Van Buren St</t>
        </is>
      </c>
      <c r="C28" t="n">
        <v>286</v>
      </c>
      <c r="D28" t="n">
        <v>2026</v>
      </c>
      <c r="E28" t="inlineStr">
        <is>
          <t>Q2 2026</t>
        </is>
      </c>
      <c r="F28" t="inlineStr">
        <is>
          <t>LEASING UP</t>
        </is>
      </c>
      <c r="G28" s="80" t="n">
        <v>0.297203</v>
      </c>
      <c r="H28" s="80" t="n">
        <v>0</v>
      </c>
      <c r="I28" s="81" t="n">
        <v>1728</v>
      </c>
      <c r="J28" s="81" t="n">
        <v>1243</v>
      </c>
      <c r="K28" t="inlineStr">
        <is>
          <t>CoStar+RealPage</t>
        </is>
      </c>
      <c r="L28" t="inlineStr">
        <is>
          <t>Year built: 2026/2027; Delivery quarter estimated; Occ: CoStar 30% vs RealPage 0%; Rent: CoStar ask $1,728 vs RealPage eff $1,243; Verify rent/occ w/ HelloData</t>
        </is>
      </c>
    </row>
    <row r="29">
      <c r="A29" t="inlineStr">
        <is>
          <t>Broadstone Ascend</t>
        </is>
      </c>
      <c r="B29" t="inlineStr">
        <is>
          <t>12905 W Indian School Rd</t>
        </is>
      </c>
      <c r="C29" t="n">
        <v>432</v>
      </c>
      <c r="D29" t="n">
        <v>2025</v>
      </c>
      <c r="E29" t="inlineStr">
        <is>
          <t>Q4 2025</t>
        </is>
      </c>
      <c r="F29" t="inlineStr">
        <is>
          <t>LEASING UP</t>
        </is>
      </c>
      <c r="G29" s="80" t="n">
        <v>0.875</v>
      </c>
      <c r="H29" s="80" t="n">
        <v>0.512</v>
      </c>
      <c r="I29" s="81" t="n">
        <v>1506</v>
      </c>
      <c r="J29" s="81" t="n">
        <v>1107</v>
      </c>
      <c r="K29" t="inlineStr">
        <is>
          <t>CoStar+RealPage</t>
        </is>
      </c>
      <c r="L29" t="inlineStr">
        <is>
          <t>Year built: 2025/2026; Delivery quarter estimated; Occ: CoStar 88% vs RealPage 51%; Rent: CoStar ask $1,506 vs RealPage eff $1,107; Verify rent/occ w/ HelloData</t>
        </is>
      </c>
    </row>
    <row r="30">
      <c r="A30" t="inlineStr">
        <is>
          <t>Pradera Estates</t>
        </is>
      </c>
      <c r="B30" t="inlineStr">
        <is>
          <t>12616 W Adair Dr</t>
        </is>
      </c>
      <c r="C30" t="n">
        <v>86</v>
      </c>
      <c r="D30" t="n">
        <v>2025</v>
      </c>
      <c r="E30" t="inlineStr">
        <is>
          <t>Q3 2025</t>
        </is>
      </c>
      <c r="F30" t="inlineStr">
        <is>
          <t>LEASING UP</t>
        </is>
      </c>
      <c r="G30" s="80" t="n">
        <v>0.895349</v>
      </c>
      <c r="H30" s="80" t="n"/>
      <c r="I30" s="81" t="n">
        <v>2474</v>
      </c>
      <c r="J30" s="81" t="n"/>
      <c r="K30" t="inlineStr">
        <is>
          <t>CoStar</t>
        </is>
      </c>
      <c r="L30" t="inlineStr">
        <is>
          <t>Delivery quarter estimated; Verify rent/occ w/ HelloData</t>
        </is>
      </c>
    </row>
    <row r="31">
      <c r="A31" t="inlineStr">
        <is>
          <t>Rev3 Encanto West</t>
        </is>
      </c>
      <c r="B31" t="inlineStr">
        <is>
          <t>2150 N Avondale Blvd</t>
        </is>
      </c>
      <c r="C31" t="n">
        <v>84</v>
      </c>
      <c r="D31" t="n">
        <v>2025</v>
      </c>
      <c r="E31" t="inlineStr">
        <is>
          <t>Q3 2025</t>
        </is>
      </c>
      <c r="F31" t="inlineStr">
        <is>
          <t>LEASING UP</t>
        </is>
      </c>
      <c r="G31" s="80" t="n">
        <v>0.52381</v>
      </c>
      <c r="H31" s="80" t="n">
        <v>0.714</v>
      </c>
      <c r="I31" s="81" t="n">
        <v>2319</v>
      </c>
      <c r="J31" s="81" t="n">
        <v>1833</v>
      </c>
      <c r="K31" t="inlineStr">
        <is>
          <t>CoStar+RealPage</t>
        </is>
      </c>
      <c r="L31" t="inlineStr">
        <is>
          <t>Units: CoStar 84 vs RealPage 78; Year built: 2025/2026; Occ: CoStar 52% vs RealPage 71%; Rent: CoStar ask $2,319 vs RealPage eff $1,833; Verify rent/occ w/ HelloData</t>
        </is>
      </c>
    </row>
    <row r="32">
      <c r="A32" t="inlineStr">
        <is>
          <t>Villas Litchfield Park</t>
        </is>
      </c>
      <c r="B32" t="inlineStr">
        <is>
          <t>12730 W Camelback Rd</t>
        </is>
      </c>
      <c r="C32" t="n">
        <v>153</v>
      </c>
      <c r="D32" t="n">
        <v>2025</v>
      </c>
      <c r="E32" t="inlineStr">
        <is>
          <t>Q3 2025</t>
        </is>
      </c>
      <c r="F32" t="inlineStr">
        <is>
          <t>LEASING UP</t>
        </is>
      </c>
      <c r="G32" s="80" t="n">
        <v>0.810458</v>
      </c>
      <c r="H32" s="80" t="n">
        <v>0.856</v>
      </c>
      <c r="I32" s="81" t="n">
        <v>1913</v>
      </c>
      <c r="J32" s="81" t="n">
        <v>1538</v>
      </c>
      <c r="K32" t="inlineStr">
        <is>
          <t>CoStar+RealPage</t>
        </is>
      </c>
      <c r="L32" t="inlineStr">
        <is>
          <t>Delivery quarter estimated; Occ: CoStar 81% vs RealPage 86%; Rent: CoStar ask $1,913 vs RealPage eff $1,538; Verify rent/occ w/ HelloData</t>
        </is>
      </c>
    </row>
    <row r="33">
      <c r="A33" t="inlineStr">
        <is>
          <t>Avalon Townhomes</t>
        </is>
      </c>
      <c r="B33" t="inlineStr">
        <is>
          <t>13025 W Thomas Rd</t>
        </is>
      </c>
      <c r="C33" t="n">
        <v>70</v>
      </c>
      <c r="D33" t="n">
        <v>2025</v>
      </c>
      <c r="E33" t="inlineStr">
        <is>
          <t>Q3 2025</t>
        </is>
      </c>
      <c r="F33" t="inlineStr">
        <is>
          <t>LEASING UP</t>
        </is>
      </c>
      <c r="G33" s="80" t="n">
        <v>0.857143</v>
      </c>
      <c r="H33" s="80" t="n">
        <v>0.857</v>
      </c>
      <c r="I33" s="81" t="n">
        <v>2325</v>
      </c>
      <c r="J33" s="81" t="n">
        <v>2169</v>
      </c>
      <c r="K33" t="inlineStr">
        <is>
          <t>CoStar+RealPage</t>
        </is>
      </c>
      <c r="L33" t="inlineStr">
        <is>
          <t>Delivery quarter estimated; Rent: CoStar ask $2,325 vs RealPage eff $2,169; Verify rent/occ w/ HelloData</t>
        </is>
      </c>
    </row>
    <row r="34">
      <c r="A34" t="inlineStr">
        <is>
          <t>Villas on Van Buren</t>
        </is>
      </c>
      <c r="B34" t="inlineStr">
        <is>
          <t>9835 W Van Buren St</t>
        </is>
      </c>
      <c r="C34" t="n">
        <v>143</v>
      </c>
      <c r="D34" t="n">
        <v>2025</v>
      </c>
      <c r="E34" t="inlineStr">
        <is>
          <t>Q3 2025</t>
        </is>
      </c>
      <c r="F34" t="inlineStr">
        <is>
          <t>LEASING UP</t>
        </is>
      </c>
      <c r="G34" s="80" t="n">
        <v>0.496503</v>
      </c>
      <c r="H34" s="80" t="n">
        <v>0</v>
      </c>
      <c r="I34" s="81" t="n">
        <v>2085</v>
      </c>
      <c r="J34" s="81" t="n">
        <v>2095</v>
      </c>
      <c r="K34" t="inlineStr">
        <is>
          <t>CoStar+RealPage</t>
        </is>
      </c>
      <c r="L34" t="inlineStr">
        <is>
          <t>Year built: 2025/2026; Delivery quarter estimated; Occ: CoStar 50% vs RealPage 0%; Verify rent/occ w/ HelloData</t>
        </is>
      </c>
    </row>
    <row r="35">
      <c r="A35" t="inlineStr">
        <is>
          <t>Agave Ranch</t>
        </is>
      </c>
      <c r="B35" t="inlineStr">
        <is>
          <t>10060 W Desert Blvd</t>
        </is>
      </c>
      <c r="C35" t="n">
        <v>324</v>
      </c>
      <c r="D35" t="n">
        <v>2025</v>
      </c>
      <c r="E35" t="inlineStr">
        <is>
          <t>Q2 2025</t>
        </is>
      </c>
      <c r="F35" t="inlineStr">
        <is>
          <t>LEASING UP</t>
        </is>
      </c>
      <c r="G35" s="80" t="n">
        <v>0.802469</v>
      </c>
      <c r="H35" s="80" t="n">
        <v>0</v>
      </c>
      <c r="I35" s="81" t="n">
        <v>1747</v>
      </c>
      <c r="J35" s="81" t="n">
        <v>1582</v>
      </c>
      <c r="K35" t="inlineStr">
        <is>
          <t>CoStar+RealPage</t>
        </is>
      </c>
      <c r="L35" t="inlineStr">
        <is>
          <t>Delivery quarter estimated; Occ: CoStar 80% vs RealPage 0%; Rent: CoStar ask $1,747 vs RealPage eff $1,582; Verify rent/occ w/ HelloData</t>
        </is>
      </c>
    </row>
    <row r="36">
      <c r="A36" t="inlineStr">
        <is>
          <t>Alta Goodyear</t>
        </is>
      </c>
      <c r="B36" t="inlineStr">
        <is>
          <t>14965 W Encanto Blvd</t>
        </is>
      </c>
      <c r="C36" t="n">
        <v>342</v>
      </c>
      <c r="D36" t="n">
        <v>2025</v>
      </c>
      <c r="E36" t="inlineStr">
        <is>
          <t>Q2 2025</t>
        </is>
      </c>
      <c r="F36" t="inlineStr">
        <is>
          <t>LEASING UP</t>
        </is>
      </c>
      <c r="G36" s="80" t="n">
        <v>0.789474</v>
      </c>
      <c r="H36" s="80" t="n">
        <v>0.784</v>
      </c>
      <c r="I36" s="81" t="n">
        <v>1638</v>
      </c>
      <c r="J36" s="81" t="n">
        <v>1433</v>
      </c>
      <c r="K36" t="inlineStr">
        <is>
          <t>CoStar+RealPage</t>
        </is>
      </c>
      <c r="L36" t="inlineStr">
        <is>
          <t>Delivery quarter estimated; Rent: CoStar ask $1,638 vs RealPage eff $1,433; Verify rent/occ w/ HelloData</t>
        </is>
      </c>
    </row>
    <row r="37">
      <c r="A37" t="inlineStr">
        <is>
          <t>Village at Skyline Ranch</t>
        </is>
      </c>
      <c r="B37" t="inlineStr">
        <is>
          <t>13215 W Glendale Ave</t>
        </is>
      </c>
      <c r="C37" t="n">
        <v>167</v>
      </c>
      <c r="D37" t="n">
        <v>2025</v>
      </c>
      <c r="E37" t="inlineStr">
        <is>
          <t>Q2 2025</t>
        </is>
      </c>
      <c r="F37" t="inlineStr">
        <is>
          <t>LEASING UP</t>
        </is>
      </c>
      <c r="G37" s="80" t="n">
        <v>0.3952100000000001</v>
      </c>
      <c r="H37" s="80" t="n">
        <v>0</v>
      </c>
      <c r="I37" s="81" t="n">
        <v>1773</v>
      </c>
      <c r="J37" s="81" t="n">
        <v>1632</v>
      </c>
      <c r="K37" t="inlineStr">
        <is>
          <t>CoStar+RealPage</t>
        </is>
      </c>
      <c r="L37" t="inlineStr">
        <is>
          <t>Year built: 2025/2026; Delivery quarter estimated; Occ: CoStar 40% vs RealPage 0%; Rent: CoStar ask $1,773 vs RealPage eff $1,632; Verify rent/occ w/ HelloData</t>
        </is>
      </c>
    </row>
    <row r="38">
      <c r="A38" t="inlineStr">
        <is>
          <t>Avondale Commons</t>
        </is>
      </c>
      <c r="B38" t="inlineStr">
        <is>
          <t>11650 W McDowell Rd</t>
        </is>
      </c>
      <c r="C38" t="n">
        <v>324</v>
      </c>
      <c r="D38" t="n">
        <v>2025</v>
      </c>
      <c r="E38" t="inlineStr">
        <is>
          <t>Q2 2025</t>
        </is>
      </c>
      <c r="F38" t="inlineStr">
        <is>
          <t>LEASING UP</t>
        </is>
      </c>
      <c r="G38" s="80" t="n">
        <v>0.37037</v>
      </c>
      <c r="H38" s="80" t="n">
        <v>0.852</v>
      </c>
      <c r="I38" s="81" t="n">
        <v>1632</v>
      </c>
      <c r="J38" s="81" t="n">
        <v>1321</v>
      </c>
      <c r="K38" t="inlineStr">
        <is>
          <t>CoStar+RealPage</t>
        </is>
      </c>
      <c r="L38" t="inlineStr">
        <is>
          <t>Year built: 2025/2026; Delivery quarter estimated; Occ: CoStar 37% vs RealPage 85%; Rent: CoStar ask $1,632 vs RealPage eff $1,321; Verify rent/occ w/ HelloData</t>
        </is>
      </c>
    </row>
    <row r="39">
      <c r="A39" t="inlineStr">
        <is>
          <t>Cabana Aldea</t>
        </is>
      </c>
      <c r="B39" t="inlineStr">
        <is>
          <t>9910 W Montebello Ave</t>
        </is>
      </c>
      <c r="C39" t="n">
        <v>257</v>
      </c>
      <c r="D39" t="n">
        <v>2025</v>
      </c>
      <c r="E39" t="inlineStr">
        <is>
          <t>Q2 2025</t>
        </is>
      </c>
      <c r="F39" t="inlineStr">
        <is>
          <t>LEASING UP</t>
        </is>
      </c>
      <c r="G39" s="80" t="n">
        <v>0.7393000000000001</v>
      </c>
      <c r="H39" s="80" t="n">
        <v>0.673</v>
      </c>
      <c r="I39" s="81" t="n">
        <v>1330</v>
      </c>
      <c r="J39" s="81" t="n">
        <v>1253</v>
      </c>
      <c r="K39" t="inlineStr">
        <is>
          <t>CoStar+RealPage</t>
        </is>
      </c>
      <c r="L39" t="inlineStr">
        <is>
          <t>Delivery quarter estimated; Occ: CoStar 74% vs RealPage 67%; Rent: CoStar ask $1,330 vs RealPage eff $1,253; Verify rent/occ w/ HelloData</t>
        </is>
      </c>
    </row>
    <row r="40">
      <c r="A40" t="inlineStr">
        <is>
          <t>The Douglas</t>
        </is>
      </c>
      <c r="B40" t="inlineStr">
        <is>
          <t>14935 W Van Buren St</t>
        </is>
      </c>
      <c r="C40" t="n">
        <v>307</v>
      </c>
      <c r="D40" t="n">
        <v>2025</v>
      </c>
      <c r="E40" t="inlineStr">
        <is>
          <t>Q2 2025</t>
        </is>
      </c>
      <c r="F40" t="inlineStr">
        <is>
          <t>LEASING UP</t>
        </is>
      </c>
      <c r="G40" s="80" t="n">
        <v>0.583062</v>
      </c>
      <c r="H40" s="80" t="n">
        <v>0.59</v>
      </c>
      <c r="I40" s="81" t="n">
        <v>2076</v>
      </c>
      <c r="J40" s="81" t="n">
        <v>1561</v>
      </c>
      <c r="K40" t="inlineStr">
        <is>
          <t>CoStar+RealPage</t>
        </is>
      </c>
      <c r="L40" t="inlineStr">
        <is>
          <t>Delivery quarter estimated; Rent: CoStar ask $2,076 vs RealPage eff $1,561; Verify rent/occ w/ HelloData</t>
        </is>
      </c>
    </row>
    <row r="41">
      <c r="A41" t="inlineStr">
        <is>
          <t>Broadstone Westgate</t>
        </is>
      </c>
      <c r="B41" t="inlineStr">
        <is>
          <t>6851 N 93RD Ave</t>
        </is>
      </c>
      <c r="C41" t="n">
        <v>308</v>
      </c>
      <c r="D41" t="n">
        <v>2025</v>
      </c>
      <c r="E41" t="inlineStr">
        <is>
          <t>Q2 2025</t>
        </is>
      </c>
      <c r="F41" t="inlineStr">
        <is>
          <t>LEASING UP</t>
        </is>
      </c>
      <c r="G41" s="80" t="n"/>
      <c r="H41" s="80" t="n">
        <v>0.89</v>
      </c>
      <c r="I41" s="81" t="n"/>
      <c r="J41" s="81" t="n">
        <v>1438</v>
      </c>
      <c r="K41" t="inlineStr">
        <is>
          <t>RealPage</t>
        </is>
      </c>
      <c r="L41" t="inlineStr">
        <is>
          <t>Delivery quarter estimated; Verify rent/occ w/ HelloData</t>
        </is>
      </c>
    </row>
    <row r="42">
      <c r="A42" t="inlineStr">
        <is>
          <t>Somerset Upscale Apartments</t>
        </is>
      </c>
      <c r="B42" t="inlineStr">
        <is>
          <t>7811 N 99th Ave</t>
        </is>
      </c>
      <c r="C42" t="n">
        <v>234</v>
      </c>
      <c r="D42" t="n">
        <v>2025</v>
      </c>
      <c r="E42" t="inlineStr">
        <is>
          <t>Q2 2025</t>
        </is>
      </c>
      <c r="F42" t="inlineStr">
        <is>
          <t>LEASING UP</t>
        </is>
      </c>
      <c r="G42" s="80" t="n"/>
      <c r="H42" s="80" t="n">
        <v>0.256</v>
      </c>
      <c r="I42" s="81" t="n"/>
      <c r="J42" s="81" t="n">
        <v>1671</v>
      </c>
      <c r="K42" t="inlineStr">
        <is>
          <t>RealPage</t>
        </is>
      </c>
      <c r="L42" t="inlineStr">
        <is>
          <t>Delivery quarter estimated; Verify rent/occ w/ HelloData</t>
        </is>
      </c>
    </row>
    <row r="43">
      <c r="A43" t="inlineStr">
        <is>
          <t>Streamliner Aldea</t>
        </is>
      </c>
      <c r="B43" t="inlineStr">
        <is>
          <t>5900 N 99th Ave</t>
        </is>
      </c>
      <c r="C43" t="n">
        <v>282</v>
      </c>
      <c r="D43" t="n">
        <v>2025</v>
      </c>
      <c r="E43" t="inlineStr">
        <is>
          <t>Q2 2025</t>
        </is>
      </c>
      <c r="F43" t="inlineStr">
        <is>
          <t>LEASING UP</t>
        </is>
      </c>
      <c r="G43" s="80" t="n"/>
      <c r="H43" s="80" t="n">
        <v>0.844</v>
      </c>
      <c r="I43" s="81" t="n"/>
      <c r="J43" s="81" t="n">
        <v>1025</v>
      </c>
      <c r="K43" t="inlineStr">
        <is>
          <t>RealPage</t>
        </is>
      </c>
      <c r="L43" t="inlineStr">
        <is>
          <t>Delivery quarter estimated; Verify rent/occ w/ HelloData</t>
        </is>
      </c>
    </row>
    <row r="44">
      <c r="A44" t="inlineStr">
        <is>
          <t>Meritum Sheely Farms</t>
        </is>
      </c>
      <c r="B44" t="inlineStr">
        <is>
          <t>2121 N 99th Ave</t>
        </is>
      </c>
      <c r="C44" t="n">
        <v>680</v>
      </c>
      <c r="D44" t="n">
        <v>2024</v>
      </c>
      <c r="E44" t="inlineStr">
        <is>
          <t>Q4 2024</t>
        </is>
      </c>
      <c r="F44" t="inlineStr">
        <is>
          <t>LEASING UP</t>
        </is>
      </c>
      <c r="G44" s="80" t="n">
        <v>0.797059</v>
      </c>
      <c r="H44" s="80" t="n">
        <v>0.8080000000000001</v>
      </c>
      <c r="I44" s="81" t="n">
        <v>1680</v>
      </c>
      <c r="J44" s="81" t="n">
        <v>1356</v>
      </c>
      <c r="K44" t="inlineStr">
        <is>
          <t>CoStar+RealPage</t>
        </is>
      </c>
      <c r="L44" t="inlineStr">
        <is>
          <t>Year built: 2024/2025; Delivery quarter estimated; Rent: CoStar ask $1,680 vs RealPage eff $1,356; Verify rent/occ w/ HelloData</t>
        </is>
      </c>
    </row>
    <row r="45">
      <c r="A45" t="inlineStr">
        <is>
          <t>Moderne at Roosevelt</t>
        </is>
      </c>
      <c r="B45" t="inlineStr">
        <is>
          <t>805 N 97th Ave</t>
        </is>
      </c>
      <c r="C45" t="n">
        <v>185</v>
      </c>
      <c r="D45" t="n">
        <v>2024</v>
      </c>
      <c r="E45" t="inlineStr">
        <is>
          <t>Q2 2024</t>
        </is>
      </c>
      <c r="F45" t="inlineStr">
        <is>
          <t>LEASING UP</t>
        </is>
      </c>
      <c r="G45" s="80" t="n">
        <v>0.891892</v>
      </c>
      <c r="H45" s="80" t="n">
        <v>0.9350000000000001</v>
      </c>
      <c r="I45" s="81" t="n">
        <v>1900</v>
      </c>
      <c r="J45" s="81" t="n">
        <v>1769</v>
      </c>
      <c r="K45" t="inlineStr">
        <is>
          <t>CoStar+RealPage</t>
        </is>
      </c>
      <c r="L45" t="inlineStr">
        <is>
          <t>Year built: 2024/2025; Occ: CoStar 89% vs RealPage 94%; Rent: CoStar ask $1,900 vs RealPage eff $1,769; Verify rent/occ w/ HelloData</t>
        </is>
      </c>
    </row>
    <row r="46">
      <c r="A46" t="inlineStr">
        <is>
          <t>Canopy at the Trails</t>
        </is>
      </c>
      <c r="B46" t="inlineStr">
        <is>
          <t>4141 N 104th Dr</t>
        </is>
      </c>
      <c r="C46" t="n">
        <v>124</v>
      </c>
      <c r="D46" t="n">
        <v>2024</v>
      </c>
      <c r="E46" t="inlineStr">
        <is>
          <t>Q2 2024</t>
        </is>
      </c>
      <c r="F46" t="inlineStr">
        <is>
          <t>LEASING UP</t>
        </is>
      </c>
      <c r="G46" s="80" t="n">
        <v>0.879032</v>
      </c>
      <c r="H46" s="80" t="n">
        <v>0.919</v>
      </c>
      <c r="I46" s="81" t="n">
        <v>2183</v>
      </c>
      <c r="J46" s="81" t="n">
        <v>2093</v>
      </c>
      <c r="K46" t="inlineStr">
        <is>
          <t>CoStar+RealPage</t>
        </is>
      </c>
      <c r="L46" t="inlineStr">
        <is>
          <t>Delivery quarter estimated; Occ: CoStar 88% vs RealPage 92%; Verify rent/occ w/ HelloData</t>
        </is>
      </c>
    </row>
    <row r="47">
      <c r="A47" t="inlineStr">
        <is>
          <t>Cardinal 95</t>
        </is>
      </c>
      <c r="B47" t="inlineStr">
        <is>
          <t>9600 W Georgia Ave</t>
        </is>
      </c>
      <c r="C47" t="n">
        <v>198</v>
      </c>
      <c r="D47" t="n">
        <v>2024</v>
      </c>
      <c r="E47" t="inlineStr">
        <is>
          <t>Q2 2024</t>
        </is>
      </c>
      <c r="F47" t="inlineStr">
        <is>
          <t>LEASING UP</t>
        </is>
      </c>
      <c r="G47" s="80" t="n">
        <v>0.878788</v>
      </c>
      <c r="H47" s="80" t="n">
        <v>0.889</v>
      </c>
      <c r="I47" s="81" t="n">
        <v>1691</v>
      </c>
      <c r="J47" s="81" t="n">
        <v>1646</v>
      </c>
      <c r="K47" t="inlineStr">
        <is>
          <t>CoStar+RealPage</t>
        </is>
      </c>
      <c r="L47" t="inlineStr">
        <is>
          <t>Delivery quarter estimated; Verify rent/occ w/ HelloData</t>
        </is>
      </c>
    </row>
    <row r="48">
      <c r="A48" t="inlineStr">
        <is>
          <t>Livano Avondale</t>
        </is>
      </c>
      <c r="B48" t="inlineStr">
        <is>
          <t>11575 W Roosevelt St</t>
        </is>
      </c>
      <c r="C48" t="n">
        <v>316</v>
      </c>
      <c r="D48" t="n">
        <v>2024</v>
      </c>
      <c r="E48" t="inlineStr">
        <is>
          <t>Q2 2024</t>
        </is>
      </c>
      <c r="F48" t="inlineStr">
        <is>
          <t>LEASING UP</t>
        </is>
      </c>
      <c r="G48" s="80" t="n">
        <v>0.829114</v>
      </c>
      <c r="H48" s="80" t="n">
        <v>0.842</v>
      </c>
      <c r="I48" s="81" t="n">
        <v>1663</v>
      </c>
      <c r="J48" s="81" t="n">
        <v>1263</v>
      </c>
      <c r="K48" t="inlineStr">
        <is>
          <t>CoStar+RealPage</t>
        </is>
      </c>
      <c r="L48" t="inlineStr">
        <is>
          <t>Year built: 2024/2025; Delivery quarter estimated; Rent: CoStar ask $1,663 vs RealPage eff $1,263; Verify rent/occ w/ HelloData</t>
        </is>
      </c>
    </row>
    <row r="49">
      <c r="A49" t="inlineStr">
        <is>
          <t>Alta Avondale</t>
        </is>
      </c>
      <c r="B49" t="inlineStr">
        <is>
          <t>11330 W Van Buren St</t>
        </is>
      </c>
      <c r="C49" t="n">
        <v>360</v>
      </c>
      <c r="D49" t="n">
        <v>2024</v>
      </c>
      <c r="E49" t="inlineStr">
        <is>
          <t>Q2 2024</t>
        </is>
      </c>
      <c r="F49" t="inlineStr">
        <is>
          <t>LEASING UP</t>
        </is>
      </c>
      <c r="G49" s="80" t="n">
        <v>0.7833330000000001</v>
      </c>
      <c r="H49" s="80" t="n">
        <v>0.836</v>
      </c>
      <c r="I49" s="81" t="n">
        <v>1610</v>
      </c>
      <c r="J49" s="81" t="n">
        <v>1339</v>
      </c>
      <c r="K49" t="inlineStr">
        <is>
          <t>CoStar+RealPage</t>
        </is>
      </c>
      <c r="L49" t="inlineStr">
        <is>
          <t>Year built: 2024/2025; Delivery quarter estimated; Occ: CoStar 78% vs RealPage 84%; Rent: CoStar ask $1,610 vs RealPage eff $1,339; Verify rent/occ w/ HelloData</t>
        </is>
      </c>
    </row>
    <row r="50">
      <c r="A50" t="inlineStr">
        <is>
          <t>Alta 99th</t>
        </is>
      </c>
      <c r="B50" t="inlineStr">
        <is>
          <t>4411 N 99th Ave</t>
        </is>
      </c>
      <c r="C50" t="n">
        <v>402</v>
      </c>
      <c r="D50" t="n">
        <v>2024</v>
      </c>
      <c r="E50" t="inlineStr">
        <is>
          <t>Q1 2024</t>
        </is>
      </c>
      <c r="F50" t="inlineStr">
        <is>
          <t>LEASING UP</t>
        </is>
      </c>
      <c r="G50" s="80" t="n">
        <v>0.855721</v>
      </c>
      <c r="H50" s="80" t="n">
        <v>0.901</v>
      </c>
      <c r="I50" s="81" t="n">
        <v>1542</v>
      </c>
      <c r="J50" s="81" t="n">
        <v>1154</v>
      </c>
      <c r="K50" t="inlineStr">
        <is>
          <t>CoStar+RealPage</t>
        </is>
      </c>
      <c r="L50" t="inlineStr">
        <is>
          <t>Delivery quarter estimated; Occ: CoStar 86% vs RealPage 90%; Rent: CoStar ask $1,542 vs RealPage eff $1,154; Verify rent/occ w/ HelloData</t>
        </is>
      </c>
    </row>
    <row r="51">
      <c r="A51" t="inlineStr">
        <is>
          <t>Radia Avondale Station</t>
        </is>
      </c>
      <c r="B51" t="inlineStr">
        <is>
          <t>9975 W Encanto Blvd</t>
        </is>
      </c>
      <c r="C51" t="n">
        <v>407</v>
      </c>
      <c r="D51" t="n">
        <v>2024</v>
      </c>
      <c r="E51" t="inlineStr">
        <is>
          <t>Q1 2024</t>
        </is>
      </c>
      <c r="F51" t="inlineStr">
        <is>
          <t>LEASING UP</t>
        </is>
      </c>
      <c r="G51" s="80" t="n">
        <v>0.616708</v>
      </c>
      <c r="H51" s="80" t="n">
        <v>0.514</v>
      </c>
      <c r="I51" s="81" t="n">
        <v>1743</v>
      </c>
      <c r="J51" s="81" t="n">
        <v>1676</v>
      </c>
      <c r="K51" t="inlineStr">
        <is>
          <t>CoStar+RealPage</t>
        </is>
      </c>
      <c r="L51" t="inlineStr">
        <is>
          <t>Units: CoStar 407 vs RealPage 212; Year built: 2024/2025; Delivery quarter estimated; Occ: CoStar 62% vs RealPage 51%; Verify rent/occ w/ HelloData</t>
        </is>
      </c>
    </row>
    <row r="52">
      <c r="A52" t="inlineStr">
        <is>
          <t>Zen @ Angelina</t>
        </is>
      </c>
      <c r="B52" t="inlineStr">
        <is>
          <t>956 Castillo Dr S</t>
        </is>
      </c>
      <c r="C52" t="n">
        <v>130</v>
      </c>
      <c r="D52" t="n">
        <v>2027</v>
      </c>
      <c r="E52" t="inlineStr">
        <is>
          <t>Q2 2028</t>
        </is>
      </c>
      <c r="F52" t="inlineStr">
        <is>
          <t>UNDER CONSTRUCTION</t>
        </is>
      </c>
      <c r="G52" s="80" t="n"/>
      <c r="H52" s="80" t="n"/>
      <c r="I52" s="81" t="n"/>
      <c r="J52" s="81" t="n"/>
      <c r="K52" t="inlineStr">
        <is>
          <t>CoStar+RealPage</t>
        </is>
      </c>
      <c r="L52" t="inlineStr">
        <is>
          <t>Year built: 2027/2028</t>
        </is>
      </c>
    </row>
    <row r="53">
      <c r="A53" t="inlineStr">
        <is>
          <t>Zanjero III</t>
        </is>
      </c>
      <c r="B53" t="inlineStr">
        <is>
          <t>7151 N Zanjero Blvd</t>
        </is>
      </c>
      <c r="C53" t="n">
        <v>301</v>
      </c>
      <c r="D53" t="n">
        <v>2028</v>
      </c>
      <c r="E53" t="inlineStr">
        <is>
          <t>Q2 2028</t>
        </is>
      </c>
      <c r="F53" t="inlineStr">
        <is>
          <t>UNDER CONSTRUCTION</t>
        </is>
      </c>
      <c r="G53" s="80" t="n"/>
      <c r="H53" s="80" t="n"/>
      <c r="I53" s="81" t="n"/>
      <c r="J53" s="81" t="n"/>
      <c r="K53" t="inlineStr">
        <is>
          <t>RealPage</t>
        </is>
      </c>
      <c r="L53" t="inlineStr"/>
    </row>
    <row r="54">
      <c r="A54" t="inlineStr">
        <is>
          <t>Yardly Algodon</t>
        </is>
      </c>
      <c r="B54" t="inlineStr">
        <is>
          <t>9225 W Indian School Rd</t>
        </is>
      </c>
      <c r="C54" t="n">
        <v>262</v>
      </c>
      <c r="D54" t="n">
        <v>2026</v>
      </c>
      <c r="E54" t="inlineStr">
        <is>
          <t>Q4 2027</t>
        </is>
      </c>
      <c r="F54" t="inlineStr">
        <is>
          <t>UNDER CONSTRUCTION</t>
        </is>
      </c>
      <c r="G54" s="80" t="n"/>
      <c r="H54" s="80" t="n"/>
      <c r="I54" s="81" t="n">
        <v>1781</v>
      </c>
      <c r="J54" s="81" t="n"/>
      <c r="K54" t="inlineStr">
        <is>
          <t>CoStar+RealPage</t>
        </is>
      </c>
      <c r="L54" t="inlineStr">
        <is>
          <t>Units: CoStar 262 vs RealPage 291; Year built: 2026/2027</t>
        </is>
      </c>
    </row>
    <row r="55">
      <c r="A55" t="inlineStr">
        <is>
          <t>Cerro Vista</t>
        </is>
      </c>
      <c r="B55" t="inlineStr">
        <is>
          <t>12116 W Van Buren St</t>
        </is>
      </c>
      <c r="C55" t="n">
        <v>255</v>
      </c>
      <c r="D55" t="n">
        <v>2026</v>
      </c>
      <c r="E55" t="inlineStr">
        <is>
          <t>Q4 2027</t>
        </is>
      </c>
      <c r="F55" t="inlineStr">
        <is>
          <t>UNDER CONSTRUCTION</t>
        </is>
      </c>
      <c r="G55" s="80" t="n"/>
      <c r="H55" s="80" t="n"/>
      <c r="I55" s="81" t="n"/>
      <c r="J55" s="81" t="n"/>
      <c r="K55" t="inlineStr">
        <is>
          <t>CoStar</t>
        </is>
      </c>
      <c r="L55" t="inlineStr"/>
    </row>
    <row r="56">
      <c r="A56" t="inlineStr">
        <is>
          <t>Pointe Grand Estrella at Phoenix</t>
        </is>
      </c>
      <c r="B56" t="inlineStr">
        <is>
          <t>10649 W Buckeye Rd</t>
        </is>
      </c>
      <c r="C56" t="n">
        <v>288</v>
      </c>
      <c r="D56" t="n">
        <v>2026</v>
      </c>
      <c r="E56" t="inlineStr">
        <is>
          <t>Q2 2027</t>
        </is>
      </c>
      <c r="F56" t="inlineStr">
        <is>
          <t>UNDER CONSTRUCTION</t>
        </is>
      </c>
      <c r="G56" s="80" t="n"/>
      <c r="H56" s="80" t="n"/>
      <c r="I56" s="81" t="n">
        <v>1650</v>
      </c>
      <c r="J56" s="81" t="n"/>
      <c r="K56" t="inlineStr">
        <is>
          <t>CoStar+RealPage</t>
        </is>
      </c>
      <c r="L56" t="inlineStr">
        <is>
          <t>Year built: 2026/2027</t>
        </is>
      </c>
    </row>
    <row r="57">
      <c r="A57" t="inlineStr">
        <is>
          <t>Marbella Ranch East I</t>
        </is>
      </c>
      <c r="B57" t="inlineStr">
        <is>
          <t>7725 El Mirage Rd</t>
        </is>
      </c>
      <c r="C57" t="n">
        <v>144</v>
      </c>
      <c r="D57" t="n">
        <v>2027</v>
      </c>
      <c r="E57" t="inlineStr">
        <is>
          <t>Q2 2027</t>
        </is>
      </c>
      <c r="F57" t="inlineStr">
        <is>
          <t>UNDER CONSTRUCTION</t>
        </is>
      </c>
      <c r="G57" s="80" t="n"/>
      <c r="H57" s="80" t="n"/>
      <c r="I57" s="81" t="n"/>
      <c r="J57" s="81" t="n"/>
      <c r="K57" t="inlineStr">
        <is>
          <t>RealPage</t>
        </is>
      </c>
      <c r="L57" t="inlineStr"/>
    </row>
    <row r="58">
      <c r="A58" t="inlineStr">
        <is>
          <t>Villages at Northern</t>
        </is>
      </c>
      <c r="B58" t="inlineStr">
        <is>
          <t>7910 N 107th Ave</t>
        </is>
      </c>
      <c r="C58" t="n">
        <v>74</v>
      </c>
      <c r="D58" t="n">
        <v>2027</v>
      </c>
      <c r="E58" t="inlineStr">
        <is>
          <t>Q2 2027</t>
        </is>
      </c>
      <c r="F58" t="inlineStr">
        <is>
          <t>UNDER CONSTRUCTION</t>
        </is>
      </c>
      <c r="G58" s="80" t="n"/>
      <c r="H58" s="80" t="n"/>
      <c r="I58" s="81" t="n"/>
      <c r="J58" s="81" t="n"/>
      <c r="K58" t="inlineStr">
        <is>
          <t>RealPage</t>
        </is>
      </c>
      <c r="L58" t="inlineStr"/>
    </row>
    <row r="59">
      <c r="A59" t="inlineStr">
        <is>
          <t>Prosper 47</t>
        </is>
      </c>
      <c r="B59" t="inlineStr">
        <is>
          <t>13426 W Van Buren St</t>
        </is>
      </c>
      <c r="C59" t="n">
        <v>47</v>
      </c>
      <c r="D59" t="n">
        <v>2027</v>
      </c>
      <c r="E59" t="inlineStr">
        <is>
          <t>Q2 2027</t>
        </is>
      </c>
      <c r="F59" t="inlineStr">
        <is>
          <t>UNDER CONSTRUCTION</t>
        </is>
      </c>
      <c r="G59" s="80" t="n"/>
      <c r="H59" s="80" t="n"/>
      <c r="I59" s="81" t="n"/>
      <c r="J59" s="81" t="n"/>
      <c r="K59" t="inlineStr">
        <is>
          <t>RealPage</t>
        </is>
      </c>
      <c r="L59" t="inlineStr">
        <is>
          <t>RealPage only (sub-50 unit)</t>
        </is>
      </c>
    </row>
    <row r="60">
      <c r="A60" t="inlineStr">
        <is>
          <t>HARMON Ascend</t>
        </is>
      </c>
      <c r="B60" t="inlineStr">
        <is>
          <t>12805 W Indian School Rd</t>
        </is>
      </c>
      <c r="C60" t="n">
        <v>125</v>
      </c>
      <c r="D60" t="n">
        <v>2026</v>
      </c>
      <c r="E60" t="inlineStr">
        <is>
          <t>Q1 2027</t>
        </is>
      </c>
      <c r="F60" t="inlineStr">
        <is>
          <t>UNDER CONSTRUCTION</t>
        </is>
      </c>
      <c r="G60" s="80" t="n"/>
      <c r="H60" s="80" t="n"/>
      <c r="I60" s="81" t="n">
        <v>2788</v>
      </c>
      <c r="J60" s="81" t="n"/>
      <c r="K60" t="inlineStr">
        <is>
          <t>CoStar+RealPage</t>
        </is>
      </c>
      <c r="L60" t="inlineStr"/>
    </row>
    <row r="61">
      <c r="A61" t="inlineStr">
        <is>
          <t>FUZE Ballpark</t>
        </is>
      </c>
      <c r="B61" t="inlineStr">
        <is>
          <t>6255 N Ball Park Blvd</t>
        </is>
      </c>
      <c r="C61" t="n">
        <v>321</v>
      </c>
      <c r="D61" t="n">
        <v>2026</v>
      </c>
      <c r="E61" t="inlineStr">
        <is>
          <t>Q3 2026</t>
        </is>
      </c>
      <c r="F61" t="inlineStr">
        <is>
          <t>UNDER CONSTRUCTION</t>
        </is>
      </c>
      <c r="G61" s="80" t="n"/>
      <c r="H61" s="80" t="n"/>
      <c r="I61" s="81" t="n"/>
      <c r="J61" s="81" t="n"/>
      <c r="K61" t="inlineStr">
        <is>
          <t>CoStar+RealPage</t>
        </is>
      </c>
      <c r="L61" t="inlineStr"/>
    </row>
    <row r="62">
      <c r="A62" t="inlineStr">
        <is>
          <t>Flatz623</t>
        </is>
      </c>
      <c r="B62" t="inlineStr">
        <is>
          <t>11850 W Fillmore St</t>
        </is>
      </c>
      <c r="C62" t="n">
        <v>360</v>
      </c>
      <c r="D62" t="n">
        <v>2026</v>
      </c>
      <c r="E62" t="inlineStr">
        <is>
          <t>Q3 2026</t>
        </is>
      </c>
      <c r="F62" t="inlineStr">
        <is>
          <t>UNDER CONSTRUCTION</t>
        </is>
      </c>
      <c r="G62" s="80" t="n"/>
      <c r="H62" s="80" t="n">
        <v>0</v>
      </c>
      <c r="I62" s="81" t="n"/>
      <c r="J62" s="81" t="n">
        <v>1145</v>
      </c>
      <c r="K62" t="inlineStr">
        <is>
          <t>RealPage</t>
        </is>
      </c>
      <c r="L62" t="inlineStr"/>
    </row>
    <row r="63">
      <c r="A63" t="inlineStr">
        <is>
          <t>Northern 107</t>
        </is>
      </c>
      <c r="B63" t="inlineStr">
        <is>
          <t>N 107th Ave</t>
        </is>
      </c>
      <c r="C63" t="n">
        <v>74</v>
      </c>
      <c r="E63" t="inlineStr">
        <is>
          <t>Q4 2028</t>
        </is>
      </c>
      <c r="F63" t="inlineStr">
        <is>
          <t>PROPOSED</t>
        </is>
      </c>
      <c r="G63" s="80" t="n"/>
      <c r="H63" s="80" t="n"/>
      <c r="I63" s="81" t="n"/>
      <c r="J63" s="81" t="n"/>
      <c r="K63" t="inlineStr">
        <is>
          <t>CoStar</t>
        </is>
      </c>
      <c r="L63" t="inlineStr"/>
    </row>
    <row r="64">
      <c r="A64" t="inlineStr">
        <is>
          <t>The Waverly</t>
        </is>
      </c>
      <c r="B64" t="inlineStr">
        <is>
          <t>391 S 99th Ave</t>
        </is>
      </c>
      <c r="C64" t="n">
        <v>323</v>
      </c>
      <c r="D64" t="n">
        <v>2028</v>
      </c>
      <c r="E64" t="inlineStr">
        <is>
          <t>Q3 2028</t>
        </is>
      </c>
      <c r="F64" t="inlineStr">
        <is>
          <t>PROPOSED</t>
        </is>
      </c>
      <c r="G64" s="80" t="n"/>
      <c r="H64" s="80" t="n"/>
      <c r="I64" s="81" t="n"/>
      <c r="J64" s="81" t="n"/>
      <c r="K64" t="inlineStr">
        <is>
          <t>CoStar+RealPage</t>
        </is>
      </c>
      <c r="L64" t="inlineStr"/>
    </row>
    <row r="65">
      <c r="A65" t="inlineStr">
        <is>
          <t>The Statler at Estrella Parkway</t>
        </is>
      </c>
      <c r="B65" t="inlineStr">
        <is>
          <t>240 N Estrella Pky</t>
        </is>
      </c>
      <c r="C65" t="n">
        <v>284</v>
      </c>
      <c r="E65" t="inlineStr">
        <is>
          <t>Q3 2028</t>
        </is>
      </c>
      <c r="F65" t="inlineStr">
        <is>
          <t>PROPOSED</t>
        </is>
      </c>
      <c r="G65" s="80" t="n"/>
      <c r="H65" s="80" t="n"/>
      <c r="I65" s="81" t="n"/>
      <c r="J65" s="81" t="n"/>
      <c r="K65" t="inlineStr">
        <is>
          <t>CoStar</t>
        </is>
      </c>
      <c r="L65" t="inlineStr"/>
    </row>
    <row r="66">
      <c r="A66" t="inlineStr">
        <is>
          <t>Encore Avondale</t>
        </is>
      </c>
      <c r="B66" t="inlineStr">
        <is>
          <t>11295 W Roosevelt St</t>
        </is>
      </c>
      <c r="C66" t="n">
        <v>300</v>
      </c>
      <c r="D66" t="n">
        <v>2027</v>
      </c>
      <c r="E66" t="inlineStr">
        <is>
          <t>Q3 2028</t>
        </is>
      </c>
      <c r="F66" t="inlineStr">
        <is>
          <t>PROPOSED</t>
        </is>
      </c>
      <c r="G66" s="80" t="n"/>
      <c r="H66" s="80" t="n"/>
      <c r="I66" s="81" t="n"/>
      <c r="J66" s="81" t="n"/>
      <c r="K66" t="inlineStr">
        <is>
          <t>CoStar+RealPage</t>
        </is>
      </c>
      <c r="L66" t="inlineStr"/>
    </row>
    <row r="67">
      <c r="A67" t="inlineStr">
        <is>
          <t>Ascent Goodyear</t>
        </is>
      </c>
      <c r="B67" t="inlineStr">
        <is>
          <t>15681 W Roosevelt St</t>
        </is>
      </c>
      <c r="C67" t="n">
        <v>113</v>
      </c>
      <c r="D67" t="n">
        <v>2027</v>
      </c>
      <c r="E67" t="inlineStr">
        <is>
          <t>Q3 2028</t>
        </is>
      </c>
      <c r="F67" t="inlineStr">
        <is>
          <t>PROPOSED</t>
        </is>
      </c>
      <c r="G67" s="80" t="n"/>
      <c r="H67" s="80" t="n"/>
      <c r="I67" s="81" t="n"/>
      <c r="J67" s="81" t="n"/>
      <c r="K67" t="inlineStr">
        <is>
          <t>CoStar</t>
        </is>
      </c>
      <c r="L67" t="inlineStr"/>
    </row>
    <row r="68">
      <c r="A68" t="inlineStr">
        <is>
          <t>District 99</t>
        </is>
      </c>
      <c r="B68" t="inlineStr">
        <is>
          <t>N 99th Ave &amp; W McDowell Rd</t>
        </is>
      </c>
      <c r="C68" t="n">
        <v>172</v>
      </c>
      <c r="F68" t="inlineStr">
        <is>
          <t>PROPOSED</t>
        </is>
      </c>
      <c r="G68" s="80" t="n"/>
      <c r="H68" s="80" t="n"/>
      <c r="I68" s="81" t="n"/>
      <c r="J68" s="81" t="n"/>
      <c r="K68" t="inlineStr">
        <is>
          <t>RealPage</t>
        </is>
      </c>
      <c r="L68" t="inlineStr">
        <is>
          <t>RealPage pipeline (not yet in CoStar)</t>
        </is>
      </c>
    </row>
    <row r="69">
      <c r="A69" t="inlineStr">
        <is>
          <t>Liv Avondale</t>
        </is>
      </c>
      <c r="B69" t="inlineStr">
        <is>
          <t>W Indian School Rd &amp; N 99th Ave</t>
        </is>
      </c>
      <c r="C69" t="n">
        <v>333</v>
      </c>
      <c r="F69" t="inlineStr">
        <is>
          <t>PROPOSED</t>
        </is>
      </c>
      <c r="G69" s="80" t="n"/>
      <c r="H69" s="80" t="n"/>
      <c r="I69" s="81" t="n"/>
      <c r="J69" s="81" t="n"/>
      <c r="K69" t="inlineStr">
        <is>
          <t>RealPage</t>
        </is>
      </c>
      <c r="L69" t="inlineStr">
        <is>
          <t>RealPage pipeline (not yet in CoStar)</t>
        </is>
      </c>
    </row>
    <row r="70">
      <c r="A70" t="inlineStr">
        <is>
          <t>Sanctuair at Centerscape</t>
        </is>
      </c>
      <c r="B70" t="inlineStr">
        <is>
          <t>1450 N 145th Ave</t>
        </is>
      </c>
      <c r="C70" t="n">
        <v>303</v>
      </c>
      <c r="F70" t="inlineStr">
        <is>
          <t>PROPOSED</t>
        </is>
      </c>
      <c r="G70" s="80" t="n"/>
      <c r="H70" s="80" t="n"/>
      <c r="I70" s="81" t="n"/>
      <c r="J70" s="81" t="n"/>
      <c r="K70" t="inlineStr">
        <is>
          <t>RealPage</t>
        </is>
      </c>
      <c r="L70" t="inlineStr">
        <is>
          <t>RealPage pipeline (not yet in CoStar)</t>
        </is>
      </c>
    </row>
    <row r="71">
      <c r="A71" t="inlineStr">
        <is>
          <t>Cornerstone at the Wigwam</t>
        </is>
      </c>
      <c r="B71" t="inlineStr">
        <is>
          <t>Litchfield Rd &amp; Wigwam Blvd</t>
        </is>
      </c>
      <c r="C71" t="n">
        <v>212</v>
      </c>
      <c r="F71" t="inlineStr">
        <is>
          <t>PROPOSED</t>
        </is>
      </c>
      <c r="G71" s="80" t="n"/>
      <c r="H71" s="80" t="n"/>
      <c r="I71" s="81" t="n"/>
      <c r="J71" s="81" t="n"/>
      <c r="K71" t="inlineStr">
        <is>
          <t>RealPage</t>
        </is>
      </c>
      <c r="L71" t="inlineStr">
        <is>
          <t>RealPage pipeline (not yet in CoStar)</t>
        </is>
      </c>
    </row>
    <row r="72">
      <c r="A72" t="inlineStr">
        <is>
          <t>The BLVD Residential District</t>
        </is>
      </c>
      <c r="B72" t="inlineStr">
        <is>
          <t>W Roosevelt St &amp; W Hilton Way</t>
        </is>
      </c>
      <c r="F72" t="inlineStr">
        <is>
          <t>PROPOSED</t>
        </is>
      </c>
      <c r="G72" s="80" t="n"/>
      <c r="H72" s="80" t="n"/>
      <c r="I72" s="81" t="n"/>
      <c r="J72" s="81" t="n"/>
      <c r="K72" t="inlineStr">
        <is>
          <t>RealPage</t>
        </is>
      </c>
      <c r="L72" t="inlineStr">
        <is>
          <t>RealPage pipeline (not yet in CoStar)</t>
        </is>
      </c>
    </row>
    <row r="73">
      <c r="A73" t="inlineStr">
        <is>
          <t>Crystal Cove</t>
        </is>
      </c>
      <c r="B73" t="inlineStr">
        <is>
          <t>290 E La Canada Blvd</t>
        </is>
      </c>
      <c r="C73" t="n">
        <v>260</v>
      </c>
      <c r="F73" t="inlineStr">
        <is>
          <t>PROPOSED</t>
        </is>
      </c>
      <c r="G73" s="80" t="n"/>
      <c r="H73" s="80" t="n"/>
      <c r="I73" s="81" t="n"/>
      <c r="J73" s="81" t="n"/>
      <c r="K73" t="inlineStr">
        <is>
          <t>RealPage</t>
        </is>
      </c>
      <c r="L73" t="inlineStr">
        <is>
          <t>RealPage pipeline (not yet in CoStar)</t>
        </is>
      </c>
    </row>
    <row r="74">
      <c r="A74" t="inlineStr">
        <is>
          <t>The BLVD Park Avenue District</t>
        </is>
      </c>
      <c r="B74" t="inlineStr">
        <is>
          <t>N Avondale Blvd &amp; W Van Buren St</t>
        </is>
      </c>
      <c r="F74" t="inlineStr">
        <is>
          <t>PROPOSED</t>
        </is>
      </c>
      <c r="G74" s="80" t="n"/>
      <c r="H74" s="80" t="n"/>
      <c r="I74" s="81" t="n"/>
      <c r="J74" s="81" t="n"/>
      <c r="K74" t="inlineStr">
        <is>
          <t>RealPage</t>
        </is>
      </c>
      <c r="L74" t="inlineStr">
        <is>
          <t>RealPage pipeline (not yet in CoStar)</t>
        </is>
      </c>
    </row>
    <row r="75">
      <c r="A75" t="inlineStr">
        <is>
          <t>Western Garden II</t>
        </is>
      </c>
      <c r="B75" t="inlineStr">
        <is>
          <t>3301 N 99th Ave</t>
        </is>
      </c>
      <c r="C75" t="n">
        <v>314</v>
      </c>
      <c r="F75" t="inlineStr">
        <is>
          <t>PROPOSED</t>
        </is>
      </c>
      <c r="G75" s="80" t="n"/>
      <c r="H75" s="80" t="n"/>
      <c r="I75" s="81" t="n"/>
      <c r="J75" s="81" t="n"/>
      <c r="K75" t="inlineStr">
        <is>
          <t>RealPage</t>
        </is>
      </c>
      <c r="L75" t="inlineStr">
        <is>
          <t>RealPage pipeline (not yet in CoStar)</t>
        </is>
      </c>
    </row>
    <row r="76">
      <c r="A76" t="inlineStr">
        <is>
          <t>Tavalo at Avondale</t>
        </is>
      </c>
      <c r="B76" t="inlineStr">
        <is>
          <t>12451 W Buckeye Rd</t>
        </is>
      </c>
      <c r="C76" t="n">
        <v>266</v>
      </c>
      <c r="F76" t="inlineStr">
        <is>
          <t>PROPOSED</t>
        </is>
      </c>
      <c r="G76" s="80" t="n"/>
      <c r="H76" s="80" t="n"/>
      <c r="I76" s="81" t="n"/>
      <c r="J76" s="81" t="n"/>
      <c r="K76" t="inlineStr">
        <is>
          <t>RealPage</t>
        </is>
      </c>
      <c r="L76" t="inlineStr">
        <is>
          <t>RealPage pipeline (not yet in CoStar)</t>
        </is>
      </c>
    </row>
    <row r="77">
      <c r="A77" t="inlineStr">
        <is>
          <t>Globe Land Investors Development</t>
        </is>
      </c>
      <c r="B77" t="inlineStr">
        <is>
          <t>N Bullard Ave &amp; W McDowell Rd</t>
        </is>
      </c>
      <c r="F77" t="inlineStr">
        <is>
          <t>PROPOSED</t>
        </is>
      </c>
      <c r="G77" s="80" t="n"/>
      <c r="H77" s="80" t="n"/>
      <c r="I77" s="81" t="n"/>
      <c r="J77" s="81" t="n"/>
      <c r="K77" t="inlineStr">
        <is>
          <t>RealPage</t>
        </is>
      </c>
      <c r="L77" t="inlineStr">
        <is>
          <t>RealPage pipeline (not yet in CoStar)</t>
        </is>
      </c>
    </row>
    <row r="78">
      <c r="A78" t="inlineStr">
        <is>
          <t>Ball Park</t>
        </is>
      </c>
      <c r="B78" t="inlineStr">
        <is>
          <t>6450 N 99th Ave</t>
        </is>
      </c>
      <c r="F78" t="inlineStr">
        <is>
          <t>PROPOSED</t>
        </is>
      </c>
      <c r="G78" s="80" t="n"/>
      <c r="H78" s="80" t="n"/>
      <c r="I78" s="81" t="n"/>
      <c r="J78" s="81" t="n"/>
      <c r="K78" t="inlineStr">
        <is>
          <t>RealPage</t>
        </is>
      </c>
      <c r="L78" t="inlineStr">
        <is>
          <t>RealPage pipeline (not yet in CoStar)</t>
        </is>
      </c>
    </row>
    <row r="79">
      <c r="A79" t="inlineStr">
        <is>
          <t>Urban 95 Parcel B</t>
        </is>
      </c>
      <c r="B79" t="inlineStr">
        <is>
          <t>N 95th Ave &amp; W Georgia Ave</t>
        </is>
      </c>
      <c r="C79" t="n">
        <v>478</v>
      </c>
      <c r="F79" t="inlineStr">
        <is>
          <t>PROPOSED</t>
        </is>
      </c>
      <c r="G79" s="80" t="n"/>
      <c r="H79" s="80" t="n"/>
      <c r="I79" s="81" t="n"/>
      <c r="J79" s="81" t="n"/>
      <c r="K79" t="inlineStr">
        <is>
          <t>RealPage</t>
        </is>
      </c>
      <c r="L79" t="inlineStr">
        <is>
          <t>RealPage pipeline (not yet in CoStar)</t>
        </is>
      </c>
    </row>
    <row r="80">
      <c r="A80" t="inlineStr">
        <is>
          <t>The District at Westgate</t>
        </is>
      </c>
      <c r="B80" t="inlineStr">
        <is>
          <t>6801 N 91st Ave</t>
        </is>
      </c>
      <c r="C80" t="n">
        <v>384</v>
      </c>
      <c r="F80" t="inlineStr">
        <is>
          <t>PROPOSED</t>
        </is>
      </c>
      <c r="G80" s="80" t="n"/>
      <c r="H80" s="80" t="n"/>
      <c r="I80" s="81" t="n"/>
      <c r="J80" s="81" t="n"/>
      <c r="K80" t="inlineStr">
        <is>
          <t>RealPage</t>
        </is>
      </c>
      <c r="L80" t="inlineStr">
        <is>
          <t>RealPage pipeline (not yet in CoStar)</t>
        </is>
      </c>
    </row>
    <row r="81">
      <c r="A81" t="inlineStr">
        <is>
          <t>Vision 2 Parcel A</t>
        </is>
      </c>
      <c r="B81" t="inlineStr">
        <is>
          <t>W Glendale Ave &amp; N 99th Ave</t>
        </is>
      </c>
      <c r="F81" t="inlineStr">
        <is>
          <t>PROPOSED</t>
        </is>
      </c>
      <c r="G81" s="80" t="n"/>
      <c r="H81" s="80" t="n"/>
      <c r="I81" s="81" t="n"/>
      <c r="J81" s="81" t="n"/>
      <c r="K81" t="inlineStr">
        <is>
          <t>RealPage</t>
        </is>
      </c>
      <c r="L81" t="inlineStr">
        <is>
          <t>RealPage pipeline (not yet in CoStar)</t>
        </is>
      </c>
    </row>
    <row r="82">
      <c r="A82" t="inlineStr">
        <is>
          <t>Anton Glendale</t>
        </is>
      </c>
      <c r="B82" t="inlineStr">
        <is>
          <t>5149 &amp; 5205 N 99th Ave</t>
        </is>
      </c>
      <c r="C82" t="n">
        <v>320</v>
      </c>
      <c r="F82" t="inlineStr">
        <is>
          <t>PROPOSED</t>
        </is>
      </c>
      <c r="G82" s="80" t="n"/>
      <c r="H82" s="80" t="n"/>
      <c r="I82" s="81" t="n"/>
      <c r="J82" s="81" t="n"/>
      <c r="K82" t="inlineStr">
        <is>
          <t>RealPage</t>
        </is>
      </c>
      <c r="L82" t="inlineStr">
        <is>
          <t>RealPage pipeline (not yet in CoStar)</t>
        </is>
      </c>
    </row>
    <row r="83">
      <c r="A83" t="inlineStr">
        <is>
          <t>Banyan Avondale</t>
        </is>
      </c>
      <c r="B83" t="inlineStr">
        <is>
          <t>Dysart Rd &amp; E Madison St</t>
        </is>
      </c>
      <c r="C83" t="n">
        <v>296</v>
      </c>
      <c r="F83" t="inlineStr">
        <is>
          <t>PROPOSED</t>
        </is>
      </c>
      <c r="G83" s="80" t="n"/>
      <c r="H83" s="80" t="n"/>
      <c r="I83" s="81" t="n"/>
      <c r="J83" s="81" t="n"/>
      <c r="K83" t="inlineStr">
        <is>
          <t>RealPage</t>
        </is>
      </c>
      <c r="L83" t="inlineStr">
        <is>
          <t>RealPage pipeline (not yet in CoStar)</t>
        </is>
      </c>
    </row>
    <row r="84">
      <c r="A84" t="inlineStr">
        <is>
          <t>Celebration Plaza Parcel B</t>
        </is>
      </c>
      <c r="B84" t="inlineStr">
        <is>
          <t>844 Litchfield Rd</t>
        </is>
      </c>
      <c r="C84" t="n">
        <v>410</v>
      </c>
      <c r="F84" t="inlineStr">
        <is>
          <t>PROPOSED</t>
        </is>
      </c>
      <c r="G84" s="80" t="n"/>
      <c r="H84" s="80" t="n"/>
      <c r="I84" s="81" t="n"/>
      <c r="J84" s="81" t="n"/>
      <c r="K84" t="inlineStr">
        <is>
          <t>RealPage</t>
        </is>
      </c>
      <c r="L84" t="inlineStr">
        <is>
          <t>RealPage pipeline (not yet in CoStar)</t>
        </is>
      </c>
    </row>
    <row r="85">
      <c r="A85" t="inlineStr">
        <is>
          <t>Urban 95 Parcel A</t>
        </is>
      </c>
      <c r="B85" t="inlineStr">
        <is>
          <t>W Georgia Ave &amp; N 95th Ave</t>
        </is>
      </c>
      <c r="C85" t="n">
        <v>324</v>
      </c>
      <c r="F85" t="inlineStr">
        <is>
          <t>PROPOSED</t>
        </is>
      </c>
      <c r="G85" s="80" t="n"/>
      <c r="H85" s="80" t="n"/>
      <c r="I85" s="81" t="n"/>
      <c r="J85" s="81" t="n"/>
      <c r="K85" t="inlineStr">
        <is>
          <t>RealPage</t>
        </is>
      </c>
      <c r="L85" t="inlineStr">
        <is>
          <t>RealPage pipeline (not yet in CoStar)</t>
        </is>
      </c>
    </row>
    <row r="86">
      <c r="A86" t="inlineStr">
        <is>
          <t>Urban 95 Parcel C</t>
        </is>
      </c>
      <c r="B86" t="inlineStr">
        <is>
          <t>W Georgia Ave &amp; N 95th Ave</t>
        </is>
      </c>
      <c r="C86" t="n">
        <v>500</v>
      </c>
      <c r="F86" t="inlineStr">
        <is>
          <t>PROPOSED</t>
        </is>
      </c>
      <c r="G86" s="80" t="n"/>
      <c r="H86" s="80" t="n"/>
      <c r="I86" s="81" t="n"/>
      <c r="J86" s="81" t="n"/>
      <c r="K86" t="inlineStr">
        <is>
          <t>RealPage</t>
        </is>
      </c>
      <c r="L86" t="inlineStr">
        <is>
          <t>RealPage pipeline (not yet in CoStar)</t>
        </is>
      </c>
    </row>
    <row r="87">
      <c r="A87" t="inlineStr">
        <is>
          <t>Firststreet Verde</t>
        </is>
      </c>
      <c r="B87" t="inlineStr">
        <is>
          <t>9275 W Van Buren St</t>
        </is>
      </c>
      <c r="F87" t="inlineStr">
        <is>
          <t>PROPOSED</t>
        </is>
      </c>
      <c r="G87" s="80" t="n"/>
      <c r="H87" s="80" t="n"/>
      <c r="I87" s="81" t="n"/>
      <c r="J87" s="81" t="n"/>
      <c r="K87" t="inlineStr">
        <is>
          <t>RealPage</t>
        </is>
      </c>
      <c r="L87" t="inlineStr">
        <is>
          <t>RealPage pipeline (not yet in CoStar)</t>
        </is>
      </c>
    </row>
    <row r="88">
      <c r="A88" t="inlineStr">
        <is>
          <t>Radia Avondale Station III</t>
        </is>
      </c>
      <c r="B88" t="inlineStr">
        <is>
          <t>W Encanto Blvd &amp; N 99th Ave</t>
        </is>
      </c>
      <c r="C88" t="n">
        <v>212</v>
      </c>
      <c r="F88" t="inlineStr">
        <is>
          <t>PROPOSED</t>
        </is>
      </c>
      <c r="G88" s="80" t="n"/>
      <c r="H88" s="80" t="n"/>
      <c r="I88" s="81" t="n"/>
      <c r="J88" s="81" t="n"/>
      <c r="K88" t="inlineStr">
        <is>
          <t>RealPage</t>
        </is>
      </c>
      <c r="L88" t="inlineStr">
        <is>
          <t>RealPage pipeline (not yet in CoStar)</t>
        </is>
      </c>
    </row>
    <row r="89">
      <c r="A89" t="inlineStr">
        <is>
          <t>Rosilian Villas</t>
        </is>
      </c>
      <c r="B89" t="inlineStr">
        <is>
          <t>N Dysart Rd &amp; E Van Buren St</t>
        </is>
      </c>
      <c r="C89" t="n">
        <v>291</v>
      </c>
      <c r="F89" t="inlineStr">
        <is>
          <t>PROPOSED</t>
        </is>
      </c>
      <c r="G89" s="80" t="n"/>
      <c r="H89" s="80" t="n"/>
      <c r="I89" s="81" t="n"/>
      <c r="J89" s="81" t="n"/>
      <c r="K89" t="inlineStr">
        <is>
          <t>RealPage</t>
        </is>
      </c>
      <c r="L89" t="inlineStr">
        <is>
          <t>RealPage pipeline (not yet in CoStar)</t>
        </is>
      </c>
    </row>
    <row r="90">
      <c r="A90" t="inlineStr">
        <is>
          <t>Goodyear Civic Square at Estrella Falls</t>
        </is>
      </c>
      <c r="B90" t="inlineStr">
        <is>
          <t>W Monte Vista &amp; N 150th Dr</t>
        </is>
      </c>
      <c r="F90" t="inlineStr">
        <is>
          <t>PROPOSED</t>
        </is>
      </c>
      <c r="G90" s="80" t="n"/>
      <c r="H90" s="80" t="n"/>
      <c r="I90" s="81" t="n"/>
      <c r="J90" s="81" t="n"/>
      <c r="K90" t="inlineStr">
        <is>
          <t>RealPage</t>
        </is>
      </c>
      <c r="L90" t="inlineStr">
        <is>
          <t>RealPage pipeline (not yet in CoStar)</t>
        </is>
      </c>
    </row>
    <row r="91">
      <c r="A91" t="inlineStr">
        <is>
          <t>I-10 Innovation Center II</t>
        </is>
      </c>
      <c r="B91" t="inlineStr">
        <is>
          <t>N 91st Ave &amp; W Roosevelt St</t>
        </is>
      </c>
      <c r="F91" t="inlineStr">
        <is>
          <t>PROPOSED</t>
        </is>
      </c>
      <c r="G91" s="80" t="n"/>
      <c r="H91" s="80" t="n"/>
      <c r="I91" s="81" t="n"/>
      <c r="J91" s="81" t="n"/>
      <c r="K91" t="inlineStr">
        <is>
          <t>RealPage</t>
        </is>
      </c>
      <c r="L91" t="inlineStr">
        <is>
          <t>RealPage pipeline (not yet in CoStar)</t>
        </is>
      </c>
    </row>
    <row r="92">
      <c r="A92" t="inlineStr">
        <is>
          <t>Orion Avondale</t>
        </is>
      </c>
      <c r="B92" t="inlineStr">
        <is>
          <t>W McDowell Rd &amp; Avondale Blvd</t>
        </is>
      </c>
      <c r="C92" t="n">
        <v>268</v>
      </c>
      <c r="F92" t="inlineStr">
        <is>
          <t>PROPOSED</t>
        </is>
      </c>
      <c r="G92" s="80" t="n"/>
      <c r="H92" s="80" t="n"/>
      <c r="I92" s="81" t="n"/>
      <c r="J92" s="81" t="n"/>
      <c r="K92" t="inlineStr">
        <is>
          <t>RealPage</t>
        </is>
      </c>
      <c r="L92" t="inlineStr">
        <is>
          <t>RealPage pipeline (not yet in CoStar)</t>
        </is>
      </c>
    </row>
    <row r="93">
      <c r="A93" t="inlineStr">
        <is>
          <t>Celebration Plaza Parcel A</t>
        </is>
      </c>
      <c r="B93" t="inlineStr">
        <is>
          <t>Celebrate Life Way &amp; N Litchfield Rd</t>
        </is>
      </c>
      <c r="C93" t="n">
        <v>181</v>
      </c>
      <c r="F93" t="inlineStr">
        <is>
          <t>PROPOSED</t>
        </is>
      </c>
      <c r="G93" s="80" t="n"/>
      <c r="H93" s="80" t="n"/>
      <c r="I93" s="81" t="n"/>
      <c r="J93" s="81" t="n"/>
      <c r="K93" t="inlineStr">
        <is>
          <t>RealPage</t>
        </is>
      </c>
      <c r="L93" t="inlineStr">
        <is>
          <t>RealPage pipeline (not yet in CoStar)</t>
        </is>
      </c>
    </row>
    <row r="94">
      <c r="A94" t="inlineStr">
        <is>
          <t>Celebration Plaza Parcel D</t>
        </is>
      </c>
      <c r="B94" t="inlineStr">
        <is>
          <t>Celebrate Life Way &amp; N Litchfield Rd</t>
        </is>
      </c>
      <c r="F94" t="inlineStr">
        <is>
          <t>PROPOSED</t>
        </is>
      </c>
      <c r="G94" s="80" t="n"/>
      <c r="H94" s="80" t="n"/>
      <c r="I94" s="81" t="n"/>
      <c r="J94" s="81" t="n"/>
      <c r="K94" t="inlineStr">
        <is>
          <t>RealPage</t>
        </is>
      </c>
      <c r="L94" t="inlineStr">
        <is>
          <t>RealPage pipeline (not yet in CoStar)</t>
        </is>
      </c>
    </row>
    <row r="95">
      <c r="A95" t="inlineStr">
        <is>
          <t>Sheely Center Future Phase</t>
        </is>
      </c>
      <c r="B95" t="inlineStr">
        <is>
          <t>2215 N 99th Ave</t>
        </is>
      </c>
      <c r="C95" t="n">
        <v>697</v>
      </c>
      <c r="F95" t="inlineStr">
        <is>
          <t>PROPOSED</t>
        </is>
      </c>
      <c r="G95" s="80" t="n"/>
      <c r="H95" s="80" t="n"/>
      <c r="I95" s="81" t="n"/>
      <c r="J95" s="81" t="n"/>
      <c r="K95" t="inlineStr">
        <is>
          <t>RealPage</t>
        </is>
      </c>
      <c r="L95" t="inlineStr">
        <is>
          <t>RealPage pipeline (not yet in CoStar)</t>
        </is>
      </c>
    </row>
    <row r="96">
      <c r="A96" t="inlineStr">
        <is>
          <t>Porter Kyle Development</t>
        </is>
      </c>
      <c r="B96" t="inlineStr">
        <is>
          <t>W Camelback Rd &amp; S Denny Blvd</t>
        </is>
      </c>
      <c r="C96" t="n">
        <v>135</v>
      </c>
      <c r="F96" t="inlineStr">
        <is>
          <t>PROPOSED</t>
        </is>
      </c>
      <c r="G96" s="80" t="n"/>
      <c r="H96" s="80" t="n"/>
      <c r="I96" s="81" t="n"/>
      <c r="J96" s="81" t="n"/>
      <c r="K96" t="inlineStr">
        <is>
          <t>RealPage</t>
        </is>
      </c>
      <c r="L96" t="inlineStr">
        <is>
          <t>RealPage pipeline (not yet in CoStar)</t>
        </is>
      </c>
    </row>
    <row r="97">
      <c r="A97" t="inlineStr">
        <is>
          <t>McDowell Villas</t>
        </is>
      </c>
      <c r="B97" t="inlineStr">
        <is>
          <t>11791 W McDowell Rd</t>
        </is>
      </c>
      <c r="C97" t="n">
        <v>164</v>
      </c>
      <c r="F97" t="inlineStr">
        <is>
          <t>PROPOSED</t>
        </is>
      </c>
      <c r="G97" s="80" t="n"/>
      <c r="H97" s="80" t="n"/>
      <c r="I97" s="81" t="n"/>
      <c r="J97" s="81" t="n"/>
      <c r="K97" t="inlineStr">
        <is>
          <t>RealPage</t>
        </is>
      </c>
      <c r="L97" t="inlineStr">
        <is>
          <t>RealPage pipeline (not yet in CoStar)</t>
        </is>
      </c>
    </row>
    <row r="98">
      <c r="A98" t="inlineStr">
        <is>
          <t>SimonMed Development II</t>
        </is>
      </c>
      <c r="B98" t="inlineStr">
        <is>
          <t>W Glendale Ave &amp; N 99th Ave</t>
        </is>
      </c>
      <c r="F98" t="inlineStr">
        <is>
          <t>PROPOSED</t>
        </is>
      </c>
      <c r="G98" s="80" t="n"/>
      <c r="H98" s="80" t="n"/>
      <c r="I98" s="81" t="n"/>
      <c r="J98" s="81" t="n"/>
      <c r="K98" t="inlineStr">
        <is>
          <t>RealPage</t>
        </is>
      </c>
      <c r="L98" t="inlineStr">
        <is>
          <t>RealPage pipeline (not yet in CoStar)</t>
        </is>
      </c>
    </row>
    <row r="99">
      <c r="A99" t="inlineStr">
        <is>
          <t>SimonMed Development I</t>
        </is>
      </c>
      <c r="B99" t="inlineStr">
        <is>
          <t>10020 W Glendale Ave</t>
        </is>
      </c>
      <c r="C99" t="n">
        <v>239</v>
      </c>
      <c r="F99" t="inlineStr">
        <is>
          <t>PROPOSED</t>
        </is>
      </c>
      <c r="G99" s="80" t="n"/>
      <c r="H99" s="80" t="n"/>
      <c r="I99" s="81" t="n"/>
      <c r="J99" s="81" t="n"/>
      <c r="K99" t="inlineStr">
        <is>
          <t>RealPage</t>
        </is>
      </c>
      <c r="L99" t="inlineStr">
        <is>
          <t>RealPage pipeline (not yet in CoStar)</t>
        </is>
      </c>
    </row>
    <row r="100">
      <c r="A100" t="inlineStr">
        <is>
          <t>182 South 95th Avenue</t>
        </is>
      </c>
      <c r="B100" t="inlineStr">
        <is>
          <t>182 S 95th Ave</t>
        </is>
      </c>
      <c r="F100" t="inlineStr">
        <is>
          <t>PROPOSED</t>
        </is>
      </c>
      <c r="G100" s="80" t="n"/>
      <c r="H100" s="80" t="n"/>
      <c r="I100" s="81" t="n"/>
      <c r="J100" s="81" t="n"/>
      <c r="K100" t="inlineStr">
        <is>
          <t>RealPage</t>
        </is>
      </c>
      <c r="L100" t="inlineStr">
        <is>
          <t>RealPage pipeline (not yet in CoStar)</t>
        </is>
      </c>
    </row>
    <row r="101">
      <c r="A101" t="inlineStr">
        <is>
          <t>Picerne at Palm Valley</t>
        </is>
      </c>
      <c r="B101" t="inlineStr">
        <is>
          <t>2128 Pebble Creek Pkwy</t>
        </is>
      </c>
      <c r="C101" t="n">
        <v>383</v>
      </c>
      <c r="F101" t="inlineStr">
        <is>
          <t>PROPOSED</t>
        </is>
      </c>
      <c r="G101" s="80" t="n"/>
      <c r="H101" s="80" t="n"/>
      <c r="I101" s="81" t="n"/>
      <c r="J101" s="81" t="n"/>
      <c r="K101" t="inlineStr">
        <is>
          <t>RealPage</t>
        </is>
      </c>
      <c r="L101" t="inlineStr">
        <is>
          <t>RealPage pipeline (not yet in CoStar)</t>
        </is>
      </c>
    </row>
    <row r="102">
      <c r="A102" t="inlineStr">
        <is>
          <t>Avondale</t>
        </is>
      </c>
      <c r="B102" t="inlineStr">
        <is>
          <t>1498 Historic US-80</t>
        </is>
      </c>
      <c r="C102" t="n">
        <v>156</v>
      </c>
      <c r="F102" t="inlineStr">
        <is>
          <t>PROPOSED</t>
        </is>
      </c>
      <c r="G102" s="80" t="n"/>
      <c r="H102" s="80" t="n"/>
      <c r="I102" s="81" t="n"/>
      <c r="J102" s="81" t="n"/>
      <c r="K102" t="inlineStr">
        <is>
          <t>RealPage</t>
        </is>
      </c>
      <c r="L102" t="inlineStr">
        <is>
          <t>RealPage pipeline (not yet in CoStar)</t>
        </is>
      </c>
    </row>
    <row r="103">
      <c r="A103" t="inlineStr">
        <is>
          <t>Fuze 623</t>
        </is>
      </c>
      <c r="B103" t="inlineStr">
        <is>
          <t>11745 W Corporate Dr</t>
        </is>
      </c>
      <c r="C103" t="n">
        <v>321</v>
      </c>
      <c r="F103" t="inlineStr">
        <is>
          <t>PROPOSED</t>
        </is>
      </c>
      <c r="G103" s="80" t="n"/>
      <c r="H103" s="80" t="n"/>
      <c r="I103" s="81" t="n"/>
      <c r="J103" s="81" t="n"/>
      <c r="K103" t="inlineStr">
        <is>
          <t>RealPage</t>
        </is>
      </c>
      <c r="L103" t="inlineStr">
        <is>
          <t>RealPage pipeline (not yet in CoStar)</t>
        </is>
      </c>
    </row>
    <row r="104">
      <c r="A104" t="inlineStr">
        <is>
          <t>Villages at River Grove</t>
        </is>
      </c>
      <c r="B104" t="inlineStr">
        <is>
          <t>W Buckeye Rd &amp; S El Mirage Rd</t>
        </is>
      </c>
      <c r="C104" t="n">
        <v>180</v>
      </c>
      <c r="F104" t="inlineStr">
        <is>
          <t>PROPOSED</t>
        </is>
      </c>
      <c r="G104" s="80" t="n"/>
      <c r="H104" s="80" t="n"/>
      <c r="I104" s="81" t="n"/>
      <c r="J104" s="81" t="n"/>
      <c r="K104" t="inlineStr">
        <is>
          <t>RealPage</t>
        </is>
      </c>
      <c r="L104" t="inlineStr">
        <is>
          <t>RealPage pipeline (not yet in CoStar)</t>
        </is>
      </c>
    </row>
    <row r="105">
      <c r="A105" t="inlineStr">
        <is>
          <t>Zenn @ Sierra Verde</t>
        </is>
      </c>
      <c r="B105" t="inlineStr">
        <is>
          <t>W Olive Ave &amp; N El Mirage Rd</t>
        </is>
      </c>
      <c r="C105" t="n">
        <v>66</v>
      </c>
      <c r="F105" t="inlineStr">
        <is>
          <t>PROPOSED</t>
        </is>
      </c>
      <c r="G105" s="80" t="n"/>
      <c r="H105" s="80" t="n"/>
      <c r="I105" s="81" t="n"/>
      <c r="J105" s="81" t="n"/>
      <c r="K105" t="inlineStr">
        <is>
          <t>RealPage</t>
        </is>
      </c>
      <c r="L105" t="inlineStr">
        <is>
          <t>RealPage pipeline (not yet in CoStar)</t>
        </is>
      </c>
    </row>
    <row r="106">
      <c r="A106" t="inlineStr">
        <is>
          <t>Envision Encore</t>
        </is>
      </c>
      <c r="B106" t="inlineStr">
        <is>
          <t>N Ball Park Blvd &amp; N 99th Ave</t>
        </is>
      </c>
      <c r="F106" t="inlineStr">
        <is>
          <t>PROPOSED</t>
        </is>
      </c>
      <c r="G106" s="80" t="n"/>
      <c r="H106" s="80" t="n"/>
      <c r="I106" s="81" t="n"/>
      <c r="J106" s="81" t="n"/>
      <c r="K106" t="inlineStr">
        <is>
          <t>RealPage</t>
        </is>
      </c>
      <c r="L106" t="inlineStr">
        <is>
          <t>RealPage pipeline (not yet in CoStar)</t>
        </is>
      </c>
    </row>
    <row r="107">
      <c r="A107" t="inlineStr">
        <is>
          <t>Marbella Ranch East Future Phase</t>
        </is>
      </c>
      <c r="B107" t="inlineStr">
        <is>
          <t>W Northern Ave &amp; N El Mirage Rd</t>
        </is>
      </c>
      <c r="C107" t="n">
        <v>266</v>
      </c>
      <c r="F107" t="inlineStr">
        <is>
          <t>PROPOSED</t>
        </is>
      </c>
      <c r="G107" s="80" t="n"/>
      <c r="H107" s="80" t="n"/>
      <c r="I107" s="81" t="n"/>
      <c r="J107" s="81" t="n"/>
      <c r="K107" t="inlineStr">
        <is>
          <t>RealPage</t>
        </is>
      </c>
      <c r="L107" t="inlineStr">
        <is>
          <t>RealPage pipeline (not yet in CoStar)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2026-06-24T01:16:45Z</dcterms:created>
  <dcterms:modified xsi:type="dcterms:W3CDTF">2026-06-24T01:16:45Z</dcterms:modified>
</cp:coreProperties>
</file>