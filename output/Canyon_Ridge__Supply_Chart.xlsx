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;&quot;—&quot;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b val="1"/>
      <color rgb="FFFFFFFF"/>
      <sz val="8"/>
    </font>
    <font>
      <name val="Calibri"/>
      <color rgb="FF808080"/>
      <sz val="8"/>
    </font>
    <font>
      <name val="Calibri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0.9360000000000001</v>
      </c>
      <c r="G6" s="11" t="n">
        <v>2150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1</v>
      </c>
      <c r="G8" s="11" t="n">
        <v>2311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</t>
        </is>
      </c>
    </row>
    <row r="10">
      <c r="B10" s="5" t="n"/>
      <c r="C10" s="6" t="inlineStr">
        <is>
          <t>PROPOSED (6 properties, 1,763 units)</t>
        </is>
      </c>
    </row>
    <row r="11">
      <c r="B11" s="7" t="n">
        <v>4</v>
      </c>
      <c r="C11" s="8" t="inlineStr">
        <is>
          <t>Vista Point</t>
        </is>
      </c>
      <c r="D11" s="9" t="n">
        <v>893</v>
      </c>
      <c r="E11" s="7" t="inlineStr">
        <is>
          <t>TBD</t>
        </is>
      </c>
      <c r="F11" s="10" t="n"/>
      <c r="G11" s="11" t="inlineStr">
        <is>
          <t>—</t>
        </is>
      </c>
      <c r="H11" s="8" t="inlineStr">
        <is>
          <t>—</t>
        </is>
      </c>
      <c r="I11" s="7" t="n"/>
      <c r="J11" s="7" t="inlineStr">
        <is>
          <t>Mid-Rise</t>
        </is>
      </c>
      <c r="K11" s="8" t="inlineStr">
        <is>
          <t>RealPage pipeline (not yet in CoStar)</t>
        </is>
      </c>
    </row>
    <row r="12">
      <c r="B12" s="7" t="n">
        <v>5</v>
      </c>
      <c r="C12" s="8" t="inlineStr">
        <is>
          <t>Seasons on the Bench</t>
        </is>
      </c>
      <c r="D12" s="9" t="n">
        <v>358</v>
      </c>
      <c r="E12" s="7" t="inlineStr">
        <is>
          <t>TBD</t>
        </is>
      </c>
      <c r="F12" s="10" t="n"/>
      <c r="G12" s="11" t="inlineStr">
        <is>
          <t>—</t>
        </is>
      </c>
      <c r="H12" s="8" t="inlineStr">
        <is>
          <t>—</t>
        </is>
      </c>
      <c r="I12" s="7" t="n"/>
      <c r="J12" s="7" t="inlineStr">
        <is>
          <t>Garden</t>
        </is>
      </c>
      <c r="K12" s="8" t="inlineStr">
        <is>
          <t>RealPage pipeline (not yet in CoStar)</t>
        </is>
      </c>
    </row>
    <row r="13">
      <c r="B13" s="7" t="n">
        <v>6</v>
      </c>
      <c r="C13" s="8" t="inlineStr">
        <is>
          <t>1519 South Londoner Avenue</t>
        </is>
      </c>
      <c r="D13" s="9" t="n">
        <v>189</v>
      </c>
      <c r="E13" s="7" t="inlineStr">
        <is>
          <t>TBD</t>
        </is>
      </c>
      <c r="F13" s="10" t="n"/>
      <c r="G13" s="11" t="inlineStr">
        <is>
          <t>—</t>
        </is>
      </c>
      <c r="H13" s="8" t="inlineStr">
        <is>
          <t>—</t>
        </is>
      </c>
      <c r="I13" s="7" t="n"/>
      <c r="J13" s="7" t="inlineStr">
        <is>
          <t>Garden</t>
        </is>
      </c>
      <c r="K13" s="8" t="inlineStr">
        <is>
          <t>RealPage pipeline (not yet in CoStar)</t>
        </is>
      </c>
    </row>
    <row r="14">
      <c r="B14" s="7" t="n">
        <v>7</v>
      </c>
      <c r="C14" s="8" t="inlineStr">
        <is>
          <t>3300 South Vista Avenue</t>
        </is>
      </c>
      <c r="D14" s="9" t="n">
        <v>180</v>
      </c>
      <c r="E14" s="7" t="inlineStr">
        <is>
          <t>TBD</t>
        </is>
      </c>
      <c r="F14" s="10" t="n"/>
      <c r="G14" s="11" t="inlineStr">
        <is>
          <t>—</t>
        </is>
      </c>
      <c r="H14" s="8" t="inlineStr">
        <is>
          <t>—</t>
        </is>
      </c>
      <c r="I14" s="7" t="n"/>
      <c r="J14" s="7" t="inlineStr">
        <is>
          <t>Mid-Rise</t>
        </is>
      </c>
      <c r="K14" s="8" t="inlineStr">
        <is>
          <t>RealPage pipeline (not yet in CoStar)</t>
        </is>
      </c>
    </row>
    <row r="15">
      <c r="B15" s="7" t="n">
        <v>8</v>
      </c>
      <c r="C15" s="8" t="inlineStr">
        <is>
          <t>Station Village</t>
        </is>
      </c>
      <c r="D15" s="9" t="n">
        <v>84</v>
      </c>
      <c r="E15" s="7" t="inlineStr">
        <is>
          <t>TBD</t>
        </is>
      </c>
      <c r="F15" s="10" t="n"/>
      <c r="G15" s="11" t="inlineStr">
        <is>
          <t>—</t>
        </is>
      </c>
      <c r="H15" s="8" t="inlineStr">
        <is>
          <t>Privately Owned</t>
        </is>
      </c>
      <c r="I15" s="7" t="n"/>
      <c r="J15" s="7" t="inlineStr">
        <is>
          <t>Garden</t>
        </is>
      </c>
      <c r="K15" s="8" t="inlineStr">
        <is>
          <t>RealPage pipeline (not yet in CoStar)</t>
        </is>
      </c>
    </row>
    <row r="16">
      <c r="B16" s="7" t="n">
        <v>9</v>
      </c>
      <c r="C16" s="8" t="inlineStr">
        <is>
          <t>Harris Ranch East</t>
        </is>
      </c>
      <c r="D16" s="9" t="n">
        <v>59</v>
      </c>
      <c r="E16" s="7" t="inlineStr">
        <is>
          <t>TBD</t>
        </is>
      </c>
      <c r="F16" s="10" t="n"/>
      <c r="G16" s="11" t="inlineStr">
        <is>
          <t>—</t>
        </is>
      </c>
      <c r="H16" s="8" t="inlineStr">
        <is>
          <t>—</t>
        </is>
      </c>
      <c r="I16" s="7" t="n"/>
      <c r="J16" s="7" t="inlineStr">
        <is>
          <t>Single Family</t>
        </is>
      </c>
      <c r="K16" s="8" t="inlineStr">
        <is>
          <t>RealPage pipeline (not yet in CoStar)</t>
        </is>
      </c>
    </row>
    <row r="19" ht="24" customHeight="1">
      <c r="B19" s="12" t="inlineStr">
        <is>
          <t>Est. Delivery</t>
        </is>
      </c>
      <c r="C19" s="12" t="n"/>
      <c r="D19" s="12" t="inlineStr">
        <is>
          <t># Props</t>
        </is>
      </c>
      <c r="E19" s="12" t="inlineStr">
        <is>
          <t>Total Units</t>
        </is>
      </c>
      <c r="F19" s="12" t="inlineStr">
        <is>
          <t>Wtd Avg
Occupancy</t>
        </is>
      </c>
      <c r="G19" s="12" t="inlineStr">
        <is>
          <t>Currently
Occupied</t>
        </is>
      </c>
      <c r="H19" s="12" t="inlineStr">
        <is>
          <t>Target
@ Goal</t>
        </is>
      </c>
      <c r="I19" s="12" t="inlineStr">
        <is>
          <t>Units to
95%</t>
        </is>
      </c>
      <c r="J19" s="12" t="inlineStr">
        <is>
          <t>Units to
92.5%</t>
        </is>
      </c>
      <c r="K19" s="12" t="inlineStr">
        <is>
          <t>Units to
90%</t>
        </is>
      </c>
    </row>
    <row r="20">
      <c r="B20" s="7" t="inlineStr">
        <is>
          <t>Q2 2024</t>
        </is>
      </c>
      <c r="C20" s="7" t="n"/>
      <c r="D20" s="7">
        <f>COUNTIF($E$6:$E$16,B20)</f>
        <v/>
      </c>
      <c r="E20" s="9">
        <f>SUMIF($E$6:$E$16,B20,$D$6:$D$16)</f>
        <v/>
      </c>
      <c r="F20" s="10">
        <f t="array" ref="F20">IFERROR(SUMPRODUCT(($E$6:$E$16=B20)*IFERROR($D$6:$D$16*$F$6:$F$16,0))/SUMPRODUCT(($E$6:$E$16=B20)*ISNUMBER($F$6:$F$16)*$D$6:$D$16),0)</f>
        <v/>
      </c>
      <c r="G20" s="9">
        <f>F20*E20</f>
        <v/>
      </c>
      <c r="H20" s="9">
        <f>E20*Settings!$B$2</f>
        <v/>
      </c>
      <c r="I20" s="9">
        <f>(E20*0.95)-G20</f>
        <v/>
      </c>
      <c r="J20" s="9">
        <f>(E20*0.925)-G20</f>
        <v/>
      </c>
      <c r="K20" s="9">
        <f>(E20*0.90)-G20</f>
        <v/>
      </c>
    </row>
    <row r="21">
      <c r="B21" s="7" t="inlineStr">
        <is>
          <t>Q1 2024</t>
        </is>
      </c>
      <c r="C21" s="7" t="n"/>
      <c r="D21" s="7">
        <f>COUNTIF($E$6:$E$16,B21)</f>
        <v/>
      </c>
      <c r="E21" s="9">
        <f>SUMIF($E$6:$E$16,B21,$D$6:$D$16)</f>
        <v/>
      </c>
      <c r="F21" s="10">
        <f t="array" ref="F21">IFERROR(SUMPRODUCT(($E$6:$E$16=B21)*IFERROR($D$6:$D$16*$F$6:$F$16,0))/SUMPRODUCT(($E$6:$E$16=B21)*ISNUMBER($F$6:$F$16)*$D$6:$D$16),0)</f>
        <v/>
      </c>
      <c r="G21" s="9">
        <f>F21*E21</f>
        <v/>
      </c>
      <c r="H21" s="9">
        <f>E21*Settings!$B$2</f>
        <v/>
      </c>
      <c r="I21" s="9">
        <f>(E21*0.95)-G21</f>
        <v/>
      </c>
      <c r="J21" s="9">
        <f>(E21*0.925)-G21</f>
        <v/>
      </c>
      <c r="K21" s="9">
        <f>(E21*0.90)-G21</f>
        <v/>
      </c>
    </row>
    <row r="22">
      <c r="B22" s="7" t="inlineStr">
        <is>
          <t>Q4 2023</t>
        </is>
      </c>
      <c r="C22" s="7" t="n"/>
      <c r="D22" s="7">
        <f>COUNTIF($E$6:$E$16,B22)</f>
        <v/>
      </c>
      <c r="E22" s="9">
        <f>SUMIF($E$6:$E$16,B22,$D$6:$D$16)</f>
        <v/>
      </c>
      <c r="F22" s="10">
        <f t="array" ref="F22">IFERROR(SUMPRODUCT(($E$6:$E$16=B22)*IFERROR($D$6:$D$16*$F$6:$F$16,0))/SUMPRODUCT(($E$6:$E$16=B22)*ISNUMBER($F$6:$F$16)*$D$6:$D$16),0)</f>
        <v/>
      </c>
      <c r="G22" s="9">
        <f>F22*E22</f>
        <v/>
      </c>
      <c r="H22" s="9">
        <f>E22*Settings!$B$2</f>
        <v/>
      </c>
      <c r="I22" s="9">
        <f>(E22*0.95)-G22</f>
        <v/>
      </c>
      <c r="J22" s="9">
        <f>(E22*0.925)-G22</f>
        <v/>
      </c>
      <c r="K22" s="9">
        <f>(E22*0.90)-G22</f>
        <v/>
      </c>
    </row>
    <row r="23">
      <c r="B23" s="7" t="inlineStr">
        <is>
          <t>Q3 2023</t>
        </is>
      </c>
      <c r="C23" s="7" t="n"/>
      <c r="D23" s="7">
        <f>COUNTIF($E$6:$E$16,B23)</f>
        <v/>
      </c>
      <c r="E23" s="9">
        <f>SUMIF($E$6:$E$16,B23,$D$6:$D$16)</f>
        <v/>
      </c>
      <c r="F23" s="10">
        <f t="array" ref="F23">IFERROR(SUMPRODUCT(($E$6:$E$16=B23)*IFERROR($D$6:$D$16*$F$6:$F$16,0))/SUMPRODUCT(($E$6:$E$16=B23)*ISNUMBER($F$6:$F$16)*$D$6:$D$16),0)</f>
        <v/>
      </c>
      <c r="G23" s="9">
        <f>F23*E23</f>
        <v/>
      </c>
      <c r="H23" s="9">
        <f>E23*Settings!$B$2</f>
        <v/>
      </c>
      <c r="I23" s="9">
        <f>(E23*0.95)-G23</f>
        <v/>
      </c>
      <c r="J23" s="9">
        <f>(E23*0.925)-G23</f>
        <v/>
      </c>
      <c r="K23" s="9">
        <f>(E23*0.90)-G23</f>
        <v/>
      </c>
    </row>
    <row r="24">
      <c r="B24" s="7" t="inlineStr">
        <is>
          <t>Q2 2023</t>
        </is>
      </c>
      <c r="C24" s="7" t="n"/>
      <c r="D24" s="7">
        <f>COUNTIF($E$6:$E$16,B24)</f>
        <v/>
      </c>
      <c r="E24" s="9">
        <f>SUMIF($E$6:$E$16,B24,$D$6:$D$16)</f>
        <v/>
      </c>
      <c r="F24" s="10">
        <f t="array" ref="F24">IFERROR(SUMPRODUCT(($E$6:$E$16=B24)*IFERROR($D$6:$D$16*$F$6:$F$16,0))/SUMPRODUCT(($E$6:$E$16=B24)*ISNUMBER($F$6:$F$16)*$D$6:$D$16),0)</f>
        <v/>
      </c>
      <c r="G24" s="9">
        <f>F24*E24</f>
        <v/>
      </c>
      <c r="H24" s="9">
        <f>E24*Settings!$B$2</f>
        <v/>
      </c>
      <c r="I24" s="9">
        <f>(E24*0.95)-G24</f>
        <v/>
      </c>
      <c r="J24" s="9">
        <f>(E24*0.925)-G24</f>
        <v/>
      </c>
      <c r="K24" s="9">
        <f>(E24*0.90)-G24</f>
        <v/>
      </c>
    </row>
    <row r="25">
      <c r="B25" s="13" t="inlineStr">
        <is>
          <t>TOTAL</t>
        </is>
      </c>
      <c r="C25" s="4" t="n"/>
      <c r="D25" s="4">
        <f>SUM(D20:D24)</f>
        <v/>
      </c>
      <c r="E25" s="14">
        <f>SUM(E20:E24)</f>
        <v/>
      </c>
      <c r="F25" s="15">
        <f>IFERROR(SUMPRODUCT($E$20:$E$24,F20:F24)/$E$25,0)</f>
        <v/>
      </c>
      <c r="G25" s="14">
        <f>SUM(G20:G24)</f>
        <v/>
      </c>
      <c r="H25" s="14">
        <f>SUM(H20:H24)</f>
        <v/>
      </c>
      <c r="I25" s="14">
        <f>SUM(I20:I24)</f>
        <v/>
      </c>
      <c r="J25" s="14">
        <f>SUM(J20:J24)</f>
        <v/>
      </c>
      <c r="K25" s="14">
        <f>SUM(K20:K24)</f>
        <v/>
      </c>
    </row>
    <row r="27">
      <c r="G27" s="16" t="inlineStr">
        <is>
          <t>Total Current Inventory</t>
        </is>
      </c>
      <c r="I27" s="17" t="n">
        <v>5925</v>
      </c>
      <c r="J27" s="18">
        <f>I27</f>
        <v/>
      </c>
      <c r="K27" s="18">
        <f>I27</f>
        <v/>
      </c>
    </row>
    <row r="28">
      <c r="G28" s="16" t="inlineStr">
        <is>
          <t>% to be Absorbed</t>
        </is>
      </c>
      <c r="I28" s="19">
        <f>IFERROR(I25/I27,0)</f>
        <v/>
      </c>
      <c r="J28" s="19">
        <f>IFERROR(J25/J27,0)</f>
        <v/>
      </c>
      <c r="K28" s="19">
        <f>IFERROR(K25/K27,0)</f>
        <v/>
      </c>
    </row>
    <row r="30">
      <c r="B30" s="20" t="inlineStr">
        <is>
          <t>* 5-Mile radius. Total inventory from CoStar Data Analytics. Proximity (mi) to be filled manually. Lease-up rent/occupancy should be verified with a HelloData pull.</t>
        </is>
      </c>
    </row>
  </sheetData>
  <mergeCells count="14">
    <mergeCell ref="B21:C21"/>
    <mergeCell ref="B24:C24"/>
    <mergeCell ref="C10:K10"/>
    <mergeCell ref="C5:K5"/>
    <mergeCell ref="B25:C25"/>
    <mergeCell ref="B19:C19"/>
    <mergeCell ref="C2:G2"/>
    <mergeCell ref="B20:C20"/>
    <mergeCell ref="B3:F3"/>
    <mergeCell ref="G27:H27"/>
    <mergeCell ref="B23:C23"/>
    <mergeCell ref="B30:K30"/>
    <mergeCell ref="B22:C22"/>
    <mergeCell ref="G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1" t="inlineStr">
        <is>
          <t>ANALYSIS SETTINGS</t>
        </is>
      </c>
    </row>
    <row r="2">
      <c r="A2" t="inlineStr">
        <is>
          <t>Stabilized Occupancy Target</t>
        </is>
      </c>
      <c r="B2" s="22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0" customWidth="1" min="10" max="10"/>
  </cols>
  <sheetData>
    <row r="1">
      <c r="A1" s="23" t="inlineStr">
        <is>
          <t>Property</t>
        </is>
      </c>
      <c r="B1" s="23" t="inlineStr">
        <is>
          <t>Address</t>
        </is>
      </c>
      <c r="C1" s="23" t="inlineStr">
        <is>
          <t>Units</t>
        </is>
      </c>
      <c r="D1" s="23" t="inlineStr">
        <is>
          <t>Year Built</t>
        </is>
      </c>
      <c r="E1" s="23" t="inlineStr">
        <is>
          <t>Est. Delivery</t>
        </is>
      </c>
      <c r="F1" s="23" t="inlineStr">
        <is>
          <t>Bucket</t>
        </is>
      </c>
      <c r="G1" s="23" t="inlineStr">
        <is>
          <t>Occupancy</t>
        </is>
      </c>
      <c r="H1" s="23" t="inlineStr">
        <is>
          <t>Eff Rent</t>
        </is>
      </c>
      <c r="I1" s="23" t="inlineStr">
        <is>
          <t>Sources</t>
        </is>
      </c>
      <c r="J1" s="23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t="n">
        <v>0.9360000000000001</v>
      </c>
      <c r="H2" t="n">
        <v>2150</v>
      </c>
      <c r="I2" t="inlineStr">
        <is>
          <t>CoStar+RealPage</t>
        </is>
      </c>
      <c r="J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t="n">
        <v>0.961</v>
      </c>
      <c r="H3" t="n">
        <v>1273</v>
      </c>
      <c r="I3" t="inlineStr">
        <is>
          <t>RealPage</t>
        </is>
      </c>
      <c r="J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t="n">
        <v>1</v>
      </c>
      <c r="H4" t="n">
        <v>2311</v>
      </c>
      <c r="I4" t="inlineStr">
        <is>
          <t>CoStar+RealPage</t>
        </is>
      </c>
      <c r="J4" t="inlineStr">
        <is>
          <t>Year built: 2023/2024</t>
        </is>
      </c>
    </row>
    <row r="5">
      <c r="A5" t="inlineStr">
        <is>
          <t>Station Village</t>
        </is>
      </c>
      <c r="B5" t="inlineStr">
        <is>
          <t>2350 W Kootenai St</t>
        </is>
      </c>
      <c r="C5" t="n">
        <v>84</v>
      </c>
      <c r="F5" t="inlineStr">
        <is>
          <t>PROPOSED</t>
        </is>
      </c>
      <c r="I5" t="inlineStr">
        <is>
          <t>RealPage</t>
        </is>
      </c>
      <c r="J5" t="inlineStr">
        <is>
          <t>RealPage pipeline (not yet in CoStar)</t>
        </is>
      </c>
    </row>
    <row r="6">
      <c r="A6" t="inlineStr">
        <is>
          <t>Seasons on the Bench</t>
        </is>
      </c>
      <c r="B6" t="inlineStr">
        <is>
          <t>2521 W Victory Rd</t>
        </is>
      </c>
      <c r="C6" t="n">
        <v>358</v>
      </c>
      <c r="F6" t="inlineStr">
        <is>
          <t>PROPOSED</t>
        </is>
      </c>
      <c r="I6" t="inlineStr">
        <is>
          <t>RealPage</t>
        </is>
      </c>
      <c r="J6" t="inlineStr">
        <is>
          <t>RealPage pipeline (not yet in CoStar)</t>
        </is>
      </c>
    </row>
    <row r="7">
      <c r="A7" t="inlineStr">
        <is>
          <t>Vista Point</t>
        </is>
      </c>
      <c r="B7" t="inlineStr">
        <is>
          <t>2017 W Victory Rd</t>
        </is>
      </c>
      <c r="C7" t="n">
        <v>893</v>
      </c>
      <c r="F7" t="inlineStr">
        <is>
          <t>PROPOSED</t>
        </is>
      </c>
      <c r="I7" t="inlineStr">
        <is>
          <t>RealPage</t>
        </is>
      </c>
      <c r="J7" t="inlineStr">
        <is>
          <t>RealPage pipeline (not yet in CoStar)</t>
        </is>
      </c>
    </row>
    <row r="8">
      <c r="A8" t="inlineStr">
        <is>
          <t>3300 South Vista Avenue</t>
        </is>
      </c>
      <c r="B8" t="inlineStr">
        <is>
          <t>3300 S Vista Ave</t>
        </is>
      </c>
      <c r="C8" t="n">
        <v>180</v>
      </c>
      <c r="F8" t="inlineStr">
        <is>
          <t>PROPOSED</t>
        </is>
      </c>
      <c r="I8" t="inlineStr">
        <is>
          <t>RealPage</t>
        </is>
      </c>
      <c r="J8" t="inlineStr">
        <is>
          <t>RealPage pipeline (not yet in CoStar)</t>
        </is>
      </c>
    </row>
    <row r="9">
      <c r="A9" t="inlineStr">
        <is>
          <t>Harris Ranch East</t>
        </is>
      </c>
      <c r="B9" t="inlineStr">
        <is>
          <t>3201 S Council Spring Rd</t>
        </is>
      </c>
      <c r="C9" t="n">
        <v>59</v>
      </c>
      <c r="F9" t="inlineStr">
        <is>
          <t>PROPOSED</t>
        </is>
      </c>
      <c r="I9" t="inlineStr">
        <is>
          <t>RealPage</t>
        </is>
      </c>
      <c r="J9" t="inlineStr">
        <is>
          <t>RealPage pipeline (not yet in CoStar)</t>
        </is>
      </c>
    </row>
    <row r="10">
      <c r="A10" t="inlineStr">
        <is>
          <t>1519 South Londoner Avenue</t>
        </is>
      </c>
      <c r="B10" t="inlineStr">
        <is>
          <t>1519 S Londoner Ave</t>
        </is>
      </c>
      <c r="C10" t="n">
        <v>189</v>
      </c>
      <c r="F10" t="inlineStr">
        <is>
          <t>PROPOSED</t>
        </is>
      </c>
      <c r="I10" t="inlineStr">
        <is>
          <t>RealPage</t>
        </is>
      </c>
      <c r="J10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2026-06-19T18:17:43Z</dcterms:created>
  <dcterms:modified xsi:type="dcterms:W3CDTF">2026-06-19T18:17:43Z</dcterms:modified>
</cp:coreProperties>
</file>