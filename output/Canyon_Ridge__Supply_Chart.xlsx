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ettings" sheetId="2" state="visible" r:id="rId2"/>
    <sheet name="Reconciliation Log" sheetId="3" state="visible" r:id="rId3"/>
    <sheet name="Supply &amp; Absorp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;;&quot;—&quot;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11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b val="1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0" borderId="0" applyAlignment="1" pivotButton="0" quotePrefix="0" xfId="0">
      <alignment horizontal="center" vertical="center" wrapText="1"/>
    </xf>
    <xf numFmtId="3" fontId="8" fillId="7" borderId="0" applyAlignment="1" pivotButton="0" quotePrefix="0" xfId="0">
      <alignment horizontal="center" vertical="center" wrapText="1"/>
    </xf>
    <xf numFmtId="3" fontId="8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>
        <f>TEXT(Settings!$B$2,"0%")&amp;" target"</f>
        <v/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Mill at Loggers Creek</t>
        </is>
      </c>
      <c r="D6" s="9" t="n">
        <v>125</v>
      </c>
      <c r="E6" s="7" t="inlineStr">
        <is>
          <t>Q2 2024</t>
        </is>
      </c>
      <c r="F6" s="10" t="n">
        <v>0.92</v>
      </c>
      <c r="G6" s="11" t="n">
        <v>2104</v>
      </c>
      <c r="H6" s="8" t="inlineStr">
        <is>
          <t>Baron Properties</t>
        </is>
      </c>
      <c r="I6" s="7" t="n"/>
      <c r="J6" s="7" t="inlineStr">
        <is>
          <t>Mid-Rise</t>
        </is>
      </c>
      <c r="K6" s="8" t="n"/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Timbers at Harris Ranch</t>
        </is>
      </c>
      <c r="D8" s="9" t="n">
        <v>274</v>
      </c>
      <c r="E8" s="7" t="inlineStr">
        <is>
          <t>Q2 2023</t>
        </is>
      </c>
      <c r="F8" s="10" t="n">
        <v>0.967153</v>
      </c>
      <c r="G8" s="11" t="n">
        <v>2196</v>
      </c>
      <c r="H8" s="8" t="inlineStr">
        <is>
          <t>Highland Canyon Partners</t>
        </is>
      </c>
      <c r="I8" s="7" t="n"/>
      <c r="J8" s="7" t="inlineStr">
        <is>
          <t>Garden</t>
        </is>
      </c>
      <c r="K8" s="8" t="inlineStr">
        <is>
          <t>Year built: 2023/2024; Occ: CoStar 97% vs RealPage 100%</t>
        </is>
      </c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Vista Point</t>
        </is>
      </c>
      <c r="D11" s="16" t="n">
        <v>893</v>
      </c>
      <c r="E11" s="14" t="inlineStr">
        <is>
          <t>Q2 2028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Mid-Rise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3300 South Vista Avenue</t>
        </is>
      </c>
      <c r="D12" s="16" t="n">
        <v>180</v>
      </c>
      <c r="E12" s="14" t="inlineStr">
        <is>
          <t>Q1 2028</t>
        </is>
      </c>
      <c r="F12" s="17" t="n"/>
      <c r="G12" s="18" t="inlineStr">
        <is>
          <t>—</t>
        </is>
      </c>
      <c r="H12" s="15" t="inlineStr">
        <is>
          <t>—</t>
        </is>
      </c>
      <c r="I12" s="14" t="n"/>
      <c r="J12" s="14" t="inlineStr">
        <is>
          <t>Mid-Rise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Seasons on the Bench</t>
        </is>
      </c>
      <c r="D13" s="16" t="n">
        <v>358</v>
      </c>
      <c r="E13" s="14" t="inlineStr">
        <is>
          <t>Q4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1519 South Londoner Avenue</t>
        </is>
      </c>
      <c r="D14" s="16" t="n">
        <v>189</v>
      </c>
      <c r="E14" s="14" t="inlineStr">
        <is>
          <t>Q3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Station Village</t>
        </is>
      </c>
      <c r="D15" s="16" t="n">
        <v>84</v>
      </c>
      <c r="E15" s="14" t="inlineStr">
        <is>
          <t>Q2 2027</t>
        </is>
      </c>
      <c r="F15" s="17" t="n"/>
      <c r="G15" s="18" t="inlineStr">
        <is>
          <t>—</t>
        </is>
      </c>
      <c r="H15" s="15" t="inlineStr">
        <is>
          <t>Privately Owned</t>
        </is>
      </c>
      <c r="I15" s="14" t="n"/>
      <c r="J15" s="14" t="inlineStr">
        <is>
          <t>Garden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Harris Ranch East</t>
        </is>
      </c>
      <c r="D16" s="16" t="n">
        <v>59</v>
      </c>
      <c r="E16" s="14" t="inlineStr">
        <is>
          <t>Q4 2026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Single Family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3" max="3"/>
  </cols>
  <sheetData>
    <row r="1">
      <c r="A1" s="20" t="inlineStr">
        <is>
          <t>ANALYSIS SETTINGS</t>
        </is>
      </c>
    </row>
    <row r="2">
      <c r="A2" t="inlineStr">
        <is>
          <t>Stabilized Occupancy Target</t>
        </is>
      </c>
      <c r="B2" s="21" t="n">
        <v>0.95</v>
      </c>
      <c r="C2" t="inlineStr">
        <is>
          <t>Target occupancy for absorption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22" t="inlineStr">
        <is>
          <t>Property</t>
        </is>
      </c>
      <c r="B1" s="22" t="inlineStr">
        <is>
          <t>Address</t>
        </is>
      </c>
      <c r="C1" s="22" t="inlineStr">
        <is>
          <t>Units</t>
        </is>
      </c>
      <c r="D1" s="22" t="inlineStr">
        <is>
          <t>Year Built</t>
        </is>
      </c>
      <c r="E1" s="22" t="inlineStr">
        <is>
          <t>Est. Delivery</t>
        </is>
      </c>
      <c r="F1" s="22" t="inlineStr">
        <is>
          <t>Bucket</t>
        </is>
      </c>
      <c r="G1" s="22" t="inlineStr">
        <is>
          <t>CoStar Occ</t>
        </is>
      </c>
      <c r="H1" s="22" t="inlineStr">
        <is>
          <t>RealPage Occ</t>
        </is>
      </c>
      <c r="I1" s="22" t="inlineStr">
        <is>
          <t>CoStar Ask Rent</t>
        </is>
      </c>
      <c r="J1" s="22" t="inlineStr">
        <is>
          <t>RealPage Eff Rent</t>
        </is>
      </c>
      <c r="K1" s="22" t="inlineStr">
        <is>
          <t>Sources</t>
        </is>
      </c>
      <c r="L1" s="22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23" t="n">
        <v>0.92</v>
      </c>
      <c r="H2" s="23" t="n">
        <v>0.9360000000000001</v>
      </c>
      <c r="I2" s="24" t="n">
        <v>2104</v>
      </c>
      <c r="J2" s="2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23" t="n"/>
      <c r="H3" s="23" t="n">
        <v>0.961</v>
      </c>
      <c r="I3" s="24" t="n"/>
      <c r="J3" s="2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23" t="n">
        <v>0.967153</v>
      </c>
      <c r="H4" s="23" t="n">
        <v>1</v>
      </c>
      <c r="I4" s="24" t="n">
        <v>2196</v>
      </c>
      <c r="J4" s="2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23" t="n"/>
      <c r="H5" s="23" t="n"/>
      <c r="I5" s="24" t="n"/>
      <c r="J5" s="2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23" t="n"/>
      <c r="H6" s="23" t="n"/>
      <c r="I6" s="24" t="n"/>
      <c r="J6" s="2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23" t="n"/>
      <c r="H7" s="23" t="n"/>
      <c r="I7" s="24" t="n"/>
      <c r="J7" s="2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23" t="n"/>
      <c r="H8" s="23" t="n"/>
      <c r="I8" s="24" t="n"/>
      <c r="J8" s="2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23" t="n"/>
      <c r="H9" s="23" t="n"/>
      <c r="I9" s="24" t="n"/>
      <c r="J9" s="2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23" t="n"/>
      <c r="H10" s="23" t="n"/>
      <c r="I10" s="24" t="n"/>
      <c r="J10" s="2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W4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6" customWidth="1" min="21" max="21"/>
    <col width="8" customWidth="1" min="22" max="22"/>
    <col width="7" customWidth="1" min="23" max="23"/>
  </cols>
  <sheetData>
    <row r="2" ht="22" customHeight="1">
      <c r="B2" s="1" t="inlineStr">
        <is>
          <t>SUPPLY &amp; ABSORPTION  —  5-MILE MARKET (relative-year / TTM)</t>
        </is>
      </c>
    </row>
    <row r="3">
      <c r="R3" s="25" t="inlineStr">
        <is>
          <t>PIPELINE INPUTS (forward new supply)</t>
        </is>
      </c>
    </row>
    <row r="4">
      <c r="B4" s="26" t="inlineStr">
        <is>
          <t>As-of Quarter</t>
        </is>
      </c>
      <c r="C4" s="27" t="inlineStr">
        <is>
          <t>Q2 2026</t>
        </is>
      </c>
      <c r="E4" t="n">
        <v>8105</v>
      </c>
      <c r="R4" s="28" t="inlineStr">
        <is>
          <t>Property</t>
        </is>
      </c>
      <c r="S4" s="28" t="inlineStr">
        <is>
          <t>Units</t>
        </is>
      </c>
      <c r="T4" s="28" t="inlineStr">
        <is>
          <t>Est. Delivery</t>
        </is>
      </c>
      <c r="U4" s="28" t="inlineStr">
        <is>
          <t>Incl?</t>
        </is>
      </c>
      <c r="V4" s="28" t="inlineStr">
        <is>
          <t>DelivIdx</t>
        </is>
      </c>
      <c r="W4" s="28" t="inlineStr">
        <is>
          <t>HoldYr</t>
        </is>
      </c>
    </row>
    <row r="5">
      <c r="B5" s="26" t="inlineStr">
        <is>
          <t>Close Quarter (Y1 start)</t>
        </is>
      </c>
      <c r="C5" s="29" t="inlineStr">
        <is>
          <t>Q4 2026</t>
        </is>
      </c>
      <c r="E5">
        <f>IFERROR(VALUE(RIGHT($C$5,4))*4+MATCH(LEFT($C$5,2),{"Q1","Q2","Q3","Q4"},0)-1,0)</f>
        <v/>
      </c>
      <c r="R5" s="30" t="inlineStr">
        <is>
          <t>Vista Point</t>
        </is>
      </c>
      <c r="S5" s="31" t="n">
        <v>893</v>
      </c>
      <c r="T5" s="32" t="inlineStr">
        <is>
          <t>Q2 2028</t>
        </is>
      </c>
      <c r="U5" s="32" t="inlineStr">
        <is>
          <t>N</t>
        </is>
      </c>
      <c r="V5" s="33">
        <f>IFERROR(VALUE(RIGHT(T5,4))*4+MATCH(LEFT(T5,2),{"Q1","Q2","Q3","Q4"},0)-1,"")</f>
        <v/>
      </c>
      <c r="W5" s="33">
        <f>IF(V5="","",IF(V5&lt;=$E$4,0,MAX(1,INT((V5-$E$5)/4)+1)))</f>
        <v/>
      </c>
    </row>
    <row r="6">
      <c r="B6" s="26" t="inlineStr">
        <is>
          <t>Stabilization Target</t>
        </is>
      </c>
      <c r="C6" s="34">
        <f>Settings!$B$2</f>
        <v/>
      </c>
      <c r="R6" s="30" t="inlineStr">
        <is>
          <t>Seasons on the Bench</t>
        </is>
      </c>
      <c r="S6" s="31" t="n">
        <v>358</v>
      </c>
      <c r="T6" s="32" t="inlineStr">
        <is>
          <t>Q4 2027</t>
        </is>
      </c>
      <c r="U6" s="32" t="inlineStr">
        <is>
          <t>N</t>
        </is>
      </c>
      <c r="V6" s="33">
        <f>IFERROR(VALUE(RIGHT(T6,4))*4+MATCH(LEFT(T6,2),{"Q1","Q2","Q3","Q4"},0)-1,"")</f>
        <v/>
      </c>
      <c r="W6" s="33">
        <f>IF(V6="","",IF(V6&lt;=$E$4,0,MAX(1,INT((V6-$E$5)/4)+1)))</f>
        <v/>
      </c>
    </row>
    <row r="7">
      <c r="B7" s="26" t="inlineStr">
        <is>
          <t>Demand Scenario</t>
        </is>
      </c>
      <c r="C7" s="29" t="inlineStr">
        <is>
          <t>Base</t>
        </is>
      </c>
      <c r="R7" s="30" t="inlineStr">
        <is>
          <t>1519 South Londoner Avenue</t>
        </is>
      </c>
      <c r="S7" s="31" t="n">
        <v>189</v>
      </c>
      <c r="T7" s="32" t="inlineStr">
        <is>
          <t>Q3 2027</t>
        </is>
      </c>
      <c r="U7" s="32" t="inlineStr">
        <is>
          <t>N</t>
        </is>
      </c>
      <c r="V7" s="33">
        <f>IFERROR(VALUE(RIGHT(T7,4))*4+MATCH(LEFT(T7,2),{"Q1","Q2","Q3","Q4"},0)-1,"")</f>
        <v/>
      </c>
      <c r="W7" s="33">
        <f>IF(V7="","",IF(V7&lt;=$E$4,0,MAX(1,INT((V7-$E$5)/4)+1)))</f>
        <v/>
      </c>
    </row>
    <row r="8">
      <c r="B8" s="26" t="inlineStr">
        <is>
          <t>Bear Annual Absorption</t>
        </is>
      </c>
      <c r="C8" s="35" t="n">
        <v>150</v>
      </c>
      <c r="R8" s="30" t="inlineStr">
        <is>
          <t>3300 South Vista Avenue</t>
        </is>
      </c>
      <c r="S8" s="31" t="n">
        <v>180</v>
      </c>
      <c r="T8" s="32" t="inlineStr">
        <is>
          <t>Q1 2028</t>
        </is>
      </c>
      <c r="U8" s="32" t="inlineStr">
        <is>
          <t>N</t>
        </is>
      </c>
      <c r="V8" s="33">
        <f>IFERROR(VALUE(RIGHT(T8,4))*4+MATCH(LEFT(T8,2),{"Q1","Q2","Q3","Q4"},0)-1,"")</f>
        <v/>
      </c>
      <c r="W8" s="33">
        <f>IF(V8="","",IF(V8&lt;=$E$4,0,MAX(1,INT((V8-$E$5)/4)+1)))</f>
        <v/>
      </c>
    </row>
    <row r="9">
      <c r="B9" s="26" t="inlineStr">
        <is>
          <t>Base Annual Absorption</t>
        </is>
      </c>
      <c r="C9" s="35" t="n">
        <v>300</v>
      </c>
      <c r="R9" s="30" t="inlineStr">
        <is>
          <t>Station Village</t>
        </is>
      </c>
      <c r="S9" s="31" t="n">
        <v>84</v>
      </c>
      <c r="T9" s="32" t="inlineStr">
        <is>
          <t>Q2 2027</t>
        </is>
      </c>
      <c r="U9" s="32" t="inlineStr">
        <is>
          <t>N</t>
        </is>
      </c>
      <c r="V9" s="33">
        <f>IFERROR(VALUE(RIGHT(T9,4))*4+MATCH(LEFT(T9,2),{"Q1","Q2","Q3","Q4"},0)-1,"")</f>
        <v/>
      </c>
      <c r="W9" s="33">
        <f>IF(V9="","",IF(V9&lt;=$E$4,0,MAX(1,INT((V9-$E$5)/4)+1)))</f>
        <v/>
      </c>
    </row>
    <row r="10">
      <c r="B10" s="26" t="inlineStr">
        <is>
          <t>Bull Annual Absorption</t>
        </is>
      </c>
      <c r="C10" s="35" t="n">
        <v>450</v>
      </c>
      <c r="R10" s="30" t="inlineStr">
        <is>
          <t>Harris Ranch East</t>
        </is>
      </c>
      <c r="S10" s="31" t="n">
        <v>59</v>
      </c>
      <c r="T10" s="32" t="inlineStr">
        <is>
          <t>Q4 2026</t>
        </is>
      </c>
      <c r="U10" s="32" t="inlineStr">
        <is>
          <t>N</t>
        </is>
      </c>
      <c r="V10" s="33">
        <f>IFERROR(VALUE(RIGHT(T10,4))*4+MATCH(LEFT(T10,2),{"Q1","Q2","Q3","Q4"},0)-1,"")</f>
        <v/>
      </c>
      <c r="W10" s="33">
        <f>IF(V10="","",IF(V10&lt;=$E$4,0,MAX(1,INT((V10-$E$5)/4)+1)))</f>
        <v/>
      </c>
    </row>
    <row r="11">
      <c r="B11" s="26" t="inlineStr">
        <is>
          <t>Selected Annual Demand</t>
        </is>
      </c>
      <c r="C11" s="36">
        <f>IF($C$7="Bear",$C$8,IF($C$7="Bull",$C$10,$C$9))</f>
        <v/>
      </c>
    </row>
    <row r="12">
      <c r="B12" s="26" t="inlineStr">
        <is>
          <t>Occupied (as-of)</t>
        </is>
      </c>
      <c r="C12" s="36" t="n">
        <v>5727</v>
      </c>
    </row>
    <row r="13">
      <c r="B13" s="26" t="inlineStr">
        <is>
          <t>Inventory (as-of)</t>
        </is>
      </c>
      <c r="C13" s="36" t="n">
        <v>5925</v>
      </c>
    </row>
    <row r="17">
      <c r="B17" s="26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7" t="inlineStr">
        <is>
          <t>Y1</t>
        </is>
      </c>
      <c r="K17" s="37" t="inlineStr">
        <is>
          <t>Y2</t>
        </is>
      </c>
      <c r="L17" s="37" t="inlineStr">
        <is>
          <t>Y3</t>
        </is>
      </c>
      <c r="M17" s="37" t="inlineStr">
        <is>
          <t>Y4</t>
        </is>
      </c>
      <c r="N17" s="37" t="inlineStr">
        <is>
          <t>Y5</t>
        </is>
      </c>
      <c r="O17" s="37" t="inlineStr">
        <is>
          <t>Y6</t>
        </is>
      </c>
    </row>
    <row r="18">
      <c r="C18" s="38" t="inlineStr">
        <is>
          <t>Q3 2019–Q2 2020</t>
        </is>
      </c>
      <c r="D18" s="38" t="inlineStr">
        <is>
          <t>Q3 2020–Q2 2021</t>
        </is>
      </c>
      <c r="E18" s="38" t="inlineStr">
        <is>
          <t>Q3 2021–Q2 2022</t>
        </is>
      </c>
      <c r="F18" s="38" t="inlineStr">
        <is>
          <t>Q3 2022–Q2 2023</t>
        </is>
      </c>
      <c r="G18" s="38" t="inlineStr">
        <is>
          <t>Q3 2023–Q2 2024</t>
        </is>
      </c>
      <c r="H18" s="38" t="inlineStr">
        <is>
          <t>Q3 2024–Q2 2025</t>
        </is>
      </c>
      <c r="I18" s="38" t="inlineStr">
        <is>
          <t>Q3 2025–Q2 2026</t>
        </is>
      </c>
      <c r="J18" s="38" t="inlineStr">
        <is>
          <t>Hold Yr 1</t>
        </is>
      </c>
      <c r="K18" s="38" t="inlineStr">
        <is>
          <t>Hold Yr 2</t>
        </is>
      </c>
      <c r="L18" s="38" t="inlineStr">
        <is>
          <t>Hold Yr 3</t>
        </is>
      </c>
      <c r="M18" s="38" t="inlineStr">
        <is>
          <t>Hold Yr 4</t>
        </is>
      </c>
      <c r="N18" s="38" t="inlineStr">
        <is>
          <t>Hold Yr 5</t>
        </is>
      </c>
      <c r="O18" s="38" t="inlineStr">
        <is>
          <t>Hold Yr 6</t>
        </is>
      </c>
    </row>
    <row r="19">
      <c r="B19" s="26" t="inlineStr">
        <is>
          <t>NEW SUPPLY (5-mi)</t>
        </is>
      </c>
      <c r="C19" s="39" t="n">
        <v>213</v>
      </c>
      <c r="D19" s="39" t="n">
        <v>237</v>
      </c>
      <c r="E19" s="39" t="n">
        <v>33</v>
      </c>
      <c r="F19" s="39" t="n">
        <v>289</v>
      </c>
      <c r="G19" s="39" t="n">
        <v>178</v>
      </c>
      <c r="H19" s="39" t="n">
        <v>334</v>
      </c>
      <c r="I19" s="39" t="n">
        <v>9</v>
      </c>
      <c r="J19" s="40">
        <f>SUMIFS($S$5:$S$10,$W$5:$W$10,1,$U$5:$U$10,"Y")</f>
        <v/>
      </c>
      <c r="K19" s="40">
        <f>SUMIFS($S$5:$S$10,$W$5:$W$10,2,$U$5:$U$10,"Y")</f>
        <v/>
      </c>
      <c r="L19" s="40">
        <f>SUMIFS($S$5:$S$10,$W$5:$W$10,3,$U$5:$U$10,"Y")</f>
        <v/>
      </c>
      <c r="M19" s="40">
        <f>SUMIFS($S$5:$S$10,$W$5:$W$10,4,$U$5:$U$10,"Y")</f>
        <v/>
      </c>
      <c r="N19" s="40">
        <f>SUMIFS($S$5:$S$10,$W$5:$W$10,5,$U$5:$U$10,"Y")</f>
        <v/>
      </c>
      <c r="O19" s="40">
        <f>SUMIFS($S$5:$S$10,$W$5:$W$10,6,$U$5:$U$10,"Y")</f>
        <v/>
      </c>
    </row>
    <row r="20">
      <c r="B20" s="26" t="inlineStr">
        <is>
          <t>ABSORPTION (5-mi)</t>
        </is>
      </c>
      <c r="C20" s="39" t="n">
        <v>213</v>
      </c>
      <c r="D20" s="39" t="n">
        <v>150</v>
      </c>
      <c r="E20" s="39" t="n">
        <v>86</v>
      </c>
      <c r="F20" s="39" t="n">
        <v>-91</v>
      </c>
      <c r="G20" s="39" t="n">
        <v>277</v>
      </c>
      <c r="H20" s="39" t="n">
        <v>399</v>
      </c>
      <c r="I20" s="39" t="n">
        <v>216</v>
      </c>
      <c r="J20" s="40">
        <f>J25-I25</f>
        <v/>
      </c>
      <c r="K20" s="40">
        <f>K25-J25</f>
        <v/>
      </c>
      <c r="L20" s="40">
        <f>L25-K25</f>
        <v/>
      </c>
      <c r="M20" s="40">
        <f>M25-L25</f>
        <v/>
      </c>
      <c r="N20" s="40">
        <f>N25-M25</f>
        <v/>
      </c>
      <c r="O20" s="40">
        <f>O25-N25</f>
        <v/>
      </c>
    </row>
    <row r="21">
      <c r="B21" s="26" t="inlineStr">
        <is>
          <t>OCCUPANCY (5-mi)</t>
        </is>
      </c>
      <c r="C21" s="41" t="n">
        <v>0.968</v>
      </c>
      <c r="D21" s="41" t="n">
        <v>0.953</v>
      </c>
      <c r="E21" s="41" t="n">
        <v>0.963</v>
      </c>
      <c r="F21" s="41" t="n">
        <v>0.895</v>
      </c>
      <c r="G21" s="41" t="n">
        <v>0.916</v>
      </c>
      <c r="H21" s="41" t="n">
        <v>0.9320000000000001</v>
      </c>
      <c r="I21" s="41" t="n">
        <v>0.967</v>
      </c>
      <c r="J21" s="42">
        <f>IFERROR(J25/J24,0)</f>
        <v/>
      </c>
      <c r="K21" s="42">
        <f>IFERROR(K25/K24,0)</f>
        <v/>
      </c>
      <c r="L21" s="42">
        <f>IFERROR(L25/L24,0)</f>
        <v/>
      </c>
      <c r="M21" s="42">
        <f>IFERROR(M25/M24,0)</f>
        <v/>
      </c>
      <c r="N21" s="42">
        <f>IFERROR(N25/N24,0)</f>
        <v/>
      </c>
      <c r="O21" s="42">
        <f>IFERROR(O25/O24,0)</f>
        <v/>
      </c>
    </row>
    <row r="22">
      <c r="B22" s="26" t="inlineStr">
        <is>
          <t>CUM. UNABSORBED (since -Y3)</t>
        </is>
      </c>
      <c r="C22" s="43" t="n"/>
      <c r="D22" s="43" t="n"/>
      <c r="E22" s="43" t="n"/>
      <c r="F22" s="43">
        <f>F19-F20</f>
        <v/>
      </c>
      <c r="G22" s="43">
        <f>F22+G19-G20</f>
        <v/>
      </c>
      <c r="H22" s="43">
        <f>G22+H19-H20</f>
        <v/>
      </c>
      <c r="I22" s="43">
        <f>H22+I19-I20</f>
        <v/>
      </c>
      <c r="J22" s="43">
        <f>I22+J19-J20</f>
        <v/>
      </c>
      <c r="K22" s="43">
        <f>J22+K19-K20</f>
        <v/>
      </c>
      <c r="L22" s="43">
        <f>K22+L19-L20</f>
        <v/>
      </c>
      <c r="M22" s="43">
        <f>L22+M19-M20</f>
        <v/>
      </c>
      <c r="N22" s="43">
        <f>M22+N19-N20</f>
        <v/>
      </c>
      <c r="O22" s="43">
        <f>N22+O19-O20</f>
        <v/>
      </c>
    </row>
    <row r="24" hidden="1">
      <c r="B24" s="19" t="inlineStr">
        <is>
          <t xml:space="preserve">  inventory</t>
        </is>
      </c>
      <c r="C24" s="43" t="n">
        <v>4845</v>
      </c>
      <c r="D24" s="43" t="n">
        <v>5082</v>
      </c>
      <c r="E24" s="43" t="n">
        <v>5115</v>
      </c>
      <c r="F24" s="43" t="n">
        <v>5404</v>
      </c>
      <c r="G24" s="43" t="n">
        <v>5582</v>
      </c>
      <c r="H24" s="43" t="n">
        <v>5916</v>
      </c>
      <c r="I24" s="43" t="n">
        <v>5925</v>
      </c>
      <c r="J24" s="43">
        <f>I24+J19</f>
        <v/>
      </c>
      <c r="K24" s="43">
        <f>J24+K19</f>
        <v/>
      </c>
      <c r="L24" s="43">
        <f>K24+L19</f>
        <v/>
      </c>
      <c r="M24" s="43">
        <f>L24+M19</f>
        <v/>
      </c>
      <c r="N24" s="43">
        <f>M24+N19</f>
        <v/>
      </c>
      <c r="O24" s="43">
        <f>N24+O19</f>
        <v/>
      </c>
    </row>
    <row r="25" hidden="1">
      <c r="B25" s="19" t="inlineStr">
        <is>
          <t xml:space="preserve">  occupied</t>
        </is>
      </c>
      <c r="C25" s="43" t="n">
        <v>4691</v>
      </c>
      <c r="D25" s="43" t="n">
        <v>4841</v>
      </c>
      <c r="E25" s="43" t="n">
        <v>4927</v>
      </c>
      <c r="F25" s="43" t="n">
        <v>4836</v>
      </c>
      <c r="G25" s="43" t="n">
        <v>5113</v>
      </c>
      <c r="H25" s="43" t="n">
        <v>5512</v>
      </c>
      <c r="I25" s="43" t="n">
        <v>5727</v>
      </c>
      <c r="J25" s="43">
        <f>MIN($C$6*J24,I25+$C$11)</f>
        <v/>
      </c>
      <c r="K25" s="43">
        <f>MIN($C$6*K24,J25+$C$11)</f>
        <v/>
      </c>
      <c r="L25" s="43">
        <f>MIN($C$6*L24,K25+$C$11)</f>
        <v/>
      </c>
      <c r="M25" s="43">
        <f>MIN($C$6*M24,L25+$C$11)</f>
        <v/>
      </c>
      <c r="N25" s="43">
        <f>MIN($C$6*N24,M25+$C$11)</f>
        <v/>
      </c>
      <c r="O25" s="43">
        <f>MIN($C$6*O24,N25+$C$11)</f>
        <v/>
      </c>
    </row>
    <row r="27">
      <c r="B27" s="26" t="inlineStr">
        <is>
          <t>IMPLIED 5-MI OCCUPANCY BY DEMAND SCENARIO</t>
        </is>
      </c>
      <c r="J27" s="44" t="inlineStr">
        <is>
          <t>Y1</t>
        </is>
      </c>
      <c r="K27" s="44" t="inlineStr">
        <is>
          <t>Y2</t>
        </is>
      </c>
      <c r="L27" s="44" t="inlineStr">
        <is>
          <t>Y3</t>
        </is>
      </c>
      <c r="M27" s="44" t="inlineStr">
        <is>
          <t>Y4</t>
        </is>
      </c>
      <c r="N27" s="44" t="inlineStr">
        <is>
          <t>Y5</t>
        </is>
      </c>
      <c r="O27" s="44" t="inlineStr">
        <is>
          <t>Y6</t>
        </is>
      </c>
    </row>
    <row r="28">
      <c r="B28" s="26" t="inlineStr">
        <is>
          <t>Bear</t>
        </is>
      </c>
      <c r="J28" s="45">
        <f>MIN($C$6,($C$12+$C$8*1)/J24)</f>
        <v/>
      </c>
      <c r="K28" s="45">
        <f>MIN($C$6,($C$12+$C$8*2)/K24)</f>
        <v/>
      </c>
      <c r="L28" s="45">
        <f>MIN($C$6,($C$12+$C$8*3)/L24)</f>
        <v/>
      </c>
      <c r="M28" s="45">
        <f>MIN($C$6,($C$12+$C$8*4)/M24)</f>
        <v/>
      </c>
      <c r="N28" s="45">
        <f>MIN($C$6,($C$12+$C$8*5)/N24)</f>
        <v/>
      </c>
      <c r="O28" s="45">
        <f>MIN($C$6,($C$12+$C$8*6)/O24)</f>
        <v/>
      </c>
    </row>
    <row r="29">
      <c r="B29" s="26" t="inlineStr">
        <is>
          <t>Base</t>
        </is>
      </c>
      <c r="J29" s="45">
        <f>MIN($C$6,($C$12+$C$9*1)/J24)</f>
        <v/>
      </c>
      <c r="K29" s="45">
        <f>MIN($C$6,($C$12+$C$9*2)/K24)</f>
        <v/>
      </c>
      <c r="L29" s="45">
        <f>MIN($C$6,($C$12+$C$9*3)/L24)</f>
        <v/>
      </c>
      <c r="M29" s="45">
        <f>MIN($C$6,($C$12+$C$9*4)/M24)</f>
        <v/>
      </c>
      <c r="N29" s="45">
        <f>MIN($C$6,($C$12+$C$9*5)/N24)</f>
        <v/>
      </c>
      <c r="O29" s="45">
        <f>MIN($C$6,($C$12+$C$9*6)/O24)</f>
        <v/>
      </c>
    </row>
    <row r="30">
      <c r="B30" s="26" t="inlineStr">
        <is>
          <t>Bull</t>
        </is>
      </c>
      <c r="J30" s="45">
        <f>MIN($C$6,($C$12+$C$10*1)/J24)</f>
        <v/>
      </c>
      <c r="K30" s="45">
        <f>MIN($C$6,($C$12+$C$10*2)/K24)</f>
        <v/>
      </c>
      <c r="L30" s="45">
        <f>MIN($C$6,($C$12+$C$10*3)/L24)</f>
        <v/>
      </c>
      <c r="M30" s="45">
        <f>MIN($C$6,($C$12+$C$10*4)/M24)</f>
        <v/>
      </c>
      <c r="N30" s="45">
        <f>MIN($C$6,($C$12+$C$10*5)/N24)</f>
        <v/>
      </c>
      <c r="O30" s="45">
        <f>MIN($C$6,($C$12+$C$10*6)/O24)</f>
        <v/>
      </c>
    </row>
    <row r="32">
      <c r="B32" s="26" t="inlineStr">
        <is>
          <t>MARKET RENT GROWTH (editable assumptions)</t>
        </is>
      </c>
      <c r="J32" s="46" t="inlineStr">
        <is>
          <t>Y1</t>
        </is>
      </c>
      <c r="K32" s="46" t="inlineStr">
        <is>
          <t>Y2</t>
        </is>
      </c>
      <c r="L32" s="46" t="inlineStr">
        <is>
          <t>Y3</t>
        </is>
      </c>
      <c r="M32" s="46" t="inlineStr">
        <is>
          <t>Y4</t>
        </is>
      </c>
      <c r="N32" s="46" t="inlineStr">
        <is>
          <t>Y5</t>
        </is>
      </c>
      <c r="O32" s="46" t="inlineStr">
        <is>
          <t>Y6</t>
        </is>
      </c>
    </row>
    <row r="33">
      <c r="B33" s="26" t="inlineStr">
        <is>
          <t>Bear</t>
        </is>
      </c>
      <c r="J33" s="47" t="n">
        <v>-0.0025</v>
      </c>
      <c r="K33" s="47" t="n">
        <v>0.0175</v>
      </c>
      <c r="L33" s="47" t="n">
        <v>0.0275</v>
      </c>
      <c r="M33" s="47" t="n">
        <v>0.0375</v>
      </c>
      <c r="N33" s="47" t="n">
        <v>0.0275</v>
      </c>
      <c r="O33" s="47" t="n">
        <v>0.0175</v>
      </c>
    </row>
    <row r="34">
      <c r="B34" s="26" t="inlineStr">
        <is>
          <t>Base</t>
        </is>
      </c>
      <c r="J34" s="47" t="n">
        <v>0.01</v>
      </c>
      <c r="K34" s="47" t="n">
        <v>0.03</v>
      </c>
      <c r="L34" s="47" t="n">
        <v>0.04</v>
      </c>
      <c r="M34" s="47" t="n">
        <v>0.05</v>
      </c>
      <c r="N34" s="47" t="n">
        <v>0.04</v>
      </c>
      <c r="O34" s="47" t="n">
        <v>0.03</v>
      </c>
    </row>
    <row r="35">
      <c r="B35" s="26" t="inlineStr">
        <is>
          <t>Bull</t>
        </is>
      </c>
      <c r="J35" s="47" t="n">
        <v>0.02</v>
      </c>
      <c r="K35" s="47" t="n">
        <v>0.04</v>
      </c>
      <c r="L35" s="47" t="n">
        <v>0.05</v>
      </c>
      <c r="M35" s="47" t="n">
        <v>0.06</v>
      </c>
      <c r="N35" s="47" t="n">
        <v>0.05</v>
      </c>
      <c r="O35" s="47" t="n">
        <v>0.04</v>
      </c>
    </row>
    <row r="36">
      <c r="B36" s="26" t="inlineStr">
        <is>
          <t>CONCESSIONS (months, editable)</t>
        </is>
      </c>
    </row>
    <row r="37">
      <c r="B37" s="26" t="inlineStr">
        <is>
          <t>Bear</t>
        </is>
      </c>
      <c r="J37" s="47" t="n">
        <v>0.06</v>
      </c>
      <c r="K37" s="47" t="n">
        <v>0.045</v>
      </c>
      <c r="L37" s="47" t="n">
        <v>0.035</v>
      </c>
      <c r="M37" s="47" t="n">
        <v>0.035</v>
      </c>
      <c r="N37" s="47" t="n">
        <v>0.035</v>
      </c>
      <c r="O37" s="47" t="n">
        <v>0.035</v>
      </c>
    </row>
    <row r="38">
      <c r="B38" s="26" t="inlineStr">
        <is>
          <t>Base</t>
        </is>
      </c>
      <c r="J38" s="47" t="n">
        <v>0.03</v>
      </c>
      <c r="K38" s="47" t="n">
        <v>0.015</v>
      </c>
      <c r="L38" s="47" t="n">
        <v>0.005</v>
      </c>
      <c r="M38" s="47" t="n">
        <v>0.005</v>
      </c>
      <c r="N38" s="47" t="n">
        <v>0.005</v>
      </c>
      <c r="O38" s="47" t="n">
        <v>0.005</v>
      </c>
    </row>
    <row r="39">
      <c r="B39" s="26" t="inlineStr">
        <is>
          <t>Bull</t>
        </is>
      </c>
      <c r="J39" s="47" t="n">
        <v>0.02</v>
      </c>
      <c r="K39" s="47" t="n">
        <v>0.005</v>
      </c>
      <c r="L39" s="47" t="n">
        <v>0</v>
      </c>
      <c r="M39" s="47" t="n">
        <v>0</v>
      </c>
      <c r="N39" s="47" t="n">
        <v>0</v>
      </c>
      <c r="O39" s="47" t="n">
        <v>0</v>
      </c>
    </row>
    <row r="40">
      <c r="B40" s="26" t="inlineStr">
        <is>
          <t>EFFECTIVE RENT GROWTH (derived)</t>
        </is>
      </c>
    </row>
    <row r="41">
      <c r="B41" s="26" t="inlineStr">
        <is>
          <t>Bear</t>
        </is>
      </c>
      <c r="J41" s="45">
        <f>(1+J33)*(1-J37)-1</f>
        <v/>
      </c>
      <c r="K41" s="45">
        <f>(1+K33)*(1-K37)/(1-J37)-1</f>
        <v/>
      </c>
      <c r="L41" s="45">
        <f>(1+L33)*(1-L37)/(1-K37)-1</f>
        <v/>
      </c>
      <c r="M41" s="45">
        <f>(1+M33)*(1-M37)/(1-L37)-1</f>
        <v/>
      </c>
      <c r="N41" s="45">
        <f>(1+N33)*(1-N37)/(1-M37)-1</f>
        <v/>
      </c>
      <c r="O41" s="45">
        <f>(1+O33)*(1-O37)/(1-N37)-1</f>
        <v/>
      </c>
    </row>
    <row r="42">
      <c r="B42" s="26" t="inlineStr">
        <is>
          <t>Base</t>
        </is>
      </c>
      <c r="J42" s="45">
        <f>(1+J34)*(1-J38)-1</f>
        <v/>
      </c>
      <c r="K42" s="45">
        <f>(1+K34)*(1-K38)/(1-J38)-1</f>
        <v/>
      </c>
      <c r="L42" s="45">
        <f>(1+L34)*(1-L38)/(1-K38)-1</f>
        <v/>
      </c>
      <c r="M42" s="45">
        <f>(1+M34)*(1-M38)/(1-L38)-1</f>
        <v/>
      </c>
      <c r="N42" s="45">
        <f>(1+N34)*(1-N38)/(1-M38)-1</f>
        <v/>
      </c>
      <c r="O42" s="45">
        <f>(1+O34)*(1-O38)/(1-N38)-1</f>
        <v/>
      </c>
    </row>
    <row r="43">
      <c r="B43" s="26" t="inlineStr">
        <is>
          <t>Bull</t>
        </is>
      </c>
      <c r="J43" s="45">
        <f>(1+J35)*(1-J39)-1</f>
        <v/>
      </c>
      <c r="K43" s="45">
        <f>(1+K35)*(1-K39)/(1-J39)-1</f>
        <v/>
      </c>
      <c r="L43" s="45">
        <f>(1+L35)*(1-L39)/(1-K39)-1</f>
        <v/>
      </c>
      <c r="M43" s="45">
        <f>(1+M35)*(1-M39)/(1-L39)-1</f>
        <v/>
      </c>
      <c r="N43" s="45">
        <f>(1+N35)*(1-N39)/(1-M39)-1</f>
        <v/>
      </c>
      <c r="O43" s="45">
        <f>(1+O35)*(1-O39)/(1-N39)-1</f>
        <v/>
      </c>
    </row>
    <row r="44">
      <c r="B44" s="19" t="inlineStr">
        <is>
          <t>Reconciliation: scheduled pipeline (Incl=Y) vs CoStar Under Construction = 27 units.</t>
        </is>
      </c>
    </row>
    <row r="45">
      <c r="B45" s="19" t="inlineStr">
        <is>
          <t>Historical = CoStar 5-mi TTM actuals. Forecast: inventory += scheduled pipeline; occupied += selected demand (capped at target). Edit yellow cells (close quarter, demand scenario/levels, pipeline dates &amp; include, rent-growth &amp; concessions).</t>
        </is>
      </c>
    </row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5 U6 U7 U8 U9 U1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2026-06-19T20:06:49Z</dcterms:created>
  <dcterms:modified xsi:type="dcterms:W3CDTF">2026-06-19T20:06:49Z</dcterms:modified>
</cp:coreProperties>
</file>