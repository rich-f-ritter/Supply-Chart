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7" t="n"/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7" t="n"/>
      <c r="J8" s="7" t="inlineStr">
        <is>
          <t>Mid-Rise</t>
        </is>
      </c>
      <c r="K8" s="8" t="n"/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Harris Ranch East</t>
        </is>
      </c>
      <c r="D11" s="16" t="n">
        <v>59</v>
      </c>
      <c r="E11" s="14" t="inlineStr">
        <is>
          <t>Q4 2026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Single Family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Station Village</t>
        </is>
      </c>
      <c r="D12" s="16" t="n">
        <v>84</v>
      </c>
      <c r="E12" s="14" t="inlineStr">
        <is>
          <t>Q2 2027</t>
        </is>
      </c>
      <c r="F12" s="17" t="n"/>
      <c r="G12" s="18" t="inlineStr">
        <is>
          <t>—</t>
        </is>
      </c>
      <c r="H12" s="15" t="inlineStr">
        <is>
          <t>Privately Owned</t>
        </is>
      </c>
      <c r="I12" s="14" t="n"/>
      <c r="J12" s="14" t="inlineStr">
        <is>
          <t>Garden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1519 South Londoner Avenue</t>
        </is>
      </c>
      <c r="D13" s="16" t="n">
        <v>189</v>
      </c>
      <c r="E13" s="14" t="inlineStr">
        <is>
          <t>Q3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Seasons on the Bench</t>
        </is>
      </c>
      <c r="D14" s="16" t="n">
        <v>358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3300 South Vista Avenue</t>
        </is>
      </c>
      <c r="D15" s="16" t="n">
        <v>180</v>
      </c>
      <c r="E15" s="14" t="inlineStr">
        <is>
          <t>Q1 2028</t>
        </is>
      </c>
      <c r="F15" s="17" t="n"/>
      <c r="G15" s="18" t="inlineStr">
        <is>
          <t>—</t>
        </is>
      </c>
      <c r="H15" s="15" t="inlineStr">
        <is>
          <t>—</t>
        </is>
      </c>
      <c r="I15" s="14" t="n"/>
      <c r="J15" s="14" t="inlineStr">
        <is>
          <t>Mid-Rise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Vista Point</t>
        </is>
      </c>
      <c r="D16" s="16" t="n">
        <v>893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Mid-Rise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1" t="inlineStr">
        <is>
          <t>As-of Quarter</t>
        </is>
      </c>
      <c r="C4" s="22" t="inlineStr">
        <is>
          <t>Q2 2026</t>
        </is>
      </c>
      <c r="R4" s="23" t="inlineStr">
        <is>
          <t>Property</t>
        </is>
      </c>
      <c r="S4" s="23" t="inlineStr">
        <is>
          <t>Units</t>
        </is>
      </c>
      <c r="T4" s="23" t="inlineStr">
        <is>
          <t>Est. Delivery</t>
        </is>
      </c>
    </row>
    <row r="5" ht="14.4" customHeight="1">
      <c r="B5" s="21" t="inlineStr">
        <is>
          <t>Close Quarter (Y1 start)</t>
        </is>
      </c>
      <c r="C5" s="24" t="inlineStr">
        <is>
          <t>Q4 2026</t>
        </is>
      </c>
    </row>
    <row r="6" ht="14.4" customHeight="1">
      <c r="B6" s="21" t="inlineStr">
        <is>
          <t>Stabilization Target</t>
        </is>
      </c>
      <c r="C6" s="25" t="n">
        <v>0.95</v>
      </c>
    </row>
    <row r="7" ht="14.4" customHeight="1">
      <c r="B7" s="21" t="inlineStr">
        <is>
          <t>Demand Scenario</t>
        </is>
      </c>
      <c r="C7" s="24" t="inlineStr">
        <is>
          <t>Base</t>
        </is>
      </c>
      <c r="R7" s="20" t="inlineStr">
        <is>
          <t>PROPOSED PIPELINE (scenario toggle)</t>
        </is>
      </c>
    </row>
    <row r="8" ht="14.4" customHeight="1">
      <c r="B8" s="21" t="inlineStr">
        <is>
          <t>Bear Annual Absorption</t>
        </is>
      </c>
      <c r="C8" s="26" t="n">
        <v>150</v>
      </c>
      <c r="R8" s="23" t="inlineStr">
        <is>
          <t>Property</t>
        </is>
      </c>
      <c r="S8" s="23" t="inlineStr">
        <is>
          <t>Units</t>
        </is>
      </c>
      <c r="T8" s="23" t="inlineStr">
        <is>
          <t>Est. Delivery</t>
        </is>
      </c>
      <c r="U8" s="23" t="inlineStr">
        <is>
          <t>Built In</t>
        </is>
      </c>
    </row>
    <row r="9" ht="14.4" customHeight="1">
      <c r="B9" s="21" t="inlineStr">
        <is>
          <t>Base Annual Absorption</t>
        </is>
      </c>
      <c r="C9" s="26" t="n">
        <v>300</v>
      </c>
      <c r="R9" s="27" t="inlineStr">
        <is>
          <t>Vista Point</t>
        </is>
      </c>
      <c r="S9" s="28" t="n">
        <v>893</v>
      </c>
      <c r="T9" s="29" t="inlineStr">
        <is>
          <t>Q2 2028</t>
        </is>
      </c>
      <c r="U9" s="29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1" t="inlineStr">
        <is>
          <t>Bull Annual Absorption</t>
        </is>
      </c>
      <c r="C10" s="26" t="n">
        <v>450</v>
      </c>
      <c r="R10" s="27" t="inlineStr">
        <is>
          <t>Seasons on the Bench</t>
        </is>
      </c>
      <c r="S10" s="28" t="n">
        <v>358</v>
      </c>
      <c r="T10" s="29" t="inlineStr">
        <is>
          <t>Q4 2027</t>
        </is>
      </c>
      <c r="U10" s="29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1" t="inlineStr">
        <is>
          <t>Selected Annual Demand</t>
        </is>
      </c>
      <c r="C11" s="30">
        <f>IF($C$7="Bear",$C$8,IF($C$7="Bull",$C$10,$C$9))</f>
        <v/>
      </c>
      <c r="R11" s="27" t="inlineStr">
        <is>
          <t>1519 South Londoner Avenue</t>
        </is>
      </c>
      <c r="S11" s="28" t="n">
        <v>189</v>
      </c>
      <c r="T11" s="29" t="inlineStr">
        <is>
          <t>Q3 2027</t>
        </is>
      </c>
      <c r="U11" s="29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7" t="inlineStr">
        <is>
          <t>3300 South Vista Avenue</t>
        </is>
      </c>
      <c r="S12" s="28" t="n">
        <v>180</v>
      </c>
      <c r="T12" s="29" t="inlineStr">
        <is>
          <t>Q1 2028</t>
        </is>
      </c>
      <c r="U12" s="29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7" t="inlineStr">
        <is>
          <t>Station Village</t>
        </is>
      </c>
      <c r="S13" s="28" t="n">
        <v>84</v>
      </c>
      <c r="T13" s="29" t="inlineStr">
        <is>
          <t>Q2 2027</t>
        </is>
      </c>
      <c r="U13" s="2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7" t="inlineStr">
        <is>
          <t>Harris Ranch East</t>
        </is>
      </c>
      <c r="S14" s="28" t="n">
        <v>59</v>
      </c>
      <c r="T14" s="29" t="inlineStr">
        <is>
          <t>Q4 2026</t>
        </is>
      </c>
      <c r="U14" s="2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1" t="inlineStr">
        <is>
          <t>Y1</t>
        </is>
      </c>
      <c r="K17" s="31" t="inlineStr">
        <is>
          <t>Y2</t>
        </is>
      </c>
      <c r="L17" s="31" t="inlineStr">
        <is>
          <t>Y3</t>
        </is>
      </c>
      <c r="M17" s="31" t="inlineStr">
        <is>
          <t>Y4</t>
        </is>
      </c>
      <c r="N17" s="31" t="inlineStr">
        <is>
          <t>Y5</t>
        </is>
      </c>
      <c r="O17" s="31" t="inlineStr">
        <is>
          <t>Y6</t>
        </is>
      </c>
    </row>
    <row r="18" ht="14.4" customHeight="1">
      <c r="C18" s="32" t="inlineStr">
        <is>
          <t>Q3'19-Q2'20</t>
        </is>
      </c>
      <c r="D18" s="32" t="inlineStr">
        <is>
          <t>Q3'20-Q2'21</t>
        </is>
      </c>
      <c r="E18" s="32" t="inlineStr">
        <is>
          <t>Q3'21-Q2'22</t>
        </is>
      </c>
      <c r="F18" s="32" t="inlineStr">
        <is>
          <t>Q3'22-Q2'23</t>
        </is>
      </c>
      <c r="G18" s="32" t="inlineStr">
        <is>
          <t>Q3'23-Q2'24</t>
        </is>
      </c>
      <c r="H18" s="32" t="inlineStr">
        <is>
          <t>Q3'24-Q2'25</t>
        </is>
      </c>
      <c r="I18" s="32" t="inlineStr">
        <is>
          <t>Q3'25-Q2'26</t>
        </is>
      </c>
      <c r="J18" s="32" t="inlineStr">
        <is>
          <t>Hold Yr 1</t>
        </is>
      </c>
      <c r="K18" s="32" t="inlineStr">
        <is>
          <t>Hold Yr 2</t>
        </is>
      </c>
      <c r="L18" s="32" t="inlineStr">
        <is>
          <t>Hold Yr 3</t>
        </is>
      </c>
      <c r="M18" s="32" t="inlineStr">
        <is>
          <t>Hold Yr 4</t>
        </is>
      </c>
      <c r="N18" s="32" t="inlineStr">
        <is>
          <t>Hold Yr 5</t>
        </is>
      </c>
      <c r="O18" s="32" t="inlineStr">
        <is>
          <t>Hold Yr 6</t>
        </is>
      </c>
    </row>
    <row r="19" ht="14.4" customHeight="1">
      <c r="B19" s="21" t="inlineStr">
        <is>
          <t>NEW SUPPLY (5-mi)</t>
        </is>
      </c>
      <c r="C19" s="33" t="n">
        <v>213</v>
      </c>
      <c r="D19" s="33" t="n">
        <v>237</v>
      </c>
      <c r="E19" s="33" t="n">
        <v>33</v>
      </c>
      <c r="F19" s="33" t="n">
        <v>289</v>
      </c>
      <c r="G19" s="33" t="n">
        <v>178</v>
      </c>
      <c r="H19" s="33" t="n">
        <v>334</v>
      </c>
      <c r="I19" s="33" t="n">
        <v>9</v>
      </c>
      <c r="J19" s="34">
        <f>SUMIFS($S$5:$S$5,$W$5:$W$5,1)+SUMIFS($S$9:$S$14,$W$9:$W$14,1,$X$9:$X$14,1)</f>
        <v/>
      </c>
      <c r="K19" s="34">
        <f>SUMIFS($S$5:$S$5,$W$5:$W$5,2)+SUMIFS($S$9:$S$14,$W$9:$W$14,2,$X$9:$X$14,1)</f>
        <v/>
      </c>
      <c r="L19" s="34">
        <f>SUMIFS($S$5:$S$5,$W$5:$W$5,3)+SUMIFS($S$9:$S$14,$W$9:$W$14,3,$X$9:$X$14,1)</f>
        <v/>
      </c>
      <c r="M19" s="34">
        <f>SUMIFS($S$5:$S$5,$W$5:$W$5,4)+SUMIFS($S$9:$S$14,$W$9:$W$14,4,$X$9:$X$14,1)</f>
        <v/>
      </c>
      <c r="N19" s="34">
        <f>SUMIFS($S$5:$S$5,$W$5:$W$5,5)+SUMIFS($S$9:$S$14,$W$9:$W$14,5,$X$9:$X$14,1)</f>
        <v/>
      </c>
      <c r="O19" s="34">
        <f>SUMIFS($S$5:$S$5,$W$5:$W$5,6)+SUMIFS($S$9:$S$14,$W$9:$W$14,6,$X$9:$X$14,1)</f>
        <v/>
      </c>
    </row>
    <row r="20" ht="14.4" customHeight="1">
      <c r="B20" s="21" t="inlineStr">
        <is>
          <t>ABSORPTION (5-mi)</t>
        </is>
      </c>
      <c r="C20" s="33" t="n">
        <v>213</v>
      </c>
      <c r="D20" s="33" t="n">
        <v>150</v>
      </c>
      <c r="E20" s="33" t="n">
        <v>86</v>
      </c>
      <c r="F20" s="33" t="n">
        <v>-91</v>
      </c>
      <c r="G20" s="33" t="n">
        <v>277</v>
      </c>
      <c r="H20" s="33" t="n">
        <v>399</v>
      </c>
      <c r="I20" s="33" t="n">
        <v>216</v>
      </c>
      <c r="J20" s="34">
        <f>J31-I31</f>
        <v/>
      </c>
      <c r="K20" s="34">
        <f>K31-J31</f>
        <v/>
      </c>
      <c r="L20" s="34">
        <f>L31-K31</f>
        <v/>
      </c>
      <c r="M20" s="34">
        <f>M31-L31</f>
        <v/>
      </c>
      <c r="N20" s="34">
        <f>N31-M31</f>
        <v/>
      </c>
      <c r="O20" s="34">
        <f>O31-N31</f>
        <v/>
      </c>
    </row>
    <row r="21" ht="14.4" customHeight="1">
      <c r="B21" s="21" t="inlineStr">
        <is>
          <t>OCCUPANCY (5-mi)</t>
        </is>
      </c>
      <c r="C21" s="35" t="n">
        <v>0.968</v>
      </c>
      <c r="D21" s="35" t="n">
        <v>0.953</v>
      </c>
      <c r="E21" s="35" t="n">
        <v>0.963</v>
      </c>
      <c r="F21" s="35" t="n">
        <v>0.895</v>
      </c>
      <c r="G21" s="35" t="n">
        <v>0.916</v>
      </c>
      <c r="H21" s="35" t="n">
        <v>0.9320000000000001</v>
      </c>
      <c r="I21" s="35" t="n">
        <v>0.967</v>
      </c>
      <c r="J21" s="36">
        <f>IFERROR(J31/J30,0)</f>
        <v/>
      </c>
      <c r="K21" s="36">
        <f>IFERROR(K31/K30,0)</f>
        <v/>
      </c>
      <c r="L21" s="36">
        <f>IFERROR(L31/L30,0)</f>
        <v/>
      </c>
      <c r="M21" s="36">
        <f>IFERROR(M31/M30,0)</f>
        <v/>
      </c>
      <c r="N21" s="36">
        <f>IFERROR(N31/N30,0)</f>
        <v/>
      </c>
      <c r="O21" s="36">
        <f>IFERROR(O31/O30,0)</f>
        <v/>
      </c>
    </row>
    <row r="22" ht="14.4" customHeight="1">
      <c r="B22" s="21" t="inlineStr">
        <is>
          <t>SUBJECT (Canyon Ridge)</t>
        </is>
      </c>
    </row>
    <row r="23" ht="14.4" customHeight="1">
      <c r="B23" s="21" t="inlineStr">
        <is>
          <t xml:space="preserve">  Market Rent  (CoStar→HD)</t>
        </is>
      </c>
      <c r="C23" s="37" t="n"/>
      <c r="D23" s="37" t="n"/>
      <c r="E23" s="37" t="n"/>
      <c r="F23" s="37" t="n"/>
      <c r="G23" s="37" t="n"/>
      <c r="H23" s="37" t="n"/>
      <c r="I23" s="37" t="n"/>
      <c r="J23" s="38" t="n"/>
      <c r="K23" s="38" t="n"/>
      <c r="L23" s="38" t="n"/>
      <c r="M23" s="38" t="n"/>
      <c r="N23" s="38" t="n"/>
      <c r="O23" s="38" t="n"/>
    </row>
    <row r="24" ht="14.4" customHeight="1">
      <c r="B24" s="39" t="inlineStr">
        <is>
          <t xml:space="preserve">    Market Rent YoY %</t>
        </is>
      </c>
      <c r="C24" s="40" t="n"/>
      <c r="D24" s="40">
        <f>IFERROR(D23/C23-1,"")</f>
        <v/>
      </c>
      <c r="E24" s="40">
        <f>IFERROR(E23/D23-1,"")</f>
        <v/>
      </c>
      <c r="F24" s="40">
        <f>IFERROR(F23/E23-1,"")</f>
        <v/>
      </c>
      <c r="G24" s="40">
        <f>IFERROR(G23/F23-1,"")</f>
        <v/>
      </c>
      <c r="H24" s="40">
        <f>IFERROR(H23/G23-1,"")</f>
        <v/>
      </c>
      <c r="I24" s="40">
        <f>IFERROR(I23/H23-1,"")</f>
        <v/>
      </c>
      <c r="J24" s="41" t="n"/>
      <c r="K24" s="41" t="n"/>
      <c r="L24" s="41" t="n"/>
      <c r="M24" s="41" t="n"/>
      <c r="N24" s="41" t="n"/>
      <c r="O24" s="41" t="n"/>
    </row>
    <row r="25" ht="14.4" customHeight="1">
      <c r="B25" s="21" t="inlineStr">
        <is>
          <t xml:space="preserve">  Effective Rent</t>
        </is>
      </c>
      <c r="C25" s="37" t="n"/>
      <c r="D25" s="37" t="n"/>
      <c r="E25" s="37" t="n"/>
      <c r="F25" s="37" t="n"/>
      <c r="G25" s="37" t="n"/>
      <c r="H25" s="37" t="n"/>
      <c r="I25" s="37" t="n"/>
      <c r="J25" s="38" t="n"/>
      <c r="K25" s="38" t="n"/>
      <c r="L25" s="38" t="n"/>
      <c r="M25" s="38" t="n"/>
      <c r="N25" s="38" t="n"/>
      <c r="O25" s="38" t="n"/>
    </row>
    <row r="26" ht="14.4" customHeight="1">
      <c r="B26" s="39" t="inlineStr">
        <is>
          <t xml:space="preserve">    Effective Rent YoY %</t>
        </is>
      </c>
      <c r="C26" s="40" t="n"/>
      <c r="D26" s="40">
        <f>IFERROR(D25/C25-1,"")</f>
        <v/>
      </c>
      <c r="E26" s="40">
        <f>IFERROR(E25/D25-1,"")</f>
        <v/>
      </c>
      <c r="F26" s="40">
        <f>IFERROR(F25/E25-1,"")</f>
        <v/>
      </c>
      <c r="G26" s="40">
        <f>IFERROR(G25/F25-1,"")</f>
        <v/>
      </c>
      <c r="H26" s="40">
        <f>IFERROR(H25/G25-1,"")</f>
        <v/>
      </c>
      <c r="I26" s="40">
        <f>IFERROR(I25/H25-1,"")</f>
        <v/>
      </c>
      <c r="J26" s="41" t="n"/>
      <c r="K26" s="41" t="n"/>
      <c r="L26" s="41" t="n"/>
      <c r="M26" s="41" t="n"/>
      <c r="N26" s="41" t="n"/>
      <c r="O26" s="41" t="n"/>
    </row>
    <row r="27" ht="14.4" customHeight="1">
      <c r="B27" s="21" t="inlineStr">
        <is>
          <t xml:space="preserve">  Occupancy (financials / CoStar)</t>
        </is>
      </c>
      <c r="C27" s="42" t="n"/>
      <c r="D27" s="42" t="n"/>
      <c r="E27" s="42" t="n"/>
      <c r="F27" s="42" t="n"/>
      <c r="G27" s="42" t="n"/>
      <c r="H27" s="42" t="n"/>
      <c r="I27" s="42" t="n"/>
      <c r="J27" s="43" t="n"/>
      <c r="K27" s="43" t="n"/>
      <c r="L27" s="43" t="n"/>
      <c r="M27" s="43" t="n"/>
      <c r="N27" s="43" t="n"/>
      <c r="O27" s="43" t="n"/>
    </row>
    <row r="28" ht="14.4" customHeight="1">
      <c r="B28" s="21" t="inlineStr">
        <is>
          <t xml:space="preserve">  Concession %</t>
        </is>
      </c>
      <c r="C28" s="42" t="n"/>
      <c r="D28" s="42" t="n"/>
      <c r="E28" s="42" t="n"/>
      <c r="F28" s="42" t="n"/>
      <c r="G28" s="42" t="n"/>
      <c r="H28" s="42" t="n"/>
      <c r="I28" s="42" t="n"/>
      <c r="J28" s="43" t="n"/>
      <c r="K28" s="43" t="n"/>
      <c r="L28" s="43" t="n"/>
      <c r="M28" s="43" t="n"/>
      <c r="N28" s="43" t="n"/>
      <c r="O28" s="43" t="n"/>
    </row>
    <row r="29" ht="14.4" customHeight="1"/>
    <row r="30" hidden="1" ht="14.4" customHeight="1">
      <c r="B30" s="19" t="inlineStr">
        <is>
          <t xml:space="preserve">  inventory</t>
        </is>
      </c>
      <c r="C30" s="44" t="n">
        <v>4845</v>
      </c>
      <c r="D30" s="44" t="n">
        <v>5082</v>
      </c>
      <c r="E30" s="44" t="n">
        <v>5115</v>
      </c>
      <c r="F30" s="44" t="n">
        <v>5404</v>
      </c>
      <c r="G30" s="44" t="n">
        <v>5582</v>
      </c>
      <c r="H30" s="44" t="n">
        <v>5916</v>
      </c>
      <c r="I30" s="44" t="n">
        <v>5925</v>
      </c>
      <c r="J30" s="44">
        <f>I30+J19</f>
        <v/>
      </c>
      <c r="K30" s="44">
        <f>J30+K19</f>
        <v/>
      </c>
      <c r="L30" s="44">
        <f>K30+L19</f>
        <v/>
      </c>
      <c r="M30" s="44">
        <f>L30+M19</f>
        <v/>
      </c>
      <c r="N30" s="44">
        <f>M30+N19</f>
        <v/>
      </c>
      <c r="O30" s="44">
        <f>N30+O19</f>
        <v/>
      </c>
    </row>
    <row r="31" hidden="1" ht="14.4" customHeight="1">
      <c r="B31" s="19" t="inlineStr">
        <is>
          <t xml:space="preserve">  occupied</t>
        </is>
      </c>
      <c r="C31" s="44" t="n">
        <v>4691</v>
      </c>
      <c r="D31" s="44" t="n">
        <v>4841</v>
      </c>
      <c r="E31" s="44" t="n">
        <v>4927</v>
      </c>
      <c r="F31" s="44" t="n">
        <v>4836</v>
      </c>
      <c r="G31" s="44" t="n">
        <v>5113</v>
      </c>
      <c r="H31" s="44" t="n">
        <v>5512</v>
      </c>
      <c r="I31" s="44" t="n">
        <v>5727</v>
      </c>
      <c r="J31" s="44">
        <f>MIN($C$6*J30,I31+$C$11)</f>
        <v/>
      </c>
      <c r="K31" s="44">
        <f>MIN($C$6*K30,J31+$C$11)</f>
        <v/>
      </c>
      <c r="L31" s="44">
        <f>MIN($C$6*L30,K31+$C$11)</f>
        <v/>
      </c>
      <c r="M31" s="44">
        <f>MIN($C$6*M30,L31+$C$11)</f>
        <v/>
      </c>
      <c r="N31" s="44">
        <f>MIN($C$6*N30,M31+$C$11)</f>
        <v/>
      </c>
      <c r="O31" s="44">
        <f>MIN($C$6*O30,N31+$C$11)</f>
        <v/>
      </c>
    </row>
    <row r="32" ht="14.4" customHeight="1"/>
    <row r="33" ht="14.4" customHeight="1">
      <c r="B33" s="21" t="inlineStr">
        <is>
          <t>IMPLIED 5-MI OCCUPANCY BY DEMAND SCENARIO</t>
        </is>
      </c>
      <c r="J33" s="45" t="inlineStr">
        <is>
          <t>Y1</t>
        </is>
      </c>
      <c r="K33" s="45" t="inlineStr">
        <is>
          <t>Y2</t>
        </is>
      </c>
      <c r="L33" s="45" t="inlineStr">
        <is>
          <t>Y3</t>
        </is>
      </c>
      <c r="M33" s="45" t="inlineStr">
        <is>
          <t>Y4</t>
        </is>
      </c>
      <c r="N33" s="45" t="inlineStr">
        <is>
          <t>Y5</t>
        </is>
      </c>
      <c r="O33" s="45" t="inlineStr">
        <is>
          <t>Y6</t>
        </is>
      </c>
    </row>
    <row r="34" ht="14.4" customHeight="1">
      <c r="B34" s="21" t="inlineStr">
        <is>
          <t>Bear</t>
        </is>
      </c>
      <c r="J34" s="46">
        <f>MIN($C$6,($I$31+$C$8*1)/J30)</f>
        <v/>
      </c>
      <c r="K34" s="46">
        <f>MIN($C$6,($I$31+$C$8*2)/K30)</f>
        <v/>
      </c>
      <c r="L34" s="46">
        <f>MIN($C$6,($I$31+$C$8*3)/L30)</f>
        <v/>
      </c>
      <c r="M34" s="46">
        <f>MIN($C$6,($I$31+$C$8*4)/M30)</f>
        <v/>
      </c>
      <c r="N34" s="46">
        <f>MIN($C$6,($I$31+$C$8*5)/N30)</f>
        <v/>
      </c>
      <c r="O34" s="46">
        <f>MIN($C$6,($I$31+$C$8*6)/O30)</f>
        <v/>
      </c>
    </row>
    <row r="35" ht="14.4" customHeight="1">
      <c r="B35" s="21" t="inlineStr">
        <is>
          <t>Base</t>
        </is>
      </c>
      <c r="J35" s="46">
        <f>MIN($C$6,($I$31+$C$9*1)/J30)</f>
        <v/>
      </c>
      <c r="K35" s="46">
        <f>MIN($C$6,($I$31+$C$9*2)/K30)</f>
        <v/>
      </c>
      <c r="L35" s="46">
        <f>MIN($C$6,($I$31+$C$9*3)/L30)</f>
        <v/>
      </c>
      <c r="M35" s="46">
        <f>MIN($C$6,($I$31+$C$9*4)/M30)</f>
        <v/>
      </c>
      <c r="N35" s="46">
        <f>MIN($C$6,($I$31+$C$9*5)/N30)</f>
        <v/>
      </c>
      <c r="O35" s="46">
        <f>MIN($C$6,($I$31+$C$9*6)/O30)</f>
        <v/>
      </c>
    </row>
    <row r="36" ht="14.4" customHeight="1">
      <c r="B36" s="21" t="inlineStr">
        <is>
          <t>Bull</t>
        </is>
      </c>
      <c r="J36" s="46">
        <f>MIN($C$6,($I$31+$C$10*1)/J30)</f>
        <v/>
      </c>
      <c r="K36" s="46">
        <f>MIN($C$6,($I$31+$C$10*2)/K30)</f>
        <v/>
      </c>
      <c r="L36" s="46">
        <f>MIN($C$6,($I$31+$C$10*3)/L30)</f>
        <v/>
      </c>
      <c r="M36" s="46">
        <f>MIN($C$6,($I$31+$C$10*4)/M30)</f>
        <v/>
      </c>
      <c r="N36" s="46">
        <f>MIN($C$6,($I$31+$C$10*5)/N30)</f>
        <v/>
      </c>
      <c r="O36" s="46">
        <f>MIN($C$6,($I$31+$C$10*6)/O30)</f>
        <v/>
      </c>
    </row>
    <row r="37" ht="14.4" customHeight="1"/>
    <row r="38" ht="14.4" customHeight="1">
      <c r="B38" s="21" t="inlineStr">
        <is>
          <t>MARKET RENT GROWTH (editable assumptions)</t>
        </is>
      </c>
      <c r="J38" s="47" t="inlineStr">
        <is>
          <t>Y1</t>
        </is>
      </c>
      <c r="K38" s="47" t="inlineStr">
        <is>
          <t>Y2</t>
        </is>
      </c>
      <c r="L38" s="47" t="inlineStr">
        <is>
          <t>Y3</t>
        </is>
      </c>
      <c r="M38" s="47" t="inlineStr">
        <is>
          <t>Y4</t>
        </is>
      </c>
      <c r="N38" s="47" t="inlineStr">
        <is>
          <t>Y5</t>
        </is>
      </c>
      <c r="O38" s="47" t="inlineStr">
        <is>
          <t>Y6</t>
        </is>
      </c>
    </row>
    <row r="39" ht="14.4" customHeight="1">
      <c r="B39" s="21" t="inlineStr">
        <is>
          <t>Bear</t>
        </is>
      </c>
      <c r="J39" s="48" t="n">
        <v>-0.0025</v>
      </c>
      <c r="K39" s="48" t="n">
        <v>0.0175</v>
      </c>
      <c r="L39" s="48" t="n">
        <v>0.0275</v>
      </c>
      <c r="M39" s="48" t="n">
        <v>0.0375</v>
      </c>
      <c r="N39" s="48" t="n">
        <v>0.0275</v>
      </c>
      <c r="O39" s="48" t="n">
        <v>0.0175</v>
      </c>
    </row>
    <row r="40" ht="14.4" customHeight="1">
      <c r="B40" s="21" t="inlineStr">
        <is>
          <t>Base</t>
        </is>
      </c>
      <c r="J40" s="48" t="n">
        <v>0.01</v>
      </c>
      <c r="K40" s="48" t="n">
        <v>0.03</v>
      </c>
      <c r="L40" s="48" t="n">
        <v>0.04</v>
      </c>
      <c r="M40" s="48" t="n">
        <v>0.05</v>
      </c>
      <c r="N40" s="48" t="n">
        <v>0.04</v>
      </c>
      <c r="O40" s="48" t="n">
        <v>0.03</v>
      </c>
    </row>
    <row r="41" ht="14.4" customHeight="1">
      <c r="B41" s="21" t="inlineStr">
        <is>
          <t>Bull</t>
        </is>
      </c>
      <c r="J41" s="48" t="n">
        <v>0.02</v>
      </c>
      <c r="K41" s="48" t="n">
        <v>0.04</v>
      </c>
      <c r="L41" s="48" t="n">
        <v>0.05</v>
      </c>
      <c r="M41" s="48" t="n">
        <v>0.06</v>
      </c>
      <c r="N41" s="48" t="n">
        <v>0.05</v>
      </c>
      <c r="O41" s="48" t="n">
        <v>0.04</v>
      </c>
    </row>
    <row r="42" ht="14.4" customHeight="1">
      <c r="B42" s="21" t="inlineStr">
        <is>
          <t>CONCESSIONS % — forward assumption (editable)</t>
        </is>
      </c>
    </row>
    <row r="43" ht="14.4" customHeight="1">
      <c r="B43" s="21" t="inlineStr">
        <is>
          <t>Bear</t>
        </is>
      </c>
      <c r="J43" s="48" t="n">
        <v>0.06</v>
      </c>
      <c r="K43" s="48" t="n">
        <v>0.045</v>
      </c>
      <c r="L43" s="48" t="n">
        <v>0.035</v>
      </c>
      <c r="M43" s="48" t="n">
        <v>0.035</v>
      </c>
      <c r="N43" s="48" t="n">
        <v>0.035</v>
      </c>
      <c r="O43" s="48" t="n">
        <v>0.035</v>
      </c>
    </row>
    <row r="44" ht="14.4" customHeight="1">
      <c r="B44" s="21" t="inlineStr">
        <is>
          <t>Base</t>
        </is>
      </c>
      <c r="J44" s="48" t="n">
        <v>0.03</v>
      </c>
      <c r="K44" s="48" t="n">
        <v>0.015</v>
      </c>
      <c r="L44" s="48" t="n">
        <v>0.005</v>
      </c>
      <c r="M44" s="48" t="n">
        <v>0.005</v>
      </c>
      <c r="N44" s="48" t="n">
        <v>0.005</v>
      </c>
      <c r="O44" s="48" t="n">
        <v>0.005</v>
      </c>
    </row>
    <row r="45" ht="14.4" customHeight="1">
      <c r="B45" s="21" t="inlineStr">
        <is>
          <t>Bull</t>
        </is>
      </c>
      <c r="J45" s="48" t="n">
        <v>0.02</v>
      </c>
      <c r="K45" s="48" t="n">
        <v>0.005</v>
      </c>
      <c r="L45" s="48" t="n">
        <v>0</v>
      </c>
      <c r="M45" s="48" t="n">
        <v>0</v>
      </c>
      <c r="N45" s="48" t="n">
        <v>0</v>
      </c>
      <c r="O45" s="48" t="n">
        <v>0</v>
      </c>
    </row>
    <row r="46" ht="14.4" customHeight="1">
      <c r="B46" s="21" t="inlineStr">
        <is>
          <t>EFFECTIVE RENT GROWTH (derived)</t>
        </is>
      </c>
    </row>
    <row r="47" ht="14.4" customHeight="1">
      <c r="B47" s="21" t="inlineStr">
        <is>
          <t>Bear</t>
        </is>
      </c>
      <c r="J47" s="46">
        <f>(1+J39)*(1-J43)-1</f>
        <v/>
      </c>
      <c r="K47" s="46">
        <f>(1+K39)*(1-K43)/(1-J43)-1</f>
        <v/>
      </c>
      <c r="L47" s="46">
        <f>(1+L39)*(1-L43)/(1-K43)-1</f>
        <v/>
      </c>
      <c r="M47" s="46">
        <f>(1+M39)*(1-M43)/(1-L43)-1</f>
        <v/>
      </c>
      <c r="N47" s="46">
        <f>(1+N39)*(1-N43)/(1-M43)-1</f>
        <v/>
      </c>
      <c r="O47" s="46">
        <f>(1+O39)*(1-O43)/(1-N43)-1</f>
        <v/>
      </c>
    </row>
    <row r="48" ht="14.4" customHeight="1">
      <c r="B48" s="21" t="inlineStr">
        <is>
          <t>Base</t>
        </is>
      </c>
      <c r="J48" s="46">
        <f>(1+J40)*(1-J44)-1</f>
        <v/>
      </c>
      <c r="K48" s="46">
        <f>(1+K40)*(1-K44)/(1-J44)-1</f>
        <v/>
      </c>
      <c r="L48" s="46">
        <f>(1+L40)*(1-L44)/(1-K44)-1</f>
        <v/>
      </c>
      <c r="M48" s="46">
        <f>(1+M40)*(1-M44)/(1-L44)-1</f>
        <v/>
      </c>
      <c r="N48" s="46">
        <f>(1+N40)*(1-N44)/(1-M44)-1</f>
        <v/>
      </c>
      <c r="O48" s="46">
        <f>(1+O40)*(1-O44)/(1-N44)-1</f>
        <v/>
      </c>
    </row>
    <row r="49" ht="14.4" customHeight="1">
      <c r="B49" s="21" t="inlineStr">
        <is>
          <t>Bull</t>
        </is>
      </c>
      <c r="J49" s="46">
        <f>(1+J41)*(1-J45)-1</f>
        <v/>
      </c>
      <c r="K49" s="46">
        <f>(1+K41)*(1-K45)/(1-J45)-1</f>
        <v/>
      </c>
      <c r="L49" s="46">
        <f>(1+L41)*(1-L45)/(1-K45)-1</f>
        <v/>
      </c>
      <c r="M49" s="46">
        <f>(1+M41)*(1-M45)/(1-L45)-1</f>
        <v/>
      </c>
      <c r="N49" s="46">
        <f>(1+N41)*(1-N45)/(1-M45)-1</f>
        <v/>
      </c>
      <c r="O49" s="46">
        <f>(1+O41)*(1-O45)/(1-N45)-1</f>
        <v/>
      </c>
    </row>
    <row r="50" ht="14.4" customHeight="1"/>
    <row r="51" ht="14.4" customHeight="1">
      <c r="B51" s="47" t="inlineStr">
        <is>
          <t>▸ DETAIL: subject rent source by year &amp; reconciliation (grouped — click − to collapse)</t>
        </is>
      </c>
    </row>
    <row r="52" hidden="1" outlineLevel="1" ht="14.4" customHeight="1">
      <c r="B52" s="49" t="inlineStr">
        <is>
          <t xml:space="preserve">  -Y6  Q3 2019–Q2 2020</t>
        </is>
      </c>
      <c r="E52" s="49" t="inlineStr">
        <is>
          <t>—</t>
        </is>
      </c>
    </row>
    <row r="53" hidden="1" outlineLevel="1" ht="14.4" customHeight="1">
      <c r="B53" s="49" t="inlineStr">
        <is>
          <t xml:space="preserve">  -Y5  Q3 2020–Q2 2021</t>
        </is>
      </c>
      <c r="E53" s="49" t="inlineStr">
        <is>
          <t>—</t>
        </is>
      </c>
    </row>
    <row r="54" hidden="1" outlineLevel="1" ht="14.4" customHeight="1">
      <c r="B54" s="49" t="inlineStr">
        <is>
          <t xml:space="preserve">  -Y4  Q3 2021–Q2 2022</t>
        </is>
      </c>
      <c r="E54" s="49" t="inlineStr">
        <is>
          <t>—</t>
        </is>
      </c>
    </row>
    <row r="55" hidden="1" outlineLevel="1" ht="14.4" customHeight="1">
      <c r="B55" s="49" t="inlineStr">
        <is>
          <t xml:space="preserve">  -Y3  Q3 2022–Q2 2023</t>
        </is>
      </c>
      <c r="E55" s="49" t="inlineStr">
        <is>
          <t>—</t>
        </is>
      </c>
    </row>
    <row r="56" hidden="1" outlineLevel="1" ht="14.4" customHeight="1">
      <c r="B56" s="49" t="inlineStr">
        <is>
          <t xml:space="preserve">  -Y2  Q3 2023–Q2 2024</t>
        </is>
      </c>
      <c r="E56" s="49" t="inlineStr">
        <is>
          <t>—</t>
        </is>
      </c>
    </row>
    <row r="57" hidden="1" outlineLevel="1" ht="14.4" customHeight="1">
      <c r="B57" s="49" t="inlineStr">
        <is>
          <t xml:space="preserve">  -Y1  Q3 2024–Q2 2025</t>
        </is>
      </c>
      <c r="E57" s="49" t="inlineStr">
        <is>
          <t>—</t>
        </is>
      </c>
    </row>
    <row r="58" hidden="1" outlineLevel="1" ht="14.4" customHeight="1">
      <c r="B58" s="49" t="inlineStr">
        <is>
          <t xml:space="preserve">  Y0  Q3 2025–Q2 2026</t>
        </is>
      </c>
      <c r="E58" s="49" t="inlineStr">
        <is>
          <t>—</t>
        </is>
      </c>
    </row>
    <row r="59" hidden="1" outlineLevel="1" ht="14.4" customHeight="1">
      <c r="B59" s="49" t="inlineStr">
        <is>
          <t xml:space="preserve">  UC scheduled vs CoStar UC</t>
        </is>
      </c>
      <c r="E59" s="49" t="inlineStr">
        <is>
          <t>0 / 27</t>
        </is>
      </c>
    </row>
    <row r="60" hidden="1" outlineLevel="1" ht="14.4" customHeight="1">
      <c r="B60" s="1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0" t="inlineStr">
        <is>
          <t>Property</t>
        </is>
      </c>
      <c r="B1" s="50" t="inlineStr">
        <is>
          <t>Address</t>
        </is>
      </c>
      <c r="C1" s="50" t="inlineStr">
        <is>
          <t>Units</t>
        </is>
      </c>
      <c r="D1" s="50" t="inlineStr">
        <is>
          <t>Year Built</t>
        </is>
      </c>
      <c r="E1" s="50" t="inlineStr">
        <is>
          <t>Est. Delivery</t>
        </is>
      </c>
      <c r="F1" s="50" t="inlineStr">
        <is>
          <t>Bucket</t>
        </is>
      </c>
      <c r="G1" s="50" t="inlineStr">
        <is>
          <t>CoStar Occ</t>
        </is>
      </c>
      <c r="H1" s="50" t="inlineStr">
        <is>
          <t>RealPage Occ</t>
        </is>
      </c>
      <c r="I1" s="50" t="inlineStr">
        <is>
          <t>CoStar Ask Rent</t>
        </is>
      </c>
      <c r="J1" s="50" t="inlineStr">
        <is>
          <t>RealPage Eff Rent</t>
        </is>
      </c>
      <c r="K1" s="50" t="inlineStr">
        <is>
          <t>Sources</t>
        </is>
      </c>
      <c r="L1" s="50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1" t="n">
        <v>0.92</v>
      </c>
      <c r="H2" s="51" t="n">
        <v>0.9360000000000001</v>
      </c>
      <c r="I2" s="52" t="n">
        <v>2104</v>
      </c>
      <c r="J2" s="52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1" t="n"/>
      <c r="H3" s="51" t="n">
        <v>0.961</v>
      </c>
      <c r="I3" s="52" t="n"/>
      <c r="J3" s="52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1" t="n">
        <v>0.967153</v>
      </c>
      <c r="H4" s="51" t="n">
        <v>1</v>
      </c>
      <c r="I4" s="52" t="n">
        <v>2196</v>
      </c>
      <c r="J4" s="52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1" t="n"/>
      <c r="H5" s="51" t="n"/>
      <c r="I5" s="52" t="n"/>
      <c r="J5" s="52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1" t="n"/>
      <c r="H6" s="51" t="n"/>
      <c r="I6" s="52" t="n"/>
      <c r="J6" s="52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1" t="n"/>
      <c r="H7" s="51" t="n"/>
      <c r="I7" s="52" t="n"/>
      <c r="J7" s="52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1" t="n"/>
      <c r="H8" s="51" t="n"/>
      <c r="I8" s="52" t="n"/>
      <c r="J8" s="52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1" t="n"/>
      <c r="H9" s="51" t="n"/>
      <c r="I9" s="52" t="n"/>
      <c r="J9" s="52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1" t="n"/>
      <c r="H10" s="51" t="n"/>
      <c r="I10" s="52" t="n"/>
      <c r="J10" s="52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2026-06-23T20:09:03Z</dcterms:created>
  <dcterms:modified xsi:type="dcterms:W3CDTF">2026-06-23T20:09:04Z</dcterms:modified>
</cp:coreProperties>
</file>