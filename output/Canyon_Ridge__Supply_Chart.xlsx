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ettings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;&quot;—&quot;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b val="1"/>
      <color rgb="FFFFFFFF"/>
      <sz val="8"/>
    </font>
    <font>
      <name val="Calibri"/>
      <color rgb="FF808080"/>
      <sz val="8"/>
    </font>
    <font>
      <name val="Calibri"/>
      <b val="1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3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>
        <f>TEXT(Settings!$B$2,"0%")&amp;" target"</f>
        <v/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Mill at Loggers Creek</t>
        </is>
      </c>
      <c r="D6" s="9" t="n">
        <v>125</v>
      </c>
      <c r="E6" s="7" t="inlineStr">
        <is>
          <t>Q2 2024</t>
        </is>
      </c>
      <c r="F6" s="10" t="n">
        <v>0.92</v>
      </c>
      <c r="G6" s="11" t="n">
        <v>2104</v>
      </c>
      <c r="H6" s="8" t="inlineStr">
        <is>
          <t>Baron Properties</t>
        </is>
      </c>
      <c r="I6" s="7" t="n"/>
      <c r="J6" s="7" t="inlineStr">
        <is>
          <t>Mid-Rise</t>
        </is>
      </c>
      <c r="K6" s="8" t="n"/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Timbers at Harris Ranch</t>
        </is>
      </c>
      <c r="D8" s="9" t="n">
        <v>274</v>
      </c>
      <c r="E8" s="7" t="inlineStr">
        <is>
          <t>Q2 2023</t>
        </is>
      </c>
      <c r="F8" s="10" t="n">
        <v>0.967153</v>
      </c>
      <c r="G8" s="11" t="n">
        <v>2196</v>
      </c>
      <c r="H8" s="8" t="inlineStr">
        <is>
          <t>Highland Canyon Partners</t>
        </is>
      </c>
      <c r="I8" s="7" t="n"/>
      <c r="J8" s="7" t="inlineStr">
        <is>
          <t>Garden</t>
        </is>
      </c>
      <c r="K8" s="8" t="inlineStr">
        <is>
          <t>Year built: 2023/2024; Occ: CoStar 97% vs RealPage 100%</t>
        </is>
      </c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Vista Point</t>
        </is>
      </c>
      <c r="D11" s="16" t="n">
        <v>893</v>
      </c>
      <c r="E11" s="14" t="inlineStr">
        <is>
          <t>Q2 2028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Mid-Rise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3300 South Vista Avenue</t>
        </is>
      </c>
      <c r="D12" s="16" t="n">
        <v>180</v>
      </c>
      <c r="E12" s="14" t="inlineStr">
        <is>
          <t>Q1 2028</t>
        </is>
      </c>
      <c r="F12" s="17" t="n"/>
      <c r="G12" s="18" t="inlineStr">
        <is>
          <t>—</t>
        </is>
      </c>
      <c r="H12" s="15" t="inlineStr">
        <is>
          <t>—</t>
        </is>
      </c>
      <c r="I12" s="14" t="n"/>
      <c r="J12" s="14" t="inlineStr">
        <is>
          <t>Mid-Rise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Seasons on the Bench</t>
        </is>
      </c>
      <c r="D13" s="16" t="n">
        <v>358</v>
      </c>
      <c r="E13" s="14" t="inlineStr">
        <is>
          <t>Q4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1519 South Londoner Avenue</t>
        </is>
      </c>
      <c r="D14" s="16" t="n">
        <v>189</v>
      </c>
      <c r="E14" s="14" t="inlineStr">
        <is>
          <t>Q3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Station Village</t>
        </is>
      </c>
      <c r="D15" s="16" t="n">
        <v>84</v>
      </c>
      <c r="E15" s="14" t="inlineStr">
        <is>
          <t>Q2 2027</t>
        </is>
      </c>
      <c r="F15" s="17" t="n"/>
      <c r="G15" s="18" t="inlineStr">
        <is>
          <t>—</t>
        </is>
      </c>
      <c r="H15" s="15" t="inlineStr">
        <is>
          <t>Privately Owned</t>
        </is>
      </c>
      <c r="I15" s="14" t="n"/>
      <c r="J15" s="14" t="inlineStr">
        <is>
          <t>Garden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Harris Ranch East</t>
        </is>
      </c>
      <c r="D16" s="16" t="n">
        <v>59</v>
      </c>
      <c r="E16" s="14" t="inlineStr">
        <is>
          <t>Q4 2026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Single Family</t>
        </is>
      </c>
      <c r="K16" s="15" t="inlineStr">
        <is>
          <t>RealPage pipeline (not yet in CoStar); Est. delivery set by analyst</t>
        </is>
      </c>
    </row>
    <row r="19" ht="24" customHeight="1">
      <c r="B19" s="19" t="inlineStr">
        <is>
          <t>Est. Delivery</t>
        </is>
      </c>
      <c r="C19" s="19" t="n"/>
      <c r="D19" s="19" t="inlineStr">
        <is>
          <t># Props</t>
        </is>
      </c>
      <c r="E19" s="19" t="inlineStr">
        <is>
          <t>Total Units</t>
        </is>
      </c>
      <c r="F19" s="19" t="inlineStr">
        <is>
          <t>Wtd Avg
Occupancy</t>
        </is>
      </c>
      <c r="G19" s="19" t="inlineStr">
        <is>
          <t>Currently
Occupied</t>
        </is>
      </c>
      <c r="H19" s="19" t="inlineStr">
        <is>
          <t>Target
@ Goal</t>
        </is>
      </c>
      <c r="I19" s="19" t="inlineStr">
        <is>
          <t>Units to
95%</t>
        </is>
      </c>
      <c r="J19" s="19" t="inlineStr">
        <is>
          <t>Units to
92.5%</t>
        </is>
      </c>
      <c r="K19" s="19" t="inlineStr">
        <is>
          <t>Units to
90%</t>
        </is>
      </c>
    </row>
    <row r="20">
      <c r="B20" s="20" t="inlineStr">
        <is>
          <t>Q2 2028</t>
        </is>
      </c>
      <c r="C20" s="20" t="n"/>
      <c r="D20" s="20">
        <f>COUNTIF($E$6:$E$16,B20)</f>
        <v/>
      </c>
      <c r="E20" s="21">
        <f>SUMIF($E$6:$E$16,B20,$D$6:$D$16)</f>
        <v/>
      </c>
      <c r="F20" s="22">
        <f t="array" ref="F20">IFERROR(SUMPRODUCT(($E$6:$E$16=B20)*IFERROR($D$6:$D$16*$F$6:$F$16,0))/SUMPRODUCT(($E$6:$E$16=B20)*ISNUMBER($F$6:$F$16)*$D$6:$D$16),0)</f>
        <v/>
      </c>
      <c r="G20" s="21">
        <f>F20*E20</f>
        <v/>
      </c>
      <c r="H20" s="21">
        <f>E20*Settings!$B$2</f>
        <v/>
      </c>
      <c r="I20" s="21">
        <f>(E20*0.95)-G20</f>
        <v/>
      </c>
      <c r="J20" s="21">
        <f>(E20*0.925)-G20</f>
        <v/>
      </c>
      <c r="K20" s="21">
        <f>(E20*0.90)-G20</f>
        <v/>
      </c>
    </row>
    <row r="21">
      <c r="B21" s="20" t="inlineStr">
        <is>
          <t>Q1 2028</t>
        </is>
      </c>
      <c r="C21" s="20" t="n"/>
      <c r="D21" s="20">
        <f>COUNTIF($E$6:$E$16,B21)</f>
        <v/>
      </c>
      <c r="E21" s="21">
        <f>SUMIF($E$6:$E$16,B21,$D$6:$D$16)</f>
        <v/>
      </c>
      <c r="F21" s="22">
        <f t="array" ref="F21">IFERROR(SUMPRODUCT(($E$6:$E$16=B21)*IFERROR($D$6:$D$16*$F$6:$F$16,0))/SUMPRODUCT(($E$6:$E$16=B21)*ISNUMBER($F$6:$F$16)*$D$6:$D$16),0)</f>
        <v/>
      </c>
      <c r="G21" s="21">
        <f>F21*E21</f>
        <v/>
      </c>
      <c r="H21" s="21">
        <f>E21*Settings!$B$2</f>
        <v/>
      </c>
      <c r="I21" s="21">
        <f>(E21*0.95)-G21</f>
        <v/>
      </c>
      <c r="J21" s="21">
        <f>(E21*0.925)-G21</f>
        <v/>
      </c>
      <c r="K21" s="21">
        <f>(E21*0.90)-G21</f>
        <v/>
      </c>
    </row>
    <row r="22">
      <c r="B22" s="20" t="inlineStr">
        <is>
          <t>Q4 2027</t>
        </is>
      </c>
      <c r="C22" s="20" t="n"/>
      <c r="D22" s="20">
        <f>COUNTIF($E$6:$E$16,B22)</f>
        <v/>
      </c>
      <c r="E22" s="21">
        <f>SUMIF($E$6:$E$16,B22,$D$6:$D$16)</f>
        <v/>
      </c>
      <c r="F22" s="22">
        <f t="array" ref="F22">IFERROR(SUMPRODUCT(($E$6:$E$16=B22)*IFERROR($D$6:$D$16*$F$6:$F$16,0))/SUMPRODUCT(($E$6:$E$16=B22)*ISNUMBER($F$6:$F$16)*$D$6:$D$16),0)</f>
        <v/>
      </c>
      <c r="G22" s="21">
        <f>F22*E22</f>
        <v/>
      </c>
      <c r="H22" s="21">
        <f>E22*Settings!$B$2</f>
        <v/>
      </c>
      <c r="I22" s="21">
        <f>(E22*0.95)-G22</f>
        <v/>
      </c>
      <c r="J22" s="21">
        <f>(E22*0.925)-G22</f>
        <v/>
      </c>
      <c r="K22" s="21">
        <f>(E22*0.90)-G22</f>
        <v/>
      </c>
    </row>
    <row r="23">
      <c r="B23" s="20" t="inlineStr">
        <is>
          <t>Q3 2027</t>
        </is>
      </c>
      <c r="C23" s="20" t="n"/>
      <c r="D23" s="20">
        <f>COUNTIF($E$6:$E$16,B23)</f>
        <v/>
      </c>
      <c r="E23" s="21">
        <f>SUMIF($E$6:$E$16,B23,$D$6:$D$16)</f>
        <v/>
      </c>
      <c r="F23" s="22">
        <f t="array" ref="F23">IFERROR(SUMPRODUCT(($E$6:$E$16=B23)*IFERROR($D$6:$D$16*$F$6:$F$16,0))/SUMPRODUCT(($E$6:$E$16=B23)*ISNUMBER($F$6:$F$16)*$D$6:$D$16),0)</f>
        <v/>
      </c>
      <c r="G23" s="21">
        <f>F23*E23</f>
        <v/>
      </c>
      <c r="H23" s="21">
        <f>E23*Settings!$B$2</f>
        <v/>
      </c>
      <c r="I23" s="21">
        <f>(E23*0.95)-G23</f>
        <v/>
      </c>
      <c r="J23" s="21">
        <f>(E23*0.925)-G23</f>
        <v/>
      </c>
      <c r="K23" s="21">
        <f>(E23*0.90)-G23</f>
        <v/>
      </c>
    </row>
    <row r="24">
      <c r="B24" s="20" t="inlineStr">
        <is>
          <t>Q2 2027</t>
        </is>
      </c>
      <c r="C24" s="20" t="n"/>
      <c r="D24" s="20">
        <f>COUNTIF($E$6:$E$16,B24)</f>
        <v/>
      </c>
      <c r="E24" s="21">
        <f>SUMIF($E$6:$E$16,B24,$D$6:$D$16)</f>
        <v/>
      </c>
      <c r="F24" s="22">
        <f t="array" ref="F24">IFERROR(SUMPRODUCT(($E$6:$E$16=B24)*IFERROR($D$6:$D$16*$F$6:$F$16,0))/SUMPRODUCT(($E$6:$E$16=B24)*ISNUMBER($F$6:$F$16)*$D$6:$D$16),0)</f>
        <v/>
      </c>
      <c r="G24" s="21">
        <f>F24*E24</f>
        <v/>
      </c>
      <c r="H24" s="21">
        <f>E24*Settings!$B$2</f>
        <v/>
      </c>
      <c r="I24" s="21">
        <f>(E24*0.95)-G24</f>
        <v/>
      </c>
      <c r="J24" s="21">
        <f>(E24*0.925)-G24</f>
        <v/>
      </c>
      <c r="K24" s="21">
        <f>(E24*0.90)-G24</f>
        <v/>
      </c>
    </row>
    <row r="25">
      <c r="B25" s="20" t="inlineStr">
        <is>
          <t>Q1 2027</t>
        </is>
      </c>
      <c r="C25" s="20" t="n"/>
      <c r="D25" s="20">
        <f>COUNTIF($E$6:$E$16,B25)</f>
        <v/>
      </c>
      <c r="E25" s="21">
        <f>SUMIF($E$6:$E$16,B25,$D$6:$D$16)</f>
        <v/>
      </c>
      <c r="F25" s="22">
        <f t="array" ref="F25">IFERROR(SUMPRODUCT(($E$6:$E$16=B25)*IFERROR($D$6:$D$16*$F$6:$F$16,0))/SUMPRODUCT(($E$6:$E$16=B25)*ISNUMBER($F$6:$F$16)*$D$6:$D$16),0)</f>
        <v/>
      </c>
      <c r="G25" s="21">
        <f>F25*E25</f>
        <v/>
      </c>
      <c r="H25" s="21">
        <f>E25*Settings!$B$2</f>
        <v/>
      </c>
      <c r="I25" s="21">
        <f>(E25*0.95)-G25</f>
        <v/>
      </c>
      <c r="J25" s="21">
        <f>(E25*0.925)-G25</f>
        <v/>
      </c>
      <c r="K25" s="21">
        <f>(E25*0.90)-G25</f>
        <v/>
      </c>
    </row>
    <row r="26">
      <c r="B26" s="20" t="inlineStr">
        <is>
          <t>Q4 2026</t>
        </is>
      </c>
      <c r="C26" s="20" t="n"/>
      <c r="D26" s="20">
        <f>COUNTIF($E$6:$E$16,B26)</f>
        <v/>
      </c>
      <c r="E26" s="21">
        <f>SUMIF($E$6:$E$16,B26,$D$6:$D$16)</f>
        <v/>
      </c>
      <c r="F26" s="22">
        <f t="array" ref="F26">IFERROR(SUMPRODUCT(($E$6:$E$16=B26)*IFERROR($D$6:$D$16*$F$6:$F$16,0))/SUMPRODUCT(($E$6:$E$16=B26)*ISNUMBER($F$6:$F$16)*$D$6:$D$16),0)</f>
        <v/>
      </c>
      <c r="G26" s="21">
        <f>F26*E26</f>
        <v/>
      </c>
      <c r="H26" s="21">
        <f>E26*Settings!$B$2</f>
        <v/>
      </c>
      <c r="I26" s="21">
        <f>(E26*0.95)-G26</f>
        <v/>
      </c>
      <c r="J26" s="21">
        <f>(E26*0.925)-G26</f>
        <v/>
      </c>
      <c r="K26" s="21">
        <f>(E26*0.90)-G26</f>
        <v/>
      </c>
    </row>
    <row r="27">
      <c r="B27" s="20" t="inlineStr">
        <is>
          <t>Q3 2026</t>
        </is>
      </c>
      <c r="C27" s="20" t="n"/>
      <c r="D27" s="20">
        <f>COUNTIF($E$6:$E$16,B27)</f>
        <v/>
      </c>
      <c r="E27" s="21">
        <f>SUMIF($E$6:$E$16,B27,$D$6:$D$16)</f>
        <v/>
      </c>
      <c r="F27" s="22">
        <f t="array" ref="F27">IFERROR(SUMPRODUCT(($E$6:$E$16=B27)*IFERROR($D$6:$D$16*$F$6:$F$16,0))/SUMPRODUCT(($E$6:$E$16=B27)*ISNUMBER($F$6:$F$16)*$D$6:$D$16),0)</f>
        <v/>
      </c>
      <c r="G27" s="21">
        <f>F27*E27</f>
        <v/>
      </c>
      <c r="H27" s="21">
        <f>E27*Settings!$B$2</f>
        <v/>
      </c>
      <c r="I27" s="21">
        <f>(E27*0.95)-G27</f>
        <v/>
      </c>
      <c r="J27" s="21">
        <f>(E27*0.925)-G27</f>
        <v/>
      </c>
      <c r="K27" s="21">
        <f>(E27*0.90)-G27</f>
        <v/>
      </c>
    </row>
    <row r="28">
      <c r="B28" s="20" t="inlineStr">
        <is>
          <t>Q2 2026</t>
        </is>
      </c>
      <c r="C28" s="20" t="n"/>
      <c r="D28" s="20">
        <f>COUNTIF($E$6:$E$16,B28)</f>
        <v/>
      </c>
      <c r="E28" s="21">
        <f>SUMIF($E$6:$E$16,B28,$D$6:$D$16)</f>
        <v/>
      </c>
      <c r="F28" s="22">
        <f t="array" ref="F28">IFERROR(SUMPRODUCT(($E$6:$E$16=B28)*IFERROR($D$6:$D$16*$F$6:$F$16,0))/SUMPRODUCT(($E$6:$E$16=B28)*ISNUMBER($F$6:$F$16)*$D$6:$D$16),0)</f>
        <v/>
      </c>
      <c r="G28" s="21">
        <f>F28*E28</f>
        <v/>
      </c>
      <c r="H28" s="21">
        <f>E28*Settings!$B$2</f>
        <v/>
      </c>
      <c r="I28" s="21">
        <f>(E28*0.95)-G28</f>
        <v/>
      </c>
      <c r="J28" s="21">
        <f>(E28*0.925)-G28</f>
        <v/>
      </c>
      <c r="K28" s="21">
        <f>(E28*0.90)-G28</f>
        <v/>
      </c>
    </row>
    <row r="29">
      <c r="B29" s="20" t="inlineStr">
        <is>
          <t>Q1 2026</t>
        </is>
      </c>
      <c r="C29" s="20" t="n"/>
      <c r="D29" s="20">
        <f>COUNTIF($E$6:$E$16,B29)</f>
        <v/>
      </c>
      <c r="E29" s="21">
        <f>SUMIF($E$6:$E$16,B29,$D$6:$D$16)</f>
        <v/>
      </c>
      <c r="F29" s="22">
        <f t="array" ref="F29">IFERROR(SUMPRODUCT(($E$6:$E$16=B29)*IFERROR($D$6:$D$16*$F$6:$F$16,0))/SUMPRODUCT(($E$6:$E$16=B29)*ISNUMBER($F$6:$F$16)*$D$6:$D$16),0)</f>
        <v/>
      </c>
      <c r="G29" s="21">
        <f>F29*E29</f>
        <v/>
      </c>
      <c r="H29" s="21">
        <f>E29*Settings!$B$2</f>
        <v/>
      </c>
      <c r="I29" s="21">
        <f>(E29*0.95)-G29</f>
        <v/>
      </c>
      <c r="J29" s="21">
        <f>(E29*0.925)-G29</f>
        <v/>
      </c>
      <c r="K29" s="21">
        <f>(E29*0.90)-G29</f>
        <v/>
      </c>
    </row>
    <row r="30">
      <c r="B30" s="20" t="inlineStr">
        <is>
          <t>Q4 2025</t>
        </is>
      </c>
      <c r="C30" s="20" t="n"/>
      <c r="D30" s="20">
        <f>COUNTIF($E$6:$E$16,B30)</f>
        <v/>
      </c>
      <c r="E30" s="21">
        <f>SUMIF($E$6:$E$16,B30,$D$6:$D$16)</f>
        <v/>
      </c>
      <c r="F30" s="22">
        <f t="array" ref="F30">IFERROR(SUMPRODUCT(($E$6:$E$16=B30)*IFERROR($D$6:$D$16*$F$6:$F$16,0))/SUMPRODUCT(($E$6:$E$16=B30)*ISNUMBER($F$6:$F$16)*$D$6:$D$16),0)</f>
        <v/>
      </c>
      <c r="G30" s="21">
        <f>F30*E30</f>
        <v/>
      </c>
      <c r="H30" s="21">
        <f>E30*Settings!$B$2</f>
        <v/>
      </c>
      <c r="I30" s="21">
        <f>(E30*0.95)-G30</f>
        <v/>
      </c>
      <c r="J30" s="21">
        <f>(E30*0.925)-G30</f>
        <v/>
      </c>
      <c r="K30" s="21">
        <f>(E30*0.90)-G30</f>
        <v/>
      </c>
    </row>
    <row r="31">
      <c r="B31" s="20" t="inlineStr">
        <is>
          <t>Q3 2025</t>
        </is>
      </c>
      <c r="C31" s="20" t="n"/>
      <c r="D31" s="20">
        <f>COUNTIF($E$6:$E$16,B31)</f>
        <v/>
      </c>
      <c r="E31" s="21">
        <f>SUMIF($E$6:$E$16,B31,$D$6:$D$16)</f>
        <v/>
      </c>
      <c r="F31" s="22">
        <f t="array" ref="F31">IFERROR(SUMPRODUCT(($E$6:$E$16=B31)*IFERROR($D$6:$D$16*$F$6:$F$16,0))/SUMPRODUCT(($E$6:$E$16=B31)*ISNUMBER($F$6:$F$16)*$D$6:$D$16),0)</f>
        <v/>
      </c>
      <c r="G31" s="21">
        <f>F31*E31</f>
        <v/>
      </c>
      <c r="H31" s="21">
        <f>E31*Settings!$B$2</f>
        <v/>
      </c>
      <c r="I31" s="21">
        <f>(E31*0.95)-G31</f>
        <v/>
      </c>
      <c r="J31" s="21">
        <f>(E31*0.925)-G31</f>
        <v/>
      </c>
      <c r="K31" s="21">
        <f>(E31*0.90)-G31</f>
        <v/>
      </c>
    </row>
    <row r="32">
      <c r="B32" s="20" t="inlineStr">
        <is>
          <t>Q2 2025</t>
        </is>
      </c>
      <c r="C32" s="20" t="n"/>
      <c r="D32" s="20">
        <f>COUNTIF($E$6:$E$16,B32)</f>
        <v/>
      </c>
      <c r="E32" s="21">
        <f>SUMIF($E$6:$E$16,B32,$D$6:$D$16)</f>
        <v/>
      </c>
      <c r="F32" s="22">
        <f t="array" ref="F32">IFERROR(SUMPRODUCT(($E$6:$E$16=B32)*IFERROR($D$6:$D$16*$F$6:$F$16,0))/SUMPRODUCT(($E$6:$E$16=B32)*ISNUMBER($F$6:$F$16)*$D$6:$D$16),0)</f>
        <v/>
      </c>
      <c r="G32" s="21">
        <f>F32*E32</f>
        <v/>
      </c>
      <c r="H32" s="21">
        <f>E32*Settings!$B$2</f>
        <v/>
      </c>
      <c r="I32" s="21">
        <f>(E32*0.95)-G32</f>
        <v/>
      </c>
      <c r="J32" s="21">
        <f>(E32*0.925)-G32</f>
        <v/>
      </c>
      <c r="K32" s="21">
        <f>(E32*0.90)-G32</f>
        <v/>
      </c>
    </row>
    <row r="33">
      <c r="B33" s="20" t="inlineStr">
        <is>
          <t>Q1 2025</t>
        </is>
      </c>
      <c r="C33" s="20" t="n"/>
      <c r="D33" s="20">
        <f>COUNTIF($E$6:$E$16,B33)</f>
        <v/>
      </c>
      <c r="E33" s="21">
        <f>SUMIF($E$6:$E$16,B33,$D$6:$D$16)</f>
        <v/>
      </c>
      <c r="F33" s="22">
        <f t="array" ref="F33">IFERROR(SUMPRODUCT(($E$6:$E$16=B33)*IFERROR($D$6:$D$16*$F$6:$F$16,0))/SUMPRODUCT(($E$6:$E$16=B33)*ISNUMBER($F$6:$F$16)*$D$6:$D$16),0)</f>
        <v/>
      </c>
      <c r="G33" s="21">
        <f>F33*E33</f>
        <v/>
      </c>
      <c r="H33" s="21">
        <f>E33*Settings!$B$2</f>
        <v/>
      </c>
      <c r="I33" s="21">
        <f>(E33*0.95)-G33</f>
        <v/>
      </c>
      <c r="J33" s="21">
        <f>(E33*0.925)-G33</f>
        <v/>
      </c>
      <c r="K33" s="21">
        <f>(E33*0.90)-G33</f>
        <v/>
      </c>
    </row>
    <row r="34">
      <c r="B34" s="20" t="inlineStr">
        <is>
          <t>Q4 2024</t>
        </is>
      </c>
      <c r="C34" s="20" t="n"/>
      <c r="D34" s="20">
        <f>COUNTIF($E$6:$E$16,B34)</f>
        <v/>
      </c>
      <c r="E34" s="21">
        <f>SUMIF($E$6:$E$16,B34,$D$6:$D$16)</f>
        <v/>
      </c>
      <c r="F34" s="22">
        <f t="array" ref="F34">IFERROR(SUMPRODUCT(($E$6:$E$16=B34)*IFERROR($D$6:$D$16*$F$6:$F$16,0))/SUMPRODUCT(($E$6:$E$16=B34)*ISNUMBER($F$6:$F$16)*$D$6:$D$16),0)</f>
        <v/>
      </c>
      <c r="G34" s="21">
        <f>F34*E34</f>
        <v/>
      </c>
      <c r="H34" s="21">
        <f>E34*Settings!$B$2</f>
        <v/>
      </c>
      <c r="I34" s="21">
        <f>(E34*0.95)-G34</f>
        <v/>
      </c>
      <c r="J34" s="21">
        <f>(E34*0.925)-G34</f>
        <v/>
      </c>
      <c r="K34" s="21">
        <f>(E34*0.90)-G34</f>
        <v/>
      </c>
    </row>
    <row r="35">
      <c r="B35" s="20" t="inlineStr">
        <is>
          <t>Q3 2024</t>
        </is>
      </c>
      <c r="C35" s="20" t="n"/>
      <c r="D35" s="20">
        <f>COUNTIF($E$6:$E$16,B35)</f>
        <v/>
      </c>
      <c r="E35" s="21">
        <f>SUMIF($E$6:$E$16,B35,$D$6:$D$16)</f>
        <v/>
      </c>
      <c r="F35" s="22">
        <f t="array" ref="F35">IFERROR(SUMPRODUCT(($E$6:$E$16=B35)*IFERROR($D$6:$D$16*$F$6:$F$16,0))/SUMPRODUCT(($E$6:$E$16=B35)*ISNUMBER($F$6:$F$16)*$D$6:$D$16),0)</f>
        <v/>
      </c>
      <c r="G35" s="21">
        <f>F35*E35</f>
        <v/>
      </c>
      <c r="H35" s="21">
        <f>E35*Settings!$B$2</f>
        <v/>
      </c>
      <c r="I35" s="21">
        <f>(E35*0.95)-G35</f>
        <v/>
      </c>
      <c r="J35" s="21">
        <f>(E35*0.925)-G35</f>
        <v/>
      </c>
      <c r="K35" s="21">
        <f>(E35*0.90)-G35</f>
        <v/>
      </c>
    </row>
    <row r="36">
      <c r="B36" s="20" t="inlineStr">
        <is>
          <t>Q2 2024</t>
        </is>
      </c>
      <c r="C36" s="20" t="n"/>
      <c r="D36" s="20">
        <f>COUNTIF($E$6:$E$16,B36)</f>
        <v/>
      </c>
      <c r="E36" s="21">
        <f>SUMIF($E$6:$E$16,B36,$D$6:$D$16)</f>
        <v/>
      </c>
      <c r="F36" s="22">
        <f t="array" ref="F36">IFERROR(SUMPRODUCT(($E$6:$E$16=B36)*IFERROR($D$6:$D$16*$F$6:$F$16,0))/SUMPRODUCT(($E$6:$E$16=B36)*ISNUMBER($F$6:$F$16)*$D$6:$D$16),0)</f>
        <v/>
      </c>
      <c r="G36" s="21">
        <f>F36*E36</f>
        <v/>
      </c>
      <c r="H36" s="21">
        <f>E36*Settings!$B$2</f>
        <v/>
      </c>
      <c r="I36" s="21">
        <f>(E36*0.95)-G36</f>
        <v/>
      </c>
      <c r="J36" s="21">
        <f>(E36*0.925)-G36</f>
        <v/>
      </c>
      <c r="K36" s="21">
        <f>(E36*0.90)-G36</f>
        <v/>
      </c>
    </row>
    <row r="37">
      <c r="B37" s="20" t="inlineStr">
        <is>
          <t>Q1 2024</t>
        </is>
      </c>
      <c r="C37" s="20" t="n"/>
      <c r="D37" s="20">
        <f>COUNTIF($E$6:$E$16,B37)</f>
        <v/>
      </c>
      <c r="E37" s="21">
        <f>SUMIF($E$6:$E$16,B37,$D$6:$D$16)</f>
        <v/>
      </c>
      <c r="F37" s="22">
        <f t="array" ref="F37">IFERROR(SUMPRODUCT(($E$6:$E$16=B37)*IFERROR($D$6:$D$16*$F$6:$F$16,0))/SUMPRODUCT(($E$6:$E$16=B37)*ISNUMBER($F$6:$F$16)*$D$6:$D$16),0)</f>
        <v/>
      </c>
      <c r="G37" s="21">
        <f>F37*E37</f>
        <v/>
      </c>
      <c r="H37" s="21">
        <f>E37*Settings!$B$2</f>
        <v/>
      </c>
      <c r="I37" s="21">
        <f>(E37*0.95)-G37</f>
        <v/>
      </c>
      <c r="J37" s="21">
        <f>(E37*0.925)-G37</f>
        <v/>
      </c>
      <c r="K37" s="21">
        <f>(E37*0.90)-G37</f>
        <v/>
      </c>
    </row>
    <row r="38">
      <c r="B38" s="20" t="inlineStr">
        <is>
          <t>Q4 2023</t>
        </is>
      </c>
      <c r="C38" s="20" t="n"/>
      <c r="D38" s="20">
        <f>COUNTIF($E$6:$E$16,B38)</f>
        <v/>
      </c>
      <c r="E38" s="21">
        <f>SUMIF($E$6:$E$16,B38,$D$6:$D$16)</f>
        <v/>
      </c>
      <c r="F38" s="22">
        <f t="array" ref="F38">IFERROR(SUMPRODUCT(($E$6:$E$16=B38)*IFERROR($D$6:$D$16*$F$6:$F$16,0))/SUMPRODUCT(($E$6:$E$16=B38)*ISNUMBER($F$6:$F$16)*$D$6:$D$16),0)</f>
        <v/>
      </c>
      <c r="G38" s="21">
        <f>F38*E38</f>
        <v/>
      </c>
      <c r="H38" s="21">
        <f>E38*Settings!$B$2</f>
        <v/>
      </c>
      <c r="I38" s="21">
        <f>(E38*0.95)-G38</f>
        <v/>
      </c>
      <c r="J38" s="21">
        <f>(E38*0.925)-G38</f>
        <v/>
      </c>
      <c r="K38" s="21">
        <f>(E38*0.90)-G38</f>
        <v/>
      </c>
    </row>
    <row r="39">
      <c r="B39" s="20" t="inlineStr">
        <is>
          <t>Q3 2023</t>
        </is>
      </c>
      <c r="C39" s="20" t="n"/>
      <c r="D39" s="20">
        <f>COUNTIF($E$6:$E$16,B39)</f>
        <v/>
      </c>
      <c r="E39" s="21">
        <f>SUMIF($E$6:$E$16,B39,$D$6:$D$16)</f>
        <v/>
      </c>
      <c r="F39" s="22">
        <f t="array" ref="F39">IFERROR(SUMPRODUCT(($E$6:$E$16=B39)*IFERROR($D$6:$D$16*$F$6:$F$16,0))/SUMPRODUCT(($E$6:$E$16=B39)*ISNUMBER($F$6:$F$16)*$D$6:$D$16),0)</f>
        <v/>
      </c>
      <c r="G39" s="21">
        <f>F39*E39</f>
        <v/>
      </c>
      <c r="H39" s="21">
        <f>E39*Settings!$B$2</f>
        <v/>
      </c>
      <c r="I39" s="21">
        <f>(E39*0.95)-G39</f>
        <v/>
      </c>
      <c r="J39" s="21">
        <f>(E39*0.925)-G39</f>
        <v/>
      </c>
      <c r="K39" s="21">
        <f>(E39*0.90)-G39</f>
        <v/>
      </c>
    </row>
    <row r="40">
      <c r="B40" s="20" t="inlineStr">
        <is>
          <t>Q2 2023</t>
        </is>
      </c>
      <c r="C40" s="20" t="n"/>
      <c r="D40" s="20">
        <f>COUNTIF($E$6:$E$16,B40)</f>
        <v/>
      </c>
      <c r="E40" s="21">
        <f>SUMIF($E$6:$E$16,B40,$D$6:$D$16)</f>
        <v/>
      </c>
      <c r="F40" s="22">
        <f t="array" ref="F40">IFERROR(SUMPRODUCT(($E$6:$E$16=B40)*IFERROR($D$6:$D$16*$F$6:$F$16,0))/SUMPRODUCT(($E$6:$E$16=B40)*ISNUMBER($F$6:$F$16)*$D$6:$D$16),0)</f>
        <v/>
      </c>
      <c r="G40" s="21">
        <f>F40*E40</f>
        <v/>
      </c>
      <c r="H40" s="21">
        <f>E40*Settings!$B$2</f>
        <v/>
      </c>
      <c r="I40" s="21">
        <f>(E40*0.95)-G40</f>
        <v/>
      </c>
      <c r="J40" s="21">
        <f>(E40*0.925)-G40</f>
        <v/>
      </c>
      <c r="K40" s="21">
        <f>(E40*0.90)-G40</f>
        <v/>
      </c>
    </row>
    <row r="41">
      <c r="B41" s="23" t="inlineStr">
        <is>
          <t>TOTAL</t>
        </is>
      </c>
      <c r="C41" s="4" t="n"/>
      <c r="D41" s="4">
        <f>SUM(D20:D40)</f>
        <v/>
      </c>
      <c r="E41" s="24">
        <f>SUM(E20:E40)</f>
        <v/>
      </c>
      <c r="F41" s="25">
        <f>IFERROR(SUMPRODUCT($E$20:$E$40,F20:F40)/$E$41,0)</f>
        <v/>
      </c>
      <c r="G41" s="24">
        <f>SUM(G20:G40)</f>
        <v/>
      </c>
      <c r="H41" s="24">
        <f>SUM(H20:H40)</f>
        <v/>
      </c>
      <c r="I41" s="24">
        <f>SUM(I20:I40)</f>
        <v/>
      </c>
      <c r="J41" s="24">
        <f>SUM(J20:J40)</f>
        <v/>
      </c>
      <c r="K41" s="24">
        <f>SUM(K20:K40)</f>
        <v/>
      </c>
    </row>
    <row r="43">
      <c r="G43" s="26" t="inlineStr">
        <is>
          <t>Total Current Inventory</t>
        </is>
      </c>
      <c r="I43" s="27" t="n">
        <v>5925</v>
      </c>
      <c r="J43" s="28">
        <f>I43</f>
        <v/>
      </c>
      <c r="K43" s="28">
        <f>I43</f>
        <v/>
      </c>
    </row>
    <row r="44">
      <c r="G44" s="26" t="inlineStr">
        <is>
          <t>% to be Absorbed</t>
        </is>
      </c>
      <c r="I44" s="29">
        <f>IFERROR(I41/I43,0)</f>
        <v/>
      </c>
      <c r="J44" s="29">
        <f>IFERROR(J41/J43,0)</f>
        <v/>
      </c>
      <c r="K44" s="29">
        <f>IFERROR(K41/K43,0)</f>
        <v/>
      </c>
    </row>
    <row r="46">
      <c r="B46" s="30" t="inlineStr">
        <is>
          <t>* 5-Mile radius. Total inventory from CoStar Data Analytics. Proximity (mi) to be filled manually. Lease-up rent/occupancy should be verified with a HelloData pull.</t>
        </is>
      </c>
    </row>
  </sheetData>
  <mergeCells count="30">
    <mergeCell ref="G43:H43"/>
    <mergeCell ref="C10:K10"/>
    <mergeCell ref="B25:C25"/>
    <mergeCell ref="B3:F3"/>
    <mergeCell ref="B22:C22"/>
    <mergeCell ref="B31:C31"/>
    <mergeCell ref="B27:C27"/>
    <mergeCell ref="B39:C39"/>
    <mergeCell ref="B21:C21"/>
    <mergeCell ref="B23:C23"/>
    <mergeCell ref="B38:C38"/>
    <mergeCell ref="B46:K46"/>
    <mergeCell ref="B29:C29"/>
    <mergeCell ref="B19:C19"/>
    <mergeCell ref="C2:G2"/>
    <mergeCell ref="B34:C34"/>
    <mergeCell ref="B37:C37"/>
    <mergeCell ref="B28:C28"/>
    <mergeCell ref="B40:C40"/>
    <mergeCell ref="B24:C24"/>
    <mergeCell ref="B30:C30"/>
    <mergeCell ref="B33:C33"/>
    <mergeCell ref="C5:K5"/>
    <mergeCell ref="B20:C20"/>
    <mergeCell ref="B36:C36"/>
    <mergeCell ref="B32:C32"/>
    <mergeCell ref="G44:H44"/>
    <mergeCell ref="B26:C26"/>
    <mergeCell ref="B41:C41"/>
    <mergeCell ref="B35:C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3" max="3"/>
  </cols>
  <sheetData>
    <row r="1">
      <c r="A1" s="31" t="inlineStr">
        <is>
          <t>ANALYSIS SETTINGS</t>
        </is>
      </c>
    </row>
    <row r="2">
      <c r="A2" t="inlineStr">
        <is>
          <t>Stabilized Occupancy Target</t>
        </is>
      </c>
      <c r="B2" s="32" t="n">
        <v>0.95</v>
      </c>
      <c r="C2" t="inlineStr">
        <is>
          <t>Target occupancy for absorption calculation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26" t="inlineStr">
        <is>
          <t>Property</t>
        </is>
      </c>
      <c r="B1" s="26" t="inlineStr">
        <is>
          <t>Address</t>
        </is>
      </c>
      <c r="C1" s="26" t="inlineStr">
        <is>
          <t>Units</t>
        </is>
      </c>
      <c r="D1" s="26" t="inlineStr">
        <is>
          <t>Year Built</t>
        </is>
      </c>
      <c r="E1" s="26" t="inlineStr">
        <is>
          <t>Est. Delivery</t>
        </is>
      </c>
      <c r="F1" s="26" t="inlineStr">
        <is>
          <t>Bucket</t>
        </is>
      </c>
      <c r="G1" s="26" t="inlineStr">
        <is>
          <t>CoStar Occ</t>
        </is>
      </c>
      <c r="H1" s="26" t="inlineStr">
        <is>
          <t>RealPage Occ</t>
        </is>
      </c>
      <c r="I1" s="26" t="inlineStr">
        <is>
          <t>CoStar Ask Rent</t>
        </is>
      </c>
      <c r="J1" s="26" t="inlineStr">
        <is>
          <t>RealPage Eff Rent</t>
        </is>
      </c>
      <c r="K1" s="26" t="inlineStr">
        <is>
          <t>Sources</t>
        </is>
      </c>
      <c r="L1" s="26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33" t="n">
        <v>0.92</v>
      </c>
      <c r="H2" s="33" t="n">
        <v>0.9360000000000001</v>
      </c>
      <c r="I2" s="28" t="n">
        <v>2104</v>
      </c>
      <c r="J2" s="28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33" t="n"/>
      <c r="H3" s="33" t="n">
        <v>0.961</v>
      </c>
      <c r="I3" s="28" t="n"/>
      <c r="J3" s="28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33" t="n">
        <v>0.967153</v>
      </c>
      <c r="H4" s="33" t="n">
        <v>1</v>
      </c>
      <c r="I4" s="28" t="n">
        <v>2196</v>
      </c>
      <c r="J4" s="28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33" t="n"/>
      <c r="H5" s="33" t="n"/>
      <c r="I5" s="28" t="n"/>
      <c r="J5" s="28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33" t="n"/>
      <c r="H6" s="33" t="n"/>
      <c r="I6" s="28" t="n"/>
      <c r="J6" s="28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33" t="n"/>
      <c r="H7" s="33" t="n"/>
      <c r="I7" s="28" t="n"/>
      <c r="J7" s="28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33" t="n"/>
      <c r="H8" s="33" t="n"/>
      <c r="I8" s="28" t="n"/>
      <c r="J8" s="28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33" t="n"/>
      <c r="H9" s="33" t="n"/>
      <c r="I9" s="28" t="n"/>
      <c r="J9" s="28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33" t="n"/>
      <c r="H10" s="33" t="n"/>
      <c r="I10" s="28" t="n"/>
      <c r="J10" s="28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2026-06-19T19:08:19Z</dcterms:created>
  <dcterms:modified xsi:type="dcterms:W3CDTF">2026-06-19T19:08:19Z</dcterms:modified>
</cp:coreProperties>
</file>