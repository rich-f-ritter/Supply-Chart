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ettings" sheetId="2" state="visible" r:id="rId2"/>
    <sheet name="Reconciliation Log" sheetId="3" state="visible" r:id="rId3"/>
    <sheet name="Supply &amp; Absorp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;;&quot;—&quot;"/>
  </numFmts>
  <fonts count="10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11"/>
    </font>
    <font>
      <name val="Calibri"/>
      <b val="1"/>
      <color rgb="FF000000"/>
      <sz val="9"/>
    </font>
    <font>
      <name val="Calibri"/>
      <b val="1"/>
      <color rgb="FFFFFFFF"/>
      <sz val="8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0" fontId="5" fillId="0" borderId="0" pivotButton="0" quotePrefix="0" xfId="0"/>
    <xf numFmtId="9" fontId="8" fillId="7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7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3" fontId="8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3" fontId="5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CANYON RIDGE — 5-Mile Competitive Supply</t>
        </is>
      </c>
    </row>
    <row r="3">
      <c r="B3" s="2" t="inlineStr">
        <is>
          <t>2023–2026 New Construction  |  5-mile radius  |  As of 2026 Q2 QTD  |  Stabilization Target:</t>
        </is>
      </c>
      <c r="G3" s="3">
        <f>TEXT(Settings!$B$2,"0%")&amp;" target"</f>
        <v/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(3 properties, 445 units)</t>
        </is>
      </c>
    </row>
    <row r="6">
      <c r="B6" s="7" t="n">
        <v>1</v>
      </c>
      <c r="C6" s="8" t="inlineStr">
        <is>
          <t>The Mill at Loggers Creek</t>
        </is>
      </c>
      <c r="D6" s="9" t="n">
        <v>125</v>
      </c>
      <c r="E6" s="7" t="inlineStr">
        <is>
          <t>Q2 2024</t>
        </is>
      </c>
      <c r="F6" s="10" t="n">
        <v>0.92</v>
      </c>
      <c r="G6" s="11" t="n">
        <v>2104</v>
      </c>
      <c r="H6" s="8" t="inlineStr">
        <is>
          <t>Baron Properties</t>
        </is>
      </c>
      <c r="I6" s="7" t="n"/>
      <c r="J6" s="7" t="inlineStr">
        <is>
          <t>Mid-Rise</t>
        </is>
      </c>
      <c r="K6" s="8" t="n"/>
    </row>
    <row r="7">
      <c r="B7" s="7" t="n">
        <v>2</v>
      </c>
      <c r="C7" s="8" t="inlineStr">
        <is>
          <t>The Betty</t>
        </is>
      </c>
      <c r="D7" s="9" t="n">
        <v>46</v>
      </c>
      <c r="E7" s="7" t="inlineStr">
        <is>
          <t>Q4 2023</t>
        </is>
      </c>
      <c r="F7" s="10" t="n">
        <v>0.961</v>
      </c>
      <c r="G7" s="11" t="n">
        <v>1273</v>
      </c>
      <c r="H7" s="8" t="inlineStr">
        <is>
          <t>Slagle Development</t>
        </is>
      </c>
      <c r="I7" s="7" t="n"/>
      <c r="J7" s="7" t="inlineStr">
        <is>
          <t>Mid-Rise</t>
        </is>
      </c>
      <c r="K7" s="8" t="inlineStr">
        <is>
          <t>RealPage only (sub-50 unit)</t>
        </is>
      </c>
    </row>
    <row r="8">
      <c r="B8" s="7" t="n">
        <v>3</v>
      </c>
      <c r="C8" s="8" t="inlineStr">
        <is>
          <t>The Timbers at Harris Ranch</t>
        </is>
      </c>
      <c r="D8" s="9" t="n">
        <v>274</v>
      </c>
      <c r="E8" s="7" t="inlineStr">
        <is>
          <t>Q2 2023</t>
        </is>
      </c>
      <c r="F8" s="10" t="n">
        <v>0.967153</v>
      </c>
      <c r="G8" s="11" t="n">
        <v>2196</v>
      </c>
      <c r="H8" s="8" t="inlineStr">
        <is>
          <t>Highland Canyon Partners</t>
        </is>
      </c>
      <c r="I8" s="7" t="n"/>
      <c r="J8" s="7" t="inlineStr">
        <is>
          <t>Garden</t>
        </is>
      </c>
      <c r="K8" s="8" t="inlineStr">
        <is>
          <t>Year built: 2023/2024; Occ: CoStar 97% vs RealPage 100%</t>
        </is>
      </c>
    </row>
    <row r="10">
      <c r="B10" s="12" t="n"/>
      <c r="C10" s="13" t="inlineStr">
        <is>
          <t>PROPOSED (6 properties, 1,763 units)</t>
        </is>
      </c>
    </row>
    <row r="11">
      <c r="B11" s="14" t="n">
        <v>4</v>
      </c>
      <c r="C11" s="15" t="inlineStr">
        <is>
          <t>Vista Point</t>
        </is>
      </c>
      <c r="D11" s="16" t="n">
        <v>893</v>
      </c>
      <c r="E11" s="14" t="inlineStr">
        <is>
          <t>Q2 2028</t>
        </is>
      </c>
      <c r="F11" s="17" t="n"/>
      <c r="G11" s="18" t="inlineStr">
        <is>
          <t>—</t>
        </is>
      </c>
      <c r="H11" s="15" t="inlineStr">
        <is>
          <t>—</t>
        </is>
      </c>
      <c r="I11" s="14" t="n"/>
      <c r="J11" s="14" t="inlineStr">
        <is>
          <t>Mid-Rise</t>
        </is>
      </c>
      <c r="K11" s="15" t="inlineStr">
        <is>
          <t>RealPage pipeline (not yet in CoStar); Est. delivery set by analyst</t>
        </is>
      </c>
    </row>
    <row r="12">
      <c r="B12" s="14" t="n">
        <v>5</v>
      </c>
      <c r="C12" s="15" t="inlineStr">
        <is>
          <t>3300 South Vista Avenue</t>
        </is>
      </c>
      <c r="D12" s="16" t="n">
        <v>180</v>
      </c>
      <c r="E12" s="14" t="inlineStr">
        <is>
          <t>Q1 2028</t>
        </is>
      </c>
      <c r="F12" s="17" t="n"/>
      <c r="G12" s="18" t="inlineStr">
        <is>
          <t>—</t>
        </is>
      </c>
      <c r="H12" s="15" t="inlineStr">
        <is>
          <t>—</t>
        </is>
      </c>
      <c r="I12" s="14" t="n"/>
      <c r="J12" s="14" t="inlineStr">
        <is>
          <t>Mid-Rise</t>
        </is>
      </c>
      <c r="K12" s="15" t="inlineStr">
        <is>
          <t>RealPage pipeline (not yet in CoStar); Est. delivery set by analyst</t>
        </is>
      </c>
    </row>
    <row r="13">
      <c r="B13" s="14" t="n">
        <v>6</v>
      </c>
      <c r="C13" s="15" t="inlineStr">
        <is>
          <t>Seasons on the Bench</t>
        </is>
      </c>
      <c r="D13" s="16" t="n">
        <v>358</v>
      </c>
      <c r="E13" s="14" t="inlineStr">
        <is>
          <t>Q4 2027</t>
        </is>
      </c>
      <c r="F13" s="17" t="n"/>
      <c r="G13" s="18" t="inlineStr">
        <is>
          <t>—</t>
        </is>
      </c>
      <c r="H13" s="15" t="inlineStr">
        <is>
          <t>—</t>
        </is>
      </c>
      <c r="I13" s="14" t="n"/>
      <c r="J13" s="14" t="inlineStr">
        <is>
          <t>Garden</t>
        </is>
      </c>
      <c r="K13" s="15" t="inlineStr">
        <is>
          <t>RealPage pipeline (not yet in CoStar); Est. delivery set by analyst</t>
        </is>
      </c>
    </row>
    <row r="14">
      <c r="B14" s="14" t="n">
        <v>7</v>
      </c>
      <c r="C14" s="15" t="inlineStr">
        <is>
          <t>1519 South Londoner Avenue</t>
        </is>
      </c>
      <c r="D14" s="16" t="n">
        <v>189</v>
      </c>
      <c r="E14" s="14" t="inlineStr">
        <is>
          <t>Q3 2027</t>
        </is>
      </c>
      <c r="F14" s="17" t="n"/>
      <c r="G14" s="18" t="inlineStr">
        <is>
          <t>—</t>
        </is>
      </c>
      <c r="H14" s="15" t="inlineStr">
        <is>
          <t>—</t>
        </is>
      </c>
      <c r="I14" s="14" t="n"/>
      <c r="J14" s="14" t="inlineStr">
        <is>
          <t>Garden</t>
        </is>
      </c>
      <c r="K14" s="15" t="inlineStr">
        <is>
          <t>RealPage pipeline (not yet in CoStar); Est. delivery set by analyst</t>
        </is>
      </c>
    </row>
    <row r="15">
      <c r="B15" s="14" t="n">
        <v>8</v>
      </c>
      <c r="C15" s="15" t="inlineStr">
        <is>
          <t>Station Village</t>
        </is>
      </c>
      <c r="D15" s="16" t="n">
        <v>84</v>
      </c>
      <c r="E15" s="14" t="inlineStr">
        <is>
          <t>Q2 2027</t>
        </is>
      </c>
      <c r="F15" s="17" t="n"/>
      <c r="G15" s="18" t="inlineStr">
        <is>
          <t>—</t>
        </is>
      </c>
      <c r="H15" s="15" t="inlineStr">
        <is>
          <t>Privately Owned</t>
        </is>
      </c>
      <c r="I15" s="14" t="n"/>
      <c r="J15" s="14" t="inlineStr">
        <is>
          <t>Garden</t>
        </is>
      </c>
      <c r="K15" s="15" t="inlineStr">
        <is>
          <t>RealPage pipeline (not yet in CoStar); Est. delivery set by analyst</t>
        </is>
      </c>
    </row>
    <row r="16">
      <c r="B16" s="14" t="n">
        <v>9</v>
      </c>
      <c r="C16" s="15" t="inlineStr">
        <is>
          <t>Harris Ranch East</t>
        </is>
      </c>
      <c r="D16" s="16" t="n">
        <v>59</v>
      </c>
      <c r="E16" s="14" t="inlineStr">
        <is>
          <t>Q4 2026</t>
        </is>
      </c>
      <c r="F16" s="17" t="n"/>
      <c r="G16" s="18" t="inlineStr">
        <is>
          <t>—</t>
        </is>
      </c>
      <c r="H16" s="15" t="inlineStr">
        <is>
          <t>—</t>
        </is>
      </c>
      <c r="I16" s="14" t="n"/>
      <c r="J16" s="14" t="inlineStr">
        <is>
          <t>Single Family</t>
        </is>
      </c>
      <c r="K16" s="15" t="inlineStr">
        <is>
          <t>RealPage pipeline (not yet in CoStar); Est. delivery set by analyst</t>
        </is>
      </c>
    </row>
    <row r="19">
      <c r="B19" s="19" t="inlineStr">
        <is>
          <t>* 5-Mile radius. Rent ($) = market asking. Proximity (mi) to be filled manually; lease-up rent/occupancy to be verified w/ HelloData. See the 'Supply &amp; Absorption' tab for the forward supply / absorption / overall-occupancy forecast.</t>
        </is>
      </c>
    </row>
  </sheetData>
  <mergeCells count="5">
    <mergeCell ref="C10:K10"/>
    <mergeCell ref="C5:K5"/>
    <mergeCell ref="C2:G2"/>
    <mergeCell ref="B3:F3"/>
    <mergeCell ref="B19:K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3" max="3"/>
  </cols>
  <sheetData>
    <row r="1">
      <c r="A1" s="20" t="inlineStr">
        <is>
          <t>ANALYSIS SETTINGS</t>
        </is>
      </c>
    </row>
    <row r="2">
      <c r="A2" t="inlineStr">
        <is>
          <t>Stabilized Occupancy Target</t>
        </is>
      </c>
      <c r="B2" s="21" t="n">
        <v>0.95</v>
      </c>
      <c r="C2" t="inlineStr">
        <is>
          <t>Target occupancy for absorption calculation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22" t="inlineStr">
        <is>
          <t>Property</t>
        </is>
      </c>
      <c r="B1" s="22" t="inlineStr">
        <is>
          <t>Address</t>
        </is>
      </c>
      <c r="C1" s="22" t="inlineStr">
        <is>
          <t>Units</t>
        </is>
      </c>
      <c r="D1" s="22" t="inlineStr">
        <is>
          <t>Year Built</t>
        </is>
      </c>
      <c r="E1" s="22" t="inlineStr">
        <is>
          <t>Est. Delivery</t>
        </is>
      </c>
      <c r="F1" s="22" t="inlineStr">
        <is>
          <t>Bucket</t>
        </is>
      </c>
      <c r="G1" s="22" t="inlineStr">
        <is>
          <t>CoStar Occ</t>
        </is>
      </c>
      <c r="H1" s="22" t="inlineStr">
        <is>
          <t>RealPage Occ</t>
        </is>
      </c>
      <c r="I1" s="22" t="inlineStr">
        <is>
          <t>CoStar Ask Rent</t>
        </is>
      </c>
      <c r="J1" s="22" t="inlineStr">
        <is>
          <t>RealPage Eff Rent</t>
        </is>
      </c>
      <c r="K1" s="22" t="inlineStr">
        <is>
          <t>Sources</t>
        </is>
      </c>
      <c r="L1" s="22" t="inlineStr">
        <is>
          <t>Notes</t>
        </is>
      </c>
    </row>
    <row r="2">
      <c r="A2" t="inlineStr">
        <is>
          <t>The Mill at Loggers Creek</t>
        </is>
      </c>
      <c r="B2" t="inlineStr">
        <is>
          <t>1250 S Division Ave</t>
        </is>
      </c>
      <c r="C2" t="n">
        <v>125</v>
      </c>
      <c r="D2" t="n">
        <v>2024</v>
      </c>
      <c r="E2" t="inlineStr">
        <is>
          <t>Q2 2024</t>
        </is>
      </c>
      <c r="F2" t="inlineStr">
        <is>
          <t>STABILIZED / STABILIZING</t>
        </is>
      </c>
      <c r="G2" s="23" t="n">
        <v>0.92</v>
      </c>
      <c r="H2" s="23" t="n">
        <v>0.9360000000000001</v>
      </c>
      <c r="I2" s="24" t="n">
        <v>2104</v>
      </c>
      <c r="J2" s="24" t="n">
        <v>2150</v>
      </c>
      <c r="K2" t="inlineStr">
        <is>
          <t>CoStar+RealPage</t>
        </is>
      </c>
      <c r="L2" t="inlineStr"/>
    </row>
    <row r="3">
      <c r="A3" t="inlineStr">
        <is>
          <t>The Betty</t>
        </is>
      </c>
      <c r="B3" t="inlineStr">
        <is>
          <t>2550 W Targee St</t>
        </is>
      </c>
      <c r="C3" t="n">
        <v>46</v>
      </c>
      <c r="D3" t="n">
        <v>2023</v>
      </c>
      <c r="E3" t="inlineStr">
        <is>
          <t>Q4 2023</t>
        </is>
      </c>
      <c r="F3" t="inlineStr">
        <is>
          <t>STABILIZED / STABILIZING</t>
        </is>
      </c>
      <c r="G3" s="23" t="n"/>
      <c r="H3" s="23" t="n">
        <v>0.961</v>
      </c>
      <c r="I3" s="24" t="n"/>
      <c r="J3" s="24" t="n">
        <v>1273</v>
      </c>
      <c r="K3" t="inlineStr">
        <is>
          <t>RealPage</t>
        </is>
      </c>
      <c r="L3" t="inlineStr">
        <is>
          <t>RealPage only (sub-50 unit)</t>
        </is>
      </c>
    </row>
    <row r="4">
      <c r="A4" t="inlineStr">
        <is>
          <t>The Timbers at Harris Ranch</t>
        </is>
      </c>
      <c r="B4" t="inlineStr">
        <is>
          <t>3469 S Old Hickory Way</t>
        </is>
      </c>
      <c r="C4" t="n">
        <v>274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23" t="n">
        <v>0.967153</v>
      </c>
      <c r="H4" s="23" t="n">
        <v>1</v>
      </c>
      <c r="I4" s="24" t="n">
        <v>2196</v>
      </c>
      <c r="J4" s="24" t="n">
        <v>2311</v>
      </c>
      <c r="K4" t="inlineStr">
        <is>
          <t>CoStar+RealPage</t>
        </is>
      </c>
      <c r="L4" t="inlineStr">
        <is>
          <t>Year built: 2023/2024; Occ: CoStar 97% vs RealPage 100%</t>
        </is>
      </c>
    </row>
    <row r="5">
      <c r="A5" t="inlineStr">
        <is>
          <t>Vista Point</t>
        </is>
      </c>
      <c r="B5" t="inlineStr">
        <is>
          <t>2017 W Victory Rd</t>
        </is>
      </c>
      <c r="C5" t="n">
        <v>893</v>
      </c>
      <c r="E5" t="inlineStr">
        <is>
          <t>Q2 2028</t>
        </is>
      </c>
      <c r="F5" t="inlineStr">
        <is>
          <t>PROPOSED</t>
        </is>
      </c>
      <c r="G5" s="23" t="n"/>
      <c r="H5" s="23" t="n"/>
      <c r="I5" s="24" t="n"/>
      <c r="J5" s="24" t="n"/>
      <c r="K5" t="inlineStr">
        <is>
          <t>RealPage</t>
        </is>
      </c>
      <c r="L5" t="inlineStr">
        <is>
          <t>RealPage pipeline (not yet in CoStar); Est. delivery set by analyst</t>
        </is>
      </c>
    </row>
    <row r="6">
      <c r="A6" t="inlineStr">
        <is>
          <t>3300 South Vista Avenue</t>
        </is>
      </c>
      <c r="B6" t="inlineStr">
        <is>
          <t>3300 S Vista Ave</t>
        </is>
      </c>
      <c r="C6" t="n">
        <v>180</v>
      </c>
      <c r="E6" t="inlineStr">
        <is>
          <t>Q1 2028</t>
        </is>
      </c>
      <c r="F6" t="inlineStr">
        <is>
          <t>PROPOSED</t>
        </is>
      </c>
      <c r="G6" s="23" t="n"/>
      <c r="H6" s="23" t="n"/>
      <c r="I6" s="24" t="n"/>
      <c r="J6" s="24" t="n"/>
      <c r="K6" t="inlineStr">
        <is>
          <t>RealPage</t>
        </is>
      </c>
      <c r="L6" t="inlineStr">
        <is>
          <t>RealPage pipeline (not yet in CoStar); Est. delivery set by analyst</t>
        </is>
      </c>
    </row>
    <row r="7">
      <c r="A7" t="inlineStr">
        <is>
          <t>Seasons on the Bench</t>
        </is>
      </c>
      <c r="B7" t="inlineStr">
        <is>
          <t>2521 W Victory Rd</t>
        </is>
      </c>
      <c r="C7" t="n">
        <v>358</v>
      </c>
      <c r="E7" t="inlineStr">
        <is>
          <t>Q4 2027</t>
        </is>
      </c>
      <c r="F7" t="inlineStr">
        <is>
          <t>PROPOSED</t>
        </is>
      </c>
      <c r="G7" s="23" t="n"/>
      <c r="H7" s="23" t="n"/>
      <c r="I7" s="24" t="n"/>
      <c r="J7" s="24" t="n"/>
      <c r="K7" t="inlineStr">
        <is>
          <t>RealPage</t>
        </is>
      </c>
      <c r="L7" t="inlineStr">
        <is>
          <t>RealPage pipeline (not yet in CoStar); Est. delivery set by analyst</t>
        </is>
      </c>
    </row>
    <row r="8">
      <c r="A8" t="inlineStr">
        <is>
          <t>1519 South Londoner Avenue</t>
        </is>
      </c>
      <c r="B8" t="inlineStr">
        <is>
          <t>1519 S Londoner Ave</t>
        </is>
      </c>
      <c r="C8" t="n">
        <v>189</v>
      </c>
      <c r="E8" t="inlineStr">
        <is>
          <t>Q3 2027</t>
        </is>
      </c>
      <c r="F8" t="inlineStr">
        <is>
          <t>PROPOSED</t>
        </is>
      </c>
      <c r="G8" s="23" t="n"/>
      <c r="H8" s="23" t="n"/>
      <c r="I8" s="24" t="n"/>
      <c r="J8" s="24" t="n"/>
      <c r="K8" t="inlineStr">
        <is>
          <t>RealPage</t>
        </is>
      </c>
      <c r="L8" t="inlineStr">
        <is>
          <t>RealPage pipeline (not yet in CoStar); Est. delivery set by analyst</t>
        </is>
      </c>
    </row>
    <row r="9">
      <c r="A9" t="inlineStr">
        <is>
          <t>Station Village</t>
        </is>
      </c>
      <c r="B9" t="inlineStr">
        <is>
          <t>2350 W Kootenai St</t>
        </is>
      </c>
      <c r="C9" t="n">
        <v>84</v>
      </c>
      <c r="E9" t="inlineStr">
        <is>
          <t>Q2 2027</t>
        </is>
      </c>
      <c r="F9" t="inlineStr">
        <is>
          <t>PROPOSED</t>
        </is>
      </c>
      <c r="G9" s="23" t="n"/>
      <c r="H9" s="23" t="n"/>
      <c r="I9" s="24" t="n"/>
      <c r="J9" s="24" t="n"/>
      <c r="K9" t="inlineStr">
        <is>
          <t>RealPage</t>
        </is>
      </c>
      <c r="L9" t="inlineStr">
        <is>
          <t>RealPage pipeline (not yet in CoStar); Est. delivery set by analyst</t>
        </is>
      </c>
    </row>
    <row r="10">
      <c r="A10" t="inlineStr">
        <is>
          <t>Harris Ranch East</t>
        </is>
      </c>
      <c r="B10" t="inlineStr">
        <is>
          <t>3201 S Council Spring Rd</t>
        </is>
      </c>
      <c r="C10" t="n">
        <v>59</v>
      </c>
      <c r="E10" t="inlineStr">
        <is>
          <t>Q4 2026</t>
        </is>
      </c>
      <c r="F10" t="inlineStr">
        <is>
          <t>PROPOSED</t>
        </is>
      </c>
      <c r="G10" s="23" t="n"/>
      <c r="H10" s="23" t="n"/>
      <c r="I10" s="24" t="n"/>
      <c r="J10" s="24" t="n"/>
      <c r="K10" t="inlineStr">
        <is>
          <t>RealPage</t>
        </is>
      </c>
      <c r="L10" t="inlineStr">
        <is>
          <t>RealPage pipeline (not yet in CoStar); Est. delivery set by analyst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M5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9" customWidth="1" min="8" max="8"/>
    <col width="28" customWidth="1" min="10" max="10"/>
    <col width="8" customWidth="1" min="11" max="11"/>
    <col width="12" customWidth="1" min="12" max="12"/>
    <col width="9" customWidth="1" min="13" max="13"/>
  </cols>
  <sheetData>
    <row r="2" ht="22" customHeight="1">
      <c r="B2" s="1" t="inlineStr">
        <is>
          <t>SUPPLY &amp; ABSORPTION FORECAST — 5-MILE MARKET</t>
        </is>
      </c>
    </row>
    <row r="3">
      <c r="B3" s="25" t="inlineStr">
        <is>
          <t>Stabilization Target</t>
        </is>
      </c>
      <c r="C3" s="26">
        <f>Settings!$B$2</f>
        <v/>
      </c>
      <c r="J3" s="22" t="inlineStr">
        <is>
          <t>PIPELINE INPUTS  (forward new supply — edit date / include)</t>
        </is>
      </c>
    </row>
    <row r="4">
      <c r="B4" s="27" t="inlineStr">
        <is>
          <t>Demand Scenario (Bear/Base/Bull)</t>
        </is>
      </c>
      <c r="C4" s="28" t="inlineStr">
        <is>
          <t>Base</t>
        </is>
      </c>
      <c r="J4" s="29" t="inlineStr">
        <is>
          <t>Property</t>
        </is>
      </c>
      <c r="K4" s="29" t="inlineStr">
        <is>
          <t>Units</t>
        </is>
      </c>
      <c r="L4" s="29" t="inlineStr">
        <is>
          <t>Est. Delivery</t>
        </is>
      </c>
      <c r="M4" s="29" t="inlineStr">
        <is>
          <t>Include?</t>
        </is>
      </c>
    </row>
    <row r="5">
      <c r="B5" s="25" t="inlineStr">
        <is>
          <t>Hist. Avg Annual Absorption (CoStar)</t>
        </is>
      </c>
      <c r="C5" s="30" t="n">
        <v>300</v>
      </c>
      <c r="J5" s="31" t="inlineStr">
        <is>
          <t>Vista Point</t>
        </is>
      </c>
      <c r="K5" s="32" t="n">
        <v>893</v>
      </c>
      <c r="L5" s="33" t="inlineStr">
        <is>
          <t>Q2 2028</t>
        </is>
      </c>
      <c r="M5" s="33" t="inlineStr">
        <is>
          <t>N</t>
        </is>
      </c>
    </row>
    <row r="6">
      <c r="B6" s="25" t="inlineStr">
        <is>
          <t>Bear — Annual Absorption (units)</t>
        </is>
      </c>
      <c r="C6" s="30" t="n">
        <v>150</v>
      </c>
      <c r="J6" s="31" t="inlineStr">
        <is>
          <t>Seasons on the Bench</t>
        </is>
      </c>
      <c r="K6" s="32" t="n">
        <v>358</v>
      </c>
      <c r="L6" s="33" t="inlineStr">
        <is>
          <t>Q4 2027</t>
        </is>
      </c>
      <c r="M6" s="33" t="inlineStr">
        <is>
          <t>N</t>
        </is>
      </c>
    </row>
    <row r="7">
      <c r="B7" s="25" t="inlineStr">
        <is>
          <t>Base — Annual Absorption (units)</t>
        </is>
      </c>
      <c r="C7" s="30" t="n">
        <v>300</v>
      </c>
      <c r="J7" s="31" t="inlineStr">
        <is>
          <t>1519 South Londoner Avenue</t>
        </is>
      </c>
      <c r="K7" s="32" t="n">
        <v>189</v>
      </c>
      <c r="L7" s="33" t="inlineStr">
        <is>
          <t>Q3 2027</t>
        </is>
      </c>
      <c r="M7" s="33" t="inlineStr">
        <is>
          <t>N</t>
        </is>
      </c>
    </row>
    <row r="8">
      <c r="B8" s="25" t="inlineStr">
        <is>
          <t>Bull — Annual Absorption (units)</t>
        </is>
      </c>
      <c r="C8" s="30" t="n">
        <v>450</v>
      </c>
      <c r="J8" s="31" t="inlineStr">
        <is>
          <t>3300 South Vista Avenue</t>
        </is>
      </c>
      <c r="K8" s="32" t="n">
        <v>180</v>
      </c>
      <c r="L8" s="33" t="inlineStr">
        <is>
          <t>Q1 2028</t>
        </is>
      </c>
      <c r="M8" s="33" t="inlineStr">
        <is>
          <t>N</t>
        </is>
      </c>
    </row>
    <row r="9">
      <c r="B9" s="25" t="inlineStr">
        <is>
          <t>Selected Annual Demand</t>
        </is>
      </c>
      <c r="C9" s="30">
        <f>IF($C$4="Bear",$C$6,IF($C$4="Bull",$C$8,$C$7))</f>
        <v/>
      </c>
      <c r="J9" s="31" t="inlineStr">
        <is>
          <t>Station Village</t>
        </is>
      </c>
      <c r="K9" s="32" t="n">
        <v>84</v>
      </c>
      <c r="L9" s="33" t="inlineStr">
        <is>
          <t>Q2 2027</t>
        </is>
      </c>
      <c r="M9" s="33" t="inlineStr">
        <is>
          <t>N</t>
        </is>
      </c>
    </row>
    <row r="10">
      <c r="B10" s="25" t="inlineStr">
        <is>
          <t>Selected Quarterly Demand</t>
        </is>
      </c>
      <c r="C10" s="30">
        <f>$C$9/4</f>
        <v/>
      </c>
      <c r="J10" s="31" t="inlineStr">
        <is>
          <t>Harris Ranch East</t>
        </is>
      </c>
      <c r="K10" s="32" t="n">
        <v>59</v>
      </c>
      <c r="L10" s="33" t="inlineStr">
        <is>
          <t>Q4 2026</t>
        </is>
      </c>
      <c r="M10" s="33" t="inlineStr">
        <is>
          <t>N</t>
        </is>
      </c>
    </row>
    <row r="13" ht="22" customHeight="1">
      <c r="B13" s="4" t="inlineStr">
        <is>
          <t>Period</t>
        </is>
      </c>
      <c r="C13" s="4" t="inlineStr">
        <is>
          <t>New Supply</t>
        </is>
      </c>
      <c r="D13" s="4" t="inlineStr">
        <is>
          <t>Absorption</t>
        </is>
      </c>
      <c r="E13" s="4" t="inlineStr">
        <is>
          <t>Occupied</t>
        </is>
      </c>
      <c r="F13" s="4" t="inlineStr">
        <is>
          <t>Inventory</t>
        </is>
      </c>
      <c r="G13" s="4" t="inlineStr">
        <is>
          <t>Overall Occ</t>
        </is>
      </c>
      <c r="H13" s="4" t="inlineStr">
        <is>
          <t>Phase</t>
        </is>
      </c>
    </row>
    <row r="14">
      <c r="B14" s="34" t="inlineStr">
        <is>
          <t>Q3 2023</t>
        </is>
      </c>
      <c r="C14" s="35" t="n">
        <v>7</v>
      </c>
      <c r="D14" s="35" t="n">
        <v>-43</v>
      </c>
      <c r="E14" s="35" t="n">
        <v>4793</v>
      </c>
      <c r="F14" s="35" t="n">
        <v>5411</v>
      </c>
      <c r="G14" s="36">
        <f>IFERROR(E14/F14,0)</f>
        <v/>
      </c>
      <c r="H14" s="34" t="inlineStr">
        <is>
          <t>Actual</t>
        </is>
      </c>
    </row>
    <row r="15">
      <c r="B15" s="34" t="inlineStr">
        <is>
          <t>Q4 2023</t>
        </is>
      </c>
      <c r="C15" s="35" t="n">
        <v>46</v>
      </c>
      <c r="D15" s="35" t="n">
        <v>51</v>
      </c>
      <c r="E15" s="35" t="n">
        <v>4844</v>
      </c>
      <c r="F15" s="35" t="n">
        <v>5457</v>
      </c>
      <c r="G15" s="36">
        <f>IFERROR(E15/F15,0)</f>
        <v/>
      </c>
      <c r="H15" s="34" t="inlineStr">
        <is>
          <t>Actual</t>
        </is>
      </c>
    </row>
    <row r="16">
      <c r="B16" s="34" t="inlineStr">
        <is>
          <t>Q1 2024</t>
        </is>
      </c>
      <c r="C16" s="35" t="n">
        <v>0</v>
      </c>
      <c r="D16" s="35" t="n">
        <v>96</v>
      </c>
      <c r="E16" s="35" t="n">
        <v>4940</v>
      </c>
      <c r="F16" s="35" t="n">
        <v>5457</v>
      </c>
      <c r="G16" s="36">
        <f>IFERROR(E16/F16,0)</f>
        <v/>
      </c>
      <c r="H16" s="34" t="inlineStr">
        <is>
          <t>Actual</t>
        </is>
      </c>
    </row>
    <row r="17">
      <c r="B17" s="34" t="inlineStr">
        <is>
          <t>Q2 2024</t>
        </is>
      </c>
      <c r="C17" s="35" t="n">
        <v>125</v>
      </c>
      <c r="D17" s="35" t="n">
        <v>173</v>
      </c>
      <c r="E17" s="35" t="n">
        <v>5113</v>
      </c>
      <c r="F17" s="35" t="n">
        <v>5582</v>
      </c>
      <c r="G17" s="36">
        <f>IFERROR(E17/F17,0)</f>
        <v/>
      </c>
      <c r="H17" s="34" t="inlineStr">
        <is>
          <t>Actual</t>
        </is>
      </c>
    </row>
    <row r="18">
      <c r="B18" s="34" t="inlineStr">
        <is>
          <t>Q3 2024</t>
        </is>
      </c>
      <c r="C18" s="35" t="n">
        <v>299</v>
      </c>
      <c r="D18" s="35" t="n">
        <v>140</v>
      </c>
      <c r="E18" s="35" t="n">
        <v>5253</v>
      </c>
      <c r="F18" s="35" t="n">
        <v>5881</v>
      </c>
      <c r="G18" s="36">
        <f>IFERROR(E18/F18,0)</f>
        <v/>
      </c>
      <c r="H18" s="34" t="inlineStr">
        <is>
          <t>Actual</t>
        </is>
      </c>
    </row>
    <row r="19">
      <c r="B19" s="34" t="inlineStr">
        <is>
          <t>Q4 2024</t>
        </is>
      </c>
      <c r="C19" s="35" t="n">
        <v>35</v>
      </c>
      <c r="D19" s="35" t="n">
        <v>56</v>
      </c>
      <c r="E19" s="35" t="n">
        <v>5309</v>
      </c>
      <c r="F19" s="35" t="n">
        <v>5916</v>
      </c>
      <c r="G19" s="36">
        <f>IFERROR(E19/F19,0)</f>
        <v/>
      </c>
      <c r="H19" s="34" t="inlineStr">
        <is>
          <t>Actual</t>
        </is>
      </c>
    </row>
    <row r="20">
      <c r="B20" s="34" t="inlineStr">
        <is>
          <t>Q1 2025</t>
        </is>
      </c>
      <c r="C20" s="35" t="n">
        <v>0</v>
      </c>
      <c r="D20" s="35" t="n">
        <v>87</v>
      </c>
      <c r="E20" s="35" t="n">
        <v>5396</v>
      </c>
      <c r="F20" s="35" t="n">
        <v>5916</v>
      </c>
      <c r="G20" s="36">
        <f>IFERROR(E20/F20,0)</f>
        <v/>
      </c>
      <c r="H20" s="34" t="inlineStr">
        <is>
          <t>Actual</t>
        </is>
      </c>
    </row>
    <row r="21">
      <c r="B21" s="34" t="inlineStr">
        <is>
          <t>Q2 2025</t>
        </is>
      </c>
      <c r="C21" s="35" t="n">
        <v>0</v>
      </c>
      <c r="D21" s="35" t="n">
        <v>116</v>
      </c>
      <c r="E21" s="35" t="n">
        <v>5512</v>
      </c>
      <c r="F21" s="35" t="n">
        <v>5916</v>
      </c>
      <c r="G21" s="36">
        <f>IFERROR(E21/F21,0)</f>
        <v/>
      </c>
      <c r="H21" s="34" t="inlineStr">
        <is>
          <t>Actual</t>
        </is>
      </c>
    </row>
    <row r="22">
      <c r="B22" s="34" t="inlineStr">
        <is>
          <t>Q3 2025</t>
        </is>
      </c>
      <c r="C22" s="35" t="n">
        <v>0</v>
      </c>
      <c r="D22" s="35" t="n">
        <v>30</v>
      </c>
      <c r="E22" s="35" t="n">
        <v>5542</v>
      </c>
      <c r="F22" s="35" t="n">
        <v>5916</v>
      </c>
      <c r="G22" s="36">
        <f>IFERROR(E22/F22,0)</f>
        <v/>
      </c>
      <c r="H22" s="34" t="inlineStr">
        <is>
          <t>Actual</t>
        </is>
      </c>
    </row>
    <row r="23">
      <c r="B23" s="34" t="inlineStr">
        <is>
          <t>Q4 2025</t>
        </is>
      </c>
      <c r="C23" s="35" t="n">
        <v>0</v>
      </c>
      <c r="D23" s="35" t="n">
        <v>45</v>
      </c>
      <c r="E23" s="35" t="n">
        <v>5587</v>
      </c>
      <c r="F23" s="35" t="n">
        <v>5916</v>
      </c>
      <c r="G23" s="36">
        <f>IFERROR(E23/F23,0)</f>
        <v/>
      </c>
      <c r="H23" s="34" t="inlineStr">
        <is>
          <t>Actual</t>
        </is>
      </c>
    </row>
    <row r="24">
      <c r="B24" s="34" t="inlineStr">
        <is>
          <t>Q1 2026</t>
        </is>
      </c>
      <c r="C24" s="35" t="n">
        <v>0</v>
      </c>
      <c r="D24" s="35" t="n">
        <v>109</v>
      </c>
      <c r="E24" s="35" t="n">
        <v>5695</v>
      </c>
      <c r="F24" s="35" t="n">
        <v>5916</v>
      </c>
      <c r="G24" s="36">
        <f>IFERROR(E24/F24,0)</f>
        <v/>
      </c>
      <c r="H24" s="34" t="inlineStr">
        <is>
          <t>Actual</t>
        </is>
      </c>
    </row>
    <row r="25">
      <c r="B25" s="34" t="inlineStr">
        <is>
          <t>Q2 2026</t>
        </is>
      </c>
      <c r="C25" s="35" t="n">
        <v>9</v>
      </c>
      <c r="D25" s="35" t="n">
        <v>32</v>
      </c>
      <c r="E25" s="35" t="n">
        <v>5727</v>
      </c>
      <c r="F25" s="35" t="n">
        <v>5925</v>
      </c>
      <c r="G25" s="36">
        <f>IFERROR(E25/F25,0)</f>
        <v/>
      </c>
      <c r="H25" s="34" t="inlineStr">
        <is>
          <t>Actual</t>
        </is>
      </c>
    </row>
    <row r="26">
      <c r="B26" s="37" t="inlineStr">
        <is>
          <t>Q3 2026</t>
        </is>
      </c>
      <c r="C26" s="38">
        <f>SUMIFS($K$5:$K$10,$L$5:$L$10,B26,$M$5:$M$10,"Y")</f>
        <v/>
      </c>
      <c r="D26" s="38">
        <f>MIN($C$10,MAX(0,$C$3*F26-E25))</f>
        <v/>
      </c>
      <c r="E26" s="38">
        <f>E25+D26</f>
        <v/>
      </c>
      <c r="F26" s="38">
        <f>F25+C26</f>
        <v/>
      </c>
      <c r="G26" s="39">
        <f>IFERROR(E26/F26,0)</f>
        <v/>
      </c>
      <c r="H26" s="37" t="inlineStr">
        <is>
          <t>Forecast</t>
        </is>
      </c>
    </row>
    <row r="27">
      <c r="B27" s="37" t="inlineStr">
        <is>
          <t>Q4 2026</t>
        </is>
      </c>
      <c r="C27" s="38">
        <f>SUMIFS($K$5:$K$10,$L$5:$L$10,B27,$M$5:$M$10,"Y")</f>
        <v/>
      </c>
      <c r="D27" s="38">
        <f>MIN($C$10,MAX(0,$C$3*F27-E26))</f>
        <v/>
      </c>
      <c r="E27" s="38">
        <f>E26+D27</f>
        <v/>
      </c>
      <c r="F27" s="38">
        <f>F26+C27</f>
        <v/>
      </c>
      <c r="G27" s="39">
        <f>IFERROR(E27/F27,0)</f>
        <v/>
      </c>
      <c r="H27" s="37" t="inlineStr">
        <is>
          <t>Forecast</t>
        </is>
      </c>
    </row>
    <row r="28">
      <c r="B28" s="37" t="inlineStr">
        <is>
          <t>Q1 2027</t>
        </is>
      </c>
      <c r="C28" s="38">
        <f>SUMIFS($K$5:$K$10,$L$5:$L$10,B28,$M$5:$M$10,"Y")</f>
        <v/>
      </c>
      <c r="D28" s="38">
        <f>MIN($C$10,MAX(0,$C$3*F28-E27))</f>
        <v/>
      </c>
      <c r="E28" s="38">
        <f>E27+D28</f>
        <v/>
      </c>
      <c r="F28" s="38">
        <f>F27+C28</f>
        <v/>
      </c>
      <c r="G28" s="39">
        <f>IFERROR(E28/F28,0)</f>
        <v/>
      </c>
      <c r="H28" s="37" t="inlineStr">
        <is>
          <t>Forecast</t>
        </is>
      </c>
    </row>
    <row r="29">
      <c r="B29" s="37" t="inlineStr">
        <is>
          <t>Q2 2027</t>
        </is>
      </c>
      <c r="C29" s="38">
        <f>SUMIFS($K$5:$K$10,$L$5:$L$10,B29,$M$5:$M$10,"Y")</f>
        <v/>
      </c>
      <c r="D29" s="38">
        <f>MIN($C$10,MAX(0,$C$3*F29-E28))</f>
        <v/>
      </c>
      <c r="E29" s="38">
        <f>E28+D29</f>
        <v/>
      </c>
      <c r="F29" s="38">
        <f>F28+C29</f>
        <v/>
      </c>
      <c r="G29" s="39">
        <f>IFERROR(E29/F29,0)</f>
        <v/>
      </c>
      <c r="H29" s="37" t="inlineStr">
        <is>
          <t>Forecast</t>
        </is>
      </c>
    </row>
    <row r="30">
      <c r="B30" s="37" t="inlineStr">
        <is>
          <t>Q3 2027</t>
        </is>
      </c>
      <c r="C30" s="38">
        <f>SUMIFS($K$5:$K$10,$L$5:$L$10,B30,$M$5:$M$10,"Y")</f>
        <v/>
      </c>
      <c r="D30" s="38">
        <f>MIN($C$10,MAX(0,$C$3*F30-E29))</f>
        <v/>
      </c>
      <c r="E30" s="38">
        <f>E29+D30</f>
        <v/>
      </c>
      <c r="F30" s="38">
        <f>F29+C30</f>
        <v/>
      </c>
      <c r="G30" s="39">
        <f>IFERROR(E30/F30,0)</f>
        <v/>
      </c>
      <c r="H30" s="37" t="inlineStr">
        <is>
          <t>Forecast</t>
        </is>
      </c>
    </row>
    <row r="31">
      <c r="B31" s="37" t="inlineStr">
        <is>
          <t>Q4 2027</t>
        </is>
      </c>
      <c r="C31" s="38">
        <f>SUMIFS($K$5:$K$10,$L$5:$L$10,B31,$M$5:$M$10,"Y")</f>
        <v/>
      </c>
      <c r="D31" s="38">
        <f>MIN($C$10,MAX(0,$C$3*F31-E30))</f>
        <v/>
      </c>
      <c r="E31" s="38">
        <f>E30+D31</f>
        <v/>
      </c>
      <c r="F31" s="38">
        <f>F30+C31</f>
        <v/>
      </c>
      <c r="G31" s="39">
        <f>IFERROR(E31/F31,0)</f>
        <v/>
      </c>
      <c r="H31" s="37" t="inlineStr">
        <is>
          <t>Forecast</t>
        </is>
      </c>
    </row>
    <row r="32">
      <c r="B32" s="37" t="inlineStr">
        <is>
          <t>Q1 2028</t>
        </is>
      </c>
      <c r="C32" s="38">
        <f>SUMIFS($K$5:$K$10,$L$5:$L$10,B32,$M$5:$M$10,"Y")</f>
        <v/>
      </c>
      <c r="D32" s="38">
        <f>MIN($C$10,MAX(0,$C$3*F32-E31))</f>
        <v/>
      </c>
      <c r="E32" s="38">
        <f>E31+D32</f>
        <v/>
      </c>
      <c r="F32" s="38">
        <f>F31+C32</f>
        <v/>
      </c>
      <c r="G32" s="39">
        <f>IFERROR(E32/F32,0)</f>
        <v/>
      </c>
      <c r="H32" s="37" t="inlineStr">
        <is>
          <t>Forecast</t>
        </is>
      </c>
    </row>
    <row r="33">
      <c r="B33" s="37" t="inlineStr">
        <is>
          <t>Q2 2028</t>
        </is>
      </c>
      <c r="C33" s="38">
        <f>SUMIFS($K$5:$K$10,$L$5:$L$10,B33,$M$5:$M$10,"Y")</f>
        <v/>
      </c>
      <c r="D33" s="38">
        <f>MIN($C$10,MAX(0,$C$3*F33-E32))</f>
        <v/>
      </c>
      <c r="E33" s="38">
        <f>E32+D33</f>
        <v/>
      </c>
      <c r="F33" s="38">
        <f>F32+C33</f>
        <v/>
      </c>
      <c r="G33" s="39">
        <f>IFERROR(E33/F33,0)</f>
        <v/>
      </c>
      <c r="H33" s="37" t="inlineStr">
        <is>
          <t>Forecast</t>
        </is>
      </c>
    </row>
    <row r="34">
      <c r="B34" s="37" t="inlineStr">
        <is>
          <t>Q3 2028</t>
        </is>
      </c>
      <c r="C34" s="38">
        <f>SUMIFS($K$5:$K$10,$L$5:$L$10,B34,$M$5:$M$10,"Y")</f>
        <v/>
      </c>
      <c r="D34" s="38">
        <f>MIN($C$10,MAX(0,$C$3*F34-E33))</f>
        <v/>
      </c>
      <c r="E34" s="38">
        <f>E33+D34</f>
        <v/>
      </c>
      <c r="F34" s="38">
        <f>F33+C34</f>
        <v/>
      </c>
      <c r="G34" s="39">
        <f>IFERROR(E34/F34,0)</f>
        <v/>
      </c>
      <c r="H34" s="37" t="inlineStr">
        <is>
          <t>Forecast</t>
        </is>
      </c>
    </row>
    <row r="35">
      <c r="B35" s="37" t="inlineStr">
        <is>
          <t>Q4 2028</t>
        </is>
      </c>
      <c r="C35" s="38">
        <f>SUMIFS($K$5:$K$10,$L$5:$L$10,B35,$M$5:$M$10,"Y")</f>
        <v/>
      </c>
      <c r="D35" s="38">
        <f>MIN($C$10,MAX(0,$C$3*F35-E34))</f>
        <v/>
      </c>
      <c r="E35" s="38">
        <f>E34+D35</f>
        <v/>
      </c>
      <c r="F35" s="38">
        <f>F34+C35</f>
        <v/>
      </c>
      <c r="G35" s="39">
        <f>IFERROR(E35/F35,0)</f>
        <v/>
      </c>
      <c r="H35" s="37" t="inlineStr">
        <is>
          <t>Forecast</t>
        </is>
      </c>
    </row>
    <row r="36">
      <c r="B36" s="37" t="inlineStr">
        <is>
          <t>Q1 2029</t>
        </is>
      </c>
      <c r="C36" s="38">
        <f>SUMIFS($K$5:$K$10,$L$5:$L$10,B36,$M$5:$M$10,"Y")</f>
        <v/>
      </c>
      <c r="D36" s="38">
        <f>MIN($C$10,MAX(0,$C$3*F36-E35))</f>
        <v/>
      </c>
      <c r="E36" s="38">
        <f>E35+D36</f>
        <v/>
      </c>
      <c r="F36" s="38">
        <f>F35+C36</f>
        <v/>
      </c>
      <c r="G36" s="39">
        <f>IFERROR(E36/F36,0)</f>
        <v/>
      </c>
      <c r="H36" s="37" t="inlineStr">
        <is>
          <t>Forecast</t>
        </is>
      </c>
    </row>
    <row r="37">
      <c r="B37" s="37" t="inlineStr">
        <is>
          <t>Q2 2029</t>
        </is>
      </c>
      <c r="C37" s="38">
        <f>SUMIFS($K$5:$K$10,$L$5:$L$10,B37,$M$5:$M$10,"Y")</f>
        <v/>
      </c>
      <c r="D37" s="38">
        <f>MIN($C$10,MAX(0,$C$3*F37-E36))</f>
        <v/>
      </c>
      <c r="E37" s="38">
        <f>E36+D37</f>
        <v/>
      </c>
      <c r="F37" s="38">
        <f>F36+C37</f>
        <v/>
      </c>
      <c r="G37" s="39">
        <f>IFERROR(E37/F37,0)</f>
        <v/>
      </c>
      <c r="H37" s="37" t="inlineStr">
        <is>
          <t>Forecast</t>
        </is>
      </c>
    </row>
    <row r="38">
      <c r="B38" s="37" t="inlineStr">
        <is>
          <t>Q3 2029</t>
        </is>
      </c>
      <c r="C38" s="38">
        <f>SUMIFS($K$5:$K$10,$L$5:$L$10,B38,$M$5:$M$10,"Y")</f>
        <v/>
      </c>
      <c r="D38" s="38">
        <f>MIN($C$10,MAX(0,$C$3*F38-E37))</f>
        <v/>
      </c>
      <c r="E38" s="38">
        <f>E37+D38</f>
        <v/>
      </c>
      <c r="F38" s="38">
        <f>F37+C38</f>
        <v/>
      </c>
      <c r="G38" s="39">
        <f>IFERROR(E38/F38,0)</f>
        <v/>
      </c>
      <c r="H38" s="37" t="inlineStr">
        <is>
          <t>Forecast</t>
        </is>
      </c>
    </row>
    <row r="39">
      <c r="B39" s="37" t="inlineStr">
        <is>
          <t>Q4 2029</t>
        </is>
      </c>
      <c r="C39" s="38">
        <f>SUMIFS($K$5:$K$10,$L$5:$L$10,B39,$M$5:$M$10,"Y")</f>
        <v/>
      </c>
      <c r="D39" s="38">
        <f>MIN($C$10,MAX(0,$C$3*F39-E38))</f>
        <v/>
      </c>
      <c r="E39" s="38">
        <f>E38+D39</f>
        <v/>
      </c>
      <c r="F39" s="38">
        <f>F38+C39</f>
        <v/>
      </c>
      <c r="G39" s="39">
        <f>IFERROR(E39/F39,0)</f>
        <v/>
      </c>
      <c r="H39" s="37" t="inlineStr">
        <is>
          <t>Forecast</t>
        </is>
      </c>
    </row>
    <row r="40">
      <c r="B40" s="37" t="inlineStr">
        <is>
          <t>Q1 2030</t>
        </is>
      </c>
      <c r="C40" s="38">
        <f>SUMIFS($K$5:$K$10,$L$5:$L$10,B40,$M$5:$M$10,"Y")</f>
        <v/>
      </c>
      <c r="D40" s="38">
        <f>MIN($C$10,MAX(0,$C$3*F40-E39))</f>
        <v/>
      </c>
      <c r="E40" s="38">
        <f>E39+D40</f>
        <v/>
      </c>
      <c r="F40" s="38">
        <f>F39+C40</f>
        <v/>
      </c>
      <c r="G40" s="39">
        <f>IFERROR(E40/F40,0)</f>
        <v/>
      </c>
      <c r="H40" s="37" t="inlineStr">
        <is>
          <t>Forecast</t>
        </is>
      </c>
    </row>
    <row r="41">
      <c r="B41" s="37" t="inlineStr">
        <is>
          <t>Q2 2030</t>
        </is>
      </c>
      <c r="C41" s="38">
        <f>SUMIFS($K$5:$K$10,$L$5:$L$10,B41,$M$5:$M$10,"Y")</f>
        <v/>
      </c>
      <c r="D41" s="38">
        <f>MIN($C$10,MAX(0,$C$3*F41-E40))</f>
        <v/>
      </c>
      <c r="E41" s="38">
        <f>E40+D41</f>
        <v/>
      </c>
      <c r="F41" s="38">
        <f>F40+C41</f>
        <v/>
      </c>
      <c r="G41" s="39">
        <f>IFERROR(E41/F41,0)</f>
        <v/>
      </c>
      <c r="H41" s="37" t="inlineStr">
        <is>
          <t>Forecast</t>
        </is>
      </c>
    </row>
    <row r="42">
      <c r="B42" s="37" t="inlineStr">
        <is>
          <t>Q3 2030</t>
        </is>
      </c>
      <c r="C42" s="38">
        <f>SUMIFS($K$5:$K$10,$L$5:$L$10,B42,$M$5:$M$10,"Y")</f>
        <v/>
      </c>
      <c r="D42" s="38">
        <f>MIN($C$10,MAX(0,$C$3*F42-E41))</f>
        <v/>
      </c>
      <c r="E42" s="38">
        <f>E41+D42</f>
        <v/>
      </c>
      <c r="F42" s="38">
        <f>F41+C42</f>
        <v/>
      </c>
      <c r="G42" s="39">
        <f>IFERROR(E42/F42,0)</f>
        <v/>
      </c>
      <c r="H42" s="37" t="inlineStr">
        <is>
          <t>Forecast</t>
        </is>
      </c>
    </row>
    <row r="43">
      <c r="B43" s="37" t="inlineStr">
        <is>
          <t>Q4 2030</t>
        </is>
      </c>
      <c r="C43" s="38">
        <f>SUMIFS($K$5:$K$10,$L$5:$L$10,B43,$M$5:$M$10,"Y")</f>
        <v/>
      </c>
      <c r="D43" s="38">
        <f>MIN($C$10,MAX(0,$C$3*F43-E42))</f>
        <v/>
      </c>
      <c r="E43" s="38">
        <f>E42+D43</f>
        <v/>
      </c>
      <c r="F43" s="38">
        <f>F42+C43</f>
        <v/>
      </c>
      <c r="G43" s="39">
        <f>IFERROR(E43/F43,0)</f>
        <v/>
      </c>
      <c r="H43" s="37" t="inlineStr">
        <is>
          <t>Forecast</t>
        </is>
      </c>
    </row>
    <row r="44">
      <c r="B44" s="37" t="inlineStr">
        <is>
          <t>Q1 2031</t>
        </is>
      </c>
      <c r="C44" s="38">
        <f>SUMIFS($K$5:$K$10,$L$5:$L$10,B44,$M$5:$M$10,"Y")</f>
        <v/>
      </c>
      <c r="D44" s="38">
        <f>MIN($C$10,MAX(0,$C$3*F44-E43))</f>
        <v/>
      </c>
      <c r="E44" s="38">
        <f>E43+D44</f>
        <v/>
      </c>
      <c r="F44" s="38">
        <f>F43+C44</f>
        <v/>
      </c>
      <c r="G44" s="39">
        <f>IFERROR(E44/F44,0)</f>
        <v/>
      </c>
      <c r="H44" s="37" t="inlineStr">
        <is>
          <t>Forecast</t>
        </is>
      </c>
    </row>
    <row r="45">
      <c r="B45" s="37" t="inlineStr">
        <is>
          <t>Q2 2031</t>
        </is>
      </c>
      <c r="C45" s="38">
        <f>SUMIFS($K$5:$K$10,$L$5:$L$10,B45,$M$5:$M$10,"Y")</f>
        <v/>
      </c>
      <c r="D45" s="38">
        <f>MIN($C$10,MAX(0,$C$3*F45-E44))</f>
        <v/>
      </c>
      <c r="E45" s="38">
        <f>E44+D45</f>
        <v/>
      </c>
      <c r="F45" s="38">
        <f>F44+C45</f>
        <v/>
      </c>
      <c r="G45" s="39">
        <f>IFERROR(E45/F45,0)</f>
        <v/>
      </c>
      <c r="H45" s="37" t="inlineStr">
        <is>
          <t>Forecast</t>
        </is>
      </c>
    </row>
    <row r="46">
      <c r="B46" s="37" t="inlineStr">
        <is>
          <t>Q3 2031</t>
        </is>
      </c>
      <c r="C46" s="38">
        <f>SUMIFS($K$5:$K$10,$L$5:$L$10,B46,$M$5:$M$10,"Y")</f>
        <v/>
      </c>
      <c r="D46" s="38">
        <f>MIN($C$10,MAX(0,$C$3*F46-E45))</f>
        <v/>
      </c>
      <c r="E46" s="38">
        <f>E45+D46</f>
        <v/>
      </c>
      <c r="F46" s="38">
        <f>F45+C46</f>
        <v/>
      </c>
      <c r="G46" s="39">
        <f>IFERROR(E46/F46,0)</f>
        <v/>
      </c>
      <c r="H46" s="37" t="inlineStr">
        <is>
          <t>Forecast</t>
        </is>
      </c>
    </row>
    <row r="47">
      <c r="B47" s="37" t="inlineStr">
        <is>
          <t>Q4 2031</t>
        </is>
      </c>
      <c r="C47" s="38">
        <f>SUMIFS($K$5:$K$10,$L$5:$L$10,B47,$M$5:$M$10,"Y")</f>
        <v/>
      </c>
      <c r="D47" s="38">
        <f>MIN($C$10,MAX(0,$C$3*F47-E46))</f>
        <v/>
      </c>
      <c r="E47" s="38">
        <f>E46+D47</f>
        <v/>
      </c>
      <c r="F47" s="38">
        <f>F46+C47</f>
        <v/>
      </c>
      <c r="G47" s="39">
        <f>IFERROR(E47/F47,0)</f>
        <v/>
      </c>
      <c r="H47" s="37" t="inlineStr">
        <is>
          <t>Forecast</t>
        </is>
      </c>
    </row>
    <row r="48">
      <c r="B48" s="37" t="inlineStr">
        <is>
          <t>Q1 2032</t>
        </is>
      </c>
      <c r="C48" s="38">
        <f>SUMIFS($K$5:$K$10,$L$5:$L$10,B48,$M$5:$M$10,"Y")</f>
        <v/>
      </c>
      <c r="D48" s="38">
        <f>MIN($C$10,MAX(0,$C$3*F48-E47))</f>
        <v/>
      </c>
      <c r="E48" s="38">
        <f>E47+D48</f>
        <v/>
      </c>
      <c r="F48" s="38">
        <f>F47+C48</f>
        <v/>
      </c>
      <c r="G48" s="39">
        <f>IFERROR(E48/F48,0)</f>
        <v/>
      </c>
      <c r="H48" s="37" t="inlineStr">
        <is>
          <t>Forecast</t>
        </is>
      </c>
    </row>
    <row r="49">
      <c r="B49" s="37" t="inlineStr">
        <is>
          <t>Q2 2032</t>
        </is>
      </c>
      <c r="C49" s="38">
        <f>SUMIFS($K$5:$K$10,$L$5:$L$10,B49,$M$5:$M$10,"Y")</f>
        <v/>
      </c>
      <c r="D49" s="38">
        <f>MIN($C$10,MAX(0,$C$3*F49-E48))</f>
        <v/>
      </c>
      <c r="E49" s="38">
        <f>E48+D49</f>
        <v/>
      </c>
      <c r="F49" s="38">
        <f>F48+C49</f>
        <v/>
      </c>
      <c r="G49" s="39">
        <f>IFERROR(E49/F49,0)</f>
        <v/>
      </c>
      <c r="H49" s="37" t="inlineStr">
        <is>
          <t>Forecast</t>
        </is>
      </c>
    </row>
    <row r="51">
      <c r="B51" s="19" t="inlineStr">
        <is>
          <t>Historical = CoStar 5-mi actuals. Forecast: inventory grows by scheduled pipeline deliveries (edit dates/include at right); absorption = min(quarterly demand, units to reach target); overall occ = occupied / inventory. Yellow cells are editable.</t>
        </is>
      </c>
    </row>
  </sheetData>
  <mergeCells count="3">
    <mergeCell ref="B51:H51"/>
    <mergeCell ref="B2:H2"/>
    <mergeCell ref="J3:M3"/>
  </mergeCells>
  <dataValidations count="2">
    <dataValidation sqref="C4" showDropDown="0" showInputMessage="0" showErrorMessage="0" allowBlank="0" type="list">
      <formula1>"Bear,Base,Bull"</formula1>
    </dataValidation>
    <dataValidation sqref="M5 M6 M7 M8 M9 M1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2026-06-19T19:36:01Z</dcterms:created>
  <dcterms:modified xsi:type="dcterms:W3CDTF">2026-06-19T19:36:01Z</dcterms:modified>
</cp:coreProperties>
</file>