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etitive Analysis" sheetId="1" state="visible" r:id="rId1"/>
    <sheet name="Supply &amp; Absorption" sheetId="2" state="visible" r:id="rId2"/>
    <sheet name="Reconciliation Log" sheetId="3" state="visible" r:id="rId3"/>
    <sheet name="Dilig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&quot;$&quot;#,##0;;&quot;—&quot;"/>
    <numFmt numFmtId="166" formatCode="0.0&quot; mi&quot;;;&quot;—&quot;"/>
    <numFmt numFmtId="167" formatCode="&quot;$&quot;#,##0"/>
  </numFmts>
  <fonts count="14">
    <font>
      <name val="Calibri"/>
      <family val="2"/>
      <color theme="1"/>
      <sz val="11"/>
      <scheme val="minor"/>
    </font>
    <font>
      <name val="Calibri"/>
      <b val="1"/>
      <color rgb="FFFFFFFF"/>
      <sz val="13"/>
    </font>
    <font>
      <name val="Calibri"/>
      <color rgb="FFFFFFFF"/>
      <sz val="9"/>
    </font>
    <font>
      <name val="Calibri"/>
      <b val="1"/>
      <color rgb="FFFFFF00"/>
      <sz val="9"/>
    </font>
    <font>
      <name val="Calibri"/>
      <b val="1"/>
      <color rgb="FFFFFFFF"/>
      <sz val="9"/>
    </font>
    <font>
      <name val="Calibri"/>
      <color rgb="FF000000"/>
      <sz val="9"/>
    </font>
    <font>
      <name val="Calibri"/>
      <color rgb="FF808080"/>
      <sz val="8"/>
    </font>
    <font>
      <name val="Calibri"/>
      <b val="1"/>
      <color rgb="FF000000"/>
      <sz val="9"/>
    </font>
    <font>
      <name val="Calibri"/>
      <b val="1"/>
      <color rgb="FFFFFFFF"/>
      <sz val="8"/>
    </font>
    <font>
      <name val="Calibri"/>
      <i val="1"/>
      <color rgb="FF000000"/>
      <sz val="8"/>
    </font>
    <font>
      <name val="Calibri"/>
      <i val="1"/>
      <color rgb="FF808080"/>
      <sz val="8"/>
    </font>
    <font>
      <name val="Calibri"/>
      <b val="1"/>
      <color rgb="FF000000"/>
      <sz val="8"/>
    </font>
    <font>
      <name val="Calibri"/>
      <color rgb="FF000000"/>
      <sz val="8"/>
    </font>
    <font>
      <name val="Calibri"/>
      <b val="1"/>
      <color rgb="FFFFFFFF"/>
      <sz val="11"/>
    </font>
  </fonts>
  <fills count="12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DEBF7"/>
      </patternFill>
    </fill>
    <fill>
      <patternFill patternType="solid">
        <fgColor rgb="FF375623"/>
      </patternFill>
    </fill>
    <fill>
      <patternFill patternType="solid">
        <fgColor rgb="FFE2EFDA"/>
      </patternFill>
    </fill>
    <fill>
      <patternFill patternType="solid">
        <fgColor rgb="FFFF0000"/>
      </patternFill>
    </fill>
    <fill>
      <patternFill patternType="solid">
        <fgColor rgb="FFFCE4E4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4" fillId="3" borderId="0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/>
    </xf>
    <xf numFmtId="3" fontId="5" fillId="4" borderId="1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center" vertical="center" wrapText="1"/>
    </xf>
    <xf numFmtId="165" fontId="5" fillId="4" borderId="1" applyAlignment="1" pivotButton="0" quotePrefix="0" xfId="0">
      <alignment horizontal="center" vertical="center" wrapText="1"/>
    </xf>
    <xf numFmtId="166" fontId="5" fillId="4" borderId="1" applyAlignment="1" pivotButton="0" quotePrefix="0" xfId="0">
      <alignment horizontal="center" vertical="center" wrapText="1"/>
    </xf>
    <xf numFmtId="0" fontId="0" fillId="5" borderId="0" pivotButton="0" quotePrefix="0" xfId="0"/>
    <xf numFmtId="0" fontId="4" fillId="5" borderId="0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/>
    </xf>
    <xf numFmtId="3" fontId="5" fillId="6" borderId="1" applyAlignment="1" pivotButton="0" quotePrefix="0" xfId="0">
      <alignment horizontal="center" vertical="center" wrapText="1"/>
    </xf>
    <xf numFmtId="164" fontId="5" fillId="6" borderId="1" applyAlignment="1" pivotButton="0" quotePrefix="0" xfId="0">
      <alignment horizontal="center" vertical="center" wrapText="1"/>
    </xf>
    <xf numFmtId="165" fontId="5" fillId="6" borderId="1" applyAlignment="1" pivotButton="0" quotePrefix="0" xfId="0">
      <alignment horizontal="center" vertical="center" wrapText="1"/>
    </xf>
    <xf numFmtId="166" fontId="5" fillId="6" borderId="1" applyAlignment="1" pivotButton="0" quotePrefix="0" xfId="0">
      <alignment horizontal="center" vertical="center" wrapText="1"/>
    </xf>
    <xf numFmtId="0" fontId="0" fillId="7" borderId="0" pivotButton="0" quotePrefix="0" xfId="0"/>
    <xf numFmtId="0" fontId="4" fillId="7" borderId="0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/>
    </xf>
    <xf numFmtId="3" fontId="5" fillId="8" borderId="1" applyAlignment="1" pivotButton="0" quotePrefix="0" xfId="0">
      <alignment horizontal="center" vertical="center" wrapText="1"/>
    </xf>
    <xf numFmtId="164" fontId="5" fillId="8" borderId="1" applyAlignment="1" pivotButton="0" quotePrefix="0" xfId="0">
      <alignment horizontal="center" vertical="center" wrapText="1"/>
    </xf>
    <xf numFmtId="165" fontId="5" fillId="8" borderId="1" applyAlignment="1" pivotButton="0" quotePrefix="0" xfId="0">
      <alignment horizontal="center" vertical="center" wrapText="1"/>
    </xf>
    <xf numFmtId="166" fontId="5" fillId="8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4" fillId="2" borderId="0" pivotButton="0" quotePrefix="0" xfId="0"/>
    <xf numFmtId="0" fontId="7" fillId="0" borderId="0" pivotButton="0" quotePrefix="0" xfId="0"/>
    <xf numFmtId="0" fontId="7" fillId="0" borderId="0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7" fillId="9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9" fontId="7" fillId="9" borderId="0" applyAlignment="1" pivotButton="0" quotePrefix="0" xfId="0">
      <alignment horizontal="center" vertical="center" wrapText="1"/>
    </xf>
    <xf numFmtId="3" fontId="7" fillId="9" borderId="0" applyAlignment="1" pivotButton="0" quotePrefix="0" xfId="0">
      <alignment horizontal="center" vertical="center" wrapText="1"/>
    </xf>
    <xf numFmtId="3" fontId="7" fillId="0" borderId="0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3" fontId="5" fillId="10" borderId="1" applyAlignment="1" pivotButton="0" quotePrefix="0" xfId="0">
      <alignment horizontal="center" vertical="center" wrapText="1"/>
    </xf>
    <xf numFmtId="3" fontId="5" fillId="11" borderId="1" applyAlignment="1" pivotButton="0" quotePrefix="0" xfId="0">
      <alignment horizontal="center" vertical="center" wrapText="1"/>
    </xf>
    <xf numFmtId="164" fontId="7" fillId="10" borderId="1" applyAlignment="1" pivotButton="0" quotePrefix="0" xfId="0">
      <alignment horizontal="center" vertical="center" wrapText="1"/>
    </xf>
    <xf numFmtId="164" fontId="7" fillId="11" borderId="1" applyAlignment="1" pivotButton="0" quotePrefix="0" xfId="0">
      <alignment horizontal="center" vertical="center" wrapText="1"/>
    </xf>
    <xf numFmtId="167" fontId="5" fillId="10" borderId="1" applyAlignment="1" pivotButton="0" quotePrefix="0" xfId="0">
      <alignment horizontal="center" vertical="center" wrapText="1"/>
    </xf>
    <xf numFmtId="167" fontId="5" fillId="11" borderId="1" applyAlignment="1" pivotButton="0" quotePrefix="0" xfId="0">
      <alignment horizontal="center" vertical="center" wrapText="1"/>
    </xf>
    <xf numFmtId="0" fontId="9" fillId="0" borderId="0" pivotButton="0" quotePrefix="0" xfId="0"/>
    <xf numFmtId="164" fontId="10" fillId="10" borderId="1" applyAlignment="1" pivotButton="0" quotePrefix="0" xfId="0">
      <alignment horizontal="center" vertical="center" wrapText="1"/>
    </xf>
    <xf numFmtId="164" fontId="10" fillId="11" borderId="1" applyAlignment="1" pivotButton="0" quotePrefix="0" xfId="0">
      <alignment horizontal="center" vertical="center" wrapText="1"/>
    </xf>
    <xf numFmtId="164" fontId="5" fillId="10" borderId="1" applyAlignment="1" pivotButton="0" quotePrefix="0" xfId="0">
      <alignment horizontal="center" vertical="center" wrapText="1"/>
    </xf>
    <xf numFmtId="164" fontId="5" fillId="11" borderId="1" applyAlignment="1" pivotButton="0" quotePrefix="0" xfId="0">
      <alignment horizontal="center" vertical="center" wrapText="1"/>
    </xf>
    <xf numFmtId="3" fontId="5" fillId="0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0" fontId="11" fillId="0" borderId="0" pivotButton="0" quotePrefix="0" xfId="0"/>
    <xf numFmtId="164" fontId="5" fillId="9" borderId="1" applyAlignment="1" pivotButton="0" quotePrefix="0" xfId="0">
      <alignment horizontal="center" vertical="center" wrapText="1"/>
    </xf>
    <xf numFmtId="0" fontId="12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3" fontId="0" fillId="0" borderId="0" pivotButton="0" quotePrefix="0" xfId="0"/>
    <xf numFmtId="0" fontId="13" fillId="2" borderId="0" pivotButton="0" quotePrefix="0" xfId="0"/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.5" customWidth="1" min="2" max="2"/>
    <col width="30" customWidth="1" min="3" max="3"/>
    <col width="8" customWidth="1" min="4" max="4"/>
    <col width="11.5" customWidth="1" min="5" max="5"/>
    <col width="10" customWidth="1" min="6" max="6"/>
    <col width="13" customWidth="1" min="7" max="7"/>
    <col width="22" customWidth="1" min="8" max="8"/>
    <col width="11" customWidth="1" min="9" max="9"/>
    <col width="14" customWidth="1" min="10" max="10"/>
    <col width="30" customWidth="1" min="11" max="11"/>
  </cols>
  <sheetData>
    <row r="2" ht="22" customHeight="1">
      <c r="C2" s="1" t="inlineStr">
        <is>
          <t>AURA BEACON ISLAND — 5-Mile Competitive Supply</t>
        </is>
      </c>
    </row>
    <row r="3">
      <c r="B3" s="2" t="inlineStr">
        <is>
          <t>2022–2026 New Construction  |  5-mile radius  |  As of 2026 Q2 QTD  |  Stabilization Target:</t>
        </is>
      </c>
      <c r="G3" s="3" t="inlineStr">
        <is>
          <t>95% target</t>
        </is>
      </c>
    </row>
    <row r="4" ht="18" customHeight="1">
      <c r="B4" s="4" t="inlineStr">
        <is>
          <t>#</t>
        </is>
      </c>
      <c r="C4" s="4" t="inlineStr">
        <is>
          <t>Property</t>
        </is>
      </c>
      <c r="D4" s="4" t="inlineStr">
        <is>
          <t>Units</t>
        </is>
      </c>
      <c r="E4" s="4" t="inlineStr">
        <is>
          <t>Est. Delivery</t>
        </is>
      </c>
      <c r="F4" s="4" t="inlineStr">
        <is>
          <t>Occupancy</t>
        </is>
      </c>
      <c r="G4" s="4" t="inlineStr">
        <is>
          <t>Avg Mkt Rent</t>
        </is>
      </c>
      <c r="H4" s="4" t="inlineStr">
        <is>
          <t>Owner</t>
        </is>
      </c>
      <c r="I4" s="4" t="inlineStr">
        <is>
          <t>Proximity</t>
        </is>
      </c>
      <c r="J4" s="4" t="inlineStr">
        <is>
          <t>Type</t>
        </is>
      </c>
      <c r="K4" s="4" t="inlineStr">
        <is>
          <t>Notes</t>
        </is>
      </c>
    </row>
    <row r="5">
      <c r="B5" s="5" t="n"/>
      <c r="C5" s="6" t="inlineStr">
        <is>
          <t>STABILIZED / STABILIZING (5 properties, 1,671 units)</t>
        </is>
      </c>
    </row>
    <row r="6">
      <c r="B6" s="7" t="n">
        <v>1</v>
      </c>
      <c r="C6" s="8" t="inlineStr">
        <is>
          <t>Livano Kemah</t>
        </is>
      </c>
      <c r="D6" s="9" t="n">
        <v>325</v>
      </c>
      <c r="E6" s="7" t="inlineStr">
        <is>
          <t>Q3 2022</t>
        </is>
      </c>
      <c r="F6" s="10" t="n">
        <v>0.929</v>
      </c>
      <c r="G6" s="11" t="n">
        <v>1439</v>
      </c>
      <c r="H6" s="8" t="inlineStr">
        <is>
          <t>LIV Development</t>
        </is>
      </c>
      <c r="I6" s="12" t="n">
        <v>3</v>
      </c>
      <c r="J6" s="7" t="inlineStr">
        <is>
          <t>Mid-Rise</t>
        </is>
      </c>
      <c r="K6" s="8" t="inlineStr">
        <is>
          <t>Year built: 2022/2023; Delivery quarter estimated; Rent: CoStar ask $1,861 vs RealPage eff $1,439</t>
        </is>
      </c>
    </row>
    <row r="7">
      <c r="B7" s="7" t="n">
        <v>2</v>
      </c>
      <c r="C7" s="8" t="inlineStr">
        <is>
          <t>The Reserve at Baybrook</t>
        </is>
      </c>
      <c r="D7" s="9" t="n">
        <v>291</v>
      </c>
      <c r="E7" s="7" t="inlineStr">
        <is>
          <t>Q3 2022</t>
        </is>
      </c>
      <c r="F7" s="10" t="n">
        <v>0.952</v>
      </c>
      <c r="G7" s="11" t="n">
        <v>1927</v>
      </c>
      <c r="H7" s="8" t="inlineStr">
        <is>
          <t>DRA Advisors</t>
        </is>
      </c>
      <c r="I7" s="12" t="n">
        <v>5.4</v>
      </c>
      <c r="J7" s="7" t="inlineStr">
        <is>
          <t>Mid-Rise</t>
        </is>
      </c>
      <c r="K7" s="8" t="n"/>
    </row>
    <row r="8">
      <c r="B8" s="7" t="n">
        <v>3</v>
      </c>
      <c r="C8" s="8" t="inlineStr">
        <is>
          <t>Lenox Bayside</t>
        </is>
      </c>
      <c r="D8" s="9" t="n">
        <v>315</v>
      </c>
      <c r="E8" s="7" t="inlineStr">
        <is>
          <t>Q2 2023</t>
        </is>
      </c>
      <c r="F8" s="10" t="n">
        <v>0.911</v>
      </c>
      <c r="G8" s="11" t="n">
        <v>1821</v>
      </c>
      <c r="H8" s="8" t="inlineStr">
        <is>
          <t>OHT Partners</t>
        </is>
      </c>
      <c r="I8" s="12" t="n">
        <v>4.5</v>
      </c>
      <c r="J8" s="7" t="inlineStr">
        <is>
          <t>Mid-Rise</t>
        </is>
      </c>
      <c r="K8" s="8" t="inlineStr">
        <is>
          <t>Occ: CoStar 88% vs RealPage 91%</t>
        </is>
      </c>
    </row>
    <row r="9">
      <c r="B9" s="7" t="n">
        <v>4</v>
      </c>
      <c r="C9" s="8" t="inlineStr">
        <is>
          <t>The Kippford at Kemah Crossing</t>
        </is>
      </c>
      <c r="D9" s="9" t="n">
        <v>360</v>
      </c>
      <c r="E9" s="7" t="inlineStr">
        <is>
          <t>Q3 2023</t>
        </is>
      </c>
      <c r="F9" s="10" t="n">
        <v>0.95</v>
      </c>
      <c r="G9" s="11" t="n">
        <v>1793</v>
      </c>
      <c r="H9" s="8" t="inlineStr">
        <is>
          <t>Allen Harrison Company</t>
        </is>
      </c>
      <c r="I9" s="12" t="n">
        <v>2.8</v>
      </c>
      <c r="J9" s="7" t="inlineStr">
        <is>
          <t>Garden</t>
        </is>
      </c>
      <c r="K9" s="8" t="inlineStr">
        <is>
          <t>Year built: 2023/2024; Occ: CoStar 90% vs RealPage 95%</t>
        </is>
      </c>
    </row>
    <row r="10">
      <c r="B10" s="7" t="n">
        <v>5</v>
      </c>
      <c r="C10" s="8" t="inlineStr">
        <is>
          <t>Broadstone Baybrook</t>
        </is>
      </c>
      <c r="D10" s="9" t="n">
        <v>380</v>
      </c>
      <c r="E10" s="7" t="inlineStr">
        <is>
          <t>Q3 2024</t>
        </is>
      </c>
      <c r="F10" s="10" t="n">
        <v>0.953</v>
      </c>
      <c r="G10" s="11" t="n">
        <v>1709</v>
      </c>
      <c r="H10" s="8" t="inlineStr">
        <is>
          <t>Alliance Residential Company</t>
        </is>
      </c>
      <c r="I10" s="12" t="n">
        <v>4.4</v>
      </c>
      <c r="J10" s="7" t="inlineStr">
        <is>
          <t>Mid-Rise</t>
        </is>
      </c>
      <c r="K10" s="8" t="inlineStr">
        <is>
          <t>Year built: 2024/2025; Occ: CoStar 93% vs RealPage 95%</t>
        </is>
      </c>
    </row>
    <row r="12">
      <c r="B12" s="13" t="n"/>
      <c r="C12" s="14" t="inlineStr">
        <is>
          <t>UNDER CONSTRUCTION (3 properties, 885 units)</t>
        </is>
      </c>
    </row>
    <row r="13">
      <c r="B13" s="15" t="n">
        <v>6</v>
      </c>
      <c r="C13" s="16" t="inlineStr">
        <is>
          <t>Dakota at Kemah</t>
        </is>
      </c>
      <c r="D13" s="17" t="n">
        <v>229</v>
      </c>
      <c r="E13" s="15" t="inlineStr">
        <is>
          <t>Q1 2027</t>
        </is>
      </c>
      <c r="F13" s="18" t="n"/>
      <c r="G13" s="19" t="inlineStr">
        <is>
          <t>—</t>
        </is>
      </c>
      <c r="H13" s="16" t="inlineStr">
        <is>
          <t>Dakota Enterprises</t>
        </is>
      </c>
      <c r="I13" s="20" t="n">
        <v>3.1</v>
      </c>
      <c r="J13" s="15" t="inlineStr">
        <is>
          <t>Garden</t>
        </is>
      </c>
      <c r="K13" s="16" t="inlineStr">
        <is>
          <t>Diligence: under construction</t>
        </is>
      </c>
    </row>
    <row r="14">
      <c r="B14" s="15" t="n">
        <v>7</v>
      </c>
      <c r="C14" s="16" t="inlineStr">
        <is>
          <t>Lenox Clear Creek</t>
        </is>
      </c>
      <c r="D14" s="17" t="n">
        <v>336</v>
      </c>
      <c r="E14" s="15" t="inlineStr">
        <is>
          <t>Q3 2027</t>
        </is>
      </c>
      <c r="F14" s="18" t="n"/>
      <c r="G14" s="19" t="inlineStr">
        <is>
          <t>—</t>
        </is>
      </c>
      <c r="H14" s="16" t="inlineStr">
        <is>
          <t>OHT Partners</t>
        </is>
      </c>
      <c r="I14" s="20" t="n">
        <v>4</v>
      </c>
      <c r="J14" s="15" t="inlineStr">
        <is>
          <t>Mid-Rise</t>
        </is>
      </c>
      <c r="K14" s="16" t="inlineStr">
        <is>
          <t>Diligence: under construction</t>
        </is>
      </c>
    </row>
    <row r="15">
      <c r="B15" s="15" t="n">
        <v>8</v>
      </c>
      <c r="C15" s="16" t="inlineStr">
        <is>
          <t>The Edge at Seabrook Town Centre</t>
        </is>
      </c>
      <c r="D15" s="17" t="n">
        <v>320</v>
      </c>
      <c r="E15" s="15" t="inlineStr">
        <is>
          <t>Q2 2028</t>
        </is>
      </c>
      <c r="F15" s="18" t="n"/>
      <c r="G15" s="19" t="inlineStr">
        <is>
          <t>—</t>
        </is>
      </c>
      <c r="H15" s="16" t="inlineStr">
        <is>
          <t>HS Development Group</t>
        </is>
      </c>
      <c r="I15" s="20" t="n">
        <v>3.5</v>
      </c>
      <c r="J15" s="15" t="inlineStr">
        <is>
          <t>Townhome</t>
        </is>
      </c>
      <c r="K15" s="16" t="inlineStr">
        <is>
          <t>Diligence: under construction</t>
        </is>
      </c>
    </row>
    <row r="17">
      <c r="B17" s="21" t="n"/>
      <c r="C17" s="22" t="inlineStr">
        <is>
          <t>PROPOSED (7 properties, 1,963 units)</t>
        </is>
      </c>
    </row>
    <row r="18">
      <c r="B18" s="23" t="n">
        <v>9</v>
      </c>
      <c r="C18" s="24" t="inlineStr">
        <is>
          <t>The League I</t>
        </is>
      </c>
      <c r="D18" s="25" t="n">
        <v>304</v>
      </c>
      <c r="E18" s="23" t="inlineStr">
        <is>
          <t>Q3 2026</t>
        </is>
      </c>
      <c r="F18" s="26" t="n"/>
      <c r="G18" s="27" t="inlineStr">
        <is>
          <t>—</t>
        </is>
      </c>
      <c r="H18" s="24" t="inlineStr">
        <is>
          <t>MOS R.E LLC</t>
        </is>
      </c>
      <c r="I18" s="28" t="n">
        <v>2.1</v>
      </c>
      <c r="J18" s="23" t="inlineStr">
        <is>
          <t>Mid-Rise</t>
        </is>
      </c>
      <c r="K18" s="24" t="inlineStr">
        <is>
          <t>Diligence: proposed</t>
        </is>
      </c>
    </row>
    <row r="19">
      <c r="B19" s="23" t="n">
        <v>10</v>
      </c>
      <c r="C19" s="24" t="inlineStr">
        <is>
          <t>Riverview at Clear Creek</t>
        </is>
      </c>
      <c r="D19" s="25" t="n">
        <v>298</v>
      </c>
      <c r="E19" s="23" t="inlineStr">
        <is>
          <t>Q2 2028</t>
        </is>
      </c>
      <c r="F19" s="26" t="n"/>
      <c r="G19" s="27" t="inlineStr">
        <is>
          <t>—</t>
        </is>
      </c>
      <c r="H19" s="24" t="inlineStr">
        <is>
          <t>Atticus Real Estate</t>
        </is>
      </c>
      <c r="I19" s="28" t="n">
        <v>3.7</v>
      </c>
      <c r="J19" s="23" t="inlineStr">
        <is>
          <t>Mid-Rise</t>
        </is>
      </c>
      <c r="K19" s="24" t="inlineStr">
        <is>
          <t>Diligence: proposed</t>
        </is>
      </c>
    </row>
    <row r="20">
      <c r="B20" s="23" t="n">
        <v>11</v>
      </c>
      <c r="C20" s="24" t="inlineStr">
        <is>
          <t>Seabrook Plaza</t>
        </is>
      </c>
      <c r="D20" s="25" t="n">
        <v>260</v>
      </c>
      <c r="E20" s="23" t="inlineStr">
        <is>
          <t>Q3 2028</t>
        </is>
      </c>
      <c r="F20" s="26" t="n"/>
      <c r="G20" s="27" t="inlineStr">
        <is>
          <t>—</t>
        </is>
      </c>
      <c r="H20" s="24" t="inlineStr">
        <is>
          <t>HM Equity Management</t>
        </is>
      </c>
      <c r="I20" s="28" t="n">
        <v>2.1</v>
      </c>
      <c r="J20" s="23" t="inlineStr">
        <is>
          <t>Mid-Rise</t>
        </is>
      </c>
      <c r="K20" s="24" t="inlineStr">
        <is>
          <t>Units: CoStar 260 vs RealPage 76; Diligence: proposed</t>
        </is>
      </c>
    </row>
    <row r="21">
      <c r="B21" s="23" t="n">
        <v>12</v>
      </c>
      <c r="C21" s="24" t="inlineStr">
        <is>
          <t>The League Future Phases</t>
        </is>
      </c>
      <c r="D21" s="25" t="n">
        <v>400</v>
      </c>
      <c r="E21" s="23" t="inlineStr">
        <is>
          <t>TBD</t>
        </is>
      </c>
      <c r="F21" s="26" t="n"/>
      <c r="G21" s="27" t="inlineStr">
        <is>
          <t>—</t>
        </is>
      </c>
      <c r="H21" s="24" t="inlineStr">
        <is>
          <t>Privately Owned</t>
        </is>
      </c>
      <c r="I21" s="28" t="n">
        <v>2.4</v>
      </c>
      <c r="J21" s="23" t="inlineStr">
        <is>
          <t>Mid-Rise</t>
        </is>
      </c>
      <c r="K21" s="24" t="inlineStr">
        <is>
          <t>RealPage pipeline (not yet in CoStar); Diligence: proposed</t>
        </is>
      </c>
    </row>
    <row r="22">
      <c r="B22" s="23" t="n">
        <v>13</v>
      </c>
      <c r="C22" s="24" t="inlineStr">
        <is>
          <t>Residences at Highland Center</t>
        </is>
      </c>
      <c r="D22" s="25" t="n">
        <v>275</v>
      </c>
      <c r="E22" s="23" t="inlineStr">
        <is>
          <t>TBD</t>
        </is>
      </c>
      <c r="F22" s="26" t="n"/>
      <c r="G22" s="27" t="inlineStr">
        <is>
          <t>—</t>
        </is>
      </c>
      <c r="H22" s="24" t="inlineStr">
        <is>
          <t>Highland Resources Inc</t>
        </is>
      </c>
      <c r="I22" s="28" t="n">
        <v>3.5</v>
      </c>
      <c r="J22" s="23" t="inlineStr">
        <is>
          <t>High-Rise</t>
        </is>
      </c>
      <c r="K22" s="24" t="inlineStr">
        <is>
          <t>RealPage pipeline (not yet in CoStar); Diligence: proposed</t>
        </is>
      </c>
    </row>
    <row r="23">
      <c r="B23" s="23" t="n">
        <v>14</v>
      </c>
      <c r="C23" s="24" t="inlineStr">
        <is>
          <t>Avalon at Kemah II</t>
        </is>
      </c>
      <c r="D23" s="25" t="n">
        <v>228</v>
      </c>
      <c r="E23" s="23" t="inlineStr">
        <is>
          <t>TBD</t>
        </is>
      </c>
      <c r="F23" s="26" t="n"/>
      <c r="G23" s="27" t="inlineStr">
        <is>
          <t>—</t>
        </is>
      </c>
      <c r="H23" s="24" t="inlineStr">
        <is>
          <t>—</t>
        </is>
      </c>
      <c r="I23" s="28" t="n">
        <v>3</v>
      </c>
      <c r="J23" s="23" t="inlineStr">
        <is>
          <t>Garden</t>
        </is>
      </c>
      <c r="K23" s="24" t="inlineStr">
        <is>
          <t>RealPage pipeline (not yet in CoStar); Diligence: proposed</t>
        </is>
      </c>
    </row>
    <row r="24">
      <c r="B24" s="23" t="n">
        <v>15</v>
      </c>
      <c r="C24" s="24" t="inlineStr">
        <is>
          <t>Avalon at Kemah I</t>
        </is>
      </c>
      <c r="D24" s="25" t="n">
        <v>198</v>
      </c>
      <c r="E24" s="23" t="inlineStr">
        <is>
          <t>TBD</t>
        </is>
      </c>
      <c r="F24" s="26" t="n"/>
      <c r="G24" s="27" t="inlineStr">
        <is>
          <t>—</t>
        </is>
      </c>
      <c r="H24" s="24" t="inlineStr">
        <is>
          <t>—</t>
        </is>
      </c>
      <c r="I24" s="28" t="n">
        <v>3</v>
      </c>
      <c r="J24" s="23" t="inlineStr">
        <is>
          <t>Garden</t>
        </is>
      </c>
      <c r="K24" s="24" t="inlineStr">
        <is>
          <t>RealPage pipeline (not yet in CoStar); Diligence: proposed</t>
        </is>
      </c>
    </row>
    <row r="27">
      <c r="B27" s="29" t="inlineStr">
        <is>
          <t>* 5-Mile radius. Rent ($) = market asking. Proximity (mi) = straight-line distance from the subject (geocoded); lease-up rent/occupancy to be verified w/ HelloData. See the 'Supply &amp; Absorption' tab for the forward supply / absorption / overall-occupancy forecast.</t>
        </is>
      </c>
    </row>
  </sheetData>
  <mergeCells count="6">
    <mergeCell ref="C5:K5"/>
    <mergeCell ref="C2:G2"/>
    <mergeCell ref="B27:K27"/>
    <mergeCell ref="B3:F3"/>
    <mergeCell ref="C17:K17"/>
    <mergeCell ref="C12:K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1"/>
    <pageSetUpPr/>
  </sheetPr>
  <dimension ref="B1:Z60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26" customWidth="1" min="2" max="2"/>
    <col width="9.5" customWidth="1" min="3" max="3"/>
    <col width="9.5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4" max="14"/>
    <col width="9.5" customWidth="1" min="15" max="15"/>
    <col width="28" customWidth="1" min="18" max="18"/>
    <col width="7" customWidth="1" min="19" max="19"/>
    <col width="11" customWidth="1" min="20" max="20"/>
    <col width="9" customWidth="1" min="21" max="21"/>
    <col hidden="1" width="8" customWidth="1" min="22" max="22"/>
    <col hidden="1" width="7" customWidth="1" min="23" max="23"/>
    <col hidden="1" width="6" customWidth="1" min="24" max="24"/>
    <col hidden="1" width="13" customWidth="1" min="26" max="26"/>
  </cols>
  <sheetData>
    <row r="1" ht="14.4" customHeight="1">
      <c r="Z1" t="n">
        <v>8105</v>
      </c>
    </row>
    <row r="2" ht="20" customHeight="1">
      <c r="B2" s="1" t="inlineStr">
        <is>
          <t>SUPPLY &amp; ABSORPTION  —  5-MILE MARKET (relative-year / TTM)</t>
        </is>
      </c>
      <c r="Z2">
        <f>IFERROR(VALUE(RIGHT($C$5,4))*4+MATCH(LEFT($C$5,2),{"Q1","Q2","Q3","Q4"},0)-1,0)</f>
        <v/>
      </c>
    </row>
    <row r="3" ht="14.4" customHeight="1">
      <c r="R3" s="30" t="inlineStr">
        <is>
          <t>UNDER CONSTRUCTION (linked from Competitive Analysis)</t>
        </is>
      </c>
      <c r="Z3">
        <f>IF($C$7="Bear",3,IF($C$7="Base",2,1))</f>
        <v/>
      </c>
    </row>
    <row r="4" ht="14.4" customHeight="1">
      <c r="B4" s="31" t="inlineStr">
        <is>
          <t>As-of Quarter</t>
        </is>
      </c>
      <c r="C4" s="32" t="inlineStr">
        <is>
          <t>Q2 2026</t>
        </is>
      </c>
      <c r="R4" s="33" t="inlineStr">
        <is>
          <t>Property</t>
        </is>
      </c>
      <c r="S4" s="33" t="inlineStr">
        <is>
          <t>Units</t>
        </is>
      </c>
      <c r="T4" s="33" t="inlineStr">
        <is>
          <t>Est. Delivery</t>
        </is>
      </c>
    </row>
    <row r="5" ht="14.4" customHeight="1">
      <c r="B5" s="31" t="inlineStr">
        <is>
          <t>Close Quarter (Y1 start)</t>
        </is>
      </c>
      <c r="C5" s="34" t="inlineStr">
        <is>
          <t>Q4 2026</t>
        </is>
      </c>
      <c r="R5" s="35">
        <f>'Competitive Analysis'!C14</f>
        <v/>
      </c>
      <c r="S5" s="36">
        <f>'Competitive Analysis'!D14</f>
        <v/>
      </c>
      <c r="T5" s="37">
        <f>'Competitive Analysis'!E14</f>
        <v/>
      </c>
      <c r="V5">
        <f>IFERROR(VALUE(RIGHT(T5,4))*4+MATCH(LEFT(T5,2),{"Q1","Q2","Q3","Q4"},0)-1,"")</f>
        <v/>
      </c>
      <c r="W5">
        <f>IF(V5="","",IF(V5&lt;=$Z$1,0,MAX(1,INT((V5-$Z$2)/4)+1)))</f>
        <v/>
      </c>
    </row>
    <row r="6" ht="14.4" customHeight="1">
      <c r="B6" s="31" t="inlineStr">
        <is>
          <t>Stabilization Target</t>
        </is>
      </c>
      <c r="C6" s="38" t="n">
        <v>0.95</v>
      </c>
      <c r="R6" s="35">
        <f>'Competitive Analysis'!C15</f>
        <v/>
      </c>
      <c r="S6" s="36">
        <f>'Competitive Analysis'!D15</f>
        <v/>
      </c>
      <c r="T6" s="37">
        <f>'Competitive Analysis'!E15</f>
        <v/>
      </c>
      <c r="V6">
        <f>IFERROR(VALUE(RIGHT(T6,4))*4+MATCH(LEFT(T6,2),{"Q1","Q2","Q3","Q4"},0)-1,"")</f>
        <v/>
      </c>
      <c r="W6">
        <f>IF(V6="","",IF(V6&lt;=$Z$1,0,MAX(1,INT((V6-$Z$2)/4)+1)))</f>
        <v/>
      </c>
    </row>
    <row r="7" ht="14.4" customHeight="1">
      <c r="B7" s="31" t="inlineStr">
        <is>
          <t>Demand Scenario</t>
        </is>
      </c>
      <c r="C7" s="34" t="inlineStr">
        <is>
          <t>Base</t>
        </is>
      </c>
      <c r="R7" s="35">
        <f>'Competitive Analysis'!C13</f>
        <v/>
      </c>
      <c r="S7" s="36">
        <f>'Competitive Analysis'!D13</f>
        <v/>
      </c>
      <c r="T7" s="37">
        <f>'Competitive Analysis'!E13</f>
        <v/>
      </c>
      <c r="V7">
        <f>IFERROR(VALUE(RIGHT(T7,4))*4+MATCH(LEFT(T7,2),{"Q1","Q2","Q3","Q4"},0)-1,"")</f>
        <v/>
      </c>
      <c r="W7">
        <f>IF(V7="","",IF(V7&lt;=$Z$1,0,MAX(1,INT((V7-$Z$2)/4)+1)))</f>
        <v/>
      </c>
    </row>
    <row r="8" ht="14.4" customHeight="1">
      <c r="B8" s="31" t="inlineStr">
        <is>
          <t>Bear Annual Absorption</t>
        </is>
      </c>
      <c r="C8" s="39" t="n">
        <v>150</v>
      </c>
    </row>
    <row r="9" ht="14.4" customHeight="1">
      <c r="B9" s="31" t="inlineStr">
        <is>
          <t>Base Annual Absorption</t>
        </is>
      </c>
      <c r="C9" s="39" t="n">
        <v>325</v>
      </c>
      <c r="R9" s="30" t="inlineStr">
        <is>
          <t>PROPOSED PIPELINE (scenario toggle)</t>
        </is>
      </c>
    </row>
    <row r="10" ht="14.4" customHeight="1">
      <c r="B10" s="31" t="inlineStr">
        <is>
          <t>Bull Annual Absorption</t>
        </is>
      </c>
      <c r="C10" s="39" t="n">
        <v>500</v>
      </c>
      <c r="R10" s="33" t="inlineStr">
        <is>
          <t>Property</t>
        </is>
      </c>
      <c r="S10" s="33" t="inlineStr">
        <is>
          <t>Units</t>
        </is>
      </c>
      <c r="T10" s="33" t="inlineStr">
        <is>
          <t>Est. Delivery</t>
        </is>
      </c>
      <c r="U10" s="33" t="inlineStr">
        <is>
          <t>Built In</t>
        </is>
      </c>
    </row>
    <row r="11" ht="14.4" customHeight="1">
      <c r="B11" s="31" t="inlineStr">
        <is>
          <t>Selected Annual Demand</t>
        </is>
      </c>
      <c r="C11" s="40">
        <f>IF($C$7="Bear",$C$8,IF($C$7="Bull",$C$10,$C$9))</f>
        <v/>
      </c>
      <c r="R11" s="35" t="inlineStr">
        <is>
          <t>The League Future Phases</t>
        </is>
      </c>
      <c r="S11" s="36" t="n">
        <v>400</v>
      </c>
      <c r="T11" s="41" t="inlineStr"/>
      <c r="U11" s="41" t="inlineStr">
        <is>
          <t>Bear only</t>
        </is>
      </c>
      <c r="V11">
        <f>IFERROR(VALUE(RIGHT(T11,4))*4+MATCH(LEFT(T11,2),{"Q1","Q2","Q3","Q4"},0)-1,"")</f>
        <v/>
      </c>
      <c r="W11">
        <f>IF(V11="","",IF(V11&lt;=$Z$1,0,MAX(1,INT((V11-$Z$2)/4)+1)))</f>
        <v/>
      </c>
      <c r="X11">
        <f>IF(U11="All",1,IF(U11="Bear+Base",IF($Z$3&gt;=2,1,0),IF(U11="Bear only",IF($Z$3&gt;=3,1,0),0)))</f>
        <v/>
      </c>
    </row>
    <row r="12" ht="14.4" customHeight="1">
      <c r="R12" s="35" t="inlineStr">
        <is>
          <t>The League I</t>
        </is>
      </c>
      <c r="S12" s="36" t="n">
        <v>304</v>
      </c>
      <c r="T12" s="41" t="inlineStr">
        <is>
          <t>Q3 2026</t>
        </is>
      </c>
      <c r="U12" s="41" t="inlineStr">
        <is>
          <t>Bear only</t>
        </is>
      </c>
      <c r="V12">
        <f>IFERROR(VALUE(RIGHT(T12,4))*4+MATCH(LEFT(T12,2),{"Q1","Q2","Q3","Q4"},0)-1,"")</f>
        <v/>
      </c>
      <c r="W12">
        <f>IF(V12="","",IF(V12&lt;=$Z$1,0,MAX(1,INT((V12-$Z$2)/4)+1)))</f>
        <v/>
      </c>
      <c r="X12">
        <f>IF(U12="All",1,IF(U12="Bear+Base",IF($Z$3&gt;=2,1,0),IF(U12="Bear only",IF($Z$3&gt;=3,1,0),0)))</f>
        <v/>
      </c>
    </row>
    <row r="13" ht="14.4" customHeight="1">
      <c r="R13" s="35" t="inlineStr">
        <is>
          <t>Riverview at Clear Creek</t>
        </is>
      </c>
      <c r="S13" s="36" t="n">
        <v>298</v>
      </c>
      <c r="T13" s="41" t="inlineStr">
        <is>
          <t>Q2 2028</t>
        </is>
      </c>
      <c r="U13" s="41" t="inlineStr">
        <is>
          <t>Bear only</t>
        </is>
      </c>
      <c r="V13">
        <f>IFERROR(VALUE(RIGHT(T13,4))*4+MATCH(LEFT(T13,2),{"Q1","Q2","Q3","Q4"},0)-1,"")</f>
        <v/>
      </c>
      <c r="W13">
        <f>IF(V13="","",IF(V13&lt;=$Z$1,0,MAX(1,INT((V13-$Z$2)/4)+1)))</f>
        <v/>
      </c>
      <c r="X13">
        <f>IF(U13="All",1,IF(U13="Bear+Base",IF($Z$3&gt;=2,1,0),IF(U13="Bear only",IF($Z$3&gt;=3,1,0),0)))</f>
        <v/>
      </c>
    </row>
    <row r="14" ht="14.4" customHeight="1">
      <c r="R14" s="35" t="inlineStr">
        <is>
          <t>Residences at Highland Center</t>
        </is>
      </c>
      <c r="S14" s="36" t="n">
        <v>275</v>
      </c>
      <c r="T14" s="41" t="inlineStr"/>
      <c r="U14" s="41" t="inlineStr">
        <is>
          <t>Bear only</t>
        </is>
      </c>
      <c r="V14">
        <f>IFERROR(VALUE(RIGHT(T14,4))*4+MATCH(LEFT(T14,2),{"Q1","Q2","Q3","Q4"},0)-1,"")</f>
        <v/>
      </c>
      <c r="W14">
        <f>IF(V14="","",IF(V14&lt;=$Z$1,0,MAX(1,INT((V14-$Z$2)/4)+1)))</f>
        <v/>
      </c>
      <c r="X14">
        <f>IF(U14="All",1,IF(U14="Bear+Base",IF($Z$3&gt;=2,1,0),IF(U14="Bear only",IF($Z$3&gt;=3,1,0),0)))</f>
        <v/>
      </c>
    </row>
    <row r="15" ht="14.4" customHeight="1">
      <c r="R15" s="35" t="inlineStr">
        <is>
          <t>Seabrook Plaza</t>
        </is>
      </c>
      <c r="S15" s="36" t="n">
        <v>260</v>
      </c>
      <c r="T15" s="41" t="inlineStr">
        <is>
          <t>Q3 2028</t>
        </is>
      </c>
      <c r="U15" s="41" t="inlineStr">
        <is>
          <t>Bear only</t>
        </is>
      </c>
      <c r="V15">
        <f>IFERROR(VALUE(RIGHT(T15,4))*4+MATCH(LEFT(T15,2),{"Q1","Q2","Q3","Q4"},0)-1,"")</f>
        <v/>
      </c>
      <c r="W15">
        <f>IF(V15="","",IF(V15&lt;=$Z$1,0,MAX(1,INT((V15-$Z$2)/4)+1)))</f>
        <v/>
      </c>
      <c r="X15">
        <f>IF(U15="All",1,IF(U15="Bear+Base",IF($Z$3&gt;=2,1,0),IF(U15="Bear only",IF($Z$3&gt;=3,1,0),0)))</f>
        <v/>
      </c>
    </row>
    <row r="16" ht="14.4" customHeight="1">
      <c r="R16" s="35" t="inlineStr">
        <is>
          <t>Avalon at Kemah II</t>
        </is>
      </c>
      <c r="S16" s="36" t="n">
        <v>228</v>
      </c>
      <c r="T16" s="41" t="inlineStr"/>
      <c r="U16" s="41" t="inlineStr">
        <is>
          <t>Bear only</t>
        </is>
      </c>
      <c r="V16">
        <f>IFERROR(VALUE(RIGHT(T16,4))*4+MATCH(LEFT(T16,2),{"Q1","Q2","Q3","Q4"},0)-1,"")</f>
        <v/>
      </c>
      <c r="W16">
        <f>IF(V16="","",IF(V16&lt;=$Z$1,0,MAX(1,INT((V16-$Z$2)/4)+1)))</f>
        <v/>
      </c>
      <c r="X16">
        <f>IF(U16="All",1,IF(U16="Bear+Base",IF($Z$3&gt;=2,1,0),IF(U16="Bear only",IF($Z$3&gt;=3,1,0),0)))</f>
        <v/>
      </c>
    </row>
    <row r="17" ht="14.4" customHeight="1">
      <c r="B17" s="31" t="inlineStr">
        <is>
          <t>5-MILE MARKET</t>
        </is>
      </c>
      <c r="C17" s="4" t="inlineStr">
        <is>
          <t>-Y6</t>
        </is>
      </c>
      <c r="D17" s="4" t="inlineStr">
        <is>
          <t>-Y5</t>
        </is>
      </c>
      <c r="E17" s="4" t="inlineStr">
        <is>
          <t>-Y4</t>
        </is>
      </c>
      <c r="F17" s="4" t="inlineStr">
        <is>
          <t>-Y3</t>
        </is>
      </c>
      <c r="G17" s="4" t="inlineStr">
        <is>
          <t>-Y2</t>
        </is>
      </c>
      <c r="H17" s="4" t="inlineStr">
        <is>
          <t>-Y1</t>
        </is>
      </c>
      <c r="I17" s="4" t="inlineStr">
        <is>
          <t>Y0</t>
        </is>
      </c>
      <c r="J17" s="42" t="inlineStr">
        <is>
          <t>Y1</t>
        </is>
      </c>
      <c r="K17" s="42" t="inlineStr">
        <is>
          <t>Y2</t>
        </is>
      </c>
      <c r="L17" s="42" t="inlineStr">
        <is>
          <t>Y3</t>
        </is>
      </c>
      <c r="M17" s="42" t="inlineStr">
        <is>
          <t>Y4</t>
        </is>
      </c>
      <c r="N17" s="42" t="inlineStr">
        <is>
          <t>Y5</t>
        </is>
      </c>
      <c r="O17" s="42" t="inlineStr">
        <is>
          <t>Y6</t>
        </is>
      </c>
      <c r="R17" s="35" t="inlineStr">
        <is>
          <t>Avalon at Kemah I</t>
        </is>
      </c>
      <c r="S17" s="36" t="n">
        <v>198</v>
      </c>
      <c r="T17" s="41" t="inlineStr"/>
      <c r="U17" s="41" t="inlineStr">
        <is>
          <t>Bear only</t>
        </is>
      </c>
      <c r="V17">
        <f>IFERROR(VALUE(RIGHT(T17,4))*4+MATCH(LEFT(T17,2),{"Q1","Q2","Q3","Q4"},0)-1,"")</f>
        <v/>
      </c>
      <c r="W17">
        <f>IF(V17="","",IF(V17&lt;=$Z$1,0,MAX(1,INT((V17-$Z$2)/4)+1)))</f>
        <v/>
      </c>
      <c r="X17">
        <f>IF(U17="All",1,IF(U17="Bear+Base",IF($Z$3&gt;=2,1,0),IF(U17="Bear only",IF($Z$3&gt;=3,1,0),0)))</f>
        <v/>
      </c>
    </row>
    <row r="18" ht="14.4" customHeight="1">
      <c r="C18" s="43" t="inlineStr">
        <is>
          <t>Q3'19-Q2'20</t>
        </is>
      </c>
      <c r="D18" s="43" t="inlineStr">
        <is>
          <t>Q3'20-Q2'21</t>
        </is>
      </c>
      <c r="E18" s="43" t="inlineStr">
        <is>
          <t>Q3'21-Q2'22</t>
        </is>
      </c>
      <c r="F18" s="43" t="inlineStr">
        <is>
          <t>Q3'22-Q2'23</t>
        </is>
      </c>
      <c r="G18" s="43" t="inlineStr">
        <is>
          <t>Q3'23-Q2'24</t>
        </is>
      </c>
      <c r="H18" s="43" t="inlineStr">
        <is>
          <t>Q3'24-Q2'25</t>
        </is>
      </c>
      <c r="I18" s="43" t="inlineStr">
        <is>
          <t>Q3'25-Q2'26</t>
        </is>
      </c>
      <c r="J18" s="43" t="inlineStr">
        <is>
          <t>Hold Yr 1</t>
        </is>
      </c>
      <c r="K18" s="43" t="inlineStr">
        <is>
          <t>Hold Yr 2</t>
        </is>
      </c>
      <c r="L18" s="43" t="inlineStr">
        <is>
          <t>Hold Yr 3</t>
        </is>
      </c>
      <c r="M18" s="43" t="inlineStr">
        <is>
          <t>Hold Yr 4</t>
        </is>
      </c>
      <c r="N18" s="43" t="inlineStr">
        <is>
          <t>Hold Yr 5</t>
        </is>
      </c>
      <c r="O18" s="43" t="inlineStr">
        <is>
          <t>Hold Yr 6</t>
        </is>
      </c>
    </row>
    <row r="19" ht="14.4" customHeight="1">
      <c r="B19" s="31" t="inlineStr">
        <is>
          <t>NEW SUPPLY (5-mi)</t>
        </is>
      </c>
      <c r="C19" s="44" t="n">
        <v>351</v>
      </c>
      <c r="D19" s="44" t="n">
        <v>656</v>
      </c>
      <c r="E19" s="44" t="n">
        <v>0</v>
      </c>
      <c r="F19" s="44" t="n">
        <v>1221</v>
      </c>
      <c r="G19" s="44" t="n">
        <v>360</v>
      </c>
      <c r="H19" s="44" t="n">
        <v>380</v>
      </c>
      <c r="I19" s="44" t="n">
        <v>0</v>
      </c>
      <c r="J19" s="45">
        <f>SUMIFS($S$5:$S$7,$W$5:$W$7,1)+SUMIFS($S$11:$S$17,$W$11:$W$17,1,$X$11:$X$17,1)</f>
        <v/>
      </c>
      <c r="K19" s="45">
        <f>SUMIFS($S$5:$S$7,$W$5:$W$7,2)+SUMIFS($S$11:$S$17,$W$11:$W$17,2,$X$11:$X$17,1)</f>
        <v/>
      </c>
      <c r="L19" s="45">
        <f>SUMIFS($S$5:$S$7,$W$5:$W$7,3)+SUMIFS($S$11:$S$17,$W$11:$W$17,3,$X$11:$X$17,1)</f>
        <v/>
      </c>
      <c r="M19" s="45">
        <f>SUMIFS($S$5:$S$7,$W$5:$W$7,4)+SUMIFS($S$11:$S$17,$W$11:$W$17,4,$X$11:$X$17,1)</f>
        <v/>
      </c>
      <c r="N19" s="45">
        <f>SUMIFS($S$5:$S$7,$W$5:$W$7,5)+SUMIFS($S$11:$S$17,$W$11:$W$17,5,$X$11:$X$17,1)</f>
        <v/>
      </c>
      <c r="O19" s="45">
        <f>SUMIFS($S$5:$S$7,$W$5:$W$7,6)+SUMIFS($S$11:$S$17,$W$11:$W$17,6,$X$11:$X$17,1)</f>
        <v/>
      </c>
    </row>
    <row r="20" ht="14.4" customHeight="1">
      <c r="B20" s="31" t="inlineStr">
        <is>
          <t>ABSORPTION (5-mi)</t>
        </is>
      </c>
      <c r="C20" s="44" t="n">
        <v>262</v>
      </c>
      <c r="D20" s="44" t="n">
        <v>800</v>
      </c>
      <c r="E20" s="44" t="n">
        <v>-336</v>
      </c>
      <c r="F20" s="44" t="n">
        <v>458</v>
      </c>
      <c r="G20" s="44" t="n">
        <v>575</v>
      </c>
      <c r="H20" s="44" t="n">
        <v>501</v>
      </c>
      <c r="I20" s="44" t="n">
        <v>-74</v>
      </c>
      <c r="J20" s="45">
        <f>J31-I31</f>
        <v/>
      </c>
      <c r="K20" s="45">
        <f>K31-J31</f>
        <v/>
      </c>
      <c r="L20" s="45">
        <f>L31-K31</f>
        <v/>
      </c>
      <c r="M20" s="45">
        <f>M31-L31</f>
        <v/>
      </c>
      <c r="N20" s="45">
        <f>N31-M31</f>
        <v/>
      </c>
      <c r="O20" s="45">
        <f>O31-N31</f>
        <v/>
      </c>
    </row>
    <row r="21" ht="14.4" customHeight="1">
      <c r="B21" s="31" t="inlineStr">
        <is>
          <t>OCCUPANCY (5-mi)</t>
        </is>
      </c>
      <c r="C21" s="46" t="n">
        <v>0.925</v>
      </c>
      <c r="D21" s="46" t="n">
        <v>0.9330000000000001</v>
      </c>
      <c r="E21" s="46" t="n">
        <v>0.919</v>
      </c>
      <c r="F21" s="46" t="n">
        <v>0.892</v>
      </c>
      <c r="G21" s="46" t="n">
        <v>0.902</v>
      </c>
      <c r="H21" s="46" t="n">
        <v>0.908</v>
      </c>
      <c r="I21" s="46" t="n">
        <v>0.905</v>
      </c>
      <c r="J21" s="47">
        <f>IFERROR(J31/J30,0)</f>
        <v/>
      </c>
      <c r="K21" s="47">
        <f>IFERROR(K31/K30,0)</f>
        <v/>
      </c>
      <c r="L21" s="47">
        <f>IFERROR(L31/L30,0)</f>
        <v/>
      </c>
      <c r="M21" s="47">
        <f>IFERROR(M31/M30,0)</f>
        <v/>
      </c>
      <c r="N21" s="47">
        <f>IFERROR(N31/N30,0)</f>
        <v/>
      </c>
      <c r="O21" s="47">
        <f>IFERROR(O31/O30,0)</f>
        <v/>
      </c>
    </row>
    <row r="22" ht="14.4" customHeight="1">
      <c r="B22" s="31" t="inlineStr">
        <is>
          <t>SUBJECT (Aura Beacon Island)</t>
        </is>
      </c>
    </row>
    <row r="23" ht="14.4" customHeight="1">
      <c r="B23" s="31" t="inlineStr">
        <is>
          <t xml:space="preserve">  Market Rent  (RealPage→HD)</t>
        </is>
      </c>
      <c r="C23" s="48" t="n"/>
      <c r="D23" s="48" t="n"/>
      <c r="E23" s="48" t="n"/>
      <c r="F23" s="48" t="n">
        <v>1795</v>
      </c>
      <c r="G23" s="48" t="n">
        <v>1854</v>
      </c>
      <c r="H23" s="48" t="n">
        <v>1793</v>
      </c>
      <c r="I23" s="48" t="n">
        <v>1782</v>
      </c>
      <c r="J23" s="49" t="n"/>
      <c r="K23" s="49" t="n"/>
      <c r="L23" s="49" t="n"/>
      <c r="M23" s="49" t="n"/>
      <c r="N23" s="49" t="n"/>
      <c r="O23" s="49" t="n"/>
    </row>
    <row r="24" ht="14.4" customHeight="1">
      <c r="B24" s="50" t="inlineStr">
        <is>
          <t xml:space="preserve">    Market Rent YoY %</t>
        </is>
      </c>
      <c r="C24" s="51" t="n"/>
      <c r="D24" s="51">
        <f>IFERROR(D23/C23-1,"")</f>
        <v/>
      </c>
      <c r="E24" s="51">
        <f>IFERROR(E23/D23-1,"")</f>
        <v/>
      </c>
      <c r="F24" s="51">
        <f>IFERROR(F23/E23-1,"")</f>
        <v/>
      </c>
      <c r="G24" s="51">
        <f>IFERROR(G23/F23-1,"")</f>
        <v/>
      </c>
      <c r="H24" s="51">
        <f>IFERROR(H23/G23-1,"")</f>
        <v/>
      </c>
      <c r="I24" s="51">
        <f>IFERROR(I23/H23-1,"")</f>
        <v/>
      </c>
      <c r="J24" s="52" t="n"/>
      <c r="K24" s="52" t="n"/>
      <c r="L24" s="52" t="n"/>
      <c r="M24" s="52" t="n"/>
      <c r="N24" s="52" t="n"/>
      <c r="O24" s="52" t="n"/>
    </row>
    <row r="25" ht="14.4" customHeight="1">
      <c r="B25" s="31" t="inlineStr">
        <is>
          <t xml:space="preserve">  Effective Rent</t>
        </is>
      </c>
      <c r="C25" s="48" t="n"/>
      <c r="D25" s="48" t="n"/>
      <c r="E25" s="48" t="n"/>
      <c r="F25" s="48" t="n">
        <v>1657</v>
      </c>
      <c r="G25" s="48" t="n">
        <v>1728</v>
      </c>
      <c r="H25" s="48" t="n">
        <v>1697</v>
      </c>
      <c r="I25" s="48" t="n">
        <v>1543</v>
      </c>
      <c r="J25" s="49" t="n"/>
      <c r="K25" s="49" t="n"/>
      <c r="L25" s="49" t="n"/>
      <c r="M25" s="49" t="n"/>
      <c r="N25" s="49" t="n"/>
      <c r="O25" s="49" t="n"/>
    </row>
    <row r="26" ht="14.4" customHeight="1">
      <c r="B26" s="50" t="inlineStr">
        <is>
          <t xml:space="preserve">    Effective Rent YoY %</t>
        </is>
      </c>
      <c r="C26" s="51" t="n"/>
      <c r="D26" s="51">
        <f>IFERROR(D25/C25-1,"")</f>
        <v/>
      </c>
      <c r="E26" s="51">
        <f>IFERROR(E25/D25-1,"")</f>
        <v/>
      </c>
      <c r="F26" s="51">
        <f>IFERROR(F25/E25-1,"")</f>
        <v/>
      </c>
      <c r="G26" s="51">
        <f>IFERROR(G25/F25-1,"")</f>
        <v/>
      </c>
      <c r="H26" s="51">
        <f>IFERROR(H25/G25-1,"")</f>
        <v/>
      </c>
      <c r="I26" s="51">
        <f>IFERROR(I25/H25-1,"")</f>
        <v/>
      </c>
      <c r="J26" s="52" t="n"/>
      <c r="K26" s="52" t="n"/>
      <c r="L26" s="52" t="n"/>
      <c r="M26" s="52" t="n"/>
      <c r="N26" s="52" t="n"/>
      <c r="O26" s="52" t="n"/>
    </row>
    <row r="27" ht="14.4" customHeight="1">
      <c r="B27" s="31" t="inlineStr">
        <is>
          <t xml:space="preserve">  Occupancy (financials / CoStar)</t>
        </is>
      </c>
      <c r="C27" s="53" t="n"/>
      <c r="D27" s="53" t="n"/>
      <c r="E27" s="53" t="n"/>
      <c r="F27" s="53" t="n">
        <v>0.3413793103448277</v>
      </c>
      <c r="G27" s="53" t="n">
        <v>0.8775862068965519</v>
      </c>
      <c r="H27" s="53" t="n">
        <v>0.9324033975977525</v>
      </c>
      <c r="I27" s="53" t="n">
        <v>0.9194867500515453</v>
      </c>
      <c r="J27" s="54" t="n"/>
      <c r="K27" s="54" t="n"/>
      <c r="L27" s="54" t="n"/>
      <c r="M27" s="54" t="n"/>
      <c r="N27" s="54" t="n"/>
      <c r="O27" s="54" t="n"/>
    </row>
    <row r="28" ht="14.4" customHeight="1">
      <c r="B28" s="31" t="inlineStr">
        <is>
          <t xml:space="preserve">  Concession %</t>
        </is>
      </c>
      <c r="C28" s="53" t="n"/>
      <c r="D28" s="53" t="n"/>
      <c r="E28" s="53" t="n"/>
      <c r="F28" s="53">
        <f>IFERROR((F23-F25)/F23,"")</f>
        <v/>
      </c>
      <c r="G28" s="53">
        <f>IFERROR((G23-G25)/G23,"")</f>
        <v/>
      </c>
      <c r="H28" s="53">
        <f>IFERROR((H23-H25)/H23,"")</f>
        <v/>
      </c>
      <c r="I28" s="53">
        <f>IFERROR((I23-I25)/I23,"")</f>
        <v/>
      </c>
      <c r="J28" s="54" t="n"/>
      <c r="K28" s="54" t="n"/>
      <c r="L28" s="54" t="n"/>
      <c r="M28" s="54" t="n"/>
      <c r="N28" s="54" t="n"/>
      <c r="O28" s="54" t="n"/>
    </row>
    <row r="29" ht="14.4" customHeight="1"/>
    <row r="30" hidden="1" ht="14.4" customHeight="1">
      <c r="B30" s="29" t="inlineStr">
        <is>
          <t xml:space="preserve">  inventory</t>
        </is>
      </c>
      <c r="C30" s="55" t="n">
        <v>23134</v>
      </c>
      <c r="D30" s="55" t="n">
        <v>23790</v>
      </c>
      <c r="E30" s="55" t="n">
        <v>23790</v>
      </c>
      <c r="F30" s="55" t="n">
        <v>25011</v>
      </c>
      <c r="G30" s="55" t="n">
        <v>25371</v>
      </c>
      <c r="H30" s="55" t="n">
        <v>25751</v>
      </c>
      <c r="I30" s="55" t="n">
        <v>25751</v>
      </c>
      <c r="J30" s="55">
        <f>I30+J19</f>
        <v/>
      </c>
      <c r="K30" s="55">
        <f>J30+K19</f>
        <v/>
      </c>
      <c r="L30" s="55">
        <f>K30+L19</f>
        <v/>
      </c>
      <c r="M30" s="55">
        <f>L30+M19</f>
        <v/>
      </c>
      <c r="N30" s="55">
        <f>M30+N19</f>
        <v/>
      </c>
      <c r="O30" s="55">
        <f>N30+O19</f>
        <v/>
      </c>
    </row>
    <row r="31" hidden="1" ht="14.4" customHeight="1">
      <c r="B31" s="29" t="inlineStr">
        <is>
          <t xml:space="preserve">  occupied</t>
        </is>
      </c>
      <c r="C31" s="55" t="n">
        <v>21391</v>
      </c>
      <c r="D31" s="55" t="n">
        <v>22191</v>
      </c>
      <c r="E31" s="55" t="n">
        <v>21855</v>
      </c>
      <c r="F31" s="55" t="n">
        <v>22313</v>
      </c>
      <c r="G31" s="55" t="n">
        <v>22888</v>
      </c>
      <c r="H31" s="55" t="n">
        <v>23388</v>
      </c>
      <c r="I31" s="55" t="n">
        <v>23314</v>
      </c>
      <c r="J31" s="55">
        <f>MIN($C$6*J30,I31+$C$11)</f>
        <v/>
      </c>
      <c r="K31" s="55">
        <f>MIN($C$6*K30,J31+$C$11)</f>
        <v/>
      </c>
      <c r="L31" s="55">
        <f>MIN($C$6*L30,K31+$C$11)</f>
        <v/>
      </c>
      <c r="M31" s="55">
        <f>MIN($C$6*M30,L31+$C$11)</f>
        <v/>
      </c>
      <c r="N31" s="55">
        <f>MIN($C$6*N30,M31+$C$11)</f>
        <v/>
      </c>
      <c r="O31" s="55">
        <f>MIN($C$6*O30,N31+$C$11)</f>
        <v/>
      </c>
    </row>
    <row r="32" ht="14.4" customHeight="1"/>
    <row r="33" ht="14.4" customHeight="1">
      <c r="B33" s="31" t="inlineStr">
        <is>
          <t>IMPLIED 5-MI OCCUPANCY BY DEMAND SCENARIO</t>
        </is>
      </c>
      <c r="J33" s="56" t="inlineStr">
        <is>
          <t>Y1</t>
        </is>
      </c>
      <c r="K33" s="56" t="inlineStr">
        <is>
          <t>Y2</t>
        </is>
      </c>
      <c r="L33" s="56" t="inlineStr">
        <is>
          <t>Y3</t>
        </is>
      </c>
      <c r="M33" s="56" t="inlineStr">
        <is>
          <t>Y4</t>
        </is>
      </c>
      <c r="N33" s="56" t="inlineStr">
        <is>
          <t>Y5</t>
        </is>
      </c>
      <c r="O33" s="56" t="inlineStr">
        <is>
          <t>Y6</t>
        </is>
      </c>
    </row>
    <row r="34" ht="14.4" customHeight="1">
      <c r="B34" s="31" t="inlineStr">
        <is>
          <t>Bear</t>
        </is>
      </c>
      <c r="J34" s="57">
        <f>MIN($C$6,($I$31+$C$8*1)/J30)</f>
        <v/>
      </c>
      <c r="K34" s="57">
        <f>MIN($C$6,($I$31+$C$8*2)/K30)</f>
        <v/>
      </c>
      <c r="L34" s="57">
        <f>MIN($C$6,($I$31+$C$8*3)/L30)</f>
        <v/>
      </c>
      <c r="M34" s="57">
        <f>MIN($C$6,($I$31+$C$8*4)/M30)</f>
        <v/>
      </c>
      <c r="N34" s="57">
        <f>MIN($C$6,($I$31+$C$8*5)/N30)</f>
        <v/>
      </c>
      <c r="O34" s="57">
        <f>MIN($C$6,($I$31+$C$8*6)/O30)</f>
        <v/>
      </c>
    </row>
    <row r="35" ht="14.4" customHeight="1">
      <c r="B35" s="31" t="inlineStr">
        <is>
          <t>Base</t>
        </is>
      </c>
      <c r="J35" s="57">
        <f>MIN($C$6,($I$31+$C$9*1)/J30)</f>
        <v/>
      </c>
      <c r="K35" s="57">
        <f>MIN($C$6,($I$31+$C$9*2)/K30)</f>
        <v/>
      </c>
      <c r="L35" s="57">
        <f>MIN($C$6,($I$31+$C$9*3)/L30)</f>
        <v/>
      </c>
      <c r="M35" s="57">
        <f>MIN($C$6,($I$31+$C$9*4)/M30)</f>
        <v/>
      </c>
      <c r="N35" s="57">
        <f>MIN($C$6,($I$31+$C$9*5)/N30)</f>
        <v/>
      </c>
      <c r="O35" s="57">
        <f>MIN($C$6,($I$31+$C$9*6)/O30)</f>
        <v/>
      </c>
    </row>
    <row r="36" ht="14.4" customHeight="1">
      <c r="B36" s="31" t="inlineStr">
        <is>
          <t>Bull</t>
        </is>
      </c>
      <c r="J36" s="57">
        <f>MIN($C$6,($I$31+$C$10*1)/J30)</f>
        <v/>
      </c>
      <c r="K36" s="57">
        <f>MIN($C$6,($I$31+$C$10*2)/K30)</f>
        <v/>
      </c>
      <c r="L36" s="57">
        <f>MIN($C$6,($I$31+$C$10*3)/L30)</f>
        <v/>
      </c>
      <c r="M36" s="57">
        <f>MIN($C$6,($I$31+$C$10*4)/M30)</f>
        <v/>
      </c>
      <c r="N36" s="57">
        <f>MIN($C$6,($I$31+$C$10*5)/N30)</f>
        <v/>
      </c>
      <c r="O36" s="57">
        <f>MIN($C$6,($I$31+$C$10*6)/O30)</f>
        <v/>
      </c>
    </row>
    <row r="37" ht="14.4" customHeight="1"/>
    <row r="38" ht="14.4" customHeight="1">
      <c r="B38" s="31" t="inlineStr">
        <is>
          <t>MARKET RENT GROWTH (editable assumptions)</t>
        </is>
      </c>
      <c r="J38" s="58" t="inlineStr">
        <is>
          <t>Y1</t>
        </is>
      </c>
      <c r="K38" s="58" t="inlineStr">
        <is>
          <t>Y2</t>
        </is>
      </c>
      <c r="L38" s="58" t="inlineStr">
        <is>
          <t>Y3</t>
        </is>
      </c>
      <c r="M38" s="58" t="inlineStr">
        <is>
          <t>Y4</t>
        </is>
      </c>
      <c r="N38" s="58" t="inlineStr">
        <is>
          <t>Y5</t>
        </is>
      </c>
      <c r="O38" s="58" t="inlineStr">
        <is>
          <t>Y6</t>
        </is>
      </c>
    </row>
    <row r="39" ht="14.4" customHeight="1">
      <c r="B39" s="31" t="inlineStr">
        <is>
          <t>Bear</t>
        </is>
      </c>
      <c r="J39" s="59" t="n">
        <v>-0.0025</v>
      </c>
      <c r="K39" s="59" t="n">
        <v>0.0175</v>
      </c>
      <c r="L39" s="59" t="n">
        <v>0.0275</v>
      </c>
      <c r="M39" s="59" t="n">
        <v>0.0375</v>
      </c>
      <c r="N39" s="59" t="n">
        <v>0.0275</v>
      </c>
      <c r="O39" s="59" t="n">
        <v>0.0175</v>
      </c>
    </row>
    <row r="40" ht="14.4" customHeight="1">
      <c r="B40" s="31" t="inlineStr">
        <is>
          <t>Base</t>
        </is>
      </c>
      <c r="J40" s="59" t="n">
        <v>0.01</v>
      </c>
      <c r="K40" s="59" t="n">
        <v>0.03</v>
      </c>
      <c r="L40" s="59" t="n">
        <v>0.04</v>
      </c>
      <c r="M40" s="59" t="n">
        <v>0.05</v>
      </c>
      <c r="N40" s="59" t="n">
        <v>0.04</v>
      </c>
      <c r="O40" s="59" t="n">
        <v>0.03</v>
      </c>
    </row>
    <row r="41" ht="14.4" customHeight="1">
      <c r="B41" s="31" t="inlineStr">
        <is>
          <t>Bull</t>
        </is>
      </c>
      <c r="J41" s="59" t="n">
        <v>0.02</v>
      </c>
      <c r="K41" s="59" t="n">
        <v>0.04</v>
      </c>
      <c r="L41" s="59" t="n">
        <v>0.05</v>
      </c>
      <c r="M41" s="59" t="n">
        <v>0.06</v>
      </c>
      <c r="N41" s="59" t="n">
        <v>0.05</v>
      </c>
      <c r="O41" s="59" t="n">
        <v>0.04</v>
      </c>
    </row>
    <row r="42" ht="14.4" customHeight="1">
      <c r="B42" s="31" t="inlineStr">
        <is>
          <t>CONCESSIONS % — forward assumption (editable)</t>
        </is>
      </c>
    </row>
    <row r="43" ht="14.4" customHeight="1">
      <c r="B43" s="31" t="inlineStr">
        <is>
          <t>Bear</t>
        </is>
      </c>
      <c r="J43" s="59" t="n">
        <v>0.06</v>
      </c>
      <c r="K43" s="59" t="n">
        <v>0.045</v>
      </c>
      <c r="L43" s="59" t="n">
        <v>0.035</v>
      </c>
      <c r="M43" s="59" t="n">
        <v>0.035</v>
      </c>
      <c r="N43" s="59" t="n">
        <v>0.035</v>
      </c>
      <c r="O43" s="59" t="n">
        <v>0.035</v>
      </c>
    </row>
    <row r="44" ht="14.4" customHeight="1">
      <c r="B44" s="31" t="inlineStr">
        <is>
          <t>Base</t>
        </is>
      </c>
      <c r="J44" s="59" t="n">
        <v>0.03</v>
      </c>
      <c r="K44" s="59" t="n">
        <v>0.015</v>
      </c>
      <c r="L44" s="59" t="n">
        <v>0.005</v>
      </c>
      <c r="M44" s="59" t="n">
        <v>0.005</v>
      </c>
      <c r="N44" s="59" t="n">
        <v>0.005</v>
      </c>
      <c r="O44" s="59" t="n">
        <v>0.005</v>
      </c>
    </row>
    <row r="45" ht="14.4" customHeight="1">
      <c r="B45" s="31" t="inlineStr">
        <is>
          <t>Bull</t>
        </is>
      </c>
      <c r="J45" s="59" t="n">
        <v>0.02</v>
      </c>
      <c r="K45" s="59" t="n">
        <v>0.005</v>
      </c>
      <c r="L45" s="59" t="n">
        <v>0</v>
      </c>
      <c r="M45" s="59" t="n">
        <v>0</v>
      </c>
      <c r="N45" s="59" t="n">
        <v>0</v>
      </c>
      <c r="O45" s="59" t="n">
        <v>0</v>
      </c>
    </row>
    <row r="46" ht="14.4" customHeight="1">
      <c r="B46" s="31" t="inlineStr">
        <is>
          <t>EFFECTIVE RENT GROWTH (derived)</t>
        </is>
      </c>
    </row>
    <row r="47" ht="14.4" customHeight="1">
      <c r="B47" s="31" t="inlineStr">
        <is>
          <t>Bear</t>
        </is>
      </c>
      <c r="J47" s="57">
        <f>(1+J39)*(1-J43)-1</f>
        <v/>
      </c>
      <c r="K47" s="57">
        <f>(1+K39)*(1-K43)/(1-J43)-1</f>
        <v/>
      </c>
      <c r="L47" s="57">
        <f>(1+L39)*(1-L43)/(1-K43)-1</f>
        <v/>
      </c>
      <c r="M47" s="57">
        <f>(1+M39)*(1-M43)/(1-L43)-1</f>
        <v/>
      </c>
      <c r="N47" s="57">
        <f>(1+N39)*(1-N43)/(1-M43)-1</f>
        <v/>
      </c>
      <c r="O47" s="57">
        <f>(1+O39)*(1-O43)/(1-N43)-1</f>
        <v/>
      </c>
    </row>
    <row r="48" ht="14.4" customHeight="1">
      <c r="B48" s="31" t="inlineStr">
        <is>
          <t>Base</t>
        </is>
      </c>
      <c r="J48" s="57">
        <f>(1+J40)*(1-J44)-1</f>
        <v/>
      </c>
      <c r="K48" s="57">
        <f>(1+K40)*(1-K44)/(1-J44)-1</f>
        <v/>
      </c>
      <c r="L48" s="57">
        <f>(1+L40)*(1-L44)/(1-K44)-1</f>
        <v/>
      </c>
      <c r="M48" s="57">
        <f>(1+M40)*(1-M44)/(1-L44)-1</f>
        <v/>
      </c>
      <c r="N48" s="57">
        <f>(1+N40)*(1-N44)/(1-M44)-1</f>
        <v/>
      </c>
      <c r="O48" s="57">
        <f>(1+O40)*(1-O44)/(1-N44)-1</f>
        <v/>
      </c>
    </row>
    <row r="49" ht="14.4" customHeight="1">
      <c r="B49" s="31" t="inlineStr">
        <is>
          <t>Bull</t>
        </is>
      </c>
      <c r="J49" s="57">
        <f>(1+J41)*(1-J45)-1</f>
        <v/>
      </c>
      <c r="K49" s="57">
        <f>(1+K41)*(1-K45)/(1-J45)-1</f>
        <v/>
      </c>
      <c r="L49" s="57">
        <f>(1+L41)*(1-L45)/(1-K45)-1</f>
        <v/>
      </c>
      <c r="M49" s="57">
        <f>(1+M41)*(1-M45)/(1-L45)-1</f>
        <v/>
      </c>
      <c r="N49" s="57">
        <f>(1+N41)*(1-N45)/(1-M45)-1</f>
        <v/>
      </c>
      <c r="O49" s="57">
        <f>(1+O41)*(1-O45)/(1-N45)-1</f>
        <v/>
      </c>
    </row>
    <row r="50" ht="14.4" customHeight="1"/>
    <row r="51" ht="14.4" customHeight="1">
      <c r="B51" s="58" t="inlineStr">
        <is>
          <t>▸ DETAIL: subject rent source by year &amp; reconciliation (grouped — click − to collapse)</t>
        </is>
      </c>
    </row>
    <row r="52" hidden="1" outlineLevel="1" ht="14.4" customHeight="1">
      <c r="B52" s="60" t="inlineStr">
        <is>
          <t xml:space="preserve">  -Y6  Q3 2019–Q2 2020</t>
        </is>
      </c>
      <c r="E52" s="60" t="inlineStr">
        <is>
          <t>—</t>
        </is>
      </c>
    </row>
    <row r="53" hidden="1" outlineLevel="1" ht="14.4" customHeight="1">
      <c r="B53" s="60" t="inlineStr">
        <is>
          <t xml:space="preserve">  -Y5  Q3 2020–Q2 2021</t>
        </is>
      </c>
      <c r="E53" s="60" t="inlineStr">
        <is>
          <t>—</t>
        </is>
      </c>
    </row>
    <row r="54" hidden="1" outlineLevel="1" ht="14.4" customHeight="1">
      <c r="B54" s="60" t="inlineStr">
        <is>
          <t xml:space="preserve">  -Y4  Q3 2021–Q2 2022</t>
        </is>
      </c>
      <c r="E54" s="60" t="inlineStr">
        <is>
          <t>—</t>
        </is>
      </c>
    </row>
    <row r="55" hidden="1" outlineLevel="1" ht="14.4" customHeight="1">
      <c r="B55" s="60" t="inlineStr">
        <is>
          <t xml:space="preserve">  -Y3  Q3 2022–Q2 2023</t>
        </is>
      </c>
      <c r="E55" s="60" t="inlineStr">
        <is>
          <t>RealPage</t>
        </is>
      </c>
    </row>
    <row r="56" hidden="1" outlineLevel="1" ht="14.4" customHeight="1">
      <c r="B56" s="60" t="inlineStr">
        <is>
          <t xml:space="preserve">  -Y2  Q3 2023–Q2 2024</t>
        </is>
      </c>
      <c r="E56" s="60" t="inlineStr">
        <is>
          <t>HD</t>
        </is>
      </c>
    </row>
    <row r="57" hidden="1" outlineLevel="1" ht="14.4" customHeight="1">
      <c r="B57" s="60" t="inlineStr">
        <is>
          <t xml:space="preserve">  -Y1  Q3 2024–Q2 2025</t>
        </is>
      </c>
      <c r="E57" s="60" t="inlineStr">
        <is>
          <t>HD</t>
        </is>
      </c>
    </row>
    <row r="58" hidden="1" outlineLevel="1" ht="14.4" customHeight="1">
      <c r="B58" s="60" t="inlineStr">
        <is>
          <t xml:space="preserve">  Y0  Q3 2025–Q2 2026</t>
        </is>
      </c>
      <c r="E58" s="60" t="inlineStr">
        <is>
          <t>HD</t>
        </is>
      </c>
    </row>
    <row r="59" hidden="1" outlineLevel="1" ht="14.4" customHeight="1">
      <c r="B59" s="60" t="inlineStr">
        <is>
          <t xml:space="preserve">  UC scheduled vs CoStar UC</t>
        </is>
      </c>
      <c r="E59" s="60" t="inlineStr">
        <is>
          <t>885 / 336</t>
        </is>
      </c>
    </row>
    <row r="60" hidden="1" outlineLevel="1" ht="14.4" customHeight="1">
      <c r="B60" s="29" t="inlineStr">
        <is>
          <t xml:space="preserve">  As-of 2026 Q2 QTD is partial (QTD); occupancy is point-in-time, Y0 flow sums partial.</t>
        </is>
      </c>
    </row>
    <row r="61" ht="14.4" customHeight="1"/>
    <row r="62" ht="14.4" customHeight="1"/>
  </sheetData>
  <mergeCells count="1">
    <mergeCell ref="B2:O2"/>
  </mergeCells>
  <dataValidations count="2">
    <dataValidation sqref="C7" showDropDown="0" showInputMessage="0" showErrorMessage="0" allowBlank="0" type="list">
      <formula1>"Bear,Base,Bull"</formula1>
    </dataValidation>
    <dataValidation sqref="U11 U12 U13 U14 U15 U16 U17" showDropDown="0" showInputMessage="0" showErrorMessage="0" allowBlank="1" type="list">
      <formula1>"Bear only,Bear+Base,All,None"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44" customWidth="1" min="12" max="12"/>
  </cols>
  <sheetData>
    <row r="1">
      <c r="A1" s="61" t="inlineStr">
        <is>
          <t>Property</t>
        </is>
      </c>
      <c r="B1" s="61" t="inlineStr">
        <is>
          <t>Address</t>
        </is>
      </c>
      <c r="C1" s="61" t="inlineStr">
        <is>
          <t>Units</t>
        </is>
      </c>
      <c r="D1" s="61" t="inlineStr">
        <is>
          <t>Year Built</t>
        </is>
      </c>
      <c r="E1" s="61" t="inlineStr">
        <is>
          <t>Est. Delivery</t>
        </is>
      </c>
      <c r="F1" s="61" t="inlineStr">
        <is>
          <t>Bucket</t>
        </is>
      </c>
      <c r="G1" s="61" t="inlineStr">
        <is>
          <t>CoStar Occ</t>
        </is>
      </c>
      <c r="H1" s="61" t="inlineStr">
        <is>
          <t>RealPage Occ</t>
        </is>
      </c>
      <c r="I1" s="61" t="inlineStr">
        <is>
          <t>CoStar Ask Rent</t>
        </is>
      </c>
      <c r="J1" s="61" t="inlineStr">
        <is>
          <t>RealPage Eff Rent</t>
        </is>
      </c>
      <c r="K1" s="61" t="inlineStr">
        <is>
          <t>Sources</t>
        </is>
      </c>
      <c r="L1" s="61" t="inlineStr">
        <is>
          <t>Notes</t>
        </is>
      </c>
    </row>
    <row r="2">
      <c r="A2" t="inlineStr">
        <is>
          <t>Broadstone Baybrook</t>
        </is>
      </c>
      <c r="B2" t="inlineStr">
        <is>
          <t>19101 Town Ridge Ln</t>
        </is>
      </c>
      <c r="C2" t="n">
        <v>380</v>
      </c>
      <c r="D2" t="n">
        <v>2024</v>
      </c>
      <c r="E2" t="inlineStr">
        <is>
          <t>Q3 2024</t>
        </is>
      </c>
      <c r="F2" t="inlineStr">
        <is>
          <t>STABILIZED / STABILIZING</t>
        </is>
      </c>
      <c r="G2" s="62" t="n">
        <v>0.926316</v>
      </c>
      <c r="H2" s="62" t="n">
        <v>0.953</v>
      </c>
      <c r="I2" s="63" t="n">
        <v>1795</v>
      </c>
      <c r="J2" s="63" t="n">
        <v>1709</v>
      </c>
      <c r="K2" t="inlineStr">
        <is>
          <t>CoStar+RealPage</t>
        </is>
      </c>
      <c r="L2" t="inlineStr">
        <is>
          <t>Year built: 2024/2025; Occ: CoStar 93% vs RealPage 95%</t>
        </is>
      </c>
    </row>
    <row r="3">
      <c r="A3" t="inlineStr">
        <is>
          <t>The Kippford at Kemah Crossing</t>
        </is>
      </c>
      <c r="B3" t="inlineStr">
        <is>
          <t>2201 Evergreen Memorial Pky</t>
        </is>
      </c>
      <c r="C3" t="n">
        <v>360</v>
      </c>
      <c r="D3" t="n">
        <v>2023</v>
      </c>
      <c r="E3" t="inlineStr">
        <is>
          <t>Q3 2023</t>
        </is>
      </c>
      <c r="F3" t="inlineStr">
        <is>
          <t>STABILIZED / STABILIZING</t>
        </is>
      </c>
      <c r="G3" s="62" t="n">
        <v>0.902778</v>
      </c>
      <c r="H3" s="62" t="n">
        <v>0.95</v>
      </c>
      <c r="I3" s="63" t="n">
        <v>1765</v>
      </c>
      <c r="J3" s="63" t="n">
        <v>1793</v>
      </c>
      <c r="K3" t="inlineStr">
        <is>
          <t>CoStar+RealPage</t>
        </is>
      </c>
      <c r="L3" t="inlineStr">
        <is>
          <t>Year built: 2023/2024; Occ: CoStar 90% vs RealPage 95%</t>
        </is>
      </c>
    </row>
    <row r="4">
      <c r="A4" t="inlineStr">
        <is>
          <t>Lenox Bayside</t>
        </is>
      </c>
      <c r="B4" t="inlineStr">
        <is>
          <t>250 N Village Dr</t>
        </is>
      </c>
      <c r="C4" t="n">
        <v>315</v>
      </c>
      <c r="D4" t="n">
        <v>2023</v>
      </c>
      <c r="E4" t="inlineStr">
        <is>
          <t>Q2 2023</t>
        </is>
      </c>
      <c r="F4" t="inlineStr">
        <is>
          <t>STABILIZED / STABILIZING</t>
        </is>
      </c>
      <c r="G4" s="62" t="n">
        <v>0.879365</v>
      </c>
      <c r="H4" s="62" t="n">
        <v>0.911</v>
      </c>
      <c r="I4" s="63" t="n">
        <v>1836</v>
      </c>
      <c r="J4" s="63" t="n">
        <v>1821</v>
      </c>
      <c r="K4" t="inlineStr">
        <is>
          <t>CoStar+RealPage</t>
        </is>
      </c>
      <c r="L4" t="inlineStr">
        <is>
          <t>Occ: CoStar 88% vs RealPage 91%</t>
        </is>
      </c>
    </row>
    <row r="5">
      <c r="A5" t="inlineStr">
        <is>
          <t>Livano Kemah</t>
        </is>
      </c>
      <c r="B5" t="inlineStr">
        <is>
          <t>800 FM 518 Rd E</t>
        </is>
      </c>
      <c r="C5" t="n">
        <v>325</v>
      </c>
      <c r="D5" t="n">
        <v>2022</v>
      </c>
      <c r="E5" t="inlineStr">
        <is>
          <t>Q3 2022</t>
        </is>
      </c>
      <c r="F5" t="inlineStr">
        <is>
          <t>STABILIZED / STABILIZING</t>
        </is>
      </c>
      <c r="G5" s="62" t="n">
        <v>0.92</v>
      </c>
      <c r="H5" s="62" t="n">
        <v>0.929</v>
      </c>
      <c r="I5" s="63" t="n">
        <v>1861</v>
      </c>
      <c r="J5" s="63" t="n">
        <v>1439</v>
      </c>
      <c r="K5" t="inlineStr">
        <is>
          <t>CoStar+RealPage</t>
        </is>
      </c>
      <c r="L5" t="inlineStr">
        <is>
          <t>Year built: 2022/2023; Delivery quarter estimated; Rent: CoStar ask $1,861 vs RealPage eff $1,439</t>
        </is>
      </c>
    </row>
    <row r="6">
      <c r="A6" t="inlineStr">
        <is>
          <t>The Reserve at Baybrook</t>
        </is>
      </c>
      <c r="B6" t="inlineStr">
        <is>
          <t>19302 Glenwest Dr</t>
        </is>
      </c>
      <c r="C6" t="n">
        <v>291</v>
      </c>
      <c r="D6" t="n">
        <v>2022</v>
      </c>
      <c r="E6" t="inlineStr">
        <is>
          <t>Q3 2022</t>
        </is>
      </c>
      <c r="F6" t="inlineStr">
        <is>
          <t>STABILIZED / STABILIZING</t>
        </is>
      </c>
      <c r="G6" s="62" t="n">
        <v>0.948454</v>
      </c>
      <c r="H6" s="62" t="n">
        <v>0.952</v>
      </c>
      <c r="I6" s="63" t="n">
        <v>1897</v>
      </c>
      <c r="J6" s="63" t="n">
        <v>1927</v>
      </c>
      <c r="K6" t="inlineStr">
        <is>
          <t>CoStar+RealPage</t>
        </is>
      </c>
      <c r="L6" t="inlineStr"/>
    </row>
    <row r="7">
      <c r="A7" t="inlineStr">
        <is>
          <t>The Edge at Seabrook Town Centre</t>
        </is>
      </c>
      <c r="B7" t="inlineStr">
        <is>
          <t>2101 Humble Dr</t>
        </is>
      </c>
      <c r="C7" t="n">
        <v>320</v>
      </c>
      <c r="D7" t="n">
        <v>2028</v>
      </c>
      <c r="E7" t="inlineStr">
        <is>
          <t>Q2 2028</t>
        </is>
      </c>
      <c r="F7" t="inlineStr">
        <is>
          <t>UNDER CONSTRUCTION</t>
        </is>
      </c>
      <c r="G7" s="62" t="n"/>
      <c r="H7" s="62" t="n"/>
      <c r="I7" s="63" t="n"/>
      <c r="J7" s="63" t="n"/>
      <c r="K7" t="inlineStr">
        <is>
          <t>RealPage</t>
        </is>
      </c>
      <c r="L7" t="inlineStr">
        <is>
          <t>Diligence: under construction</t>
        </is>
      </c>
    </row>
    <row r="8">
      <c r="A8" t="inlineStr">
        <is>
          <t>Lenox Clear Creek</t>
        </is>
      </c>
      <c r="B8" t="inlineStr">
        <is>
          <t>16200 State Highway 3</t>
        </is>
      </c>
      <c r="C8" t="n">
        <v>336</v>
      </c>
      <c r="D8" t="n">
        <v>2027</v>
      </c>
      <c r="E8" t="inlineStr">
        <is>
          <t>Q3 2027</t>
        </is>
      </c>
      <c r="F8" t="inlineStr">
        <is>
          <t>UNDER CONSTRUCTION</t>
        </is>
      </c>
      <c r="G8" s="62" t="n"/>
      <c r="H8" s="62" t="n"/>
      <c r="I8" s="63" t="n"/>
      <c r="J8" s="63" t="n"/>
      <c r="K8" t="inlineStr">
        <is>
          <t>CoStar+RealPage</t>
        </is>
      </c>
      <c r="L8" t="inlineStr">
        <is>
          <t>Diligence: under construction</t>
        </is>
      </c>
    </row>
    <row r="9">
      <c r="A9" t="inlineStr">
        <is>
          <t>Dakota at Kemah</t>
        </is>
      </c>
      <c r="B9" t="inlineStr">
        <is>
          <t>2801 Lawrence Rd</t>
        </is>
      </c>
      <c r="C9" t="n">
        <v>229</v>
      </c>
      <c r="D9" t="n">
        <v>2027</v>
      </c>
      <c r="E9" t="inlineStr">
        <is>
          <t>Q1 2027</t>
        </is>
      </c>
      <c r="F9" t="inlineStr">
        <is>
          <t>UNDER CONSTRUCTION</t>
        </is>
      </c>
      <c r="G9" s="62" t="n"/>
      <c r="H9" s="62" t="n"/>
      <c r="I9" s="63" t="n"/>
      <c r="J9" s="63" t="n"/>
      <c r="K9" t="inlineStr">
        <is>
          <t>RealPage</t>
        </is>
      </c>
      <c r="L9" t="inlineStr">
        <is>
          <t>Diligence: under construction</t>
        </is>
      </c>
    </row>
    <row r="10">
      <c r="A10" t="inlineStr">
        <is>
          <t>Seabrook Plaza</t>
        </is>
      </c>
      <c r="B10" t="inlineStr">
        <is>
          <t>3101 Nasa Pky</t>
        </is>
      </c>
      <c r="C10" t="n">
        <v>260</v>
      </c>
      <c r="D10" t="n">
        <v>2027</v>
      </c>
      <c r="E10" t="inlineStr">
        <is>
          <t>Q3 2028</t>
        </is>
      </c>
      <c r="F10" t="inlineStr">
        <is>
          <t>PROPOSED</t>
        </is>
      </c>
      <c r="G10" s="62" t="n"/>
      <c r="H10" s="62" t="n"/>
      <c r="I10" s="63" t="n"/>
      <c r="J10" s="63" t="n"/>
      <c r="K10" t="inlineStr">
        <is>
          <t>CoStar+RealPage</t>
        </is>
      </c>
      <c r="L10" t="inlineStr">
        <is>
          <t>Units: CoStar 260 vs RealPage 76; Diligence: proposed</t>
        </is>
      </c>
    </row>
    <row r="11">
      <c r="A11" t="inlineStr">
        <is>
          <t>Riverview at Clear Creek</t>
        </is>
      </c>
      <c r="B11" t="inlineStr">
        <is>
          <t>301 N Wesley Dr</t>
        </is>
      </c>
      <c r="C11" t="n">
        <v>298</v>
      </c>
      <c r="D11" t="n">
        <v>2027</v>
      </c>
      <c r="E11" t="inlineStr">
        <is>
          <t>Q2 2028</t>
        </is>
      </c>
      <c r="F11" t="inlineStr">
        <is>
          <t>PROPOSED</t>
        </is>
      </c>
      <c r="G11" s="62" t="n"/>
      <c r="H11" s="62" t="n"/>
      <c r="I11" s="63" t="n"/>
      <c r="J11" s="63" t="n"/>
      <c r="K11" t="inlineStr">
        <is>
          <t>CoStar+RealPage</t>
        </is>
      </c>
      <c r="L11" t="inlineStr">
        <is>
          <t>Diligence: proposed</t>
        </is>
      </c>
    </row>
    <row r="12">
      <c r="A12" t="inlineStr">
        <is>
          <t>The League I</t>
        </is>
      </c>
      <c r="B12" t="inlineStr">
        <is>
          <t>E FM 518 &amp; Main St</t>
        </is>
      </c>
      <c r="C12" t="n">
        <v>304</v>
      </c>
      <c r="D12" t="n">
        <v>2028</v>
      </c>
      <c r="E12" t="inlineStr">
        <is>
          <t>Q3 2026</t>
        </is>
      </c>
      <c r="F12" t="inlineStr">
        <is>
          <t>PROPOSED</t>
        </is>
      </c>
      <c r="G12" s="62" t="n"/>
      <c r="H12" s="62" t="n"/>
      <c r="I12" s="63" t="n"/>
      <c r="J12" s="63" t="n"/>
      <c r="K12" t="inlineStr">
        <is>
          <t>RealPage</t>
        </is>
      </c>
      <c r="L12" t="inlineStr">
        <is>
          <t>Diligence: proposed</t>
        </is>
      </c>
    </row>
    <row r="13">
      <c r="A13" t="inlineStr">
        <is>
          <t>Avalon at Kemah I</t>
        </is>
      </c>
      <c r="B13" t="inlineStr">
        <is>
          <t>Bel Rd &amp; N Hwy 146</t>
        </is>
      </c>
      <c r="C13" t="n">
        <v>198</v>
      </c>
      <c r="F13" t="inlineStr">
        <is>
          <t>PROPOSED</t>
        </is>
      </c>
      <c r="G13" s="62" t="n"/>
      <c r="H13" s="62" t="n"/>
      <c r="I13" s="63" t="n"/>
      <c r="J13" s="63" t="n"/>
      <c r="K13" t="inlineStr">
        <is>
          <t>RealPage</t>
        </is>
      </c>
      <c r="L13" t="inlineStr">
        <is>
          <t>RealPage pipeline (not yet in CoStar); Diligence: proposed</t>
        </is>
      </c>
    </row>
    <row r="14">
      <c r="A14" t="inlineStr">
        <is>
          <t>The League Future Phases</t>
        </is>
      </c>
      <c r="B14" t="inlineStr">
        <is>
          <t>E FM 518 &amp; Main St</t>
        </is>
      </c>
      <c r="C14" t="n">
        <v>400</v>
      </c>
      <c r="F14" t="inlineStr">
        <is>
          <t>PROPOSED</t>
        </is>
      </c>
      <c r="G14" s="62" t="n"/>
      <c r="H14" s="62" t="n"/>
      <c r="I14" s="63" t="n"/>
      <c r="J14" s="63" t="n"/>
      <c r="K14" t="inlineStr">
        <is>
          <t>RealPage</t>
        </is>
      </c>
      <c r="L14" t="inlineStr">
        <is>
          <t>RealPage pipeline (not yet in CoStar); Diligence: proposed</t>
        </is>
      </c>
    </row>
    <row r="15">
      <c r="A15" t="inlineStr">
        <is>
          <t>Residences at Highland Center</t>
        </is>
      </c>
      <c r="B15" t="inlineStr">
        <is>
          <t>3805 &amp; 3813 NASA Rd 1</t>
        </is>
      </c>
      <c r="C15" t="n">
        <v>275</v>
      </c>
      <c r="F15" t="inlineStr">
        <is>
          <t>PROPOSED</t>
        </is>
      </c>
      <c r="G15" s="62" t="n"/>
      <c r="H15" s="62" t="n"/>
      <c r="I15" s="63" t="n"/>
      <c r="J15" s="63" t="n"/>
      <c r="K15" t="inlineStr">
        <is>
          <t>RealPage</t>
        </is>
      </c>
      <c r="L15" t="inlineStr">
        <is>
          <t>RealPage pipeline (not yet in CoStar); Diligence: proposed</t>
        </is>
      </c>
    </row>
    <row r="16">
      <c r="A16" t="inlineStr">
        <is>
          <t>Avalon at Kemah II</t>
        </is>
      </c>
      <c r="B16" t="inlineStr">
        <is>
          <t>Bel Rd &amp; N Hwy 146</t>
        </is>
      </c>
      <c r="C16" t="n">
        <v>228</v>
      </c>
      <c r="F16" t="inlineStr">
        <is>
          <t>PROPOSED</t>
        </is>
      </c>
      <c r="G16" s="62" t="n"/>
      <c r="H16" s="62" t="n"/>
      <c r="I16" s="63" t="n"/>
      <c r="J16" s="63" t="n"/>
      <c r="K16" t="inlineStr">
        <is>
          <t>RealPage</t>
        </is>
      </c>
      <c r="L16" t="inlineStr">
        <is>
          <t>RealPage pipeline (not yet in CoStar); Diligence: proposed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H20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30" customWidth="1" min="2" max="2"/>
    <col width="8" customWidth="1" min="3" max="3"/>
    <col width="12" customWidth="1" min="4" max="4"/>
    <col width="16" customWidth="1" min="5" max="5"/>
    <col width="14" customWidth="1" min="6" max="6"/>
    <col width="50" customWidth="1" min="7" max="7"/>
    <col width="36" customWidth="1" min="8" max="8"/>
  </cols>
  <sheetData>
    <row r="2">
      <c r="B2" s="64" t="inlineStr">
        <is>
          <t>PIPELINE DILIGENCE</t>
        </is>
      </c>
    </row>
    <row r="3">
      <c r="B3" s="42" t="inlineStr">
        <is>
          <t>Property / Site</t>
        </is>
      </c>
      <c r="C3" s="42" t="inlineStr">
        <is>
          <t>Units</t>
        </is>
      </c>
      <c r="D3" s="42" t="inlineStr">
        <is>
          <t>Est. Delivery</t>
        </is>
      </c>
      <c r="E3" s="42" t="inlineStr">
        <is>
          <t>Status</t>
        </is>
      </c>
      <c r="F3" s="42" t="inlineStr">
        <is>
          <t>Leasing Pace</t>
        </is>
      </c>
      <c r="G3" s="42" t="inlineStr">
        <is>
          <t>Notes</t>
        </is>
      </c>
      <c r="H3" s="42" t="inlineStr">
        <is>
          <t>Source</t>
        </is>
      </c>
    </row>
    <row r="4">
      <c r="B4" s="35" t="inlineStr">
        <is>
          <t>Riverview at Clear Creek</t>
        </is>
      </c>
      <c r="C4" s="65" t="inlineStr">
        <is>
          <t>298</t>
        </is>
      </c>
      <c r="D4" s="65" t="n"/>
      <c r="E4" s="35" t="inlineStr">
        <is>
          <t>proposed</t>
        </is>
      </c>
      <c r="F4" s="35" t="n"/>
      <c r="G4" s="35" t="inlineStr">
        <is>
          <t>WB Property Group; waterfront mixed-use (marina/hotel/townhomes) incl senior-housing component; CoStar 'under construction' NOT corroborated, public record stalls ~2022-23; market-rate; full plan ~2029</t>
        </is>
      </c>
      <c r="H4" s="35" t="inlineStr">
        <is>
          <t>https://communityimpact.com/houston/bay-area/development/2022/04/22/making-a-destination-league-city-developer-sign-agreement-to-build-riverview/</t>
        </is>
      </c>
    </row>
    <row r="5">
      <c r="B5" s="35" t="inlineStr">
        <is>
          <t>Lenox Clear Creek</t>
        </is>
      </c>
      <c r="C5" s="65" t="inlineStr">
        <is>
          <t>336</t>
        </is>
      </c>
      <c r="D5" s="65" t="inlineStr">
        <is>
          <t>Q3 2027</t>
        </is>
      </c>
      <c r="E5" s="35" t="inlineStr">
        <is>
          <t>under construction</t>
        </is>
      </c>
      <c r="F5" s="35" t="n"/>
      <c r="G5" s="35" t="inlineStr">
        <is>
          <t>Likely CoStar placeholder = OHT Partners + Crow Holdings JV, 16200 SH-3; broke ground late 2025; market-rate; LOCATION is Clear Lake 77058 (~Webster), NOT League City - weaker overlap</t>
        </is>
      </c>
      <c r="H5" s="35" t="inlineStr">
        <is>
          <t>https://rebusinessonline.com/oht-partners-crow-holdings-break-ground-on-336-unit-multifamily-project-in-metro-houston/</t>
        </is>
      </c>
    </row>
    <row r="6">
      <c r="B6" s="35" t="inlineStr">
        <is>
          <t>Dakota at Kemah</t>
        </is>
      </c>
      <c r="C6" s="65" t="inlineStr">
        <is>
          <t>229</t>
        </is>
      </c>
      <c r="D6" s="65" t="inlineStr">
        <is>
          <t>Q1 2027</t>
        </is>
      </c>
      <c r="E6" s="35" t="inlineStr">
        <is>
          <t>under construction</t>
        </is>
      </c>
      <c r="F6" s="35" t="n"/>
      <c r="G6" s="35" t="inlineStr">
        <is>
          <t>Dakota Enterprises; mgmt The Mathis Group; 2801 Lawrence Rd Kemah; 10 three-story bldgs; groundbreaking Dec 9 2025; TDLR completion Jan 15 2027; market-rate luxury</t>
        </is>
      </c>
      <c r="H6" s="35" t="inlineStr">
        <is>
          <t>https://communityimpact.com/houston/bay-area/government/2025/12/03/the-dakota-at-kemah-to-have-groundbreaking-ceremony/</t>
        </is>
      </c>
    </row>
    <row r="7">
      <c r="B7" s="35" t="inlineStr">
        <is>
          <t>The League I</t>
        </is>
      </c>
      <c r="C7" s="65" t="inlineStr">
        <is>
          <t>304</t>
        </is>
      </c>
      <c r="D7" s="65" t="inlineStr">
        <is>
          <t>Q3 2026</t>
        </is>
      </c>
      <c r="E7" s="35" t="inlineStr">
        <is>
          <t>proposed</t>
        </is>
      </c>
      <c r="F7" s="35" t="n"/>
      <c r="G7" s="35" t="inlineStr">
        <is>
          <t>CJ Development (Johnny Vassallo); $125M 44-ac mixed-use FM-518; 304 Phase-1 count UNCONFIRMED (public sourcing ~600 total); no verified groundbreaking, prior multi-yr stall - field-verify vertical status</t>
        </is>
      </c>
      <c r="H7" s="35" t="inlineStr">
        <is>
          <t>https://communityimpact.com/houston/bay-area/development/2026/03/31/new-modern-retail-dining-space-coming-to-league-city/</t>
        </is>
      </c>
    </row>
    <row r="8">
      <c r="B8" s="35" t="inlineStr">
        <is>
          <t>The Edge at Seabrook Town Centre</t>
        </is>
      </c>
      <c r="C8" s="65" t="inlineStr">
        <is>
          <t>320</t>
        </is>
      </c>
      <c r="D8" s="65" t="inlineStr">
        <is>
          <t>Q2 2028</t>
        </is>
      </c>
      <c r="E8" s="35" t="inlineStr">
        <is>
          <t>under construction</t>
        </is>
      </c>
      <c r="F8" s="35" t="n"/>
      <c r="G8" s="35" t="inlineStr">
        <is>
          <t>HS Development Group; $85M 19.5-ac mixed-use; broke ground Jan 2026 after ~3-yr financing stall; 4-story garden + 28.5k sf retail; market-rate (rents $1.5k-$3.1k); buildout Q2 2028</t>
        </is>
      </c>
      <c r="H8" s="35" t="inlineStr">
        <is>
          <t>https://therealdeal.com/texas/2026/01/16/hs-development-groups-seabrook-town-centre-breaks-ground/</t>
        </is>
      </c>
    </row>
    <row r="9">
      <c r="B9" s="35" t="inlineStr">
        <is>
          <t>The League Future Phases</t>
        </is>
      </c>
      <c r="C9" s="65" t="inlineStr">
        <is>
          <t>400</t>
        </is>
      </c>
      <c r="D9" s="65" t="n"/>
      <c r="E9" s="35" t="inlineStr">
        <is>
          <t>proposed</t>
        </is>
      </c>
      <c r="F9" s="35" t="n"/>
      <c r="G9" s="35" t="inlineStr">
        <is>
          <t>CJ Development; future tranche of The League (FM-518); total project described up to ~600 units across phases so 400 future phase plausible but specific count NOT independently verified; market-rate</t>
        </is>
      </c>
      <c r="H9" s="35" t="inlineStr">
        <is>
          <t>https://communityimpact.com/houston/bay-area/development/2022/01/27/45-acre-mixed-use-development-the-league-to-bring-retail-restaurants-homes-to-league-city/</t>
        </is>
      </c>
    </row>
    <row r="10">
      <c r="B10" s="35" t="inlineStr">
        <is>
          <t>Residences at Highland Center</t>
        </is>
      </c>
      <c r="C10" s="65" t="inlineStr">
        <is>
          <t>275</t>
        </is>
      </c>
      <c r="D10" s="65" t="n"/>
      <c r="E10" s="35" t="inlineStr">
        <is>
          <t>proposed</t>
        </is>
      </c>
      <c r="F10" s="35" t="n"/>
      <c r="G10" s="35" t="inlineStr">
        <is>
          <t>UNVERIFIED - no public news, city agenda, or developer source found tying a ~275-unit MF project to Highland Center; possible CoStar/RealPage early-stage or speculative entry</t>
        </is>
      </c>
      <c r="H10" s="35" t="inlineStr">
        <is>
          <t>not found</t>
        </is>
      </c>
    </row>
    <row r="11">
      <c r="B11" s="35" t="inlineStr">
        <is>
          <t>Seabrook Plaza</t>
        </is>
      </c>
      <c r="C11" s="65" t="inlineStr">
        <is>
          <t>260</t>
        </is>
      </c>
      <c r="D11" s="65" t="n"/>
      <c r="E11" s="35" t="inlineStr">
        <is>
          <t>proposed</t>
        </is>
      </c>
      <c r="F11" s="35" t="n"/>
      <c r="G11" s="35" t="inlineStr">
        <is>
          <t>UNVERIFIED - could not confirm a 260-unit 'Seabrook Plaza' MF project; may be alias/duplicate of The Edge at Seabrook Town Centre or speculative CoStar entry</t>
        </is>
      </c>
      <c r="H11" s="35" t="inlineStr">
        <is>
          <t>not found</t>
        </is>
      </c>
    </row>
    <row r="12">
      <c r="B12" s="35" t="inlineStr">
        <is>
          <t>Avalon at Kemah I</t>
        </is>
      </c>
      <c r="C12" s="65" t="inlineStr">
        <is>
          <t>198</t>
        </is>
      </c>
      <c r="D12" s="65" t="n"/>
      <c r="E12" s="35" t="inlineStr">
        <is>
          <t>proposed</t>
        </is>
      </c>
      <c r="F12" s="35" t="n"/>
      <c r="G12" s="35" t="inlineStr">
        <is>
          <t>UNVERIFIED - no public record of an 'Avalon at Kemah' apartment project; Kemah's only verified active MF is The Dakota; possible CoStar placeholder/rename</t>
        </is>
      </c>
      <c r="H12" s="35" t="inlineStr">
        <is>
          <t>not found</t>
        </is>
      </c>
    </row>
    <row r="13">
      <c r="B13" s="35" t="inlineStr">
        <is>
          <t>Avalon at Kemah II</t>
        </is>
      </c>
      <c r="C13" s="65" t="inlineStr">
        <is>
          <t>228</t>
        </is>
      </c>
      <c r="D13" s="65" t="n"/>
      <c r="E13" s="35" t="inlineStr">
        <is>
          <t>proposed</t>
        </is>
      </c>
      <c r="F13" s="35" t="n"/>
      <c r="G13" s="35" t="inlineStr">
        <is>
          <t>UNVERIFIED - Phase II of an unverified Phase I; no public confirmation found; treat as speculative pending Kemah planning dept / CoStar source check</t>
        </is>
      </c>
      <c r="H13" s="35" t="inlineStr">
        <is>
          <t>not found</t>
        </is>
      </c>
    </row>
    <row r="15">
      <c r="B15" s="64" t="inlineStr">
        <is>
          <t>SHADOW SUPPLY (latent / untracked — watch list)</t>
        </is>
      </c>
    </row>
    <row r="16">
      <c r="B16" s="42" t="inlineStr">
        <is>
          <t>Property / Site</t>
        </is>
      </c>
      <c r="C16" s="42" t="inlineStr">
        <is>
          <t>Units</t>
        </is>
      </c>
      <c r="D16" s="42" t="inlineStr">
        <is>
          <t>Est. Delivery</t>
        </is>
      </c>
      <c r="E16" s="42" t="inlineStr">
        <is>
          <t>Status</t>
        </is>
      </c>
      <c r="F16" s="42" t="inlineStr">
        <is>
          <t>Leasing Pace</t>
        </is>
      </c>
      <c r="G16" s="42" t="inlineStr">
        <is>
          <t>Notes</t>
        </is>
      </c>
      <c r="H16" s="42" t="inlineStr">
        <is>
          <t>Source</t>
        </is>
      </c>
    </row>
    <row r="17">
      <c r="B17" s="35" t="inlineStr">
        <is>
          <t>Westland Ranch MPC potential MF tract</t>
        </is>
      </c>
      <c r="C17" s="65" t="n"/>
      <c r="D17" s="65" t="n"/>
      <c r="E17" s="35" t="inlineStr">
        <is>
          <t>planned/speculative</t>
        </is>
      </c>
      <c r="F17" s="35" t="n"/>
      <c r="G17" s="35" t="inlineStr">
        <is>
          <t>Meritage Homes MPC, W League City near SH-99/FM-517 (~5-6 mi, radius edge); ~1,200+ SF lots; no confirmed apartment phase but large MPCs often carry MF tracts; MF entitlement UNVERIFIED</t>
        </is>
      </c>
      <c r="H17" s="35" t="inlineStr">
        <is>
          <t>https://www.meritagehomes.com/state/tx/houston/westland-ranch</t>
        </is>
      </c>
    </row>
    <row r="18">
      <c r="B18" s="35" t="inlineStr">
        <is>
          <t>FM-518 / Main St corridor mixed-use capacity</t>
        </is>
      </c>
      <c r="C18" s="65" t="n"/>
      <c r="D18" s="65" t="n"/>
      <c r="E18" s="35" t="inlineStr">
        <is>
          <t>zoning/entitlement capacity</t>
        </is>
      </c>
      <c r="F18" s="35" t="n"/>
      <c r="G18" s="35" t="inlineStr">
        <is>
          <t>League City comp plan &amp; recent rezonings along FM-518 favor mixed-use w/ residential (The League sits here); latent MF capacity exists but no specific unnamed funded project confirmed</t>
        </is>
      </c>
      <c r="H18" s="35" t="inlineStr">
        <is>
          <t>https://www.leaguecitytx.gov/151/Planning</t>
        </is>
      </c>
    </row>
    <row r="19">
      <c r="B19" s="35" t="inlineStr">
        <is>
          <t>Webster / SH-3 &amp; Bay Area Blvd MF node</t>
        </is>
      </c>
      <c r="C19" s="65" t="n"/>
      <c r="D19" s="65" t="n"/>
      <c r="E19" s="35" t="inlineStr">
        <is>
          <t>redevelopment node</t>
        </is>
      </c>
      <c r="F19" s="35" t="n"/>
      <c r="G19" s="35" t="inlineStr">
        <is>
          <t>Webster (Baybrook/I-45 hub, ~4-5 mi N) actively courts MF; OHT/Crow 336u JV sits here; likely additional latent MF capacity but no specific unnamed verified project found</t>
        </is>
      </c>
      <c r="H19" s="35" t="inlineStr">
        <is>
          <t>https://www.cityofwebster.com</t>
        </is>
      </c>
    </row>
    <row r="20">
      <c r="B20" s="35" t="inlineStr">
        <is>
          <t>Friendswood multifamily</t>
        </is>
      </c>
      <c r="C20" s="65" t="n"/>
      <c r="D20" s="65" t="n"/>
      <c r="E20" s="35" t="inlineStr">
        <is>
          <t>none confirmed</t>
        </is>
      </c>
      <c r="F20" s="35" t="n"/>
      <c r="G20" s="35" t="inlineStr">
        <is>
          <t>Friendswood largely SF-oriented, historically resistant to high-density MF; some mixed-use discussion at FM-518/FM-528 but nothing concrete; no specific latent apartment project found</t>
        </is>
      </c>
      <c r="H20" s="35" t="inlineStr">
        <is>
          <t>not found</t>
        </is>
      </c>
    </row>
  </sheetData>
  <mergeCells count="2">
    <mergeCell ref="B2:H2"/>
    <mergeCell ref="B15:H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2026-06-23T22:00:50Z</dcterms:created>
  <dcterms:modified xsi:type="dcterms:W3CDTF">2026-06-23T22:00:50Z</dcterms:modified>
</cp:coreProperties>
</file>