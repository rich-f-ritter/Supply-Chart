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ilestonegp.sharepoint.com/sites/TMG-Internal-T/Milestone/Investments-Unrealized/Portfolios/Greystar 2 pack (TX + ATL)/The Preserve/Supply/"/>
    </mc:Choice>
  </mc:AlternateContent>
  <xr:revisionPtr revIDLastSave="208" documentId="8_{EFF69043-422A-4B77-A8C1-08771C0A27ED}" xr6:coauthVersionLast="47" xr6:coauthVersionMax="47" xr10:uidLastSave="{006BEE26-0CC4-40E8-90C6-7C8FF8EC2C7D}"/>
  <bookViews>
    <workbookView xWindow="28680" yWindow="1575" windowWidth="29040" windowHeight="15720" tabRatio="500" xr2:uid="{00000000-000D-0000-FFFF-FFFF00000000}"/>
  </bookViews>
  <sheets>
    <sheet name="Competitive Analysis" sheetId="1" r:id="rId1"/>
    <sheet name="new data" sheetId="3" r:id="rId2"/>
    <sheet name="Costar" sheetId="4" r:id="rId3"/>
    <sheet name="Setting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7" i="1" l="1"/>
  <c r="F17" i="1"/>
  <c r="F19" i="1"/>
  <c r="F6" i="1"/>
  <c r="C16" i="1"/>
  <c r="C5" i="1"/>
  <c r="K60" i="1"/>
  <c r="J60" i="1"/>
  <c r="G3" i="1"/>
  <c r="D57" i="1" l="1"/>
  <c r="F56" i="1" a="1"/>
  <c r="F34" i="1" a="1"/>
  <c r="E30" i="1"/>
  <c r="D52" i="1"/>
  <c r="D48" i="1"/>
  <c r="E45" i="1"/>
  <c r="H45" i="1" s="1"/>
  <c r="D44" i="1"/>
  <c r="D42" i="1"/>
  <c r="E39" i="1"/>
  <c r="H39" i="1" s="1"/>
  <c r="F48" i="1" a="1"/>
  <c r="F43" i="1" a="1"/>
  <c r="F49" i="1" a="1"/>
  <c r="F31" i="1" a="1"/>
  <c r="F30" i="1" a="1"/>
  <c r="G30" i="1" s="1"/>
  <c r="E51" i="1"/>
  <c r="H51" i="1" s="1"/>
  <c r="D38" i="1"/>
  <c r="F38" i="1" a="1"/>
  <c r="F42" i="1" a="1"/>
  <c r="F52" i="1" a="1"/>
  <c r="D31" i="1"/>
  <c r="D33" i="1"/>
  <c r="E35" i="1"/>
  <c r="H35" i="1" s="1"/>
  <c r="D36" i="1"/>
  <c r="E36" i="1"/>
  <c r="H36" i="1" s="1"/>
  <c r="F36" i="1" a="1"/>
  <c r="F55" i="1" a="1"/>
  <c r="F57" i="1" a="1"/>
  <c r="E34" i="1"/>
  <c r="F32" i="1" a="1"/>
  <c r="E52" i="1"/>
  <c r="H52" i="1" s="1"/>
  <c r="E49" i="1"/>
  <c r="H49" i="1" s="1"/>
  <c r="D47" i="1"/>
  <c r="E42" i="1"/>
  <c r="H42" i="1" s="1"/>
  <c r="D40" i="1"/>
  <c r="D37" i="1"/>
  <c r="F46" i="1" a="1"/>
  <c r="F37" i="1" a="1"/>
  <c r="F51" i="1" a="1"/>
  <c r="E31" i="1"/>
  <c r="H31" i="1" s="1"/>
  <c r="D32" i="1"/>
  <c r="D35" i="1"/>
  <c r="F35" i="1" a="1"/>
  <c r="E46" i="1"/>
  <c r="H46" i="1" s="1"/>
  <c r="E43" i="1"/>
  <c r="H43" i="1" s="1"/>
  <c r="D41" i="1"/>
  <c r="E37" i="1"/>
  <c r="H37" i="1" s="1"/>
  <c r="F47" i="1" a="1"/>
  <c r="F41" i="1" a="1"/>
  <c r="F53" i="1" a="1"/>
  <c r="D34" i="1"/>
  <c r="E32" i="1"/>
  <c r="H32" i="1" s="1"/>
  <c r="E33" i="1"/>
  <c r="H33" i="1" s="1"/>
  <c r="F33" i="1" a="1"/>
  <c r="D30" i="1"/>
  <c r="E57" i="1"/>
  <c r="H57" i="1" s="1"/>
  <c r="E56" i="1"/>
  <c r="H56" i="1" s="1"/>
  <c r="D56" i="1"/>
  <c r="E55" i="1"/>
  <c r="H55" i="1" s="1"/>
  <c r="D55" i="1"/>
  <c r="E54" i="1"/>
  <c r="H54" i="1" s="1"/>
  <c r="D54" i="1"/>
  <c r="E53" i="1"/>
  <c r="H53" i="1" s="1"/>
  <c r="D53" i="1"/>
  <c r="D51" i="1"/>
  <c r="E50" i="1"/>
  <c r="H50" i="1" s="1"/>
  <c r="D50" i="1"/>
  <c r="D49" i="1"/>
  <c r="E48" i="1"/>
  <c r="H48" i="1" s="1"/>
  <c r="E47" i="1"/>
  <c r="H47" i="1" s="1"/>
  <c r="D46" i="1"/>
  <c r="D45" i="1"/>
  <c r="E44" i="1"/>
  <c r="H44" i="1" s="1"/>
  <c r="D43" i="1"/>
  <c r="E41" i="1"/>
  <c r="H41" i="1" s="1"/>
  <c r="E40" i="1"/>
  <c r="H40" i="1" s="1"/>
  <c r="D39" i="1"/>
  <c r="E38" i="1"/>
  <c r="H38" i="1" s="1"/>
  <c r="F45" i="1" a="1"/>
  <c r="F39" i="1" a="1"/>
  <c r="F40" i="1" a="1"/>
  <c r="F44" i="1" a="1"/>
  <c r="F54" i="1" a="1"/>
  <c r="F50" i="1" a="1"/>
  <c r="H34" i="1"/>
  <c r="G36" i="1"/>
  <c r="G31" i="1" l="1"/>
  <c r="G34" i="1"/>
  <c r="G32" i="1"/>
  <c r="K30" i="1"/>
  <c r="J30" i="1"/>
  <c r="G33" i="1"/>
  <c r="K36" i="1"/>
  <c r="J36" i="1"/>
  <c r="I36" i="1"/>
  <c r="E58" i="1"/>
  <c r="H30" i="1"/>
  <c r="D58" i="1"/>
  <c r="F58" i="1"/>
  <c r="K31" i="1" l="1"/>
  <c r="J31" i="1"/>
  <c r="I31" i="1"/>
  <c r="K32" i="1"/>
  <c r="J32" i="1"/>
  <c r="I32" i="1"/>
  <c r="K34" i="1"/>
  <c r="J34" i="1"/>
  <c r="I34" i="1"/>
  <c r="J33" i="1"/>
  <c r="K33" i="1"/>
  <c r="I33" i="1"/>
  <c r="G35" i="1"/>
  <c r="H58" i="1"/>
  <c r="I30" i="1"/>
  <c r="G47" i="1" s="1"/>
  <c r="K35" i="1" l="1"/>
  <c r="I35" i="1"/>
  <c r="J35" i="1"/>
  <c r="K47" i="1"/>
  <c r="I47" i="1"/>
  <c r="J47" i="1"/>
  <c r="G57" i="1"/>
  <c r="J57" i="1" l="1"/>
  <c r="K57" i="1"/>
  <c r="I57" i="1"/>
  <c r="G44" i="1"/>
  <c r="K44" i="1" l="1"/>
  <c r="I44" i="1"/>
  <c r="J44" i="1"/>
  <c r="G52" i="1"/>
  <c r="I52" i="1" l="1"/>
  <c r="J52" i="1"/>
  <c r="K52" i="1"/>
  <c r="G50" i="1"/>
  <c r="I50" i="1" l="1"/>
  <c r="K50" i="1"/>
  <c r="J50" i="1"/>
  <c r="G55" i="1"/>
  <c r="J55" i="1" l="1"/>
  <c r="I55" i="1"/>
  <c r="K55" i="1"/>
  <c r="G51" i="1"/>
  <c r="I51" i="1" l="1"/>
  <c r="K51" i="1"/>
  <c r="J51" i="1"/>
  <c r="G46" i="1"/>
  <c r="K46" i="1" l="1"/>
  <c r="I46" i="1"/>
  <c r="J46" i="1"/>
  <c r="G43" i="1"/>
  <c r="I43" i="1" l="1"/>
  <c r="J43" i="1"/>
  <c r="K43" i="1"/>
  <c r="G42" i="1"/>
  <c r="J42" i="1" l="1"/>
  <c r="I42" i="1"/>
  <c r="K42" i="1"/>
  <c r="G41" i="1"/>
  <c r="I41" i="1" l="1"/>
  <c r="J41" i="1"/>
  <c r="K41" i="1"/>
  <c r="G40" i="1"/>
  <c r="J40" i="1" l="1"/>
  <c r="I40" i="1"/>
  <c r="K40" i="1"/>
  <c r="G39" i="1"/>
  <c r="K39" i="1" l="1"/>
  <c r="I39" i="1"/>
  <c r="J39" i="1"/>
  <c r="G38" i="1"/>
  <c r="J38" i="1" l="1"/>
  <c r="I38" i="1"/>
  <c r="K38" i="1"/>
  <c r="G45" i="1"/>
  <c r="K45" i="1" l="1"/>
  <c r="I45" i="1"/>
  <c r="J45" i="1"/>
  <c r="G37" i="1"/>
  <c r="I37" i="1" l="1"/>
  <c r="J37" i="1"/>
  <c r="K37" i="1"/>
  <c r="G56" i="1"/>
  <c r="K56" i="1" l="1"/>
  <c r="J56" i="1"/>
  <c r="I56" i="1"/>
  <c r="G54" i="1"/>
  <c r="J54" i="1" l="1"/>
  <c r="I54" i="1"/>
  <c r="K54" i="1"/>
  <c r="G53" i="1"/>
  <c r="K53" i="1" l="1"/>
  <c r="J53" i="1"/>
  <c r="I53" i="1"/>
  <c r="G49" i="1"/>
  <c r="K49" i="1" l="1"/>
  <c r="I49" i="1"/>
  <c r="J49" i="1"/>
  <c r="G48" i="1"/>
  <c r="G58" i="1" l="1"/>
  <c r="J48" i="1"/>
  <c r="J58" i="1" s="1"/>
  <c r="J61" i="1" s="1"/>
  <c r="K48" i="1"/>
  <c r="K58" i="1" s="1"/>
  <c r="K61" i="1" s="1"/>
  <c r="I48" i="1"/>
  <c r="I58" i="1" s="1"/>
  <c r="I6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<sst xmlns="http://schemas.openxmlformats.org/spreadsheetml/2006/main" count="349" uniqueCount="190">
  <si>
    <t>Property</t>
  </si>
  <si>
    <t>Units</t>
  </si>
  <si>
    <t>Est. Delivery</t>
  </si>
  <si>
    <t>Occupancy</t>
  </si>
  <si>
    <t>Avg Mkt Rent</t>
  </si>
  <si>
    <t>Q1 2023</t>
  </si>
  <si>
    <t>Q3 2023</t>
  </si>
  <si>
    <t>Q4 2023</t>
  </si>
  <si>
    <t>Q2 2024</t>
  </si>
  <si>
    <t>Q1 2025</t>
  </si>
  <si>
    <t>Q2 2025</t>
  </si>
  <si>
    <t>Q3 2025</t>
  </si>
  <si>
    <t>Q4 2025</t>
  </si>
  <si>
    <t>Q2 2026</t>
  </si>
  <si>
    <t>Q3 2026</t>
  </si>
  <si>
    <t>Q2 2027</t>
  </si>
  <si>
    <t>Q3 2027</t>
  </si>
  <si>
    <t>ABSORPTION SUMMARY: Units Remaining to Reach 95% Occupancy</t>
  </si>
  <si>
    <t># Props</t>
  </si>
  <si>
    <t>Total Units</t>
  </si>
  <si>
    <t>Wtd Avg
Occupancy</t>
  </si>
  <si>
    <t>Currently
Occupied</t>
  </si>
  <si>
    <t>Target
@ 95%</t>
  </si>
  <si>
    <t>TOTAL</t>
  </si>
  <si>
    <t>% to be Absorbed</t>
  </si>
  <si>
    <t>ANALYSIS SETTINGS</t>
  </si>
  <si>
    <t>Stabilized Occupancy Target</t>
  </si>
  <si>
    <t>Target occupancy for absorption calculation</t>
  </si>
  <si>
    <t>Total Current Inventory</t>
  </si>
  <si>
    <t>Owner</t>
  </si>
  <si>
    <t>Proximity</t>
  </si>
  <si>
    <t>Type</t>
  </si>
  <si>
    <t>Garden</t>
  </si>
  <si>
    <t>Units Needed
to Reach 92.5%</t>
  </si>
  <si>
    <t>Units Needed
to Reach 90%</t>
  </si>
  <si>
    <t>Property Address</t>
  </si>
  <si>
    <t>Property Name</t>
  </si>
  <si>
    <t>Building Status</t>
  </si>
  <si>
    <t>Number Of Units</t>
  </si>
  <si>
    <t>Style</t>
  </si>
  <si>
    <t>Secondary Type</t>
  </si>
  <si>
    <t>City</t>
  </si>
  <si>
    <t>Year Built</t>
  </si>
  <si>
    <t>Vacancy %</t>
  </si>
  <si>
    <t>Avg Unit SF</t>
  </si>
  <si>
    <t>Avg Asking/Unit</t>
  </si>
  <si>
    <t>Avg Asking/SF</t>
  </si>
  <si>
    <t>Avg Concessions %</t>
  </si>
  <si>
    <t>Month Built</t>
  </si>
  <si>
    <t>Existing</t>
  </si>
  <si>
    <t>Mid-Rise</t>
  </si>
  <si>
    <t>Apartments</t>
  </si>
  <si>
    <t>Townhome</t>
  </si>
  <si>
    <t>Under Construction</t>
  </si>
  <si>
    <t>Low-Rise</t>
  </si>
  <si>
    <t>Q2 2023</t>
  </si>
  <si>
    <t>Q1 2024</t>
  </si>
  <si>
    <t>Q3 2028</t>
  </si>
  <si>
    <t>Q2 2028</t>
  </si>
  <si>
    <t>Q1 2028</t>
  </si>
  <si>
    <t>Q4 2027</t>
  </si>
  <si>
    <t>Q1 2027</t>
  </si>
  <si>
    <t>Q4 2026</t>
  </si>
  <si>
    <t>Q1 2026</t>
  </si>
  <si>
    <t>Q4 2024</t>
  </si>
  <si>
    <t>Q3 2024</t>
  </si>
  <si>
    <t xml:space="preserve">* 5-Mile Radius -Total Inventory is from Costar </t>
  </si>
  <si>
    <t>Units Needed
to Reach 95%</t>
  </si>
  <si>
    <t>Submarket Cluster</t>
  </si>
  <si>
    <t>True Owner Name</t>
  </si>
  <si>
    <t>Developer Name</t>
  </si>
  <si>
    <t>Latitude</t>
  </si>
  <si>
    <t>Longitude</t>
  </si>
  <si>
    <t>Property Type</t>
  </si>
  <si>
    <t>Beacon Rail District</t>
  </si>
  <si>
    <t>7291 Elm St</t>
  </si>
  <si>
    <t>Frisco</t>
  </si>
  <si>
    <t>Frisco/Little Elm</t>
  </si>
  <si>
    <t>H.G. Fenton Company</t>
  </si>
  <si>
    <t>Multifamily</t>
  </si>
  <si>
    <t>Remy</t>
  </si>
  <si>
    <t>5775 Blairview St</t>
  </si>
  <si>
    <t>Equity Residential</t>
  </si>
  <si>
    <t>Toll Brothers Apartment Living</t>
  </si>
  <si>
    <t>Mirra Apartments</t>
  </si>
  <si>
    <t>8320 Church St</t>
  </si>
  <si>
    <t>Toll Brothers, Inc.</t>
  </si>
  <si>
    <t>Presidium Frisco Square</t>
  </si>
  <si>
    <t>5750 Cotton Gin Rd</t>
  </si>
  <si>
    <t>Presidium</t>
  </si>
  <si>
    <t>Jefferson Grandscape</t>
  </si>
  <si>
    <t>4050 Destination Dr</t>
  </si>
  <si>
    <t>The Colony</t>
  </si>
  <si>
    <t>Farmers Branch/Carrollton</t>
  </si>
  <si>
    <t>JPI Companies</t>
  </si>
  <si>
    <t>Monarch Hall Park</t>
  </si>
  <si>
    <t>3101 Gaylord Pky</t>
  </si>
  <si>
    <t>HALL Group</t>
  </si>
  <si>
    <t>Hi-Rise</t>
  </si>
  <si>
    <t>The Casey</t>
  </si>
  <si>
    <t>4250 Gridiron Rd</t>
  </si>
  <si>
    <t>AEW Capital Management</t>
  </si>
  <si>
    <t>Hillwood Development Corporation</t>
  </si>
  <si>
    <t>Tapestry at the Realm</t>
  </si>
  <si>
    <t>2901 Lady Bettye Dr</t>
  </si>
  <si>
    <t>Lewisville</t>
  </si>
  <si>
    <t>RPM</t>
  </si>
  <si>
    <t>BB Living at The Tribute</t>
  </si>
  <si>
    <t>3985 Lebanon Rd</t>
  </si>
  <si>
    <t>BB Living</t>
  </si>
  <si>
    <t>Single-Family Home</t>
  </si>
  <si>
    <t>Oxenfree at Stonebriar</t>
  </si>
  <si>
    <t>3600 Oxenfree Blvd</t>
  </si>
  <si>
    <t>Core Spaces</t>
  </si>
  <si>
    <t>Treehouse Builders</t>
  </si>
  <si>
    <t>Bell Southstone Yards</t>
  </si>
  <si>
    <t>4220 Tributary Way</t>
  </si>
  <si>
    <t>Bell Partners, Inc.</t>
  </si>
  <si>
    <t>Quarterra</t>
  </si>
  <si>
    <t>The Residences at Promontory</t>
  </si>
  <si>
    <t>4700 West Spring Creek Pky</t>
  </si>
  <si>
    <t>Plano</t>
  </si>
  <si>
    <t>Columbus Realty Partners, Ltd.</t>
  </si>
  <si>
    <t>Jefferson Marquee</t>
  </si>
  <si>
    <t>4500 Windhaven Pky</t>
  </si>
  <si>
    <t>TDI Operating Services, LLC</t>
  </si>
  <si>
    <t>JPI - Houston</t>
  </si>
  <si>
    <t>Jefferson Union</t>
  </si>
  <si>
    <t>4550 Windhaven Pky</t>
  </si>
  <si>
    <t>The Chloe</t>
  </si>
  <si>
    <t>5855 Windhaven Pky</t>
  </si>
  <si>
    <t>Billingsley Company</t>
  </si>
  <si>
    <t>CAP Multifamily</t>
  </si>
  <si>
    <t>The Holland</t>
  </si>
  <si>
    <t>8020 Windrose Ave</t>
  </si>
  <si>
    <t>Knightvest Management</t>
  </si>
  <si>
    <t>Gallery Rail District</t>
  </si>
  <si>
    <t>6842 Ash St</t>
  </si>
  <si>
    <t>The Colony/Far North Carrollton</t>
  </si>
  <si>
    <t>5500 Nebraska Furniture Mart Dr</t>
  </si>
  <si>
    <t>Privately Owned</t>
  </si>
  <si>
    <t>Bonham &amp; Baker</t>
  </si>
  <si>
    <t>6201 John Hickman Pkwy</t>
  </si>
  <si>
    <t>The Freemont</t>
  </si>
  <si>
    <t>9402 Frisco St</t>
  </si>
  <si>
    <t>Stryker Properties</t>
  </si>
  <si>
    <t>Morgan Hill I</t>
  </si>
  <si>
    <t>Carrollton/Farmers Branch</t>
  </si>
  <si>
    <t>3801 Midway Rd</t>
  </si>
  <si>
    <t>Carrollton</t>
  </si>
  <si>
    <t>Jefferson Grandscape II</t>
  </si>
  <si>
    <t>Holbrook Apartments</t>
  </si>
  <si>
    <t>4632 W Hudson Way</t>
  </si>
  <si>
    <t>Lehi</t>
  </si>
  <si>
    <t>ICO Multifamily Holdings LLC</t>
  </si>
  <si>
    <t>North Utah County</t>
  </si>
  <si>
    <t>Alta Vista</t>
  </si>
  <si>
    <t>5222 N Mountain Point Blvd</t>
  </si>
  <si>
    <t>Wood Partners</t>
  </si>
  <si>
    <t>The Centrum at Bluffdale</t>
  </si>
  <si>
    <t>SW corner of 14600 South &amp; Porter Rockwell Blvd, Bluffdale</t>
  </si>
  <si>
    <t>Bluffdale</t>
  </si>
  <si>
    <t>Perry Homes</t>
  </si>
  <si>
    <t>Sole at Rockwell Point</t>
  </si>
  <si>
    <t>Minuteman Dr &amp; Marion Vista Dr, Draper, UT 84020</t>
  </si>
  <si>
    <t>Draper</t>
  </si>
  <si>
    <t>Garn Development</t>
  </si>
  <si>
    <t>Notes</t>
  </si>
  <si>
    <t>Q4 2029</t>
  </si>
  <si>
    <t>Q1 2029</t>
  </si>
  <si>
    <t>Q2 2029</t>
  </si>
  <si>
    <t>Q3 2029</t>
  </si>
  <si>
    <t>Q4 2028</t>
  </si>
  <si>
    <t>Trailwinds Grapevine</t>
  </si>
  <si>
    <t>Parkwood Oaks</t>
  </si>
  <si>
    <t>Warren Properties, Inc</t>
  </si>
  <si>
    <t>Soltra Bear Creek</t>
  </si>
  <si>
    <t>Leon Capital Group</t>
  </si>
  <si>
    <t>The Crawford</t>
  </si>
  <si>
    <t>StoneHawk Capital Partners, LLC</t>
  </si>
  <si>
    <t>UNDER CONSTRUCTION (0 properties, 0 units)</t>
  </si>
  <si>
    <t>2.7 Mi</t>
  </si>
  <si>
    <t>0.1 Mi</t>
  </si>
  <si>
    <t>3.0 Mi</t>
  </si>
  <si>
    <t>4.2 Mi</t>
  </si>
  <si>
    <t>THE PRESERVE – 5-mile Supply</t>
  </si>
  <si>
    <t>2023–2026 Deliveries  |  Grapevine, TX  |  Stabilization Target:</t>
  </si>
  <si>
    <t>SOLTRA</t>
  </si>
  <si>
    <t>CRAWFORD</t>
  </si>
  <si>
    <t>TRAILWINDS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</si>
</sst>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\$#,##0"/>
    <numFmt numFmtId="166" formatCode="#,##0.0"/>
    <numFmt numFmtId="167" formatCode="\$#,##0.00"/>
    <numFmt numFmtId="168" formatCode="&quot;$&quot;#,##0"/>
    <numFmt numFmtId="169" formatCode="#0.#######"/>
  </numFmts>
  <fonts count="23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9"/>
      <name val="Arial"/>
      <family val="2"/>
    </font>
    <font>
      <i/>
      <sz val="8"/>
      <color rgb="FF595959"/>
      <name val="Arial"/>
      <family val="2"/>
    </font>
    <font>
      <sz val="9"/>
      <name val="Arial"/>
      <family val="2"/>
    </font>
    <font>
      <b/>
      <sz val="9"/>
      <color rgb="FF0000FF"/>
      <name val="Arial"/>
      <family val="2"/>
    </font>
    <font>
      <i/>
      <sz val="9"/>
      <name val="Arial"/>
      <family val="2"/>
    </font>
    <font>
      <b/>
      <sz val="8"/>
      <color rgb="FFFFFFFF"/>
      <name val="Arial"/>
      <family val="2"/>
    </font>
    <font>
      <b/>
      <sz val="11"/>
      <name val="Calibri"/>
      <family val="2"/>
    </font>
    <font>
      <b/>
      <sz val="9"/>
      <color rgb="FF9C0006"/>
      <name val="Arial"/>
      <family val="2"/>
    </font>
    <font>
      <i/>
      <sz val="9"/>
      <color rgb="FF595959"/>
      <name val="Arial"/>
      <family val="2"/>
    </font>
    <font>
      <b/>
      <sz val="9"/>
      <color rgb="FFFFFFFF"/>
      <name val="Arial"/>
      <family val="2"/>
    </font>
    <font>
      <b/>
      <sz val="11"/>
      <name val="Calibri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ED7D31"/>
        <bgColor indexed="64"/>
      </patternFill>
    </fill>
    <fill>
      <patternFill patternType="solid">
        <fgColor rgb="FF375623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3" borderId="0" xfId="0" applyFont="1" applyFill="1" applyAlignment="1">
      <alignment horizontal="center" vertical="center"/>
    </xf>
    <xf numFmtId="0" fontId="10" fillId="0" borderId="0" xfId="0" applyFont="1"/>
    <xf numFmtId="9" fontId="11" fillId="4" borderId="0" xfId="0" applyNumberFormat="1" applyFont="1" applyFill="1"/>
    <xf numFmtId="0" fontId="12" fillId="0" borderId="0" xfId="0" applyFont="1"/>
    <xf numFmtId="0" fontId="6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3" fontId="0" fillId="6" borderId="1" xfId="0" applyNumberFormat="1" applyFill="1" applyBorder="1" applyAlignment="1">
      <alignment horizontal="center"/>
    </xf>
    <xf numFmtId="0" fontId="14" fillId="0" borderId="0" xfId="0" applyFont="1"/>
    <xf numFmtId="1" fontId="14" fillId="0" borderId="0" xfId="0" applyNumberFormat="1" applyFont="1"/>
    <xf numFmtId="165" fontId="14" fillId="0" borderId="0" xfId="0" applyNumberFormat="1" applyFont="1"/>
    <xf numFmtId="14" fontId="14" fillId="0" borderId="0" xfId="0" applyNumberFormat="1" applyFont="1"/>
    <xf numFmtId="4" fontId="14" fillId="0" borderId="0" xfId="0" applyNumberFormat="1" applyFont="1"/>
    <xf numFmtId="166" fontId="14" fillId="0" borderId="0" xfId="0" applyNumberFormat="1" applyFont="1"/>
    <xf numFmtId="167" fontId="14" fillId="0" borderId="0" xfId="0" applyNumberFormat="1" applyFont="1"/>
    <xf numFmtId="1" fontId="0" fillId="0" borderId="0" xfId="0" applyNumberFormat="1"/>
    <xf numFmtId="165" fontId="0" fillId="0" borderId="0" xfId="0" applyNumberFormat="1"/>
    <xf numFmtId="14" fontId="0" fillId="0" borderId="0" xfId="0" applyNumberForma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8" fillId="8" borderId="3" xfId="0" applyNumberFormat="1" applyFont="1" applyFill="1" applyBorder="1" applyAlignment="1">
      <alignment horizontal="center" vertical="center"/>
    </xf>
    <xf numFmtId="10" fontId="8" fillId="8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3" fontId="15" fillId="5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10" borderId="0" xfId="0" applyFill="1"/>
    <xf numFmtId="0" fontId="5" fillId="11" borderId="9" xfId="0" applyFont="1" applyFill="1" applyBorder="1" applyAlignment="1">
      <alignment vertical="center"/>
    </xf>
    <xf numFmtId="0" fontId="5" fillId="11" borderId="6" xfId="0" applyFont="1" applyFill="1" applyBorder="1" applyAlignment="1">
      <alignment horizontal="center" vertical="center"/>
    </xf>
    <xf numFmtId="3" fontId="5" fillId="11" borderId="6" xfId="0" applyNumberFormat="1" applyFont="1" applyFill="1" applyBorder="1" applyAlignment="1">
      <alignment horizontal="center" vertical="center"/>
    </xf>
    <xf numFmtId="164" fontId="5" fillId="11" borderId="6" xfId="0" applyNumberFormat="1" applyFont="1" applyFill="1" applyBorder="1" applyAlignment="1">
      <alignment horizontal="center" vertical="center"/>
    </xf>
    <xf numFmtId="0" fontId="18" fillId="0" borderId="0" xfId="0" applyFont="1"/>
    <xf numFmtId="1" fontId="18" fillId="0" borderId="0" xfId="0" applyNumberFormat="1" applyFont="1"/>
    <xf numFmtId="4" fontId="18" fillId="0" borderId="0" xfId="0" applyNumberFormat="1" applyFont="1"/>
    <xf numFmtId="165" fontId="18" fillId="0" borderId="0" xfId="0" applyNumberFormat="1" applyFont="1"/>
    <xf numFmtId="167" fontId="18" fillId="0" borderId="0" xfId="0" applyNumberFormat="1" applyFont="1"/>
    <xf numFmtId="166" fontId="18" fillId="0" borderId="0" xfId="0" applyNumberFormat="1" applyFont="1"/>
    <xf numFmtId="169" fontId="18" fillId="0" borderId="0" xfId="0" applyNumberFormat="1" applyFont="1"/>
    <xf numFmtId="169" fontId="0" fillId="0" borderId="0" xfId="0" applyNumberFormat="1"/>
    <xf numFmtId="0" fontId="17" fillId="13" borderId="0" xfId="0" applyFont="1" applyFill="1" applyAlignment="1">
      <alignment horizontal="center" vertical="center"/>
    </xf>
    <xf numFmtId="0" fontId="0" fillId="7" borderId="4" xfId="0" applyFill="1" applyBorder="1"/>
    <xf numFmtId="0" fontId="4" fillId="2" borderId="5" xfId="0" applyFont="1" applyFill="1" applyBorder="1" applyAlignment="1">
      <alignment horizontal="center" vertical="center"/>
    </xf>
    <xf numFmtId="0" fontId="0" fillId="12" borderId="2" xfId="0" applyFill="1" applyBorder="1"/>
    <xf numFmtId="0" fontId="5" fillId="9" borderId="0" xfId="0" applyFont="1" applyFill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49" fontId="0" fillId="0" borderId="0" xfId="0" applyNumberFormat="1"/>
    <xf numFmtId="0" fontId="21" fillId="9" borderId="1" xfId="0" applyFont="1" applyFill="1" applyBorder="1" applyAlignment="1">
      <alignment horizontal="center"/>
    </xf>
    <xf numFmtId="0" fontId="21" fillId="9" borderId="1" xfId="0" applyFont="1" applyFill="1" applyBorder="1" applyAlignment="1">
      <alignment horizontal="left"/>
    </xf>
    <xf numFmtId="164" fontId="21" fillId="9" borderId="1" xfId="0" applyNumberFormat="1" applyFont="1" applyFill="1" applyBorder="1" applyAlignment="1">
      <alignment horizontal="center"/>
    </xf>
    <xf numFmtId="168" fontId="21" fillId="9" borderId="1" xfId="0" applyNumberFormat="1" applyFont="1" applyFill="1" applyBorder="1" applyAlignment="1">
      <alignment horizontal="center"/>
    </xf>
    <xf numFmtId="0" fontId="19" fillId="7" borderId="12" xfId="0" applyFont="1" applyFill="1" applyBorder="1" applyAlignment="1">
      <alignment horizontal="center"/>
    </xf>
    <xf numFmtId="0" fontId="20" fillId="7" borderId="12" xfId="0" applyFont="1" applyFill="1" applyBorder="1"/>
    <xf numFmtId="0" fontId="0" fillId="7" borderId="12" xfId="0" applyFill="1" applyBorder="1"/>
    <xf numFmtId="0" fontId="21" fillId="9" borderId="5" xfId="0" applyFont="1" applyFill="1" applyBorder="1" applyAlignment="1">
      <alignment horizontal="center"/>
    </xf>
    <xf numFmtId="0" fontId="21" fillId="9" borderId="5" xfId="0" applyFont="1" applyFill="1" applyBorder="1" applyAlignment="1">
      <alignment horizontal="left"/>
    </xf>
    <xf numFmtId="164" fontId="21" fillId="9" borderId="5" xfId="0" applyNumberFormat="1" applyFont="1" applyFill="1" applyBorder="1" applyAlignment="1">
      <alignment horizontal="center"/>
    </xf>
    <xf numFmtId="168" fontId="21" fillId="9" borderId="5" xfId="0" applyNumberFormat="1" applyFont="1" applyFill="1" applyBorder="1" applyAlignment="1">
      <alignment horizontal="center"/>
    </xf>
    <xf numFmtId="0" fontId="21" fillId="8" borderId="5" xfId="0" applyFont="1" applyFill="1" applyBorder="1" applyAlignment="1">
      <alignment horizontal="center"/>
    </xf>
    <xf numFmtId="0" fontId="21" fillId="8" borderId="5" xfId="0" applyFont="1" applyFill="1" applyBorder="1" applyAlignment="1">
      <alignment horizontal="left"/>
    </xf>
    <xf numFmtId="164" fontId="21" fillId="8" borderId="5" xfId="0" applyNumberFormat="1" applyFont="1" applyFill="1" applyBorder="1" applyAlignment="1">
      <alignment horizontal="center"/>
    </xf>
    <xf numFmtId="168" fontId="21" fillId="8" borderId="5" xfId="0" applyNumberFormat="1" applyFont="1" applyFill="1" applyBorder="1" applyAlignment="1">
      <alignment horizontal="center"/>
    </xf>
    <xf numFmtId="0" fontId="19" fillId="12" borderId="0" xfId="0" applyFont="1" applyFill="1" applyAlignment="1">
      <alignment horizontal="center"/>
    </xf>
    <xf numFmtId="0" fontId="20" fillId="12" borderId="0" xfId="0" applyFont="1" applyFill="1"/>
    <xf numFmtId="0" fontId="0" fillId="12" borderId="0" xfId="0" applyFill="1"/>
    <xf numFmtId="3" fontId="21" fillId="9" borderId="5" xfId="0" applyNumberFormat="1" applyFont="1" applyFill="1" applyBorder="1" applyAlignment="1">
      <alignment horizontal="center"/>
    </xf>
    <xf numFmtId="3" fontId="21" fillId="8" borderId="5" xfId="0" applyNumberFormat="1" applyFont="1" applyFill="1" applyBorder="1" applyAlignment="1">
      <alignment horizontal="center"/>
    </xf>
    <xf numFmtId="3" fontId="21" fillId="9" borderId="1" xfId="0" applyNumberFormat="1" applyFont="1" applyFill="1" applyBorder="1" applyAlignment="1">
      <alignment horizontal="center"/>
    </xf>
    <xf numFmtId="0" fontId="20" fillId="13" borderId="0" xfId="0" applyFont="1" applyFill="1" applyAlignment="1">
      <alignment horizontal="left" vertical="center"/>
    </xf>
    <xf numFmtId="0" fontId="22" fillId="0" borderId="0" xfId="0" applyFont="1"/>
    <xf numFmtId="3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455084</xdr:colOff>
      <xdr:row>27</xdr:row>
      <xdr:rowOff>116418</xdr:rowOff>
    </xdr:from>
    <xdr:to>
      <xdr:col>17</xdr:col>
      <xdr:colOff>763230</xdr:colOff>
      <xdr:row>36</xdr:row>
      <xdr:rowOff>37130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4870B3-A6A1-EEC0-4CBA-99B521990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09084" y="2730501"/>
          <a:ext cx="3324396" cy="169871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17</xdr:col>
      <xdr:colOff>95348</xdr:colOff>
      <xdr:row>49</xdr:row>
      <xdr:rowOff>78410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44140C-EFFA-3CF3-6A2B-957B7CBD8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60500" y="4900083"/>
          <a:ext cx="1905098" cy="183524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0</xdr:rowOff>
    </xdr:from>
    <xdr:to>
      <xdr:col>20</xdr:col>
      <xdr:colOff>21402</xdr:colOff>
      <xdr:row>68</xdr:row>
      <xdr:rowOff>126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B11653-5F8D-F592-CF58-306357DD7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60500" y="7535333"/>
          <a:ext cx="4572235" cy="2444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  <wetp:taskpane dockstate="right" visibility="0" width="525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3BE81C2-0E2B-4F1D-96F6-0E5F8473C41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65380e6-b337-4f15-9665-b5b3cd2b0ace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C2EB324-BA1E-4A3D-A2B1-828DC11D9A8D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77f007a-62fa-4856-b1de-2d3658ede95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Q62"/>
  <sheetViews>
    <sheetView showGridLines="0" tabSelected="1" zoomScale="90" zoomScaleNormal="90" workbookViewId="0">
      <pane ySplit="4" topLeftCell="A5" activePane="bottomLeft" state="frozen"/>
      <selection pane="bottomLeft" activeCell="H6" sqref="H6"/>
    </sheetView>
  </sheetViews>
  <sheetFormatPr defaultColWidth="8.54296875" defaultRowHeight="14.5" x14ac:dyDescent="0.35"/>
  <cols>
    <col min="1" max="1" width="4.54296875" customWidth="1"/>
    <col min="2" max="2" width="3.1796875" customWidth="1"/>
    <col min="3" max="3" width="32.453125" customWidth="1"/>
    <col min="4" max="4" width="8" customWidth="1"/>
    <col min="5" max="5" width="14" customWidth="1"/>
    <col min="6" max="6" width="12" customWidth="1"/>
    <col min="7" max="7" width="15" customWidth="1"/>
    <col min="8" max="8" width="35.6328125" customWidth="1"/>
    <col min="9" max="10" width="18" customWidth="1"/>
    <col min="11" max="11" width="17.36328125" customWidth="1"/>
    <col min="12" max="12" width="7.1796875" customWidth="1"/>
    <col min="18" max="18" width="22" bestFit="1" customWidth="1"/>
  </cols>
  <sheetData>
    <row r="2" spans="2:13" ht="21.75" customHeight="1" x14ac:dyDescent="0.35">
      <c r="B2" s="23"/>
      <c r="C2" s="84" t="s">
        <v>185</v>
      </c>
      <c r="D2" s="84"/>
      <c r="E2" s="84"/>
      <c r="F2" s="84"/>
      <c r="G2" s="84"/>
    </row>
    <row r="3" spans="2:13" ht="13.5" customHeight="1" x14ac:dyDescent="0.35">
      <c r="B3" s="91" t="s">
        <v>186</v>
      </c>
      <c r="C3" s="91"/>
      <c r="D3" s="91"/>
      <c r="E3" s="91"/>
      <c r="F3" s="91"/>
      <c r="G3" s="1" t="str">
        <f>TEXT(Settings!$B$2,"0%")&amp;" target"</f>
        <v>95% target</v>
      </c>
    </row>
    <row r="4" spans="2:13" ht="18" customHeight="1" x14ac:dyDescent="0.35">
      <c r="B4" s="85" t="s">
        <v>0</v>
      </c>
      <c r="C4" s="86"/>
      <c r="D4" s="52" t="s">
        <v>1</v>
      </c>
      <c r="E4" s="52" t="s">
        <v>2</v>
      </c>
      <c r="F4" s="52" t="s">
        <v>3</v>
      </c>
      <c r="G4" s="52" t="s">
        <v>4</v>
      </c>
      <c r="H4" s="52" t="s">
        <v>29</v>
      </c>
      <c r="I4" s="52" t="s">
        <v>30</v>
      </c>
      <c r="J4" s="52" t="s">
        <v>31</v>
      </c>
      <c r="K4" s="55" t="s">
        <v>167</v>
      </c>
    </row>
    <row r="5" spans="2:13" ht="15.75" customHeight="1" x14ac:dyDescent="0.35">
      <c r="B5" s="61"/>
      <c r="C5" s="62" t="str">
        <f>"STABILIZED / STABILIZING (2023–2024 Deliveries) ("&amp;COUNTA(C6:C14)&amp;" properties, "&amp;TEXT(SUM(D6:D14),"#,##0")&amp;" units)"</f>
        <v>STABILIZED / STABILIZING (2023–2024 Deliveries) (1 properties, 324 units)</v>
      </c>
      <c r="D5" s="63"/>
      <c r="E5" s="63"/>
      <c r="F5" s="63"/>
      <c r="G5" s="63"/>
      <c r="H5" s="63"/>
      <c r="I5" s="63"/>
      <c r="J5" s="63"/>
      <c r="K5" s="51"/>
    </row>
    <row r="6" spans="2:13" ht="13.5" customHeight="1" x14ac:dyDescent="0.35">
      <c r="B6" s="64">
        <v>1</v>
      </c>
      <c r="C6" s="65" t="s">
        <v>173</v>
      </c>
      <c r="D6" s="75">
        <v>324</v>
      </c>
      <c r="E6" s="64" t="s">
        <v>5</v>
      </c>
      <c r="F6" s="66">
        <f>1-6.7901/100</f>
        <v>0.93209900000000001</v>
      </c>
      <c r="G6" s="67">
        <v>1841</v>
      </c>
      <c r="H6" s="65" t="s">
        <v>82</v>
      </c>
      <c r="I6" s="64" t="s">
        <v>182</v>
      </c>
      <c r="J6" s="64" t="s">
        <v>54</v>
      </c>
      <c r="K6" s="64"/>
      <c r="M6" s="56"/>
    </row>
    <row r="7" spans="2:13" ht="13.5" hidden="1" customHeight="1" x14ac:dyDescent="0.35">
      <c r="B7" s="68">
        <v>2</v>
      </c>
      <c r="C7" s="69"/>
      <c r="D7" s="76"/>
      <c r="E7" s="68"/>
      <c r="F7" s="70"/>
      <c r="G7" s="71"/>
      <c r="H7" s="69"/>
      <c r="I7" s="68"/>
      <c r="J7" s="68"/>
      <c r="K7" s="68"/>
      <c r="M7" s="56"/>
    </row>
    <row r="8" spans="2:13" ht="13.5" hidden="1" customHeight="1" x14ac:dyDescent="0.35">
      <c r="B8" s="64">
        <v>3</v>
      </c>
      <c r="C8" s="65"/>
      <c r="D8" s="75"/>
      <c r="E8" s="64"/>
      <c r="F8" s="66"/>
      <c r="G8" s="67"/>
      <c r="H8" s="65"/>
      <c r="I8" s="64"/>
      <c r="J8" s="64"/>
      <c r="K8" s="64"/>
      <c r="M8" s="56"/>
    </row>
    <row r="9" spans="2:13" ht="13.5" hidden="1" customHeight="1" x14ac:dyDescent="0.35">
      <c r="B9" s="68">
        <v>4</v>
      </c>
      <c r="C9" s="69"/>
      <c r="D9" s="76"/>
      <c r="E9" s="68"/>
      <c r="F9" s="70"/>
      <c r="G9" s="71"/>
      <c r="H9" s="69"/>
      <c r="I9" s="68"/>
      <c r="J9" s="68"/>
      <c r="K9" s="68"/>
      <c r="M9" s="56"/>
    </row>
    <row r="10" spans="2:13" ht="13.5" hidden="1" customHeight="1" x14ac:dyDescent="0.35">
      <c r="B10" s="64">
        <v>5</v>
      </c>
      <c r="C10" s="65"/>
      <c r="D10" s="75"/>
      <c r="E10" s="64"/>
      <c r="F10" s="66"/>
      <c r="G10" s="67"/>
      <c r="H10" s="65"/>
      <c r="I10" s="64"/>
      <c r="J10" s="64"/>
      <c r="K10" s="64"/>
      <c r="M10" s="56"/>
    </row>
    <row r="11" spans="2:13" ht="13.5" hidden="1" customHeight="1" x14ac:dyDescent="0.35">
      <c r="B11" s="68">
        <v>6</v>
      </c>
      <c r="C11" s="69"/>
      <c r="D11" s="76"/>
      <c r="E11" s="68"/>
      <c r="F11" s="70"/>
      <c r="G11" s="71"/>
      <c r="H11" s="69"/>
      <c r="I11" s="68"/>
      <c r="J11" s="68"/>
      <c r="K11" s="68"/>
      <c r="M11" s="56"/>
    </row>
    <row r="12" spans="2:13" ht="13.5" hidden="1" customHeight="1" x14ac:dyDescent="0.35">
      <c r="B12" s="64">
        <v>7</v>
      </c>
      <c r="C12" s="65"/>
      <c r="D12" s="75"/>
      <c r="E12" s="64"/>
      <c r="F12" s="66"/>
      <c r="G12" s="67"/>
      <c r="H12" s="65"/>
      <c r="I12" s="64"/>
      <c r="J12" s="64"/>
      <c r="K12" s="64"/>
      <c r="M12" s="56"/>
    </row>
    <row r="13" spans="2:13" ht="13.5" hidden="1" customHeight="1" x14ac:dyDescent="0.35">
      <c r="B13" s="68">
        <v>8</v>
      </c>
      <c r="C13" s="69"/>
      <c r="D13" s="76"/>
      <c r="E13" s="68"/>
      <c r="F13" s="70"/>
      <c r="G13" s="71"/>
      <c r="H13" s="69"/>
      <c r="I13" s="68"/>
      <c r="J13" s="68"/>
      <c r="K13" s="68"/>
      <c r="M13" s="56"/>
    </row>
    <row r="14" spans="2:13" ht="13.5" hidden="1" customHeight="1" x14ac:dyDescent="0.35">
      <c r="B14" s="57">
        <v>9</v>
      </c>
      <c r="C14" s="58"/>
      <c r="D14" s="77"/>
      <c r="E14" s="57"/>
      <c r="F14" s="59"/>
      <c r="G14" s="60"/>
      <c r="H14" s="58"/>
      <c r="I14" s="57"/>
      <c r="J14" s="57"/>
      <c r="K14" s="57"/>
      <c r="M14" s="56"/>
    </row>
    <row r="15" spans="2:13" ht="13.5" customHeight="1" x14ac:dyDescent="0.35"/>
    <row r="16" spans="2:13" ht="13.5" customHeight="1" x14ac:dyDescent="0.35">
      <c r="B16" s="72"/>
      <c r="C16" s="73" t="str">
        <f>"LEASING UP (2025–2026 Deliveries) ("&amp;COUNTA(C17:C23)&amp;" properties, "&amp;TEXT(SUM(D17:D23),"#,##0")&amp;" units)"</f>
        <v>LEASING UP (2025–2026 Deliveries) (3 properties, 723 units)</v>
      </c>
      <c r="D16" s="74"/>
      <c r="E16" s="74"/>
      <c r="F16" s="74"/>
      <c r="G16" s="74"/>
      <c r="H16" s="74"/>
      <c r="I16" s="74"/>
      <c r="J16" s="74"/>
      <c r="K16" s="53"/>
    </row>
    <row r="17" spans="2:17" ht="13.5" customHeight="1" x14ac:dyDescent="0.35">
      <c r="B17" s="64">
        <v>2</v>
      </c>
      <c r="C17" s="65" t="s">
        <v>174</v>
      </c>
      <c r="D17" s="75">
        <v>72</v>
      </c>
      <c r="E17" s="64" t="s">
        <v>63</v>
      </c>
      <c r="F17" s="66">
        <f>1-16.6667/100</f>
        <v>0.83333299999999999</v>
      </c>
      <c r="G17" s="67">
        <v>2412</v>
      </c>
      <c r="H17" s="65" t="s">
        <v>175</v>
      </c>
      <c r="I17" s="64" t="s">
        <v>181</v>
      </c>
      <c r="J17" s="64" t="s">
        <v>52</v>
      </c>
      <c r="K17" s="64"/>
      <c r="Q17" s="80">
        <f>SUM(D17:D19,D6)</f>
        <v>1047</v>
      </c>
    </row>
    <row r="18" spans="2:17" ht="13.5" customHeight="1" x14ac:dyDescent="0.35">
      <c r="B18" s="68">
        <v>3</v>
      </c>
      <c r="C18" s="69" t="s">
        <v>176</v>
      </c>
      <c r="D18" s="76">
        <v>371</v>
      </c>
      <c r="E18" s="68" t="s">
        <v>11</v>
      </c>
      <c r="F18" s="70">
        <v>0.76500000000000001</v>
      </c>
      <c r="G18" s="71">
        <v>1989</v>
      </c>
      <c r="H18" s="69" t="s">
        <v>177</v>
      </c>
      <c r="I18" s="68" t="s">
        <v>183</v>
      </c>
      <c r="J18" s="68" t="s">
        <v>32</v>
      </c>
      <c r="K18" s="68"/>
    </row>
    <row r="19" spans="2:17" ht="13.5" customHeight="1" x14ac:dyDescent="0.35">
      <c r="B19" s="64">
        <v>4</v>
      </c>
      <c r="C19" s="65" t="s">
        <v>178</v>
      </c>
      <c r="D19" s="75">
        <v>280</v>
      </c>
      <c r="E19" s="64" t="s">
        <v>10</v>
      </c>
      <c r="F19" s="66">
        <f>1-31.4286/100</f>
        <v>0.68571399999999993</v>
      </c>
      <c r="G19" s="67">
        <v>1766</v>
      </c>
      <c r="H19" s="65" t="s">
        <v>179</v>
      </c>
      <c r="I19" s="64" t="s">
        <v>184</v>
      </c>
      <c r="J19" s="64" t="s">
        <v>50</v>
      </c>
      <c r="K19" s="64"/>
      <c r="M19" s="54"/>
    </row>
    <row r="20" spans="2:17" ht="13.5" hidden="1" customHeight="1" x14ac:dyDescent="0.35">
      <c r="B20" s="68">
        <v>13</v>
      </c>
      <c r="C20" s="69"/>
      <c r="D20" s="76"/>
      <c r="E20" s="68"/>
      <c r="F20" s="70"/>
      <c r="G20" s="71"/>
      <c r="H20" s="69"/>
      <c r="I20" s="68"/>
      <c r="J20" s="68"/>
      <c r="K20" s="68"/>
    </row>
    <row r="21" spans="2:17" ht="13.5" hidden="1" customHeight="1" x14ac:dyDescent="0.35">
      <c r="B21" s="64">
        <v>14</v>
      </c>
      <c r="C21" s="65"/>
      <c r="D21" s="75"/>
      <c r="E21" s="64"/>
      <c r="F21" s="66"/>
      <c r="G21" s="67"/>
      <c r="H21" s="65"/>
      <c r="I21" s="64"/>
      <c r="J21" s="64"/>
      <c r="K21" s="64"/>
    </row>
    <row r="22" spans="2:17" ht="13.5" hidden="1" customHeight="1" x14ac:dyDescent="0.35">
      <c r="B22" s="68">
        <v>15</v>
      </c>
      <c r="C22" s="69"/>
      <c r="D22" s="76"/>
      <c r="E22" s="68"/>
      <c r="F22" s="70"/>
      <c r="G22" s="71"/>
      <c r="H22" s="69"/>
      <c r="I22" s="68"/>
      <c r="J22" s="68"/>
      <c r="K22" s="68"/>
    </row>
    <row r="23" spans="2:17" ht="13.5" hidden="1" customHeight="1" x14ac:dyDescent="0.35">
      <c r="B23" s="57">
        <v>16</v>
      </c>
      <c r="C23" s="58"/>
      <c r="D23" s="77"/>
      <c r="E23" s="57"/>
      <c r="F23" s="59"/>
      <c r="G23" s="60"/>
      <c r="H23" s="58"/>
      <c r="I23" s="57"/>
      <c r="J23" s="57"/>
      <c r="K23" s="57"/>
    </row>
    <row r="24" spans="2:17" ht="7.5" customHeight="1" x14ac:dyDescent="0.35"/>
    <row r="25" spans="2:17" ht="7.5" customHeight="1" x14ac:dyDescent="0.35"/>
    <row r="26" spans="2:17" ht="15.75" customHeight="1" x14ac:dyDescent="0.35">
      <c r="B26" s="50"/>
      <c r="C26" s="78" t="s">
        <v>180</v>
      </c>
      <c r="D26" s="50"/>
      <c r="E26" s="50"/>
      <c r="F26" s="50"/>
      <c r="G26" s="50"/>
      <c r="H26" s="50"/>
      <c r="I26" s="50"/>
      <c r="J26" s="50"/>
      <c r="K26" s="50"/>
    </row>
    <row r="27" spans="2:17" ht="11.5" customHeight="1" x14ac:dyDescent="0.35">
      <c r="B27" s="36"/>
      <c r="O27" s="79" t="s">
        <v>187</v>
      </c>
    </row>
    <row r="28" spans="2:17" ht="15.75" customHeight="1" x14ac:dyDescent="0.35">
      <c r="B28" s="34" t="s">
        <v>17</v>
      </c>
      <c r="C28" s="35"/>
      <c r="D28" s="33"/>
      <c r="E28" s="33"/>
      <c r="F28" s="33"/>
      <c r="G28" s="33"/>
      <c r="H28" s="33"/>
      <c r="I28" s="33"/>
      <c r="J28" s="5"/>
      <c r="K28" s="5"/>
    </row>
    <row r="29" spans="2:17" ht="30.5" customHeight="1" x14ac:dyDescent="0.35">
      <c r="B29" s="87" t="s">
        <v>2</v>
      </c>
      <c r="C29" s="88"/>
      <c r="D29" s="24" t="s">
        <v>18</v>
      </c>
      <c r="E29" s="24" t="s">
        <v>19</v>
      </c>
      <c r="F29" s="24" t="s">
        <v>20</v>
      </c>
      <c r="G29" s="24" t="s">
        <v>21</v>
      </c>
      <c r="H29" s="24" t="s">
        <v>22</v>
      </c>
      <c r="I29" s="25" t="s">
        <v>67</v>
      </c>
      <c r="J29" s="26" t="s">
        <v>33</v>
      </c>
      <c r="K29" s="26" t="s">
        <v>34</v>
      </c>
    </row>
    <row r="30" spans="2:17" ht="13.5" customHeight="1" x14ac:dyDescent="0.35">
      <c r="B30" s="38" t="s">
        <v>168</v>
      </c>
      <c r="C30" s="39"/>
      <c r="D30" s="39">
        <f t="shared" ref="D30:D57" si="0">COUNTIF($E$6:$E$26,B30)</f>
        <v>0</v>
      </c>
      <c r="E30" s="40">
        <f t="shared" ref="E30:E57" si="1">SUMIF($E$6:$E$26,B30,$D$6:$D$26)</f>
        <v>0</v>
      </c>
      <c r="F30" s="41" cm="1">
        <f t="array" ref="F30">IFERROR(SUMPRODUCT(($E$6:$E$26=B30)*IFERROR($D$6:$D$26*$F$6:$F$26,0))/SUMPRODUCT(($E$6:$E$26=B30)*ISNUMBER($F$6:$F$26)*$D$6:$D$26),0)</f>
        <v>0</v>
      </c>
      <c r="G30" s="40">
        <f t="shared" ref="G30" si="2">F30*E30</f>
        <v>0</v>
      </c>
      <c r="H30" s="40">
        <f t="shared" ref="H30" si="3">E30*0.95</f>
        <v>0</v>
      </c>
      <c r="I30" s="27">
        <f t="shared" ref="I30" si="4">H30-G30</f>
        <v>0</v>
      </c>
      <c r="J30" s="27">
        <f t="shared" ref="J30" si="5">(E30*92.5%)-G30</f>
        <v>0</v>
      </c>
      <c r="K30" s="27">
        <f t="shared" ref="K30" si="6">(E30*0.9)-G30</f>
        <v>0</v>
      </c>
    </row>
    <row r="31" spans="2:17" ht="13.5" customHeight="1" x14ac:dyDescent="0.35">
      <c r="B31" s="38" t="s">
        <v>171</v>
      </c>
      <c r="C31" s="39"/>
      <c r="D31" s="39">
        <f t="shared" si="0"/>
        <v>0</v>
      </c>
      <c r="E31" s="40">
        <f t="shared" si="1"/>
        <v>0</v>
      </c>
      <c r="F31" s="41" cm="1">
        <f t="array" ref="F31">IFERROR(SUMPRODUCT(($E$6:$E$26=B31)*IFERROR($D$6:$D$26*$F$6:$F$26,0))/SUMPRODUCT(($E$6:$E$26=B31)*ISNUMBER($F$6:$F$26)*$D$6:$D$26),0)</f>
        <v>0</v>
      </c>
      <c r="G31" s="40">
        <f t="shared" ref="G31:G36" si="7">F31*E31</f>
        <v>0</v>
      </c>
      <c r="H31" s="40">
        <f t="shared" ref="H31:H36" si="8">E31*0.95</f>
        <v>0</v>
      </c>
      <c r="I31" s="27">
        <f t="shared" ref="I31:I36" si="9">H31-G31</f>
        <v>0</v>
      </c>
      <c r="J31" s="27">
        <f t="shared" ref="J31:J36" si="10">(E31*92.5%)-G31</f>
        <v>0</v>
      </c>
      <c r="K31" s="27">
        <f t="shared" ref="K31:K36" si="11">(E31*0.9)-G31</f>
        <v>0</v>
      </c>
    </row>
    <row r="32" spans="2:17" ht="13.5" customHeight="1" x14ac:dyDescent="0.35">
      <c r="B32" s="38" t="s">
        <v>170</v>
      </c>
      <c r="C32" s="39"/>
      <c r="D32" s="39">
        <f t="shared" si="0"/>
        <v>0</v>
      </c>
      <c r="E32" s="40">
        <f t="shared" si="1"/>
        <v>0</v>
      </c>
      <c r="F32" s="41" cm="1">
        <f t="array" ref="F32">IFERROR(SUMPRODUCT(($E$6:$E$26=B32)*IFERROR($D$6:$D$26*$F$6:$F$26,0))/SUMPRODUCT(($E$6:$E$26=B32)*ISNUMBER($F$6:$F$26)*$D$6:$D$26),0)</f>
        <v>0</v>
      </c>
      <c r="G32" s="40">
        <f t="shared" si="7"/>
        <v>0</v>
      </c>
      <c r="H32" s="40">
        <f t="shared" si="8"/>
        <v>0</v>
      </c>
      <c r="I32" s="27">
        <f t="shared" si="9"/>
        <v>0</v>
      </c>
      <c r="J32" s="27">
        <f t="shared" si="10"/>
        <v>0</v>
      </c>
      <c r="K32" s="27">
        <f t="shared" si="11"/>
        <v>0</v>
      </c>
    </row>
    <row r="33" spans="2:15" ht="13.5" customHeight="1" x14ac:dyDescent="0.35">
      <c r="B33" s="38" t="s">
        <v>169</v>
      </c>
      <c r="C33" s="39"/>
      <c r="D33" s="39">
        <f t="shared" si="0"/>
        <v>0</v>
      </c>
      <c r="E33" s="40">
        <f t="shared" si="1"/>
        <v>0</v>
      </c>
      <c r="F33" s="41" cm="1">
        <f t="array" ref="F33">IFERROR(SUMPRODUCT(($E$6:$E$26=B33)*IFERROR($D$6:$D$26*$F$6:$F$26,0))/SUMPRODUCT(($E$6:$E$26=B33)*ISNUMBER($F$6:$F$26)*$D$6:$D$26),0)</f>
        <v>0</v>
      </c>
      <c r="G33" s="40">
        <f t="shared" si="7"/>
        <v>0</v>
      </c>
      <c r="H33" s="40">
        <f t="shared" si="8"/>
        <v>0</v>
      </c>
      <c r="I33" s="27">
        <f t="shared" si="9"/>
        <v>0</v>
      </c>
      <c r="J33" s="27">
        <f t="shared" si="10"/>
        <v>0</v>
      </c>
      <c r="K33" s="27">
        <f t="shared" si="11"/>
        <v>0</v>
      </c>
    </row>
    <row r="34" spans="2:15" ht="13.5" customHeight="1" x14ac:dyDescent="0.35">
      <c r="B34" s="38" t="s">
        <v>172</v>
      </c>
      <c r="C34" s="39"/>
      <c r="D34" s="39">
        <f t="shared" si="0"/>
        <v>0</v>
      </c>
      <c r="E34" s="40">
        <f t="shared" si="1"/>
        <v>0</v>
      </c>
      <c r="F34" s="41" cm="1">
        <f t="array" ref="F34">IFERROR(SUMPRODUCT(($E$6:$E$26=B34)*IFERROR($D$6:$D$26*$F$6:$F$26,0))/SUMPRODUCT(($E$6:$E$26=B34)*ISNUMBER($F$6:$F$26)*$D$6:$D$26),0)</f>
        <v>0</v>
      </c>
      <c r="G34" s="40">
        <f t="shared" ref="G34" si="12">F34*E34</f>
        <v>0</v>
      </c>
      <c r="H34" s="40">
        <f t="shared" ref="H34" si="13">E34*0.95</f>
        <v>0</v>
      </c>
      <c r="I34" s="27">
        <f t="shared" ref="I34" si="14">H34-G34</f>
        <v>0</v>
      </c>
      <c r="J34" s="27">
        <f t="shared" ref="J34" si="15">(E34*92.5%)-G34</f>
        <v>0</v>
      </c>
      <c r="K34" s="27">
        <f t="shared" ref="K34" si="16">(E34*0.9)-G34</f>
        <v>0</v>
      </c>
    </row>
    <row r="35" spans="2:15" ht="13.5" customHeight="1" x14ac:dyDescent="0.35">
      <c r="B35" s="38" t="s">
        <v>57</v>
      </c>
      <c r="C35" s="39"/>
      <c r="D35" s="39">
        <f t="shared" si="0"/>
        <v>0</v>
      </c>
      <c r="E35" s="40">
        <f t="shared" si="1"/>
        <v>0</v>
      </c>
      <c r="F35" s="41" cm="1">
        <f t="array" ref="F35">IFERROR(SUMPRODUCT(($E$6:$E$26=B35)*IFERROR($D$6:$D$26*$F$6:$F$26,0))/SUMPRODUCT(($E$6:$E$26=B35)*ISNUMBER($F$6:$F$26)*$D$6:$D$26),0)</f>
        <v>0</v>
      </c>
      <c r="G35" s="40">
        <f t="shared" si="7"/>
        <v>0</v>
      </c>
      <c r="H35" s="40">
        <f t="shared" si="8"/>
        <v>0</v>
      </c>
      <c r="I35" s="27">
        <f t="shared" si="9"/>
        <v>0</v>
      </c>
      <c r="J35" s="27">
        <f t="shared" si="10"/>
        <v>0</v>
      </c>
      <c r="K35" s="27">
        <f t="shared" si="11"/>
        <v>0</v>
      </c>
    </row>
    <row r="36" spans="2:15" ht="13.5" customHeight="1" x14ac:dyDescent="0.35">
      <c r="B36" s="38" t="s">
        <v>58</v>
      </c>
      <c r="C36" s="39"/>
      <c r="D36" s="39">
        <f t="shared" si="0"/>
        <v>0</v>
      </c>
      <c r="E36" s="40">
        <f t="shared" si="1"/>
        <v>0</v>
      </c>
      <c r="F36" s="41" cm="1">
        <f t="array" ref="F36">IFERROR(SUMPRODUCT(($E$6:$E$26=B36)*IFERROR($D$6:$D$26*$F$6:$F$26,0))/SUMPRODUCT(($E$6:$E$26=B36)*ISNUMBER($F$6:$F$26)*$D$6:$D$26),0)</f>
        <v>0</v>
      </c>
      <c r="G36" s="40">
        <f t="shared" si="7"/>
        <v>0</v>
      </c>
      <c r="H36" s="40">
        <f t="shared" si="8"/>
        <v>0</v>
      </c>
      <c r="I36" s="27">
        <f t="shared" si="9"/>
        <v>0</v>
      </c>
      <c r="J36" s="27">
        <f t="shared" si="10"/>
        <v>0</v>
      </c>
      <c r="K36" s="27">
        <f t="shared" si="11"/>
        <v>0</v>
      </c>
    </row>
    <row r="37" spans="2:15" ht="13.5" customHeight="1" x14ac:dyDescent="0.35">
      <c r="B37" s="38" t="s">
        <v>59</v>
      </c>
      <c r="C37" s="39"/>
      <c r="D37" s="39">
        <f t="shared" si="0"/>
        <v>0</v>
      </c>
      <c r="E37" s="40">
        <f t="shared" si="1"/>
        <v>0</v>
      </c>
      <c r="F37" s="41" cm="1">
        <f t="array" ref="F37">IFERROR(SUMPRODUCT(($E$6:$E$26=B37)*IFERROR($D$6:$D$26*$F$6:$F$26,0))/SUMPRODUCT(($E$6:$E$26=B37)*ISNUMBER($F$6:$F$26)*$D$6:$D$26),0)</f>
        <v>0</v>
      </c>
      <c r="G37" s="40">
        <f t="shared" ref="G37:G57" si="17">F37*E37</f>
        <v>0</v>
      </c>
      <c r="H37" s="40">
        <f t="shared" ref="H37:H57" si="18">E37*0.95</f>
        <v>0</v>
      </c>
      <c r="I37" s="27">
        <f t="shared" ref="I37:I57" si="19">H37-G37</f>
        <v>0</v>
      </c>
      <c r="J37" s="27">
        <f t="shared" ref="J37:J57" si="20">(E37*92.5%)-G37</f>
        <v>0</v>
      </c>
      <c r="K37" s="27">
        <f t="shared" ref="K37:K57" si="21">(E37*0.9)-G37</f>
        <v>0</v>
      </c>
    </row>
    <row r="38" spans="2:15" ht="13.5" customHeight="1" x14ac:dyDescent="0.35">
      <c r="B38" s="38" t="s">
        <v>60</v>
      </c>
      <c r="C38" s="39"/>
      <c r="D38" s="39">
        <f t="shared" si="0"/>
        <v>0</v>
      </c>
      <c r="E38" s="40">
        <f t="shared" si="1"/>
        <v>0</v>
      </c>
      <c r="F38" s="41" cm="1">
        <f t="array" ref="F38">IFERROR(SUMPRODUCT(($E$6:$E$26=B38)*IFERROR($D$6:$D$26*$F$6:$F$26,0))/SUMPRODUCT(($E$6:$E$26=B38)*ISNUMBER($F$6:$F$26)*$D$6:$D$26),0)</f>
        <v>0</v>
      </c>
      <c r="G38" s="40">
        <f t="shared" si="17"/>
        <v>0</v>
      </c>
      <c r="H38" s="40">
        <f t="shared" si="18"/>
        <v>0</v>
      </c>
      <c r="I38" s="27">
        <f t="shared" si="19"/>
        <v>0</v>
      </c>
      <c r="J38" s="27">
        <f t="shared" si="20"/>
        <v>0</v>
      </c>
      <c r="K38" s="27">
        <f t="shared" si="21"/>
        <v>0</v>
      </c>
      <c r="O38" s="79" t="s">
        <v>188</v>
      </c>
    </row>
    <row r="39" spans="2:15" ht="13.5" customHeight="1" x14ac:dyDescent="0.35">
      <c r="B39" s="38" t="s">
        <v>16</v>
      </c>
      <c r="C39" s="39"/>
      <c r="D39" s="39">
        <f t="shared" si="0"/>
        <v>0</v>
      </c>
      <c r="E39" s="40">
        <f t="shared" si="1"/>
        <v>0</v>
      </c>
      <c r="F39" s="41" cm="1">
        <f t="array" ref="F39">IFERROR(SUMPRODUCT(($E$6:$E$26=B39)*IFERROR($D$6:$D$26*$F$6:$F$26,0))/SUMPRODUCT(($E$6:$E$26=B39)*ISNUMBER($F$6:$F$26)*$D$6:$D$26),0)</f>
        <v>0</v>
      </c>
      <c r="G39" s="40">
        <f t="shared" si="17"/>
        <v>0</v>
      </c>
      <c r="H39" s="40">
        <f t="shared" si="18"/>
        <v>0</v>
      </c>
      <c r="I39" s="27">
        <f t="shared" si="19"/>
        <v>0</v>
      </c>
      <c r="J39" s="27">
        <f t="shared" si="20"/>
        <v>0</v>
      </c>
      <c r="K39" s="27">
        <f t="shared" si="21"/>
        <v>0</v>
      </c>
    </row>
    <row r="40" spans="2:15" ht="13.5" customHeight="1" x14ac:dyDescent="0.35">
      <c r="B40" s="38" t="s">
        <v>15</v>
      </c>
      <c r="C40" s="39"/>
      <c r="D40" s="39">
        <f t="shared" si="0"/>
        <v>0</v>
      </c>
      <c r="E40" s="40">
        <f t="shared" si="1"/>
        <v>0</v>
      </c>
      <c r="F40" s="41" cm="1">
        <f t="array" ref="F40">IFERROR(SUMPRODUCT(($E$6:$E$26=B40)*IFERROR($D$6:$D$26*$F$6:$F$26,0))/SUMPRODUCT(($E$6:$E$26=B40)*ISNUMBER($F$6:$F$26)*$D$6:$D$26),0)</f>
        <v>0</v>
      </c>
      <c r="G40" s="40">
        <f t="shared" si="17"/>
        <v>0</v>
      </c>
      <c r="H40" s="40">
        <f t="shared" si="18"/>
        <v>0</v>
      </c>
      <c r="I40" s="27">
        <f t="shared" si="19"/>
        <v>0</v>
      </c>
      <c r="J40" s="27">
        <f t="shared" si="20"/>
        <v>0</v>
      </c>
      <c r="K40" s="27">
        <f t="shared" si="21"/>
        <v>0</v>
      </c>
    </row>
    <row r="41" spans="2:15" ht="13.5" customHeight="1" x14ac:dyDescent="0.35">
      <c r="B41" s="38" t="s">
        <v>61</v>
      </c>
      <c r="C41" s="39"/>
      <c r="D41" s="39">
        <f t="shared" si="0"/>
        <v>0</v>
      </c>
      <c r="E41" s="40">
        <f t="shared" si="1"/>
        <v>0</v>
      </c>
      <c r="F41" s="41" cm="1">
        <f t="array" ref="F41">IFERROR(SUMPRODUCT(($E$6:$E$26=B41)*IFERROR($D$6:$D$26*$F$6:$F$26,0))/SUMPRODUCT(($E$6:$E$26=B41)*ISNUMBER($F$6:$F$26)*$D$6:$D$26),0)</f>
        <v>0</v>
      </c>
      <c r="G41" s="40">
        <f t="shared" si="17"/>
        <v>0</v>
      </c>
      <c r="H41" s="40">
        <f t="shared" si="18"/>
        <v>0</v>
      </c>
      <c r="I41" s="27">
        <f t="shared" si="19"/>
        <v>0</v>
      </c>
      <c r="J41" s="27">
        <f t="shared" si="20"/>
        <v>0</v>
      </c>
      <c r="K41" s="27">
        <f t="shared" si="21"/>
        <v>0</v>
      </c>
    </row>
    <row r="42" spans="2:15" ht="13.5" customHeight="1" x14ac:dyDescent="0.35">
      <c r="B42" s="38" t="s">
        <v>62</v>
      </c>
      <c r="C42" s="39"/>
      <c r="D42" s="39">
        <f t="shared" si="0"/>
        <v>0</v>
      </c>
      <c r="E42" s="40">
        <f t="shared" si="1"/>
        <v>0</v>
      </c>
      <c r="F42" s="41" cm="1">
        <f t="array" ref="F42">IFERROR(SUMPRODUCT(($E$6:$E$26=B42)*IFERROR($D$6:$D$26*$F$6:$F$26,0))/SUMPRODUCT(($E$6:$E$26=B42)*ISNUMBER($F$6:$F$26)*$D$6:$D$26),0)</f>
        <v>0</v>
      </c>
      <c r="G42" s="40">
        <f t="shared" si="17"/>
        <v>0</v>
      </c>
      <c r="H42" s="40">
        <f t="shared" si="18"/>
        <v>0</v>
      </c>
      <c r="I42" s="27">
        <f t="shared" si="19"/>
        <v>0</v>
      </c>
      <c r="J42" s="27">
        <f t="shared" si="20"/>
        <v>0</v>
      </c>
      <c r="K42" s="27">
        <f t="shared" si="21"/>
        <v>0</v>
      </c>
    </row>
    <row r="43" spans="2:15" ht="13.5" customHeight="1" x14ac:dyDescent="0.35">
      <c r="B43" s="38" t="s">
        <v>14</v>
      </c>
      <c r="C43" s="39"/>
      <c r="D43" s="39">
        <f t="shared" si="0"/>
        <v>0</v>
      </c>
      <c r="E43" s="40">
        <f t="shared" si="1"/>
        <v>0</v>
      </c>
      <c r="F43" s="41" cm="1">
        <f t="array" ref="F43">IFERROR(SUMPRODUCT(($E$6:$E$26=B43)*IFERROR($D$6:$D$26*$F$6:$F$26,0))/SUMPRODUCT(($E$6:$E$26=B43)*ISNUMBER($F$6:$F$26)*$D$6:$D$26),0)</f>
        <v>0</v>
      </c>
      <c r="G43" s="40">
        <f t="shared" si="17"/>
        <v>0</v>
      </c>
      <c r="H43" s="40">
        <f t="shared" si="18"/>
        <v>0</v>
      </c>
      <c r="I43" s="27">
        <f t="shared" si="19"/>
        <v>0</v>
      </c>
      <c r="J43" s="27">
        <f t="shared" si="20"/>
        <v>0</v>
      </c>
      <c r="K43" s="27">
        <f t="shared" si="21"/>
        <v>0</v>
      </c>
    </row>
    <row r="44" spans="2:15" ht="13.5" customHeight="1" x14ac:dyDescent="0.35">
      <c r="B44" s="38" t="s">
        <v>13</v>
      </c>
      <c r="C44" s="39"/>
      <c r="D44" s="39">
        <f t="shared" si="0"/>
        <v>0</v>
      </c>
      <c r="E44" s="40">
        <f t="shared" si="1"/>
        <v>0</v>
      </c>
      <c r="F44" s="41" cm="1">
        <f t="array" ref="F44">IFERROR(SUMPRODUCT(($E$6:$E$26=B44)*IFERROR($D$6:$D$26*$F$6:$F$26,0))/SUMPRODUCT(($E$6:$E$26=B44)*ISNUMBER($F$6:$F$26)*$D$6:$D$26),0)</f>
        <v>0</v>
      </c>
      <c r="G44" s="40">
        <f t="shared" si="17"/>
        <v>0</v>
      </c>
      <c r="H44" s="40">
        <f t="shared" si="18"/>
        <v>0</v>
      </c>
      <c r="I44" s="27">
        <f t="shared" si="19"/>
        <v>0</v>
      </c>
      <c r="J44" s="27">
        <f t="shared" si="20"/>
        <v>0</v>
      </c>
      <c r="K44" s="27">
        <f t="shared" si="21"/>
        <v>0</v>
      </c>
    </row>
    <row r="45" spans="2:15" ht="15" customHeight="1" x14ac:dyDescent="0.35">
      <c r="B45" s="38" t="s">
        <v>63</v>
      </c>
      <c r="C45" s="39"/>
      <c r="D45" s="39">
        <f t="shared" si="0"/>
        <v>1</v>
      </c>
      <c r="E45" s="40">
        <f t="shared" si="1"/>
        <v>72</v>
      </c>
      <c r="F45" s="41" cm="1">
        <f t="array" ref="F45">IFERROR(SUMPRODUCT(($E$6:$E$26=B45)*IFERROR($D$6:$D$26*$F$6:$F$26,0))/SUMPRODUCT(($E$6:$E$26=B45)*ISNUMBER($F$6:$F$26)*$D$6:$D$26),0)</f>
        <v>0.83333299999999999</v>
      </c>
      <c r="G45" s="40">
        <f t="shared" si="17"/>
        <v>59.999975999999997</v>
      </c>
      <c r="H45" s="40">
        <f t="shared" si="18"/>
        <v>68.399999999999991</v>
      </c>
      <c r="I45" s="27">
        <f t="shared" si="19"/>
        <v>8.4000239999999948</v>
      </c>
      <c r="J45" s="27">
        <f t="shared" si="20"/>
        <v>6.6000240000000119</v>
      </c>
      <c r="K45" s="27">
        <f t="shared" si="21"/>
        <v>4.8000240000000005</v>
      </c>
    </row>
    <row r="46" spans="2:15" ht="15" customHeight="1" x14ac:dyDescent="0.35">
      <c r="B46" s="38" t="s">
        <v>12</v>
      </c>
      <c r="C46" s="39"/>
      <c r="D46" s="39">
        <f t="shared" si="0"/>
        <v>0</v>
      </c>
      <c r="E46" s="40">
        <f t="shared" si="1"/>
        <v>0</v>
      </c>
      <c r="F46" s="41" cm="1">
        <f t="array" ref="F46">IFERROR(SUMPRODUCT(($E$6:$E$26=B46)*IFERROR($D$6:$D$26*$F$6:$F$26,0))/SUMPRODUCT(($E$6:$E$26=B46)*ISNUMBER($F$6:$F$26)*$D$6:$D$26),0)</f>
        <v>0</v>
      </c>
      <c r="G46" s="40">
        <f t="shared" si="17"/>
        <v>0</v>
      </c>
      <c r="H46" s="40">
        <f t="shared" si="18"/>
        <v>0</v>
      </c>
      <c r="I46" s="27">
        <f t="shared" si="19"/>
        <v>0</v>
      </c>
      <c r="J46" s="27">
        <f t="shared" si="20"/>
        <v>0</v>
      </c>
      <c r="K46" s="27">
        <f t="shared" si="21"/>
        <v>0</v>
      </c>
    </row>
    <row r="47" spans="2:15" ht="15" customHeight="1" x14ac:dyDescent="0.35">
      <c r="B47" s="38" t="s">
        <v>11</v>
      </c>
      <c r="C47" s="39"/>
      <c r="D47" s="39">
        <f t="shared" si="0"/>
        <v>1</v>
      </c>
      <c r="E47" s="40">
        <f t="shared" si="1"/>
        <v>371</v>
      </c>
      <c r="F47" s="41" cm="1">
        <f t="array" ref="F47">IFERROR(SUMPRODUCT(($E$6:$E$26=B47)*IFERROR($D$6:$D$26*$F$6:$F$26,0))/SUMPRODUCT(($E$6:$E$26=B47)*ISNUMBER($F$6:$F$26)*$D$6:$D$26),0)</f>
        <v>0.76500000000000001</v>
      </c>
      <c r="G47" s="40">
        <f t="shared" si="17"/>
        <v>283.815</v>
      </c>
      <c r="H47" s="40">
        <f t="shared" si="18"/>
        <v>352.45</v>
      </c>
      <c r="I47" s="27">
        <f t="shared" si="19"/>
        <v>68.634999999999991</v>
      </c>
      <c r="J47" s="27">
        <f t="shared" si="20"/>
        <v>59.360000000000014</v>
      </c>
      <c r="K47" s="27">
        <f t="shared" si="21"/>
        <v>50.085000000000036</v>
      </c>
    </row>
    <row r="48" spans="2:15" ht="13.5" customHeight="1" x14ac:dyDescent="0.35">
      <c r="B48" s="38" t="s">
        <v>10</v>
      </c>
      <c r="C48" s="39"/>
      <c r="D48" s="39">
        <f t="shared" si="0"/>
        <v>1</v>
      </c>
      <c r="E48" s="40">
        <f t="shared" si="1"/>
        <v>280</v>
      </c>
      <c r="F48" s="41" cm="1">
        <f t="array" ref="F48">IFERROR(SUMPRODUCT(($E$6:$E$26=B48)*IFERROR($D$6:$D$26*$F$6:$F$26,0))/SUMPRODUCT(($E$6:$E$26=B48)*ISNUMBER($F$6:$F$26)*$D$6:$D$26),0)</f>
        <v>0.68571399999999993</v>
      </c>
      <c r="G48" s="40">
        <f t="shared" si="17"/>
        <v>191.99991999999997</v>
      </c>
      <c r="H48" s="40">
        <f t="shared" si="18"/>
        <v>266</v>
      </c>
      <c r="I48" s="27">
        <f t="shared" si="19"/>
        <v>74.000080000000025</v>
      </c>
      <c r="J48" s="27">
        <f t="shared" si="20"/>
        <v>67.000080000000025</v>
      </c>
      <c r="K48" s="27">
        <f t="shared" si="21"/>
        <v>60.000080000000025</v>
      </c>
    </row>
    <row r="49" spans="2:15" ht="13.5" customHeight="1" x14ac:dyDescent="0.35">
      <c r="B49" s="38" t="s">
        <v>9</v>
      </c>
      <c r="C49" s="39"/>
      <c r="D49" s="39">
        <f t="shared" si="0"/>
        <v>0</v>
      </c>
      <c r="E49" s="40">
        <f t="shared" si="1"/>
        <v>0</v>
      </c>
      <c r="F49" s="41" cm="1">
        <f t="array" ref="F49">IFERROR(SUMPRODUCT(($E$6:$E$26=B49)*IFERROR($D$6:$D$26*$F$6:$F$26,0))/SUMPRODUCT(($E$6:$E$26=B49)*ISNUMBER($F$6:$F$26)*$D$6:$D$26),0)</f>
        <v>0</v>
      </c>
      <c r="G49" s="40">
        <f t="shared" si="17"/>
        <v>0</v>
      </c>
      <c r="H49" s="40">
        <f t="shared" si="18"/>
        <v>0</v>
      </c>
      <c r="I49" s="27">
        <f t="shared" si="19"/>
        <v>0</v>
      </c>
      <c r="J49" s="27">
        <f t="shared" si="20"/>
        <v>0</v>
      </c>
      <c r="K49" s="27">
        <f t="shared" si="21"/>
        <v>0</v>
      </c>
    </row>
    <row r="50" spans="2:15" ht="12" customHeight="1" x14ac:dyDescent="0.35">
      <c r="B50" s="38" t="s">
        <v>64</v>
      </c>
      <c r="C50" s="39"/>
      <c r="D50" s="39">
        <f t="shared" si="0"/>
        <v>0</v>
      </c>
      <c r="E50" s="40">
        <f t="shared" si="1"/>
        <v>0</v>
      </c>
      <c r="F50" s="41" cm="1">
        <f t="array" ref="F50">IFERROR(SUMPRODUCT(($E$6:$E$26=B50)*IFERROR($D$6:$D$26*$F$6:$F$26,0))/SUMPRODUCT(($E$6:$E$26=B50)*ISNUMBER($F$6:$F$26)*$D$6:$D$26),0)</f>
        <v>0</v>
      </c>
      <c r="G50" s="40">
        <f t="shared" si="17"/>
        <v>0</v>
      </c>
      <c r="H50" s="40">
        <f t="shared" si="18"/>
        <v>0</v>
      </c>
      <c r="I50" s="27">
        <f t="shared" si="19"/>
        <v>0</v>
      </c>
      <c r="J50" s="27">
        <f t="shared" si="20"/>
        <v>0</v>
      </c>
      <c r="K50" s="27">
        <f t="shared" si="21"/>
        <v>0</v>
      </c>
    </row>
    <row r="51" spans="2:15" ht="17.5" customHeight="1" x14ac:dyDescent="0.35">
      <c r="B51" s="38" t="s">
        <v>65</v>
      </c>
      <c r="C51" s="39"/>
      <c r="D51" s="39">
        <f t="shared" si="0"/>
        <v>0</v>
      </c>
      <c r="E51" s="40">
        <f t="shared" si="1"/>
        <v>0</v>
      </c>
      <c r="F51" s="41" cm="1">
        <f t="array" ref="F51">IFERROR(SUMPRODUCT(($E$6:$E$26=B51)*IFERROR($D$6:$D$26*$F$6:$F$26,0))/SUMPRODUCT(($E$6:$E$26=B51)*ISNUMBER($F$6:$F$26)*$D$6:$D$26),0)</f>
        <v>0</v>
      </c>
      <c r="G51" s="40">
        <f t="shared" si="17"/>
        <v>0</v>
      </c>
      <c r="H51" s="40">
        <f t="shared" si="18"/>
        <v>0</v>
      </c>
      <c r="I51" s="27">
        <f t="shared" si="19"/>
        <v>0</v>
      </c>
      <c r="J51" s="27">
        <f t="shared" si="20"/>
        <v>0</v>
      </c>
      <c r="K51" s="27">
        <f t="shared" si="21"/>
        <v>0</v>
      </c>
    </row>
    <row r="52" spans="2:15" ht="13.5" customHeight="1" x14ac:dyDescent="0.35">
      <c r="B52" s="38" t="s">
        <v>8</v>
      </c>
      <c r="C52" s="39"/>
      <c r="D52" s="39">
        <f t="shared" si="0"/>
        <v>0</v>
      </c>
      <c r="E52" s="40">
        <f t="shared" si="1"/>
        <v>0</v>
      </c>
      <c r="F52" s="41" cm="1">
        <f t="array" ref="F52">IFERROR(SUMPRODUCT(($E$6:$E$26=B52)*IFERROR($D$6:$D$26*$F$6:$F$26,0))/SUMPRODUCT(($E$6:$E$26=B52)*ISNUMBER($F$6:$F$26)*$D$6:$D$26),0)</f>
        <v>0</v>
      </c>
      <c r="G52" s="40">
        <f t="shared" si="17"/>
        <v>0</v>
      </c>
      <c r="H52" s="40">
        <f t="shared" si="18"/>
        <v>0</v>
      </c>
      <c r="I52" s="27">
        <f t="shared" si="19"/>
        <v>0</v>
      </c>
      <c r="J52" s="27">
        <f t="shared" si="20"/>
        <v>0</v>
      </c>
      <c r="K52" s="27">
        <f t="shared" si="21"/>
        <v>0</v>
      </c>
    </row>
    <row r="53" spans="2:15" ht="13.5" customHeight="1" x14ac:dyDescent="0.35">
      <c r="B53" s="38" t="s">
        <v>56</v>
      </c>
      <c r="C53" s="39"/>
      <c r="D53" s="39">
        <f t="shared" si="0"/>
        <v>0</v>
      </c>
      <c r="E53" s="40">
        <f t="shared" si="1"/>
        <v>0</v>
      </c>
      <c r="F53" s="41" cm="1">
        <f t="array" ref="F53">IFERROR(SUMPRODUCT(($E$6:$E$26=B53)*IFERROR($D$6:$D$26*$F$6:$F$26,0))/SUMPRODUCT(($E$6:$E$26=B53)*ISNUMBER($F$6:$F$26)*$D$6:$D$26),0)</f>
        <v>0</v>
      </c>
      <c r="G53" s="40">
        <f t="shared" si="17"/>
        <v>0</v>
      </c>
      <c r="H53" s="40">
        <f t="shared" si="18"/>
        <v>0</v>
      </c>
      <c r="I53" s="27">
        <f t="shared" si="19"/>
        <v>0</v>
      </c>
      <c r="J53" s="27">
        <f t="shared" si="20"/>
        <v>0</v>
      </c>
      <c r="K53" s="27">
        <f t="shared" si="21"/>
        <v>0</v>
      </c>
      <c r="O53" s="79" t="s">
        <v>189</v>
      </c>
    </row>
    <row r="54" spans="2:15" ht="13.5" customHeight="1" x14ac:dyDescent="0.35">
      <c r="B54" s="38" t="s">
        <v>7</v>
      </c>
      <c r="C54" s="39"/>
      <c r="D54" s="39">
        <f t="shared" si="0"/>
        <v>0</v>
      </c>
      <c r="E54" s="40">
        <f t="shared" si="1"/>
        <v>0</v>
      </c>
      <c r="F54" s="41" cm="1">
        <f t="array" ref="F54">IFERROR(SUMPRODUCT(($E$6:$E$26=B54)*IFERROR($D$6:$D$26*$F$6:$F$26,0))/SUMPRODUCT(($E$6:$E$26=B54)*ISNUMBER($F$6:$F$26)*$D$6:$D$26),0)</f>
        <v>0</v>
      </c>
      <c r="G54" s="40">
        <f t="shared" si="17"/>
        <v>0</v>
      </c>
      <c r="H54" s="40">
        <f t="shared" si="18"/>
        <v>0</v>
      </c>
      <c r="I54" s="27">
        <f t="shared" si="19"/>
        <v>0</v>
      </c>
      <c r="J54" s="27">
        <f t="shared" si="20"/>
        <v>0</v>
      </c>
      <c r="K54" s="27">
        <f t="shared" si="21"/>
        <v>0</v>
      </c>
    </row>
    <row r="55" spans="2:15" ht="13.5" customHeight="1" x14ac:dyDescent="0.35">
      <c r="B55" s="38" t="s">
        <v>6</v>
      </c>
      <c r="C55" s="39"/>
      <c r="D55" s="39">
        <f t="shared" si="0"/>
        <v>0</v>
      </c>
      <c r="E55" s="40">
        <f t="shared" si="1"/>
        <v>0</v>
      </c>
      <c r="F55" s="41" cm="1">
        <f t="array" ref="F55">IFERROR(SUMPRODUCT(($E$6:$E$26=B55)*IFERROR($D$6:$D$26*$F$6:$F$26,0))/SUMPRODUCT(($E$6:$E$26=B55)*ISNUMBER($F$6:$F$26)*$D$6:$D$26),0)</f>
        <v>0</v>
      </c>
      <c r="G55" s="40">
        <f t="shared" si="17"/>
        <v>0</v>
      </c>
      <c r="H55" s="40">
        <f t="shared" si="18"/>
        <v>0</v>
      </c>
      <c r="I55" s="27">
        <f t="shared" si="19"/>
        <v>0</v>
      </c>
      <c r="J55" s="27">
        <f t="shared" si="20"/>
        <v>0</v>
      </c>
      <c r="K55" s="27">
        <f t="shared" si="21"/>
        <v>0</v>
      </c>
    </row>
    <row r="56" spans="2:15" ht="13.5" customHeight="1" x14ac:dyDescent="0.35">
      <c r="B56" s="38" t="s">
        <v>55</v>
      </c>
      <c r="C56" s="39"/>
      <c r="D56" s="39">
        <f t="shared" si="0"/>
        <v>0</v>
      </c>
      <c r="E56" s="40">
        <f t="shared" si="1"/>
        <v>0</v>
      </c>
      <c r="F56" s="41" cm="1">
        <f t="array" ref="F56">IFERROR(SUMPRODUCT(($E$6:$E$26=B56)*IFERROR($D$6:$D$26*$F$6:$F$26,0))/SUMPRODUCT(($E$6:$E$26=B56)*ISNUMBER($F$6:$F$26)*$D$6:$D$26),0)</f>
        <v>0</v>
      </c>
      <c r="G56" s="40">
        <f t="shared" si="17"/>
        <v>0</v>
      </c>
      <c r="H56" s="40">
        <f t="shared" si="18"/>
        <v>0</v>
      </c>
      <c r="I56" s="27">
        <f t="shared" si="19"/>
        <v>0</v>
      </c>
      <c r="J56" s="27">
        <f t="shared" si="20"/>
        <v>0</v>
      </c>
      <c r="K56" s="27">
        <f t="shared" si="21"/>
        <v>0</v>
      </c>
    </row>
    <row r="57" spans="2:15" ht="13.5" customHeight="1" x14ac:dyDescent="0.35">
      <c r="B57" s="38" t="s">
        <v>5</v>
      </c>
      <c r="C57" s="39"/>
      <c r="D57" s="39">
        <f t="shared" si="0"/>
        <v>1</v>
      </c>
      <c r="E57" s="40">
        <f t="shared" si="1"/>
        <v>324</v>
      </c>
      <c r="F57" s="41" cm="1">
        <f t="array" ref="F57">IFERROR(SUMPRODUCT(($E$6:$E$26=B57)*IFERROR($D$6:$D$26*$F$6:$F$26,0))/SUMPRODUCT(($E$6:$E$26=B57)*ISNUMBER($F$6:$F$26)*$D$6:$D$26),0)</f>
        <v>0.9320989999999999</v>
      </c>
      <c r="G57" s="40">
        <f t="shared" si="17"/>
        <v>302.00007599999998</v>
      </c>
      <c r="H57" s="40">
        <f t="shared" si="18"/>
        <v>307.8</v>
      </c>
      <c r="I57" s="27">
        <f t="shared" si="19"/>
        <v>5.7999240000000327</v>
      </c>
      <c r="J57" s="27">
        <f t="shared" si="20"/>
        <v>-2.30007599999999</v>
      </c>
      <c r="K57" s="27">
        <f t="shared" si="21"/>
        <v>-10.400075999999956</v>
      </c>
    </row>
    <row r="58" spans="2:15" ht="15.75" customHeight="1" x14ac:dyDescent="0.35">
      <c r="B58" s="89" t="s">
        <v>23</v>
      </c>
      <c r="C58" s="90"/>
      <c r="D58" s="28">
        <f>SUM(D30:D57)</f>
        <v>4</v>
      </c>
      <c r="E58" s="29">
        <f>SUM(E30:E57)</f>
        <v>1047</v>
      </c>
      <c r="F58" s="30">
        <f>SUMPRODUCT($E$30:$E$57,F30:F57)/$E$58</f>
        <v>0.80020532187201521</v>
      </c>
      <c r="G58" s="29">
        <f>SUM(G30:G57)</f>
        <v>837.8149719999999</v>
      </c>
      <c r="H58" s="29">
        <f>SUM(H30:H57)</f>
        <v>994.64999999999986</v>
      </c>
      <c r="I58" s="31">
        <f>SUM(I30:I57)</f>
        <v>156.83502800000005</v>
      </c>
      <c r="J58" s="29">
        <f>SUM(J30:J57)</f>
        <v>130.66002800000007</v>
      </c>
      <c r="K58" s="29">
        <f>SUM(K30:K57)</f>
        <v>104.48502800000011</v>
      </c>
    </row>
    <row r="59" spans="2:15" ht="7" customHeight="1" x14ac:dyDescent="0.35"/>
    <row r="60" spans="2:15" ht="15.75" customHeight="1" x14ac:dyDescent="0.35">
      <c r="G60" s="81" t="s">
        <v>28</v>
      </c>
      <c r="H60" s="81"/>
      <c r="I60" s="7">
        <v>38262</v>
      </c>
      <c r="J60" s="7">
        <f>I60</f>
        <v>38262</v>
      </c>
      <c r="K60" s="7">
        <f>I60</f>
        <v>38262</v>
      </c>
    </row>
    <row r="61" spans="2:15" ht="15.75" customHeight="1" x14ac:dyDescent="0.35">
      <c r="G61" s="82" t="s">
        <v>24</v>
      </c>
      <c r="H61" s="82"/>
      <c r="I61" s="21">
        <f>IFERROR(I58/I60,0)</f>
        <v>4.098976216611783E-3</v>
      </c>
      <c r="J61" s="22">
        <f>IFERROR(J58/J60,0)</f>
        <v>3.4148771104490112E-3</v>
      </c>
      <c r="K61" s="22">
        <f>IFERROR(K58/K60,0)</f>
        <v>2.7307780042862399E-3</v>
      </c>
    </row>
    <row r="62" spans="2:15" ht="13.5" customHeight="1" x14ac:dyDescent="0.35">
      <c r="B62" s="32"/>
      <c r="C62" s="83" t="s">
        <v>66</v>
      </c>
      <c r="D62" s="83"/>
      <c r="E62" s="83"/>
      <c r="F62" s="83"/>
      <c r="G62" s="83"/>
      <c r="H62" s="83"/>
      <c r="I62" s="83"/>
      <c r="J62" s="6"/>
      <c r="K62" s="6"/>
    </row>
  </sheetData>
  <sortState xmlns:xlrd2="http://schemas.microsoft.com/office/spreadsheetml/2017/richdata2" ref="C17:J20">
    <sortCondition descending="1" ref="E17:E20"/>
  </sortState>
  <mergeCells count="8">
    <mergeCell ref="G60:H60"/>
    <mergeCell ref="G61:H61"/>
    <mergeCell ref="C62:I62"/>
    <mergeCell ref="C2:G2"/>
    <mergeCell ref="B4:C4"/>
    <mergeCell ref="B29:C29"/>
    <mergeCell ref="B58:C58"/>
    <mergeCell ref="B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70B8-D5E9-406D-A260-54AAE4FE2762}">
  <dimension ref="A1:BD16"/>
  <sheetViews>
    <sheetView zoomScale="73" workbookViewId="0"/>
  </sheetViews>
  <sheetFormatPr defaultRowHeight="14.5" x14ac:dyDescent="0.35"/>
  <cols>
    <col min="1" max="1" width="43.81640625" customWidth="1"/>
    <col min="2" max="2" width="15.81640625" customWidth="1"/>
  </cols>
  <sheetData>
    <row r="1" spans="1:56" x14ac:dyDescent="0.35">
      <c r="A1" s="8" t="s">
        <v>36</v>
      </c>
      <c r="B1" s="8" t="s">
        <v>35</v>
      </c>
      <c r="C1" s="8" t="s">
        <v>41</v>
      </c>
      <c r="D1" s="8" t="s">
        <v>48</v>
      </c>
      <c r="E1" s="8" t="s">
        <v>42</v>
      </c>
      <c r="F1" s="9" t="s">
        <v>38</v>
      </c>
      <c r="G1" s="8" t="s">
        <v>44</v>
      </c>
      <c r="H1" s="8" t="s">
        <v>45</v>
      </c>
      <c r="I1" s="8" t="s">
        <v>46</v>
      </c>
      <c r="J1" s="8" t="s">
        <v>47</v>
      </c>
      <c r="K1" s="9" t="s">
        <v>43</v>
      </c>
      <c r="L1" s="8" t="s">
        <v>68</v>
      </c>
      <c r="M1" s="8" t="s">
        <v>69</v>
      </c>
      <c r="N1" s="8" t="s">
        <v>70</v>
      </c>
      <c r="O1" s="8" t="s">
        <v>37</v>
      </c>
      <c r="P1" s="8" t="s">
        <v>39</v>
      </c>
      <c r="Q1" s="8" t="s">
        <v>71</v>
      </c>
      <c r="R1" s="8" t="s">
        <v>72</v>
      </c>
      <c r="S1" s="8" t="s">
        <v>73</v>
      </c>
      <c r="T1" s="8" t="s">
        <v>40</v>
      </c>
      <c r="U1" s="8"/>
      <c r="V1" s="8"/>
      <c r="W1" s="10"/>
      <c r="X1" s="8"/>
      <c r="Y1" s="11"/>
      <c r="Z1" s="10"/>
      <c r="AA1" s="9"/>
      <c r="AB1" s="9"/>
      <c r="AC1" s="9"/>
      <c r="AD1" s="10"/>
      <c r="AE1" s="12"/>
      <c r="AF1" s="13"/>
      <c r="AG1" s="12"/>
      <c r="AH1" s="10"/>
      <c r="AI1" s="14"/>
      <c r="AJ1" s="10"/>
      <c r="AK1" s="14"/>
      <c r="AL1" s="12"/>
      <c r="AM1" s="12"/>
      <c r="AN1" s="12"/>
      <c r="AO1" s="12"/>
      <c r="AP1" s="12"/>
      <c r="AQ1" s="12"/>
      <c r="AR1" s="8"/>
      <c r="AS1" s="8"/>
      <c r="AT1" s="8"/>
      <c r="AU1" s="12"/>
      <c r="AV1" s="9"/>
      <c r="AW1" s="9"/>
      <c r="AX1" s="8"/>
      <c r="AY1" s="8"/>
      <c r="AZ1" s="8"/>
      <c r="BA1" s="8"/>
      <c r="BB1" s="8"/>
      <c r="BC1" s="8"/>
      <c r="BD1" s="9"/>
    </row>
    <row r="2" spans="1:56" x14ac:dyDescent="0.35">
      <c r="A2" t="s">
        <v>74</v>
      </c>
      <c r="B2" t="s">
        <v>75</v>
      </c>
      <c r="C2" t="s">
        <v>76</v>
      </c>
      <c r="D2">
        <v>8</v>
      </c>
      <c r="E2">
        <v>2025</v>
      </c>
      <c r="F2" s="15">
        <v>18</v>
      </c>
      <c r="G2">
        <v>944</v>
      </c>
      <c r="H2">
        <v>2572</v>
      </c>
      <c r="I2">
        <v>2.72</v>
      </c>
      <c r="J2">
        <v>6</v>
      </c>
      <c r="K2" s="15">
        <v>44.444400000000002</v>
      </c>
      <c r="L2" t="s">
        <v>77</v>
      </c>
      <c r="M2" t="s">
        <v>78</v>
      </c>
      <c r="O2" t="s">
        <v>49</v>
      </c>
      <c r="P2" t="s">
        <v>50</v>
      </c>
      <c r="Q2">
        <v>33.148584399999997</v>
      </c>
      <c r="R2">
        <v>-96.820891799999998</v>
      </c>
      <c r="S2" t="s">
        <v>79</v>
      </c>
      <c r="T2" t="s">
        <v>51</v>
      </c>
      <c r="W2" s="16"/>
      <c r="Y2" s="17"/>
      <c r="Z2" s="16"/>
      <c r="AA2" s="15"/>
      <c r="AB2" s="15"/>
      <c r="AC2" s="15"/>
      <c r="AD2" s="16"/>
      <c r="AE2" s="18"/>
      <c r="AF2" s="19"/>
      <c r="AG2" s="18"/>
      <c r="AH2" s="16"/>
      <c r="AI2" s="20"/>
      <c r="AJ2" s="16"/>
      <c r="AK2" s="20"/>
      <c r="AL2" s="18"/>
      <c r="AM2" s="18"/>
      <c r="AN2" s="18"/>
      <c r="AO2" s="18"/>
      <c r="AP2" s="18"/>
      <c r="AQ2" s="18"/>
      <c r="AU2" s="18"/>
      <c r="AV2" s="15"/>
      <c r="AW2" s="15"/>
      <c r="BD2" s="15"/>
    </row>
    <row r="3" spans="1:56" x14ac:dyDescent="0.35">
      <c r="A3" t="s">
        <v>80</v>
      </c>
      <c r="B3" t="s">
        <v>81</v>
      </c>
      <c r="C3" t="s">
        <v>76</v>
      </c>
      <c r="D3">
        <v>4</v>
      </c>
      <c r="E3">
        <v>2024</v>
      </c>
      <c r="F3" s="15">
        <v>357</v>
      </c>
      <c r="G3">
        <v>867</v>
      </c>
      <c r="H3">
        <v>1756</v>
      </c>
      <c r="I3">
        <v>2.02</v>
      </c>
      <c r="J3">
        <v>0.4</v>
      </c>
      <c r="K3" s="15">
        <v>1.9608000000000001</v>
      </c>
      <c r="L3" t="s">
        <v>77</v>
      </c>
      <c r="M3" t="s">
        <v>82</v>
      </c>
      <c r="N3" t="s">
        <v>83</v>
      </c>
      <c r="O3" t="s">
        <v>49</v>
      </c>
      <c r="P3" t="s">
        <v>50</v>
      </c>
      <c r="Q3">
        <v>33.147507599999997</v>
      </c>
      <c r="R3">
        <v>-96.836344199999999</v>
      </c>
      <c r="S3" t="s">
        <v>79</v>
      </c>
      <c r="T3" t="s">
        <v>51</v>
      </c>
      <c r="W3" s="16"/>
      <c r="Y3" s="17"/>
      <c r="Z3" s="16"/>
      <c r="AA3" s="15"/>
      <c r="AB3" s="15"/>
      <c r="AC3" s="15"/>
      <c r="AD3" s="16"/>
      <c r="AE3" s="18"/>
      <c r="AF3" s="19"/>
      <c r="AG3" s="18"/>
      <c r="AH3" s="16"/>
      <c r="AI3" s="20"/>
      <c r="AJ3" s="16"/>
      <c r="AK3" s="20"/>
      <c r="AL3" s="18"/>
      <c r="AM3" s="18"/>
      <c r="AN3" s="18"/>
      <c r="AO3" s="18"/>
      <c r="AP3" s="18"/>
      <c r="AQ3" s="18"/>
      <c r="AU3" s="18"/>
      <c r="AV3" s="15"/>
      <c r="AW3" s="15"/>
      <c r="BD3" s="15"/>
    </row>
    <row r="4" spans="1:56" x14ac:dyDescent="0.35">
      <c r="A4" t="s">
        <v>84</v>
      </c>
      <c r="B4" t="s">
        <v>85</v>
      </c>
      <c r="C4" t="s">
        <v>76</v>
      </c>
      <c r="D4">
        <v>4</v>
      </c>
      <c r="E4">
        <v>2025</v>
      </c>
      <c r="F4" s="15">
        <v>285</v>
      </c>
      <c r="G4">
        <v>852</v>
      </c>
      <c r="H4">
        <v>1915</v>
      </c>
      <c r="I4">
        <v>2.25</v>
      </c>
      <c r="J4">
        <v>4.2</v>
      </c>
      <c r="K4" s="15">
        <v>27.7193</v>
      </c>
      <c r="L4" t="s">
        <v>77</v>
      </c>
      <c r="M4" t="s">
        <v>86</v>
      </c>
      <c r="N4" t="s">
        <v>86</v>
      </c>
      <c r="O4" t="s">
        <v>49</v>
      </c>
      <c r="P4" t="s">
        <v>50</v>
      </c>
      <c r="Q4">
        <v>33.147742200000003</v>
      </c>
      <c r="R4">
        <v>-96.834731000000005</v>
      </c>
      <c r="S4" t="s">
        <v>79</v>
      </c>
      <c r="T4" t="s">
        <v>51</v>
      </c>
      <c r="W4" s="16"/>
      <c r="Y4" s="17"/>
      <c r="Z4" s="16"/>
      <c r="AA4" s="15"/>
      <c r="AB4" s="15"/>
      <c r="AC4" s="15"/>
      <c r="AD4" s="16"/>
      <c r="AE4" s="18"/>
      <c r="AF4" s="19"/>
      <c r="AG4" s="18"/>
      <c r="AH4" s="16"/>
      <c r="AI4" s="20"/>
      <c r="AJ4" s="16"/>
      <c r="AK4" s="20"/>
      <c r="AL4" s="18"/>
      <c r="AM4" s="18"/>
      <c r="AN4" s="18"/>
      <c r="AO4" s="18"/>
      <c r="AP4" s="18"/>
      <c r="AQ4" s="18"/>
      <c r="AU4" s="18"/>
      <c r="AV4" s="15"/>
      <c r="AW4" s="15"/>
      <c r="BD4" s="15"/>
    </row>
    <row r="5" spans="1:56" x14ac:dyDescent="0.35">
      <c r="A5" t="s">
        <v>87</v>
      </c>
      <c r="B5" t="s">
        <v>88</v>
      </c>
      <c r="C5" t="s">
        <v>76</v>
      </c>
      <c r="D5">
        <v>4</v>
      </c>
      <c r="E5">
        <v>2024</v>
      </c>
      <c r="F5" s="15">
        <v>368</v>
      </c>
      <c r="G5">
        <v>905</v>
      </c>
      <c r="H5">
        <v>1952</v>
      </c>
      <c r="I5">
        <v>2.16</v>
      </c>
      <c r="J5">
        <v>1</v>
      </c>
      <c r="K5" s="15">
        <v>25.271699999999999</v>
      </c>
      <c r="L5" t="s">
        <v>77</v>
      </c>
      <c r="M5" t="s">
        <v>89</v>
      </c>
      <c r="N5" t="s">
        <v>89</v>
      </c>
      <c r="O5" t="s">
        <v>49</v>
      </c>
      <c r="P5" t="s">
        <v>50</v>
      </c>
      <c r="Q5">
        <v>33.146355399999997</v>
      </c>
      <c r="R5">
        <v>-96.836054200000007</v>
      </c>
      <c r="S5" t="s">
        <v>79</v>
      </c>
      <c r="T5" t="s">
        <v>51</v>
      </c>
      <c r="W5" s="16"/>
      <c r="Y5" s="17"/>
      <c r="Z5" s="16"/>
      <c r="AA5" s="15"/>
      <c r="AB5" s="15"/>
      <c r="AC5" s="15"/>
      <c r="AD5" s="16"/>
      <c r="AE5" s="18"/>
      <c r="AF5" s="19"/>
      <c r="AG5" s="18"/>
      <c r="AH5" s="16"/>
      <c r="AI5" s="20"/>
      <c r="AJ5" s="16"/>
      <c r="AK5" s="20"/>
      <c r="AL5" s="18"/>
      <c r="AM5" s="18"/>
      <c r="AN5" s="18"/>
      <c r="AO5" s="18"/>
      <c r="AP5" s="18"/>
      <c r="AQ5" s="18"/>
      <c r="AU5" s="18"/>
      <c r="AV5" s="15"/>
      <c r="AW5" s="15"/>
      <c r="BD5" s="15"/>
    </row>
    <row r="6" spans="1:56" x14ac:dyDescent="0.35">
      <c r="A6" t="s">
        <v>90</v>
      </c>
      <c r="B6" t="s">
        <v>91</v>
      </c>
      <c r="C6" t="s">
        <v>92</v>
      </c>
      <c r="D6">
        <v>1</v>
      </c>
      <c r="E6">
        <v>2025</v>
      </c>
      <c r="F6" s="15">
        <v>319</v>
      </c>
      <c r="G6">
        <v>913</v>
      </c>
      <c r="H6">
        <v>2041</v>
      </c>
      <c r="I6">
        <v>2.23</v>
      </c>
      <c r="J6">
        <v>2.6</v>
      </c>
      <c r="K6" s="15">
        <v>21.630099999999999</v>
      </c>
      <c r="L6" t="s">
        <v>93</v>
      </c>
      <c r="M6" t="s">
        <v>94</v>
      </c>
      <c r="N6" t="s">
        <v>94</v>
      </c>
      <c r="O6" t="s">
        <v>49</v>
      </c>
      <c r="P6" t="s">
        <v>50</v>
      </c>
      <c r="Q6">
        <v>33.070217599999999</v>
      </c>
      <c r="R6">
        <v>-96.859067300000007</v>
      </c>
      <c r="S6" t="s">
        <v>79</v>
      </c>
      <c r="T6" t="s">
        <v>51</v>
      </c>
      <c r="W6" s="16"/>
      <c r="Y6" s="17"/>
      <c r="Z6" s="16"/>
      <c r="AA6" s="15"/>
      <c r="AB6" s="15"/>
      <c r="AC6" s="15"/>
      <c r="AD6" s="16"/>
      <c r="AE6" s="18"/>
      <c r="AF6" s="19"/>
      <c r="AG6" s="18"/>
      <c r="AH6" s="16"/>
      <c r="AI6" s="20"/>
      <c r="AJ6" s="16"/>
      <c r="AK6" s="20"/>
      <c r="AL6" s="18"/>
      <c r="AM6" s="18"/>
      <c r="AN6" s="18"/>
      <c r="AO6" s="18"/>
      <c r="AP6" s="18"/>
      <c r="AQ6" s="18"/>
      <c r="AU6" s="18"/>
      <c r="AV6" s="15"/>
      <c r="AW6" s="15"/>
      <c r="BD6" s="15"/>
    </row>
    <row r="7" spans="1:56" x14ac:dyDescent="0.35">
      <c r="A7" t="s">
        <v>95</v>
      </c>
      <c r="B7" t="s">
        <v>96</v>
      </c>
      <c r="C7" t="s">
        <v>76</v>
      </c>
      <c r="D7">
        <v>11</v>
      </c>
      <c r="E7">
        <v>2023</v>
      </c>
      <c r="F7" s="15">
        <v>214</v>
      </c>
      <c r="G7">
        <v>1111</v>
      </c>
      <c r="H7">
        <v>4067</v>
      </c>
      <c r="I7">
        <v>3.66</v>
      </c>
      <c r="J7">
        <v>1</v>
      </c>
      <c r="K7" s="15">
        <v>10.2804</v>
      </c>
      <c r="L7" t="s">
        <v>77</v>
      </c>
      <c r="M7" t="s">
        <v>97</v>
      </c>
      <c r="O7" t="s">
        <v>49</v>
      </c>
      <c r="P7" t="s">
        <v>98</v>
      </c>
      <c r="Q7">
        <v>33.104862799999999</v>
      </c>
      <c r="R7">
        <v>-96.828634699999995</v>
      </c>
      <c r="S7" t="s">
        <v>79</v>
      </c>
      <c r="T7" t="s">
        <v>51</v>
      </c>
      <c r="W7" s="16"/>
      <c r="Y7" s="17"/>
      <c r="Z7" s="16"/>
      <c r="AA7" s="15"/>
      <c r="AB7" s="15"/>
      <c r="AC7" s="15"/>
      <c r="AD7" s="16"/>
      <c r="AE7" s="18"/>
      <c r="AF7" s="19"/>
      <c r="AG7" s="18"/>
      <c r="AH7" s="16"/>
      <c r="AI7" s="20"/>
      <c r="AJ7" s="16"/>
      <c r="AK7" s="20"/>
      <c r="AL7" s="18"/>
      <c r="AM7" s="18"/>
      <c r="AN7" s="18"/>
      <c r="AO7" s="18"/>
      <c r="AP7" s="18"/>
      <c r="AQ7" s="18"/>
      <c r="AU7" s="18"/>
      <c r="AV7" s="15"/>
      <c r="AW7" s="15"/>
      <c r="BD7" s="15"/>
    </row>
    <row r="8" spans="1:56" x14ac:dyDescent="0.35">
      <c r="A8" t="s">
        <v>99</v>
      </c>
      <c r="B8" t="s">
        <v>100</v>
      </c>
      <c r="C8" t="s">
        <v>76</v>
      </c>
      <c r="D8">
        <v>12</v>
      </c>
      <c r="E8">
        <v>2023</v>
      </c>
      <c r="F8" s="15">
        <v>300</v>
      </c>
      <c r="G8">
        <v>896</v>
      </c>
      <c r="H8">
        <v>1907</v>
      </c>
      <c r="I8">
        <v>2.13</v>
      </c>
      <c r="J8">
        <v>0.9</v>
      </c>
      <c r="K8" s="15">
        <v>9</v>
      </c>
      <c r="L8" t="s">
        <v>77</v>
      </c>
      <c r="M8" t="s">
        <v>101</v>
      </c>
      <c r="N8" t="s">
        <v>102</v>
      </c>
      <c r="O8" t="s">
        <v>49</v>
      </c>
      <c r="P8" t="s">
        <v>50</v>
      </c>
      <c r="Q8">
        <v>33.114081900000002</v>
      </c>
      <c r="R8">
        <v>-96.830892700000007</v>
      </c>
      <c r="S8" t="s">
        <v>79</v>
      </c>
      <c r="T8" t="s">
        <v>51</v>
      </c>
      <c r="W8" s="16"/>
      <c r="Y8" s="17"/>
      <c r="Z8" s="16"/>
      <c r="AA8" s="15"/>
      <c r="AB8" s="15"/>
      <c r="AC8" s="15"/>
      <c r="AD8" s="16"/>
      <c r="AE8" s="18"/>
      <c r="AF8" s="19"/>
      <c r="AG8" s="18"/>
      <c r="AH8" s="16"/>
      <c r="AI8" s="20"/>
      <c r="AJ8" s="16"/>
      <c r="AK8" s="20"/>
      <c r="AL8" s="18"/>
      <c r="AM8" s="18"/>
      <c r="AN8" s="18"/>
      <c r="AO8" s="18"/>
      <c r="AP8" s="18"/>
      <c r="AQ8" s="18"/>
      <c r="AU8" s="18"/>
      <c r="AV8" s="15"/>
      <c r="AW8" s="15"/>
      <c r="BD8" s="15"/>
    </row>
    <row r="9" spans="1:56" x14ac:dyDescent="0.35">
      <c r="A9" t="s">
        <v>103</v>
      </c>
      <c r="B9" t="s">
        <v>104</v>
      </c>
      <c r="C9" t="s">
        <v>105</v>
      </c>
      <c r="D9">
        <v>1</v>
      </c>
      <c r="E9">
        <v>2024</v>
      </c>
      <c r="F9" s="15">
        <v>362</v>
      </c>
      <c r="G9">
        <v>789</v>
      </c>
      <c r="H9">
        <v>1852</v>
      </c>
      <c r="I9">
        <v>2.35</v>
      </c>
      <c r="J9">
        <v>1</v>
      </c>
      <c r="K9" s="15">
        <v>9.9448000000000008</v>
      </c>
      <c r="L9" t="s">
        <v>93</v>
      </c>
      <c r="M9" t="s">
        <v>106</v>
      </c>
      <c r="O9" t="s">
        <v>49</v>
      </c>
      <c r="P9" t="s">
        <v>50</v>
      </c>
      <c r="Q9">
        <v>33.052941099999998</v>
      </c>
      <c r="R9">
        <v>-96.899655499999994</v>
      </c>
      <c r="S9" t="s">
        <v>79</v>
      </c>
      <c r="T9" t="s">
        <v>51</v>
      </c>
      <c r="W9" s="16"/>
      <c r="Y9" s="17"/>
      <c r="Z9" s="16"/>
      <c r="AA9" s="15"/>
      <c r="AB9" s="15"/>
      <c r="AC9" s="15"/>
      <c r="AD9" s="16"/>
      <c r="AE9" s="18"/>
      <c r="AF9" s="19"/>
      <c r="AG9" s="18"/>
      <c r="AH9" s="16"/>
      <c r="AI9" s="20"/>
      <c r="AJ9" s="16"/>
      <c r="AK9" s="20"/>
      <c r="AL9" s="18"/>
      <c r="AM9" s="18"/>
      <c r="AN9" s="18"/>
      <c r="AO9" s="18"/>
      <c r="AP9" s="18"/>
      <c r="AQ9" s="18"/>
      <c r="AU9" s="18"/>
      <c r="AV9" s="15"/>
      <c r="AW9" s="15"/>
      <c r="BD9" s="15"/>
    </row>
    <row r="10" spans="1:56" x14ac:dyDescent="0.35">
      <c r="A10" t="s">
        <v>107</v>
      </c>
      <c r="B10" t="s">
        <v>108</v>
      </c>
      <c r="C10" t="s">
        <v>92</v>
      </c>
      <c r="D10">
        <v>6</v>
      </c>
      <c r="E10">
        <v>2024</v>
      </c>
      <c r="F10" s="15">
        <v>166</v>
      </c>
      <c r="G10">
        <v>2083</v>
      </c>
      <c r="H10">
        <v>3516</v>
      </c>
      <c r="I10">
        <v>1.69</v>
      </c>
      <c r="J10">
        <v>1</v>
      </c>
      <c r="K10" s="15">
        <v>15.662699999999999</v>
      </c>
      <c r="L10" t="s">
        <v>77</v>
      </c>
      <c r="M10" t="s">
        <v>109</v>
      </c>
      <c r="O10" t="s">
        <v>49</v>
      </c>
      <c r="P10" t="s">
        <v>110</v>
      </c>
      <c r="Q10">
        <v>33.121533800000002</v>
      </c>
      <c r="R10">
        <v>-96.9102611</v>
      </c>
      <c r="S10" t="s">
        <v>79</v>
      </c>
      <c r="T10" t="s">
        <v>51</v>
      </c>
      <c r="W10" s="16"/>
      <c r="Y10" s="17"/>
      <c r="Z10" s="16"/>
      <c r="AA10" s="15"/>
      <c r="AB10" s="15"/>
      <c r="AC10" s="15"/>
      <c r="AD10" s="16"/>
      <c r="AE10" s="18"/>
      <c r="AF10" s="19"/>
      <c r="AG10" s="18"/>
      <c r="AH10" s="16"/>
      <c r="AI10" s="20"/>
      <c r="AJ10" s="16"/>
      <c r="AK10" s="20"/>
      <c r="AL10" s="18"/>
      <c r="AM10" s="18"/>
      <c r="AN10" s="18"/>
      <c r="AO10" s="18"/>
      <c r="AP10" s="18"/>
      <c r="AQ10" s="18"/>
      <c r="AU10" s="18"/>
      <c r="AV10" s="15"/>
      <c r="AW10" s="15"/>
      <c r="BD10" s="15"/>
    </row>
    <row r="11" spans="1:56" x14ac:dyDescent="0.35">
      <c r="A11" t="s">
        <v>111</v>
      </c>
      <c r="B11" t="s">
        <v>112</v>
      </c>
      <c r="C11" t="s">
        <v>76</v>
      </c>
      <c r="D11">
        <v>11</v>
      </c>
      <c r="E11">
        <v>2025</v>
      </c>
      <c r="F11" s="15">
        <v>95</v>
      </c>
      <c r="G11">
        <v>1680</v>
      </c>
      <c r="H11">
        <v>3954</v>
      </c>
      <c r="I11">
        <v>2.35</v>
      </c>
      <c r="J11">
        <v>0.6</v>
      </c>
      <c r="K11" s="15"/>
      <c r="L11" t="s">
        <v>77</v>
      </c>
      <c r="M11" t="s">
        <v>113</v>
      </c>
      <c r="N11" t="s">
        <v>114</v>
      </c>
      <c r="O11" t="s">
        <v>49</v>
      </c>
      <c r="P11" t="s">
        <v>52</v>
      </c>
      <c r="Q11">
        <v>33.107973600000001</v>
      </c>
      <c r="R11">
        <v>-96.799926999999997</v>
      </c>
      <c r="S11" t="s">
        <v>79</v>
      </c>
      <c r="T11" t="s">
        <v>51</v>
      </c>
      <c r="W11" s="16"/>
      <c r="Y11" s="17"/>
      <c r="Z11" s="16"/>
      <c r="AA11" s="15"/>
      <c r="AB11" s="15"/>
      <c r="AC11" s="15"/>
      <c r="AD11" s="16"/>
      <c r="AE11" s="18"/>
      <c r="AF11" s="19"/>
      <c r="AG11" s="18"/>
      <c r="AH11" s="16"/>
      <c r="AI11" s="20"/>
      <c r="AJ11" s="16"/>
      <c r="AK11" s="20"/>
      <c r="AL11" s="18"/>
      <c r="AM11" s="18"/>
      <c r="AN11" s="18"/>
      <c r="AO11" s="18"/>
      <c r="AP11" s="18"/>
      <c r="AQ11" s="18"/>
      <c r="AU11" s="18"/>
      <c r="AV11" s="15"/>
      <c r="AW11" s="15"/>
      <c r="BD11" s="15"/>
    </row>
    <row r="12" spans="1:56" x14ac:dyDescent="0.35">
      <c r="A12" t="s">
        <v>115</v>
      </c>
      <c r="B12" t="s">
        <v>116</v>
      </c>
      <c r="C12" t="s">
        <v>76</v>
      </c>
      <c r="D12">
        <v>5</v>
      </c>
      <c r="E12">
        <v>2025</v>
      </c>
      <c r="F12" s="15">
        <v>355</v>
      </c>
      <c r="G12">
        <v>948</v>
      </c>
      <c r="H12">
        <v>2163</v>
      </c>
      <c r="I12">
        <v>2.2799999999999998</v>
      </c>
      <c r="J12">
        <v>5.8</v>
      </c>
      <c r="K12" s="15">
        <v>53.802799999999998</v>
      </c>
      <c r="L12" t="s">
        <v>77</v>
      </c>
      <c r="M12" t="s">
        <v>117</v>
      </c>
      <c r="N12" t="s">
        <v>118</v>
      </c>
      <c r="O12" t="s">
        <v>49</v>
      </c>
      <c r="P12" t="s">
        <v>50</v>
      </c>
      <c r="Q12">
        <v>33.085850299999997</v>
      </c>
      <c r="R12">
        <v>-96.852831399999999</v>
      </c>
      <c r="S12" t="s">
        <v>79</v>
      </c>
      <c r="T12" t="s">
        <v>51</v>
      </c>
      <c r="W12" s="16"/>
      <c r="Y12" s="17"/>
      <c r="Z12" s="16"/>
      <c r="AA12" s="15"/>
      <c r="AB12" s="15"/>
      <c r="AC12" s="15"/>
      <c r="AD12" s="16"/>
      <c r="AE12" s="18"/>
      <c r="AF12" s="19"/>
      <c r="AG12" s="18"/>
      <c r="AH12" s="16"/>
      <c r="AI12" s="20"/>
      <c r="AJ12" s="16"/>
      <c r="AK12" s="20"/>
      <c r="AL12" s="18"/>
      <c r="AM12" s="18"/>
      <c r="AN12" s="18"/>
      <c r="AO12" s="18"/>
      <c r="AP12" s="18"/>
      <c r="AQ12" s="18"/>
      <c r="AU12" s="18"/>
      <c r="AV12" s="15"/>
      <c r="AW12" s="15"/>
      <c r="BD12" s="15"/>
    </row>
    <row r="13" spans="1:56" x14ac:dyDescent="0.35">
      <c r="A13" t="s">
        <v>119</v>
      </c>
      <c r="B13" t="s">
        <v>120</v>
      </c>
      <c r="C13" t="s">
        <v>121</v>
      </c>
      <c r="D13">
        <v>5</v>
      </c>
      <c r="E13">
        <v>2024</v>
      </c>
      <c r="F13" s="15">
        <v>264</v>
      </c>
      <c r="G13">
        <v>1026</v>
      </c>
      <c r="H13">
        <v>2246</v>
      </c>
      <c r="I13">
        <v>2.19</v>
      </c>
      <c r="J13">
        <v>0.6</v>
      </c>
      <c r="K13" s="15">
        <v>4.1666999999999996</v>
      </c>
      <c r="L13" t="s">
        <v>121</v>
      </c>
      <c r="M13" t="s">
        <v>122</v>
      </c>
      <c r="O13" t="s">
        <v>49</v>
      </c>
      <c r="P13" t="s">
        <v>32</v>
      </c>
      <c r="Q13">
        <v>33.055232099999998</v>
      </c>
      <c r="R13">
        <v>-96.791497699999994</v>
      </c>
      <c r="S13" t="s">
        <v>79</v>
      </c>
      <c r="T13" t="s">
        <v>51</v>
      </c>
      <c r="W13" s="16"/>
      <c r="Y13" s="17"/>
      <c r="Z13" s="16"/>
      <c r="AA13" s="15"/>
      <c r="AB13" s="15"/>
      <c r="AC13" s="15"/>
      <c r="AD13" s="16"/>
      <c r="AE13" s="18"/>
      <c r="AF13" s="19"/>
      <c r="AG13" s="18"/>
      <c r="AH13" s="16"/>
      <c r="AI13" s="20"/>
      <c r="AJ13" s="16"/>
      <c r="AK13" s="20"/>
      <c r="AL13" s="18"/>
      <c r="AM13" s="18"/>
      <c r="AN13" s="18"/>
      <c r="AO13" s="18"/>
      <c r="AP13" s="18"/>
      <c r="AQ13" s="18"/>
      <c r="AU13" s="18"/>
      <c r="AV13" s="15"/>
      <c r="AW13" s="15"/>
      <c r="BD13" s="15"/>
    </row>
    <row r="14" spans="1:56" x14ac:dyDescent="0.35">
      <c r="A14" t="s">
        <v>123</v>
      </c>
      <c r="B14" t="s">
        <v>124</v>
      </c>
      <c r="C14" t="s">
        <v>92</v>
      </c>
      <c r="D14">
        <v>2</v>
      </c>
      <c r="E14">
        <v>2026</v>
      </c>
      <c r="F14" s="15">
        <v>380</v>
      </c>
      <c r="G14">
        <v>919</v>
      </c>
      <c r="H14">
        <v>1906</v>
      </c>
      <c r="I14">
        <v>2.0699999999999998</v>
      </c>
      <c r="J14">
        <v>13.2</v>
      </c>
      <c r="K14" s="15">
        <v>85</v>
      </c>
      <c r="L14" t="s">
        <v>93</v>
      </c>
      <c r="M14" t="s">
        <v>125</v>
      </c>
      <c r="N14" t="s">
        <v>126</v>
      </c>
      <c r="O14" t="s">
        <v>49</v>
      </c>
      <c r="P14" t="s">
        <v>50</v>
      </c>
      <c r="Q14">
        <v>33.062321799999999</v>
      </c>
      <c r="R14">
        <v>-96.891899300000006</v>
      </c>
      <c r="S14" t="s">
        <v>79</v>
      </c>
      <c r="T14" t="s">
        <v>51</v>
      </c>
      <c r="W14" s="16"/>
      <c r="Y14" s="17"/>
      <c r="Z14" s="16"/>
      <c r="AA14" s="15"/>
      <c r="AB14" s="15"/>
      <c r="AC14" s="15"/>
      <c r="AD14" s="16"/>
      <c r="AE14" s="18"/>
      <c r="AF14" s="19"/>
      <c r="AG14" s="18"/>
      <c r="AH14" s="16"/>
      <c r="AI14" s="20"/>
      <c r="AJ14" s="16"/>
      <c r="AK14" s="20"/>
      <c r="AL14" s="18"/>
      <c r="AM14" s="18"/>
      <c r="AN14" s="18"/>
      <c r="AO14" s="18"/>
      <c r="AP14" s="18"/>
      <c r="AQ14" s="18"/>
      <c r="AU14" s="18"/>
      <c r="AV14" s="15"/>
      <c r="AW14" s="15"/>
      <c r="BD14" s="15"/>
    </row>
    <row r="15" spans="1:56" x14ac:dyDescent="0.35">
      <c r="A15" t="s">
        <v>127</v>
      </c>
      <c r="B15" t="s">
        <v>128</v>
      </c>
      <c r="C15" t="s">
        <v>105</v>
      </c>
      <c r="D15">
        <v>2</v>
      </c>
      <c r="E15">
        <v>2026</v>
      </c>
      <c r="F15" s="15">
        <v>381</v>
      </c>
      <c r="G15">
        <v>913</v>
      </c>
      <c r="H15">
        <v>1923</v>
      </c>
      <c r="I15">
        <v>2.1</v>
      </c>
      <c r="J15">
        <v>13.2</v>
      </c>
      <c r="K15" s="15">
        <v>93.175899999999999</v>
      </c>
      <c r="L15" t="s">
        <v>93</v>
      </c>
      <c r="M15" t="s">
        <v>94</v>
      </c>
      <c r="O15" t="s">
        <v>49</v>
      </c>
      <c r="P15" t="s">
        <v>50</v>
      </c>
      <c r="Q15">
        <v>33.0610322</v>
      </c>
      <c r="R15">
        <v>-96.891987400000005</v>
      </c>
      <c r="S15" t="s">
        <v>79</v>
      </c>
      <c r="T15" t="s">
        <v>51</v>
      </c>
      <c r="W15" s="16"/>
      <c r="Y15" s="17"/>
      <c r="Z15" s="16"/>
      <c r="AA15" s="15"/>
      <c r="AB15" s="15"/>
      <c r="AC15" s="15"/>
      <c r="AD15" s="16"/>
      <c r="AE15" s="18"/>
      <c r="AF15" s="19"/>
      <c r="AG15" s="18"/>
      <c r="AH15" s="16"/>
      <c r="AI15" s="20"/>
      <c r="AJ15" s="16"/>
      <c r="AK15" s="20"/>
      <c r="AL15" s="18"/>
      <c r="AM15" s="18"/>
      <c r="AN15" s="18"/>
      <c r="AO15" s="18"/>
      <c r="AP15" s="18"/>
      <c r="AQ15" s="18"/>
      <c r="AU15" s="18"/>
      <c r="AV15" s="15"/>
      <c r="AW15" s="15"/>
      <c r="BD15" s="15"/>
    </row>
    <row r="16" spans="1:56" x14ac:dyDescent="0.35">
      <c r="A16" t="s">
        <v>129</v>
      </c>
      <c r="B16" t="s">
        <v>130</v>
      </c>
      <c r="C16" t="s">
        <v>92</v>
      </c>
      <c r="D16">
        <v>9</v>
      </c>
      <c r="E16">
        <v>2024</v>
      </c>
      <c r="F16">
        <v>418</v>
      </c>
      <c r="G16">
        <v>914</v>
      </c>
      <c r="H16">
        <v>2041</v>
      </c>
      <c r="I16">
        <v>2.23</v>
      </c>
      <c r="J16">
        <v>0.8</v>
      </c>
      <c r="K16">
        <v>24.880400000000002</v>
      </c>
      <c r="L16" t="s">
        <v>93</v>
      </c>
      <c r="M16" t="s">
        <v>131</v>
      </c>
      <c r="N16" t="s">
        <v>131</v>
      </c>
      <c r="O16" t="s">
        <v>49</v>
      </c>
      <c r="P16" t="s">
        <v>50</v>
      </c>
      <c r="Q16">
        <v>33.058849899999998</v>
      </c>
      <c r="R16">
        <v>-96.861066199999996</v>
      </c>
      <c r="S16" t="s">
        <v>79</v>
      </c>
      <c r="T1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941-B5C4-479D-8FB5-D4726855ABAE}">
  <dimension ref="A1:T11"/>
  <sheetViews>
    <sheetView workbookViewId="0">
      <selection activeCell="B10" sqref="B10"/>
    </sheetView>
  </sheetViews>
  <sheetFormatPr defaultRowHeight="14.5" x14ac:dyDescent="0.35"/>
  <cols>
    <col min="1" max="1" width="24.81640625" customWidth="1"/>
    <col min="2" max="2" width="29.1796875" customWidth="1"/>
    <col min="12" max="12" width="33.1796875" customWidth="1"/>
    <col min="13" max="13" width="34" customWidth="1"/>
    <col min="14" max="14" width="19.54296875" customWidth="1"/>
    <col min="17" max="17" width="12.1796875" customWidth="1"/>
    <col min="18" max="18" width="16.08984375" customWidth="1"/>
    <col min="31" max="31" width="33.1796875" customWidth="1"/>
  </cols>
  <sheetData>
    <row r="1" spans="1:20" x14ac:dyDescent="0.35">
      <c r="A1" s="42" t="s">
        <v>36</v>
      </c>
      <c r="B1" s="42" t="s">
        <v>35</v>
      </c>
      <c r="C1" s="42" t="s">
        <v>41</v>
      </c>
      <c r="D1" s="43" t="s">
        <v>48</v>
      </c>
      <c r="E1" s="43" t="s">
        <v>42</v>
      </c>
      <c r="F1" s="43" t="s">
        <v>38</v>
      </c>
      <c r="G1" s="44" t="s">
        <v>44</v>
      </c>
      <c r="H1" s="45" t="s">
        <v>45</v>
      </c>
      <c r="I1" s="46" t="s">
        <v>46</v>
      </c>
      <c r="J1" s="44" t="s">
        <v>47</v>
      </c>
      <c r="K1" s="47" t="s">
        <v>43</v>
      </c>
      <c r="L1" s="42" t="s">
        <v>68</v>
      </c>
      <c r="M1" s="42" t="s">
        <v>69</v>
      </c>
      <c r="N1" s="42" t="s">
        <v>70</v>
      </c>
      <c r="O1" s="42" t="s">
        <v>37</v>
      </c>
      <c r="P1" s="42" t="s">
        <v>39</v>
      </c>
      <c r="Q1" s="48" t="s">
        <v>71</v>
      </c>
      <c r="R1" s="48" t="s">
        <v>72</v>
      </c>
      <c r="S1" s="42" t="s">
        <v>73</v>
      </c>
      <c r="T1" s="42" t="s">
        <v>40</v>
      </c>
    </row>
    <row r="2" spans="1:20" x14ac:dyDescent="0.35">
      <c r="A2" t="s">
        <v>151</v>
      </c>
      <c r="B2" t="s">
        <v>152</v>
      </c>
      <c r="C2" t="s">
        <v>153</v>
      </c>
      <c r="D2" s="15">
        <v>8</v>
      </c>
      <c r="E2" s="15">
        <v>2026</v>
      </c>
      <c r="F2" s="15">
        <v>165</v>
      </c>
      <c r="G2" s="18">
        <v>934</v>
      </c>
      <c r="H2" s="16">
        <v>1934</v>
      </c>
      <c r="I2" s="20">
        <v>2.0699999999999998</v>
      </c>
      <c r="J2" s="18">
        <v>0</v>
      </c>
      <c r="K2" s="19"/>
      <c r="L2" t="s">
        <v>155</v>
      </c>
      <c r="M2" t="s">
        <v>154</v>
      </c>
      <c r="N2" t="s">
        <v>154</v>
      </c>
      <c r="O2" t="s">
        <v>53</v>
      </c>
      <c r="P2" t="s">
        <v>54</v>
      </c>
      <c r="Q2" s="49">
        <v>40.418117000000002</v>
      </c>
      <c r="R2" s="49">
        <v>-111.92294</v>
      </c>
      <c r="S2" t="s">
        <v>79</v>
      </c>
      <c r="T2" t="s">
        <v>51</v>
      </c>
    </row>
    <row r="3" spans="1:20" x14ac:dyDescent="0.35">
      <c r="A3" t="s">
        <v>156</v>
      </c>
      <c r="B3" t="s">
        <v>157</v>
      </c>
      <c r="C3" t="s">
        <v>153</v>
      </c>
      <c r="D3" s="15">
        <v>5</v>
      </c>
      <c r="E3" s="15">
        <v>2027</v>
      </c>
      <c r="F3" s="15">
        <v>304</v>
      </c>
      <c r="G3" s="18">
        <v>901</v>
      </c>
      <c r="H3" s="16"/>
      <c r="I3" s="20"/>
      <c r="J3" s="18"/>
      <c r="K3" s="19"/>
      <c r="L3" t="s">
        <v>155</v>
      </c>
      <c r="M3" t="s">
        <v>158</v>
      </c>
      <c r="N3" t="s">
        <v>158</v>
      </c>
      <c r="O3" t="s">
        <v>53</v>
      </c>
      <c r="P3" t="s">
        <v>50</v>
      </c>
      <c r="Q3" s="49">
        <v>40.447850000000003</v>
      </c>
      <c r="R3" s="49">
        <v>-111.90594400000001</v>
      </c>
      <c r="S3" t="s">
        <v>79</v>
      </c>
      <c r="T3" t="s">
        <v>51</v>
      </c>
    </row>
    <row r="4" spans="1:20" x14ac:dyDescent="0.35">
      <c r="A4" t="s">
        <v>159</v>
      </c>
      <c r="B4" t="s">
        <v>160</v>
      </c>
      <c r="C4" t="s">
        <v>161</v>
      </c>
      <c r="D4" s="15">
        <v>10</v>
      </c>
      <c r="E4" s="15">
        <v>2027</v>
      </c>
      <c r="F4" s="15">
        <v>252</v>
      </c>
      <c r="G4" s="18"/>
      <c r="H4" s="16"/>
      <c r="I4" s="20"/>
      <c r="J4" s="18"/>
      <c r="K4" s="19"/>
      <c r="L4" t="s">
        <v>77</v>
      </c>
      <c r="M4" t="s">
        <v>162</v>
      </c>
      <c r="N4" t="s">
        <v>162</v>
      </c>
      <c r="O4" t="s">
        <v>53</v>
      </c>
      <c r="P4" t="s">
        <v>54</v>
      </c>
      <c r="Q4" s="49">
        <v>33.152235900000001</v>
      </c>
      <c r="R4" s="49">
        <v>-96.826617600000006</v>
      </c>
      <c r="S4" t="s">
        <v>79</v>
      </c>
      <c r="T4" t="s">
        <v>51</v>
      </c>
    </row>
    <row r="5" spans="1:20" x14ac:dyDescent="0.35">
      <c r="A5" t="s">
        <v>163</v>
      </c>
      <c r="B5" t="s">
        <v>164</v>
      </c>
      <c r="C5" t="s">
        <v>165</v>
      </c>
      <c r="D5" s="15">
        <v>6</v>
      </c>
      <c r="E5" s="15">
        <v>2028</v>
      </c>
      <c r="F5" s="15">
        <v>506</v>
      </c>
      <c r="G5" s="18"/>
      <c r="H5" s="16"/>
      <c r="I5" s="20"/>
      <c r="J5" s="18"/>
      <c r="K5" s="19"/>
      <c r="L5" t="s">
        <v>77</v>
      </c>
      <c r="M5" t="s">
        <v>166</v>
      </c>
      <c r="N5" t="s">
        <v>166</v>
      </c>
      <c r="O5" t="s">
        <v>53</v>
      </c>
      <c r="P5" t="s">
        <v>50</v>
      </c>
      <c r="Q5" s="49">
        <v>33.085001499999997</v>
      </c>
      <c r="R5" s="49">
        <v>-96.851398700000004</v>
      </c>
      <c r="S5" t="s">
        <v>79</v>
      </c>
      <c r="T5" t="s">
        <v>51</v>
      </c>
    </row>
    <row r="6" spans="1:20" x14ac:dyDescent="0.35">
      <c r="A6" t="s">
        <v>133</v>
      </c>
      <c r="B6" t="s">
        <v>134</v>
      </c>
      <c r="C6" t="s">
        <v>121</v>
      </c>
      <c r="D6" s="15">
        <v>7</v>
      </c>
      <c r="E6" s="15">
        <v>2026</v>
      </c>
      <c r="F6" s="15">
        <v>175</v>
      </c>
      <c r="G6" s="18">
        <v>900</v>
      </c>
      <c r="H6" s="16">
        <v>2580</v>
      </c>
      <c r="I6" s="20">
        <v>2.87</v>
      </c>
      <c r="J6" s="18">
        <v>0</v>
      </c>
      <c r="K6" s="19"/>
      <c r="L6" t="s">
        <v>121</v>
      </c>
      <c r="M6" t="s">
        <v>135</v>
      </c>
      <c r="O6" t="s">
        <v>53</v>
      </c>
      <c r="P6" t="s">
        <v>50</v>
      </c>
      <c r="Q6" s="49">
        <v>33.0867249</v>
      </c>
      <c r="R6" s="49">
        <v>-96.824821</v>
      </c>
      <c r="S6" t="s">
        <v>79</v>
      </c>
      <c r="T6" t="s">
        <v>51</v>
      </c>
    </row>
    <row r="7" spans="1:20" x14ac:dyDescent="0.35">
      <c r="A7" t="s">
        <v>136</v>
      </c>
      <c r="B7" t="s">
        <v>137</v>
      </c>
      <c r="C7" t="s">
        <v>76</v>
      </c>
      <c r="D7" s="15">
        <v>5</v>
      </c>
      <c r="E7" s="15">
        <v>2026</v>
      </c>
      <c r="F7" s="15">
        <v>33</v>
      </c>
      <c r="G7" s="18"/>
      <c r="H7" s="16"/>
      <c r="I7" s="20"/>
      <c r="J7" s="18"/>
      <c r="K7" s="19"/>
      <c r="L7" t="s">
        <v>77</v>
      </c>
      <c r="M7" t="s">
        <v>132</v>
      </c>
      <c r="O7" t="s">
        <v>53</v>
      </c>
      <c r="P7" t="s">
        <v>54</v>
      </c>
      <c r="Q7" s="49">
        <v>33.148114999999997</v>
      </c>
      <c r="R7" s="49">
        <v>-96.826596600000002</v>
      </c>
      <c r="S7" t="s">
        <v>79</v>
      </c>
      <c r="T7" t="s">
        <v>51</v>
      </c>
    </row>
    <row r="8" spans="1:20" x14ac:dyDescent="0.35">
      <c r="A8" s="37" t="s">
        <v>150</v>
      </c>
      <c r="B8" t="s">
        <v>139</v>
      </c>
      <c r="C8" t="s">
        <v>92</v>
      </c>
      <c r="D8" s="15">
        <v>1</v>
      </c>
      <c r="E8">
        <v>2028</v>
      </c>
      <c r="F8">
        <v>277</v>
      </c>
      <c r="L8" t="s">
        <v>138</v>
      </c>
      <c r="M8" t="s">
        <v>140</v>
      </c>
      <c r="S8" t="s">
        <v>79</v>
      </c>
      <c r="T8" t="s">
        <v>51</v>
      </c>
    </row>
    <row r="9" spans="1:20" x14ac:dyDescent="0.35">
      <c r="A9" s="37" t="s">
        <v>141</v>
      </c>
      <c r="B9" t="s">
        <v>142</v>
      </c>
      <c r="C9" t="s">
        <v>76</v>
      </c>
      <c r="D9" s="15">
        <v>11</v>
      </c>
      <c r="E9">
        <v>2027</v>
      </c>
      <c r="F9">
        <v>410</v>
      </c>
      <c r="L9" t="s">
        <v>76</v>
      </c>
      <c r="S9" t="s">
        <v>79</v>
      </c>
      <c r="T9" t="s">
        <v>51</v>
      </c>
    </row>
    <row r="10" spans="1:20" x14ac:dyDescent="0.35">
      <c r="A10" s="37" t="s">
        <v>143</v>
      </c>
      <c r="B10" t="s">
        <v>144</v>
      </c>
      <c r="C10" t="s">
        <v>76</v>
      </c>
      <c r="D10" s="15">
        <v>2</v>
      </c>
      <c r="E10">
        <v>2028</v>
      </c>
      <c r="F10">
        <v>313</v>
      </c>
      <c r="L10" t="s">
        <v>76</v>
      </c>
      <c r="M10" t="s">
        <v>145</v>
      </c>
      <c r="S10" t="s">
        <v>79</v>
      </c>
      <c r="T10" t="s">
        <v>51</v>
      </c>
    </row>
    <row r="11" spans="1:20" x14ac:dyDescent="0.35">
      <c r="A11" s="37" t="s">
        <v>146</v>
      </c>
      <c r="B11" t="s">
        <v>148</v>
      </c>
      <c r="C11" t="s">
        <v>149</v>
      </c>
      <c r="D11" s="15">
        <v>2</v>
      </c>
      <c r="E11">
        <v>2027</v>
      </c>
      <c r="F11">
        <v>390</v>
      </c>
      <c r="L11" t="s">
        <v>147</v>
      </c>
      <c r="M11" t="s">
        <v>131</v>
      </c>
      <c r="S11" t="s">
        <v>79</v>
      </c>
      <c r="T1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2"/>
  <sheetViews>
    <sheetView zoomScaleNormal="100" workbookViewId="0">
      <selection activeCell="C2" sqref="C2"/>
    </sheetView>
  </sheetViews>
  <sheetFormatPr defaultColWidth="8.54296875" defaultRowHeight="14.5" x14ac:dyDescent="0.35"/>
  <cols>
    <col min="1" max="1" width="35" customWidth="1"/>
    <col min="2" max="2" width="20" customWidth="1"/>
    <col min="3" max="3" width="40" customWidth="1"/>
  </cols>
  <sheetData>
    <row r="1" spans="1:3" ht="19.5" customHeight="1" x14ac:dyDescent="0.35">
      <c r="A1" s="92" t="s">
        <v>25</v>
      </c>
      <c r="B1" s="92"/>
      <c r="C1" s="92"/>
    </row>
    <row r="2" spans="1:3" x14ac:dyDescent="0.35">
      <c r="A2" s="2" t="s">
        <v>26</v>
      </c>
      <c r="B2" s="3">
        <v>0.95</v>
      </c>
      <c r="C2" s="4" t="s">
        <v>27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92B20D-3249-445C-8770-7B1B1118F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fc072-d52f-4752-b8cb-46d6b725e756"/>
    <ds:schemaRef ds:uri="844a25e3-3ac4-400b-ae54-819e2dded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3F4B38-6628-405B-AAC1-9683E859B15D}">
  <ds:schemaRefs>
    <ds:schemaRef ds:uri="http://schemas.microsoft.com/office/2006/metadata/properties"/>
    <ds:schemaRef ds:uri="http://schemas.microsoft.com/office/infopath/2007/PartnerControls"/>
    <ds:schemaRef ds:uri="f94fc072-d52f-4752-b8cb-46d6b725e756"/>
    <ds:schemaRef ds:uri="844a25e3-3ac4-400b-ae54-819e2dded817"/>
  </ds:schemaRefs>
</ds:datastoreItem>
</file>

<file path=customXml/itemProps3.xml><?xml version="1.0" encoding="utf-8"?>
<ds:datastoreItem xmlns:ds="http://schemas.openxmlformats.org/officeDocument/2006/customXml" ds:itemID="{B98771FB-E84B-460B-A0D9-69C5941F3A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Competitive Analysis</vt:lpstr>
      <vt:lpstr>new data</vt:lpstr>
      <vt:lpstr>Costar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Ryan Burke</cp:lastModifiedBy>
  <cp:revision>0</cp:revision>
  <dcterms:created xsi:type="dcterms:W3CDTF">2026-03-02T04:38:00Z</dcterms:created>
  <dcterms:modified xsi:type="dcterms:W3CDTF">2026-06-12T20:06:08Z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0x01010055F5894668395F49B017619C734C79A0</vt:lpwstr>
  </property>
</Properties>
</file>