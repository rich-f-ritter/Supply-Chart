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ilestonegp.sharepoint.com/sites/TMG-Internal-T/Milestone/Investments-Unrealized/Acquisitions - West/Boise/Canyon Ridge/5-MI Data Pulls/"/>
    </mc:Choice>
  </mc:AlternateContent>
  <xr:revisionPtr revIDLastSave="256" documentId="8_{CFF19196-0ECB-40C5-B150-C20B3958A975}" xr6:coauthVersionLast="47" xr6:coauthVersionMax="47" xr10:uidLastSave="{6EB070E3-F159-4B6E-8202-3B2DF699ACEA}"/>
  <bookViews>
    <workbookView xWindow="-14040" yWindow="-16320" windowWidth="29040" windowHeight="15720" tabRatio="500" xr2:uid="{00000000-000D-0000-FFFF-FFFF00000000}"/>
  </bookViews>
  <sheets>
    <sheet name="Competitive Analysis" sheetId="1" r:id="rId1"/>
    <sheet name="Settings" sheetId="2" r:id="rId2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9" i="1" l="1" a="1"/>
  <c r="E29" i="1"/>
  <c r="D29" i="1"/>
  <c r="F30" i="1" a="1"/>
  <c r="E30" i="1"/>
  <c r="D30" i="1"/>
  <c r="F31" i="1" a="1"/>
  <c r="E31" i="1"/>
  <c r="D31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32" i="1"/>
  <c r="H33" i="1"/>
  <c r="F8" i="1"/>
  <c r="F7" i="1"/>
  <c r="F55" i="1" a="1"/>
  <c r="F54" i="1" a="1"/>
  <c r="F53" i="1" a="1"/>
  <c r="F52" i="1" a="1"/>
  <c r="F51" i="1" a="1"/>
  <c r="F50" i="1" a="1"/>
  <c r="F49" i="1" a="1"/>
  <c r="F48" i="1" a="1"/>
  <c r="F47" i="1" a="1"/>
  <c r="F46" i="1" a="1"/>
  <c r="F45" i="1" a="1"/>
  <c r="F44" i="1" a="1"/>
  <c r="F43" i="1" a="1"/>
  <c r="F42" i="1" a="1"/>
  <c r="F41" i="1" a="1"/>
  <c r="F40" i="1" a="1"/>
  <c r="F39" i="1" a="1"/>
  <c r="F38" i="1" a="1"/>
  <c r="F37" i="1" a="1"/>
  <c r="F36" i="1" a="1"/>
  <c r="F35" i="1" a="1"/>
  <c r="F34" i="1" a="1"/>
  <c r="F32" i="1" a="1"/>
  <c r="K58" i="1"/>
  <c r="J58" i="1"/>
  <c r="G3" i="1"/>
  <c r="H29" i="1" l="1"/>
  <c r="G29" i="1" s="1"/>
  <c r="H30" i="1"/>
  <c r="G30" i="1" s="1"/>
  <c r="H31" i="1"/>
  <c r="G31" i="1" s="1"/>
  <c r="F33" i="1" a="1"/>
  <c r="G33" i="1" s="1"/>
  <c r="G54" i="1" s="1"/>
  <c r="G52" i="1" s="1"/>
  <c r="G51" i="1" s="1"/>
  <c r="G49" i="1" s="1"/>
  <c r="G48" i="1" s="1"/>
  <c r="G47" i="1" s="1"/>
  <c r="G46" i="1" s="1"/>
  <c r="G45" i="1" s="1"/>
  <c r="G44" i="1" s="1"/>
  <c r="G42" i="1" s="1"/>
  <c r="G41" i="1" s="1"/>
  <c r="G40" i="1" s="1"/>
  <c r="G39" i="1" s="1"/>
  <c r="G38" i="1" s="1"/>
  <c r="G37" i="1" s="1"/>
  <c r="G36" i="1" s="1"/>
  <c r="G34" i="1" s="1"/>
  <c r="G43" i="1" s="1"/>
  <c r="G35" i="1" s="1"/>
  <c r="H55" i="1"/>
  <c r="H54" i="1"/>
  <c r="H53" i="1"/>
  <c r="H52" i="1"/>
  <c r="H51" i="1"/>
  <c r="G50" i="1"/>
  <c r="H50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2" i="1"/>
  <c r="H48" i="1"/>
  <c r="H49" i="1"/>
  <c r="D56" i="1"/>
  <c r="E56" i="1"/>
  <c r="K29" i="1" l="1"/>
  <c r="I29" i="1"/>
  <c r="J29" i="1"/>
  <c r="I30" i="1"/>
  <c r="K30" i="1"/>
  <c r="J30" i="1"/>
  <c r="K31" i="1"/>
  <c r="J31" i="1"/>
  <c r="I31" i="1"/>
  <c r="K33" i="1"/>
  <c r="J33" i="1"/>
  <c r="I33" i="1"/>
  <c r="K46" i="1"/>
  <c r="I46" i="1"/>
  <c r="K45" i="1"/>
  <c r="I45" i="1"/>
  <c r="K44" i="1"/>
  <c r="I47" i="1"/>
  <c r="J46" i="1"/>
  <c r="J45" i="1"/>
  <c r="I44" i="1"/>
  <c r="J47" i="1"/>
  <c r="K47" i="1"/>
  <c r="J44" i="1"/>
  <c r="K43" i="1"/>
  <c r="J43" i="1"/>
  <c r="I43" i="1"/>
  <c r="K42" i="1"/>
  <c r="I42" i="1"/>
  <c r="J42" i="1"/>
  <c r="I41" i="1"/>
  <c r="J41" i="1"/>
  <c r="K41" i="1"/>
  <c r="I40" i="1"/>
  <c r="J40" i="1"/>
  <c r="G32" i="1"/>
  <c r="G55" i="1"/>
  <c r="K54" i="1"/>
  <c r="J54" i="1"/>
  <c r="I54" i="1"/>
  <c r="G53" i="1"/>
  <c r="I52" i="1"/>
  <c r="J52" i="1"/>
  <c r="K52" i="1"/>
  <c r="K51" i="1"/>
  <c r="I51" i="1"/>
  <c r="J51" i="1"/>
  <c r="K40" i="1"/>
  <c r="K39" i="1"/>
  <c r="J39" i="1"/>
  <c r="I39" i="1"/>
  <c r="K38" i="1"/>
  <c r="J38" i="1"/>
  <c r="K35" i="1"/>
  <c r="J34" i="1"/>
  <c r="K48" i="1"/>
  <c r="J49" i="1"/>
  <c r="I38" i="1"/>
  <c r="K37" i="1"/>
  <c r="J37" i="1"/>
  <c r="I37" i="1"/>
  <c r="K36" i="1"/>
  <c r="J36" i="1"/>
  <c r="I36" i="1"/>
  <c r="I35" i="1"/>
  <c r="J35" i="1"/>
  <c r="K34" i="1"/>
  <c r="I34" i="1"/>
  <c r="I48" i="1"/>
  <c r="J48" i="1"/>
  <c r="K49" i="1"/>
  <c r="I49" i="1"/>
  <c r="F56" i="1"/>
  <c r="I50" i="1"/>
  <c r="K50" i="1"/>
  <c r="J50" i="1"/>
  <c r="H56" i="1"/>
  <c r="G56" i="1" l="1"/>
  <c r="K32" i="1"/>
  <c r="J32" i="1"/>
  <c r="I32" i="1"/>
  <c r="I55" i="1"/>
  <c r="I53" i="1"/>
  <c r="K55" i="1"/>
  <c r="J55" i="1"/>
  <c r="K53" i="1"/>
  <c r="J53" i="1"/>
  <c r="I56" i="1" l="1"/>
  <c r="I59" i="1" s="1"/>
  <c r="J56" i="1"/>
  <c r="J59" i="1" s="1"/>
  <c r="K56" i="1"/>
  <c r="K5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<sst xmlns="http://schemas.openxmlformats.org/spreadsheetml/2006/main" count="146" uniqueCount="106">
  <si>
    <t>Property</t>
  </si>
  <si>
    <t>Units</t>
  </si>
  <si>
    <t>Est. Delivery</t>
  </si>
  <si>
    <t>Occupancy</t>
  </si>
  <si>
    <t>Avg Mkt Rent</t>
  </si>
  <si>
    <t>Q1 2023</t>
  </si>
  <si>
    <t>—</t>
  </si>
  <si>
    <t>Q3 2023</t>
  </si>
  <si>
    <t>Q4 2023</t>
  </si>
  <si>
    <t>Q2 2024</t>
  </si>
  <si>
    <t>Q1 2025</t>
  </si>
  <si>
    <t>Q2 2025</t>
  </si>
  <si>
    <t>Q3 2025</t>
  </si>
  <si>
    <t>Q4 2025</t>
  </si>
  <si>
    <t>Q2 2026</t>
  </si>
  <si>
    <t>Q3 2026</t>
  </si>
  <si>
    <t>Q2 2027</t>
  </si>
  <si>
    <t>Q3 2027</t>
  </si>
  <si>
    <t># Props</t>
  </si>
  <si>
    <t>Total Units</t>
  </si>
  <si>
    <t>Wtd Avg
Occupancy</t>
  </si>
  <si>
    <t>Currently
Occupied</t>
  </si>
  <si>
    <t>Target
@ 95%</t>
  </si>
  <si>
    <t>TOTAL</t>
  </si>
  <si>
    <t>% to be Absorbed</t>
  </si>
  <si>
    <t>ANALYSIS SETTINGS</t>
  </si>
  <si>
    <t>Stabilized Occupancy Target</t>
  </si>
  <si>
    <t>Target occupancy for absorption calculation</t>
  </si>
  <si>
    <t>Total Current Inventory</t>
  </si>
  <si>
    <t>Owner</t>
  </si>
  <si>
    <t>Proximity</t>
  </si>
  <si>
    <t>Type</t>
  </si>
  <si>
    <t>Garden</t>
  </si>
  <si>
    <t>Units Needed
to Reach 92.5%</t>
  </si>
  <si>
    <t>Units Needed
to Reach 90%</t>
  </si>
  <si>
    <t>Mid-Rise</t>
  </si>
  <si>
    <t>Townhome</t>
  </si>
  <si>
    <t>Low-Rise</t>
  </si>
  <si>
    <t>Q2 2023</t>
  </si>
  <si>
    <t>Q1 2024</t>
  </si>
  <si>
    <t>Q3 2028</t>
  </si>
  <si>
    <t>Q2 2028</t>
  </si>
  <si>
    <t>Q1 2028</t>
  </si>
  <si>
    <t>Q4 2027</t>
  </si>
  <si>
    <t>Q1 2027</t>
  </si>
  <si>
    <t>Q4 2026</t>
  </si>
  <si>
    <t>Q1 2026</t>
  </si>
  <si>
    <t>Q4 2024</t>
  </si>
  <si>
    <t>Q3 2024</t>
  </si>
  <si>
    <t xml:space="preserve">* 5-Mile Radius -Total Inventory is from Costar </t>
  </si>
  <si>
    <t>Units Needed
to Reach 95%</t>
  </si>
  <si>
    <t>2.6 mi</t>
  </si>
  <si>
    <t>0.8 mi</t>
  </si>
  <si>
    <t>3.2 mi</t>
  </si>
  <si>
    <t>3.6 mi</t>
  </si>
  <si>
    <t>SEASONS OF TRAVERSE MOUNTAIN – 5-mile Supply</t>
  </si>
  <si>
    <t>2023–2026 Deliveries  |  Lehi, UT  |  Stabilization Target:</t>
  </si>
  <si>
    <t>Reveal</t>
  </si>
  <si>
    <t>Wasatch Group</t>
  </si>
  <si>
    <t>70 E Advantage Dr</t>
  </si>
  <si>
    <t>ICO Companies</t>
  </si>
  <si>
    <t>1.5 mi</t>
  </si>
  <si>
    <t>Drexler Townhomes at Holbrook Farms</t>
  </si>
  <si>
    <t>Boyer Co</t>
  </si>
  <si>
    <t>2.2 mi</t>
  </si>
  <si>
    <t>Terra Vista</t>
  </si>
  <si>
    <t>Riverbend Management</t>
  </si>
  <si>
    <t>0.1 mi</t>
  </si>
  <si>
    <t>Trailside Townhomes</t>
  </si>
  <si>
    <t>IKON Development</t>
  </si>
  <si>
    <t>Innovation Park</t>
  </si>
  <si>
    <t>Beacon Cove Apartments</t>
  </si>
  <si>
    <t>Larry Lindstrom</t>
  </si>
  <si>
    <t>Sanctuary</t>
  </si>
  <si>
    <t>Holbrook Apartments</t>
  </si>
  <si>
    <t>Alta Vista</t>
  </si>
  <si>
    <t>Wood Partners</t>
  </si>
  <si>
    <t>The Centrum at Bluffdale</t>
  </si>
  <si>
    <t>Perry Homes</t>
  </si>
  <si>
    <t>Sole at Rockwell Point</t>
  </si>
  <si>
    <t>Garn Development</t>
  </si>
  <si>
    <t>ICO Multifamily Holdings</t>
  </si>
  <si>
    <t>0.4 mi</t>
  </si>
  <si>
    <t>3.9 mi</t>
  </si>
  <si>
    <t>Ivory Innovations</t>
  </si>
  <si>
    <t>5.0 mi</t>
  </si>
  <si>
    <t>Notes</t>
  </si>
  <si>
    <t>YEAR DELIVERED</t>
  </si>
  <si>
    <t>-Y3</t>
  </si>
  <si>
    <t>-Y2</t>
  </si>
  <si>
    <t>-Y1</t>
  </si>
  <si>
    <t>Affordable Component</t>
  </si>
  <si>
    <t>The Point Phase 1A</t>
  </si>
  <si>
    <t>Q4 2028</t>
  </si>
  <si>
    <t>Lincoln</t>
  </si>
  <si>
    <t>Ascend at Inverness</t>
  </si>
  <si>
    <t>DHI Communities</t>
  </si>
  <si>
    <t>LEASING UP (2025–2026 Deliveries) (2 properties, 661 units)</t>
  </si>
  <si>
    <t>UNDER CONSTRUCTION (2026–2028 Expected) (3 properties, 618 units)</t>
  </si>
  <si>
    <t>PROPOSED (2029 - 2031 Potentially) (4 properties, 1473 units)</t>
  </si>
  <si>
    <t>1.0 mi</t>
  </si>
  <si>
    <t>STABILIZED / STABILIZING (2023–2024 Deliveries) (4 properties, 768 units)</t>
  </si>
  <si>
    <t>Q3 2029</t>
  </si>
  <si>
    <t>Q1 2029</t>
  </si>
  <si>
    <t>Q2 2029</t>
  </si>
  <si>
    <t>Salt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</si>
</sst>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8" formatCode="&quot;$&quot;#,##0"/>
  </numFmts>
  <fonts count="21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9"/>
      <name val="Arial"/>
      <family val="2"/>
    </font>
    <font>
      <i/>
      <sz val="8"/>
      <color rgb="FF595959"/>
      <name val="Arial"/>
      <family val="2"/>
    </font>
    <font>
      <sz val="9"/>
      <name val="Arial"/>
      <family val="2"/>
    </font>
    <font>
      <b/>
      <sz val="9"/>
      <color rgb="FF0000FF"/>
      <name val="Arial"/>
      <family val="2"/>
    </font>
    <font>
      <i/>
      <sz val="9"/>
      <name val="Arial"/>
      <family val="2"/>
    </font>
    <font>
      <b/>
      <sz val="8"/>
      <color rgb="FFFFFFFF"/>
      <name val="Arial"/>
      <family val="2"/>
    </font>
    <font>
      <b/>
      <sz val="9"/>
      <color rgb="FF9C0006"/>
      <name val="Arial"/>
      <family val="2"/>
    </font>
    <font>
      <i/>
      <sz val="9"/>
      <color rgb="FF595959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ED7D3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3" borderId="0" xfId="0" applyFont="1" applyFill="1" applyAlignment="1">
      <alignment horizontal="center" vertical="center"/>
    </xf>
    <xf numFmtId="0" fontId="10" fillId="0" borderId="0" xfId="0" applyFont="1"/>
    <xf numFmtId="9" fontId="11" fillId="4" borderId="0" xfId="0" applyNumberFormat="1" applyFont="1" applyFill="1"/>
    <xf numFmtId="0" fontId="12" fillId="0" borderId="0" xfId="0" applyFont="1"/>
    <xf numFmtId="0" fontId="9" fillId="0" borderId="0" xfId="0" applyFont="1" applyAlignment="1">
      <alignment horizontal="left" vertical="center"/>
    </xf>
    <xf numFmtId="3" fontId="0" fillId="6" borderId="1" xfId="0" applyNumberFormat="1" applyFill="1" applyBorder="1" applyAlignment="1">
      <alignment horizontal="center"/>
    </xf>
    <xf numFmtId="10" fontId="8" fillId="8" borderId="3" xfId="0" applyNumberFormat="1" applyFont="1" applyFill="1" applyBorder="1" applyAlignment="1">
      <alignment horizontal="center" vertical="center"/>
    </xf>
    <xf numFmtId="10" fontId="8" fillId="8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4" fillId="5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5" fillId="10" borderId="9" xfId="0" applyFont="1" applyFill="1" applyBorder="1" applyAlignment="1">
      <alignment vertical="center"/>
    </xf>
    <xf numFmtId="0" fontId="5" fillId="10" borderId="6" xfId="0" applyFont="1" applyFill="1" applyBorder="1" applyAlignment="1">
      <alignment horizontal="center" vertical="center"/>
    </xf>
    <xf numFmtId="3" fontId="5" fillId="10" borderId="6" xfId="0" applyNumberFormat="1" applyFont="1" applyFill="1" applyBorder="1" applyAlignment="1">
      <alignment horizontal="center" vertical="center"/>
    </xf>
    <xf numFmtId="164" fontId="5" fillId="10" borderId="6" xfId="0" applyNumberFormat="1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left" vertical="center"/>
    </xf>
    <xf numFmtId="165" fontId="17" fillId="9" borderId="5" xfId="0" applyNumberFormat="1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left" vertical="center"/>
    </xf>
    <xf numFmtId="0" fontId="16" fillId="12" borderId="0" xfId="0" applyFont="1" applyFill="1" applyAlignment="1">
      <alignment horizontal="center" vertical="center"/>
    </xf>
    <xf numFmtId="0" fontId="19" fillId="9" borderId="1" xfId="0" applyFont="1" applyFill="1" applyBorder="1" applyAlignment="1">
      <alignment horizontal="center"/>
    </xf>
    <xf numFmtId="0" fontId="19" fillId="9" borderId="1" xfId="0" applyFont="1" applyFill="1" applyBorder="1" applyAlignment="1">
      <alignment horizontal="left"/>
    </xf>
    <xf numFmtId="164" fontId="19" fillId="9" borderId="1" xfId="0" applyNumberFormat="1" applyFont="1" applyFill="1" applyBorder="1" applyAlignment="1">
      <alignment horizontal="center"/>
    </xf>
    <xf numFmtId="168" fontId="19" fillId="9" borderId="1" xfId="0" applyNumberFormat="1" applyFont="1" applyFill="1" applyBorder="1" applyAlignment="1">
      <alignment horizontal="center"/>
    </xf>
    <xf numFmtId="0" fontId="19" fillId="9" borderId="5" xfId="0" applyFont="1" applyFill="1" applyBorder="1" applyAlignment="1">
      <alignment horizontal="center"/>
    </xf>
    <xf numFmtId="0" fontId="19" fillId="9" borderId="5" xfId="0" applyFont="1" applyFill="1" applyBorder="1" applyAlignment="1">
      <alignment horizontal="left"/>
    </xf>
    <xf numFmtId="164" fontId="19" fillId="9" borderId="5" xfId="0" applyNumberFormat="1" applyFont="1" applyFill="1" applyBorder="1" applyAlignment="1">
      <alignment horizontal="center"/>
    </xf>
    <xf numFmtId="168" fontId="19" fillId="9" borderId="5" xfId="0" applyNumberFormat="1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left"/>
    </xf>
    <xf numFmtId="168" fontId="19" fillId="8" borderId="1" xfId="0" applyNumberFormat="1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left"/>
    </xf>
    <xf numFmtId="164" fontId="19" fillId="8" borderId="5" xfId="0" applyNumberFormat="1" applyFont="1" applyFill="1" applyBorder="1" applyAlignment="1">
      <alignment horizontal="center"/>
    </xf>
    <xf numFmtId="168" fontId="19" fillId="8" borderId="5" xfId="0" applyNumberFormat="1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0" fillId="7" borderId="4" xfId="0" applyFill="1" applyBorder="1"/>
    <xf numFmtId="0" fontId="4" fillId="2" borderId="5" xfId="0" applyFont="1" applyFill="1" applyBorder="1" applyAlignment="1">
      <alignment horizontal="center" vertical="center"/>
    </xf>
    <xf numFmtId="0" fontId="19" fillId="9" borderId="7" xfId="0" applyFont="1" applyFill="1" applyBorder="1" applyAlignment="1">
      <alignment horizontal="center"/>
    </xf>
    <xf numFmtId="164" fontId="19" fillId="9" borderId="7" xfId="0" applyNumberFormat="1" applyFont="1" applyFill="1" applyBorder="1" applyAlignment="1">
      <alignment horizontal="center"/>
    </xf>
    <xf numFmtId="168" fontId="19" fillId="9" borderId="7" xfId="0" applyNumberFormat="1" applyFont="1" applyFill="1" applyBorder="1" applyAlignment="1">
      <alignment horizontal="center"/>
    </xf>
    <xf numFmtId="0" fontId="18" fillId="11" borderId="2" xfId="0" applyFont="1" applyFill="1" applyBorder="1" applyAlignment="1">
      <alignment horizontal="center"/>
    </xf>
    <xf numFmtId="0" fontId="0" fillId="11" borderId="2" xfId="0" applyFill="1" applyBorder="1"/>
    <xf numFmtId="168" fontId="17" fillId="9" borderId="5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/>
    </xf>
    <xf numFmtId="49" fontId="0" fillId="0" borderId="0" xfId="0" applyNumberFormat="1"/>
    <xf numFmtId="0" fontId="20" fillId="0" borderId="0" xfId="0" applyFont="1"/>
    <xf numFmtId="0" fontId="7" fillId="3" borderId="7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left" vertical="center"/>
    </xf>
    <xf numFmtId="168" fontId="17" fillId="6" borderId="0" xfId="0" applyNumberFormat="1" applyFont="1" applyFill="1" applyAlignment="1">
      <alignment horizontal="center" vertical="center"/>
    </xf>
    <xf numFmtId="0" fontId="19" fillId="6" borderId="0" xfId="0" applyFont="1" applyFill="1" applyAlignment="1">
      <alignment horizontal="center"/>
    </xf>
    <xf numFmtId="0" fontId="19" fillId="6" borderId="0" xfId="0" applyFont="1" applyFill="1" applyAlignment="1">
      <alignment horizontal="left"/>
    </xf>
    <xf numFmtId="164" fontId="19" fillId="6" borderId="0" xfId="0" applyNumberFormat="1" applyFont="1" applyFill="1" applyAlignment="1">
      <alignment horizontal="center"/>
    </xf>
    <xf numFmtId="168" fontId="19" fillId="6" borderId="0" xfId="0" applyNumberFormat="1" applyFont="1" applyFill="1" applyAlignment="1">
      <alignment horizontal="center"/>
    </xf>
    <xf numFmtId="164" fontId="19" fillId="8" borderId="1" xfId="0" applyNumberFormat="1" applyFont="1" applyFill="1" applyBorder="1" applyAlignment="1">
      <alignment horizontal="center"/>
    </xf>
    <xf numFmtId="0" fontId="18" fillId="13" borderId="2" xfId="0" applyFont="1" applyFill="1" applyBorder="1" applyAlignment="1">
      <alignment horizontal="center"/>
    </xf>
    <xf numFmtId="0" fontId="0" fillId="13" borderId="2" xfId="0" applyFill="1" applyBorder="1"/>
    <xf numFmtId="0" fontId="5" fillId="9" borderId="7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 wrapText="1"/>
    </xf>
    <xf numFmtId="0" fontId="5" fillId="9" borderId="7" xfId="0" applyFont="1" applyFill="1" applyBorder="1" applyAlignment="1">
      <alignment horizontal="center"/>
    </xf>
    <xf numFmtId="0" fontId="4" fillId="11" borderId="2" xfId="0" applyFont="1" applyFill="1" applyBorder="1"/>
    <xf numFmtId="0" fontId="4" fillId="12" borderId="0" xfId="0" applyFont="1" applyFill="1" applyAlignment="1">
      <alignment horizontal="left" vertical="center"/>
    </xf>
    <xf numFmtId="0" fontId="4" fillId="13" borderId="2" xfId="0" applyFont="1" applyFill="1" applyBorder="1"/>
    <xf numFmtId="0" fontId="4" fillId="7" borderId="4" xfId="0" applyFont="1" applyFill="1" applyBorder="1"/>
    <xf numFmtId="0" fontId="5" fillId="9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BE81C2-0E2B-4F1D-96F6-0E5F8473C41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65380e6-b337-4f15-9665-b5b3cd2b0ac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S60"/>
  <sheetViews>
    <sheetView showGridLines="0" tabSelected="1" zoomScale="90" zoomScaleNormal="90" workbookViewId="0">
      <pane ySplit="4" topLeftCell="A5" activePane="bottomLeft" state="frozen"/>
      <selection pane="bottomLeft" activeCell="C27" sqref="C27"/>
    </sheetView>
  </sheetViews>
  <sheetFormatPr defaultColWidth="8.5546875" defaultRowHeight="14.4" x14ac:dyDescent="0.3"/>
  <cols>
    <col min="1" max="1" width="4.5546875" customWidth="1"/>
    <col min="2" max="2" width="3.21875" customWidth="1"/>
    <col min="3" max="3" width="29.109375" customWidth="1"/>
    <col min="4" max="4" width="8" customWidth="1"/>
    <col min="5" max="5" width="11.21875" customWidth="1"/>
    <col min="6" max="6" width="9.6640625" customWidth="1"/>
    <col min="7" max="7" width="13.21875" customWidth="1"/>
    <col min="8" max="8" width="21.77734375" customWidth="1"/>
    <col min="9" max="9" width="11.77734375" customWidth="1"/>
    <col min="10" max="10" width="15.109375" customWidth="1"/>
    <col min="11" max="11" width="17.33203125" customWidth="1"/>
    <col min="12" max="12" width="7.21875" customWidth="1"/>
    <col min="18" max="18" width="22" bestFit="1" customWidth="1"/>
  </cols>
  <sheetData>
    <row r="2" spans="2:13" ht="21.75" customHeight="1" x14ac:dyDescent="0.3">
      <c r="B2" s="9"/>
      <c r="C2" s="80" t="s">
        <v>55</v>
      </c>
      <c r="D2" s="80"/>
      <c r="E2" s="80"/>
      <c r="F2" s="80"/>
      <c r="G2" s="80"/>
    </row>
    <row r="3" spans="2:13" ht="13.5" hidden="1" customHeight="1" x14ac:dyDescent="0.3">
      <c r="B3" s="87" t="s">
        <v>56</v>
      </c>
      <c r="C3" s="87"/>
      <c r="D3" s="87"/>
      <c r="E3" s="87"/>
      <c r="F3" s="87"/>
      <c r="G3" s="1" t="str">
        <f>TEXT(Settings!$B$2,"0%")&amp;" target"</f>
        <v>95% target</v>
      </c>
    </row>
    <row r="4" spans="2:13" ht="18" customHeight="1" x14ac:dyDescent="0.3">
      <c r="B4" s="81" t="s">
        <v>0</v>
      </c>
      <c r="C4" s="82"/>
      <c r="D4" s="43" t="s">
        <v>1</v>
      </c>
      <c r="E4" s="43" t="s">
        <v>2</v>
      </c>
      <c r="F4" s="43" t="s">
        <v>3</v>
      </c>
      <c r="G4" s="43" t="s">
        <v>4</v>
      </c>
      <c r="H4" s="43" t="s">
        <v>29</v>
      </c>
      <c r="I4" s="43" t="s">
        <v>30</v>
      </c>
      <c r="J4" s="43" t="s">
        <v>31</v>
      </c>
      <c r="K4" s="51" t="s">
        <v>86</v>
      </c>
    </row>
    <row r="5" spans="2:13" ht="15.75" customHeight="1" x14ac:dyDescent="0.3">
      <c r="B5" s="41"/>
      <c r="C5" s="75" t="s">
        <v>101</v>
      </c>
      <c r="D5" s="42"/>
      <c r="E5" s="42"/>
      <c r="F5" s="42"/>
      <c r="G5" s="42"/>
      <c r="H5" s="42"/>
      <c r="I5" s="42"/>
      <c r="J5" s="42"/>
      <c r="K5" s="42"/>
      <c r="M5" t="s">
        <v>87</v>
      </c>
    </row>
    <row r="6" spans="2:13" ht="13.5" customHeight="1" x14ac:dyDescent="0.3">
      <c r="B6" s="37">
        <v>1</v>
      </c>
      <c r="C6" s="38" t="s">
        <v>57</v>
      </c>
      <c r="D6" s="37">
        <v>245</v>
      </c>
      <c r="E6" s="37" t="s">
        <v>8</v>
      </c>
      <c r="F6" s="39">
        <v>0.96299999999999997</v>
      </c>
      <c r="G6" s="40">
        <v>1845</v>
      </c>
      <c r="H6" s="37" t="s">
        <v>58</v>
      </c>
      <c r="I6" s="37" t="s">
        <v>85</v>
      </c>
      <c r="J6" s="37" t="s">
        <v>35</v>
      </c>
      <c r="K6" s="37"/>
      <c r="M6" s="53" t="s">
        <v>89</v>
      </c>
    </row>
    <row r="7" spans="2:13" ht="13.5" customHeight="1" x14ac:dyDescent="0.3">
      <c r="B7" s="30">
        <v>2</v>
      </c>
      <c r="C7" s="31" t="s">
        <v>59</v>
      </c>
      <c r="D7" s="30">
        <v>89</v>
      </c>
      <c r="E7" s="30" t="s">
        <v>7</v>
      </c>
      <c r="F7" s="32">
        <f>100%-7.9%</f>
        <v>0.92100000000000004</v>
      </c>
      <c r="G7" s="33" t="s">
        <v>6</v>
      </c>
      <c r="H7" s="30" t="s">
        <v>60</v>
      </c>
      <c r="I7" s="30" t="s">
        <v>61</v>
      </c>
      <c r="J7" s="30" t="s">
        <v>32</v>
      </c>
      <c r="K7" s="30"/>
      <c r="M7" s="53" t="s">
        <v>89</v>
      </c>
    </row>
    <row r="8" spans="2:13" ht="13.5" customHeight="1" x14ac:dyDescent="0.3">
      <c r="B8" s="37">
        <v>3</v>
      </c>
      <c r="C8" s="38" t="s">
        <v>62</v>
      </c>
      <c r="D8" s="37">
        <v>117</v>
      </c>
      <c r="E8" s="37" t="s">
        <v>38</v>
      </c>
      <c r="F8" s="39">
        <f>100%-13.7%</f>
        <v>0.86299999999999999</v>
      </c>
      <c r="G8" s="40">
        <v>2720</v>
      </c>
      <c r="H8" s="37" t="s">
        <v>63</v>
      </c>
      <c r="I8" s="37" t="s">
        <v>64</v>
      </c>
      <c r="J8" s="37" t="s">
        <v>36</v>
      </c>
      <c r="K8" s="37"/>
      <c r="M8" s="53" t="s">
        <v>88</v>
      </c>
    </row>
    <row r="9" spans="2:13" ht="13.5" customHeight="1" x14ac:dyDescent="0.3">
      <c r="B9" s="26">
        <v>4</v>
      </c>
      <c r="C9" s="27" t="s">
        <v>65</v>
      </c>
      <c r="D9" s="26">
        <v>317</v>
      </c>
      <c r="E9" s="26" t="s">
        <v>48</v>
      </c>
      <c r="F9" s="28">
        <v>0.78200000000000003</v>
      </c>
      <c r="G9" s="29">
        <v>1764</v>
      </c>
      <c r="H9" s="26" t="s">
        <v>66</v>
      </c>
      <c r="I9" s="26" t="s">
        <v>67</v>
      </c>
      <c r="J9" s="26" t="s">
        <v>35</v>
      </c>
      <c r="K9" s="26"/>
      <c r="M9" s="53" t="s">
        <v>90</v>
      </c>
    </row>
    <row r="10" spans="2:13" ht="13.5" customHeight="1" x14ac:dyDescent="0.3"/>
    <row r="11" spans="2:13" ht="13.5" customHeight="1" x14ac:dyDescent="0.3">
      <c r="B11" s="47"/>
      <c r="C11" s="72" t="s">
        <v>97</v>
      </c>
      <c r="D11" s="48"/>
      <c r="E11" s="48"/>
      <c r="F11" s="48"/>
      <c r="G11" s="48"/>
      <c r="H11" s="48"/>
      <c r="I11" s="48"/>
      <c r="J11" s="48"/>
      <c r="K11" s="48"/>
    </row>
    <row r="12" spans="2:13" ht="13.5" hidden="1" customHeight="1" x14ac:dyDescent="0.3">
      <c r="B12" s="34">
        <v>6</v>
      </c>
      <c r="C12" s="35" t="s">
        <v>71</v>
      </c>
      <c r="D12" s="34">
        <v>9</v>
      </c>
      <c r="E12" s="34" t="s">
        <v>13</v>
      </c>
      <c r="F12" s="65">
        <v>0.88890000000000002</v>
      </c>
      <c r="G12" s="36">
        <v>1416</v>
      </c>
      <c r="H12" s="34" t="s">
        <v>72</v>
      </c>
      <c r="I12" s="34" t="s">
        <v>53</v>
      </c>
      <c r="J12" s="34" t="s">
        <v>37</v>
      </c>
      <c r="K12" s="34"/>
    </row>
    <row r="13" spans="2:13" ht="13.5" customHeight="1" x14ac:dyDescent="0.3">
      <c r="B13" s="34">
        <v>5</v>
      </c>
      <c r="C13" s="35" t="s">
        <v>70</v>
      </c>
      <c r="D13" s="34">
        <v>142</v>
      </c>
      <c r="E13" s="34" t="s">
        <v>11</v>
      </c>
      <c r="F13" s="65">
        <v>0.87319999999999998</v>
      </c>
      <c r="G13" s="36">
        <v>1591</v>
      </c>
      <c r="H13" s="34" t="s">
        <v>84</v>
      </c>
      <c r="I13" s="34" t="s">
        <v>51</v>
      </c>
      <c r="J13" s="34" t="s">
        <v>32</v>
      </c>
      <c r="K13" s="34" t="s">
        <v>91</v>
      </c>
      <c r="M13" s="50"/>
    </row>
    <row r="14" spans="2:13" ht="13.5" customHeight="1" x14ac:dyDescent="0.3">
      <c r="B14" s="26">
        <v>6</v>
      </c>
      <c r="C14" s="27" t="s">
        <v>73</v>
      </c>
      <c r="D14" s="26">
        <v>519</v>
      </c>
      <c r="E14" s="26" t="s">
        <v>46</v>
      </c>
      <c r="F14" s="28">
        <v>8.8999999999999996E-2</v>
      </c>
      <c r="G14" s="29">
        <v>2478</v>
      </c>
      <c r="H14" s="76" t="s">
        <v>105</v>
      </c>
      <c r="I14" s="26" t="s">
        <v>52</v>
      </c>
      <c r="J14" s="26" t="s">
        <v>35</v>
      </c>
      <c r="K14" s="26"/>
    </row>
    <row r="15" spans="2:13" ht="7.5" customHeight="1" x14ac:dyDescent="0.3"/>
    <row r="16" spans="2:13" ht="7.5" customHeight="1" x14ac:dyDescent="0.3"/>
    <row r="17" spans="2:19" ht="15.75" customHeight="1" x14ac:dyDescent="0.3">
      <c r="B17" s="25"/>
      <c r="C17" s="73" t="s">
        <v>98</v>
      </c>
      <c r="D17" s="25"/>
      <c r="E17" s="25"/>
      <c r="F17" s="25"/>
      <c r="G17" s="25"/>
      <c r="H17" s="25"/>
      <c r="I17" s="25"/>
      <c r="J17" s="25"/>
      <c r="K17" s="25"/>
    </row>
    <row r="18" spans="2:19" ht="13.5" customHeight="1" x14ac:dyDescent="0.3">
      <c r="B18" s="37">
        <v>7</v>
      </c>
      <c r="C18" s="38" t="s">
        <v>68</v>
      </c>
      <c r="D18" s="37">
        <v>149</v>
      </c>
      <c r="E18" s="52" t="s">
        <v>14</v>
      </c>
      <c r="F18" s="39">
        <v>3.4000000000000002E-2</v>
      </c>
      <c r="G18" s="40">
        <v>2999</v>
      </c>
      <c r="H18" s="37" t="s">
        <v>69</v>
      </c>
      <c r="I18" s="37" t="s">
        <v>53</v>
      </c>
      <c r="J18" s="37" t="s">
        <v>36</v>
      </c>
      <c r="K18" s="37"/>
      <c r="R18" s="54"/>
      <c r="S18" s="54"/>
    </row>
    <row r="19" spans="2:19" ht="13.5" customHeight="1" x14ac:dyDescent="0.3">
      <c r="B19" s="20">
        <v>8</v>
      </c>
      <c r="C19" s="21" t="s">
        <v>74</v>
      </c>
      <c r="D19" s="20">
        <v>165</v>
      </c>
      <c r="E19" s="20" t="s">
        <v>15</v>
      </c>
      <c r="F19" s="20" t="s">
        <v>6</v>
      </c>
      <c r="G19" s="49">
        <v>1765</v>
      </c>
      <c r="H19" s="22" t="s">
        <v>81</v>
      </c>
      <c r="I19" s="22" t="s">
        <v>51</v>
      </c>
      <c r="J19" s="22" t="s">
        <v>37</v>
      </c>
      <c r="K19" s="22"/>
    </row>
    <row r="20" spans="2:19" ht="13.5" customHeight="1" x14ac:dyDescent="0.3">
      <c r="B20" s="23">
        <v>9</v>
      </c>
      <c r="C20" s="24" t="s">
        <v>75</v>
      </c>
      <c r="D20" s="23">
        <v>304</v>
      </c>
      <c r="E20" s="23" t="s">
        <v>16</v>
      </c>
      <c r="F20" s="23" t="s">
        <v>6</v>
      </c>
      <c r="G20" s="23" t="s">
        <v>6</v>
      </c>
      <c r="H20" s="23" t="s">
        <v>76</v>
      </c>
      <c r="I20" s="23" t="s">
        <v>82</v>
      </c>
      <c r="J20" s="23" t="s">
        <v>35</v>
      </c>
      <c r="K20" s="23"/>
    </row>
    <row r="21" spans="2:19" ht="11.55" customHeight="1" x14ac:dyDescent="0.3">
      <c r="B21" s="58"/>
      <c r="C21" s="59"/>
      <c r="D21" s="58"/>
      <c r="E21" s="58"/>
      <c r="F21" s="58"/>
      <c r="G21" s="60"/>
      <c r="H21" s="58"/>
      <c r="I21" s="58"/>
      <c r="J21" s="58"/>
      <c r="K21" s="58"/>
    </row>
    <row r="22" spans="2:19" ht="11.55" customHeight="1" x14ac:dyDescent="0.3">
      <c r="B22" s="66"/>
      <c r="C22" s="74" t="s">
        <v>99</v>
      </c>
      <c r="D22" s="67"/>
      <c r="E22" s="67"/>
      <c r="F22" s="67"/>
      <c r="G22" s="67"/>
      <c r="H22" s="67"/>
      <c r="I22" s="67"/>
      <c r="J22" s="67"/>
      <c r="K22" s="67"/>
    </row>
    <row r="23" spans="2:19" ht="11.55" customHeight="1" x14ac:dyDescent="0.3">
      <c r="B23" s="30">
        <v>10</v>
      </c>
      <c r="C23" s="68" t="s">
        <v>95</v>
      </c>
      <c r="D23" s="44">
        <v>302</v>
      </c>
      <c r="E23" s="44" t="s">
        <v>93</v>
      </c>
      <c r="F23" s="45" t="s">
        <v>6</v>
      </c>
      <c r="G23" s="46" t="s">
        <v>6</v>
      </c>
      <c r="H23" s="71" t="s">
        <v>96</v>
      </c>
      <c r="I23" s="71" t="s">
        <v>100</v>
      </c>
      <c r="J23" s="71" t="s">
        <v>32</v>
      </c>
      <c r="K23" s="70"/>
    </row>
    <row r="24" spans="2:19" ht="11.55" customHeight="1" x14ac:dyDescent="0.3">
      <c r="B24" s="34">
        <v>11</v>
      </c>
      <c r="C24" s="35" t="s">
        <v>77</v>
      </c>
      <c r="D24" s="34">
        <v>252</v>
      </c>
      <c r="E24" s="69" t="s">
        <v>103</v>
      </c>
      <c r="F24" s="34" t="s">
        <v>6</v>
      </c>
      <c r="G24" s="36" t="s">
        <v>6</v>
      </c>
      <c r="H24" s="34" t="s">
        <v>78</v>
      </c>
      <c r="I24" s="34" t="s">
        <v>83</v>
      </c>
      <c r="J24" s="34" t="s">
        <v>35</v>
      </c>
      <c r="K24" s="69"/>
    </row>
    <row r="25" spans="2:19" ht="13.5" customHeight="1" x14ac:dyDescent="0.3">
      <c r="B25" s="30">
        <v>12</v>
      </c>
      <c r="C25" s="68" t="s">
        <v>79</v>
      </c>
      <c r="D25" s="44">
        <v>506</v>
      </c>
      <c r="E25" s="71" t="s">
        <v>103</v>
      </c>
      <c r="F25" s="45" t="s">
        <v>6</v>
      </c>
      <c r="G25" s="46" t="s">
        <v>6</v>
      </c>
      <c r="H25" s="71" t="s">
        <v>80</v>
      </c>
      <c r="I25" s="44" t="s">
        <v>54</v>
      </c>
      <c r="J25" s="44" t="s">
        <v>35</v>
      </c>
      <c r="K25" s="70"/>
    </row>
    <row r="26" spans="2:19" ht="13.5" customHeight="1" x14ac:dyDescent="0.3">
      <c r="B26" s="34">
        <v>13</v>
      </c>
      <c r="C26" s="35" t="s">
        <v>92</v>
      </c>
      <c r="D26" s="34">
        <v>413</v>
      </c>
      <c r="E26" s="69" t="s">
        <v>102</v>
      </c>
      <c r="F26" s="34" t="s">
        <v>6</v>
      </c>
      <c r="G26" s="36" t="s">
        <v>6</v>
      </c>
      <c r="H26" s="34" t="s">
        <v>94</v>
      </c>
      <c r="I26" s="34" t="s">
        <v>54</v>
      </c>
      <c r="J26" s="34" t="s">
        <v>35</v>
      </c>
      <c r="K26" s="69"/>
    </row>
    <row r="27" spans="2:19" ht="30.45" customHeight="1" x14ac:dyDescent="0.3">
      <c r="B27" s="61"/>
      <c r="C27" s="62"/>
      <c r="D27" s="61"/>
      <c r="E27" s="61"/>
      <c r="F27" s="63"/>
      <c r="G27" s="64"/>
      <c r="H27" s="61"/>
      <c r="I27" s="61"/>
      <c r="J27" s="61"/>
      <c r="K27" s="61"/>
    </row>
    <row r="28" spans="2:19" ht="22.05" customHeight="1" x14ac:dyDescent="0.3">
      <c r="B28" s="83" t="s">
        <v>2</v>
      </c>
      <c r="C28" s="84"/>
      <c r="D28" s="55" t="s">
        <v>18</v>
      </c>
      <c r="E28" s="55" t="s">
        <v>19</v>
      </c>
      <c r="F28" s="55" t="s">
        <v>20</v>
      </c>
      <c r="G28" s="55" t="s">
        <v>21</v>
      </c>
      <c r="H28" s="55" t="s">
        <v>22</v>
      </c>
      <c r="I28" s="56" t="s">
        <v>50</v>
      </c>
      <c r="J28" s="57" t="s">
        <v>33</v>
      </c>
      <c r="K28" s="57" t="s">
        <v>34</v>
      </c>
    </row>
    <row r="29" spans="2:19" ht="13.5" customHeight="1" x14ac:dyDescent="0.3">
      <c r="B29" s="16" t="s">
        <v>102</v>
      </c>
      <c r="C29" s="17"/>
      <c r="D29" s="17">
        <f t="shared" ref="D29:D55" si="0">COUNTIF($E$6:$E$26,B29)</f>
        <v>1</v>
      </c>
      <c r="E29" s="18">
        <f t="shared" ref="E29:E55" si="1">SUMIF($E$6:$E$26,B29,$D$6:$D$26)</f>
        <v>413</v>
      </c>
      <c r="F29" s="19" cm="1">
        <f t="array" ref="F29">IFERROR(SUMPRODUCT(($E$6:$E$20=B29)*IFERROR($D$6:$D$20*$F$6:$F$20,0))/SUMPRODUCT(($E$6:$E$20=B29)*ISNUMBER($F$6:$F$20)*$D$6:$D$20),0)</f>
        <v>0</v>
      </c>
      <c r="G29" s="18">
        <f t="shared" ref="G29" si="2">F29*E29</f>
        <v>0</v>
      </c>
      <c r="H29" s="18">
        <f t="shared" ref="H29" si="3">E29*0.95</f>
        <v>392.34999999999997</v>
      </c>
      <c r="I29" s="10">
        <f t="shared" ref="I29" si="4">H29-G29</f>
        <v>392.34999999999997</v>
      </c>
      <c r="J29" s="10">
        <f t="shared" ref="J29" si="5">(E29*92.5%)-G29</f>
        <v>382.02500000000003</v>
      </c>
      <c r="K29" s="10">
        <f t="shared" ref="K29" si="6">(E29*0.9)-G29</f>
        <v>371.7</v>
      </c>
    </row>
    <row r="30" spans="2:19" ht="13.5" customHeight="1" x14ac:dyDescent="0.3">
      <c r="B30" s="16" t="s">
        <v>104</v>
      </c>
      <c r="C30" s="17"/>
      <c r="D30" s="17">
        <f t="shared" si="0"/>
        <v>0</v>
      </c>
      <c r="E30" s="18">
        <f t="shared" si="1"/>
        <v>0</v>
      </c>
      <c r="F30" s="19" cm="1">
        <f t="array" ref="F30">IFERROR(SUMPRODUCT(($E$6:$E$20=B30)*IFERROR($D$6:$D$20*$F$6:$F$20,0))/SUMPRODUCT(($E$6:$E$20=B30)*ISNUMBER($F$6:$F$20)*$D$6:$D$20),0)</f>
        <v>0</v>
      </c>
      <c r="G30" s="18">
        <f t="shared" ref="G30" si="7">F30*E30</f>
        <v>0</v>
      </c>
      <c r="H30" s="18">
        <f t="shared" ref="H30" si="8">E30*0.95</f>
        <v>0</v>
      </c>
      <c r="I30" s="10">
        <f t="shared" ref="I30" si="9">H30-G30</f>
        <v>0</v>
      </c>
      <c r="J30" s="10">
        <f t="shared" ref="J30" si="10">(E30*92.5%)-G30</f>
        <v>0</v>
      </c>
      <c r="K30" s="10">
        <f t="shared" ref="K30" si="11">(E30*0.9)-G30</f>
        <v>0</v>
      </c>
    </row>
    <row r="31" spans="2:19" ht="13.5" customHeight="1" x14ac:dyDescent="0.3">
      <c r="B31" s="16" t="s">
        <v>103</v>
      </c>
      <c r="C31" s="17"/>
      <c r="D31" s="17">
        <f t="shared" si="0"/>
        <v>2</v>
      </c>
      <c r="E31" s="18">
        <f t="shared" si="1"/>
        <v>758</v>
      </c>
      <c r="F31" s="19" cm="1">
        <f t="array" ref="F31">IFERROR(SUMPRODUCT(($E$6:$E$20=B31)*IFERROR($D$6:$D$20*$F$6:$F$20,0))/SUMPRODUCT(($E$6:$E$20=B31)*ISNUMBER($F$6:$F$20)*$D$6:$D$20),0)</f>
        <v>0</v>
      </c>
      <c r="G31" s="18">
        <f t="shared" ref="G31" si="12">F31*E31</f>
        <v>0</v>
      </c>
      <c r="H31" s="18">
        <f t="shared" ref="H31" si="13">E31*0.95</f>
        <v>720.1</v>
      </c>
      <c r="I31" s="10">
        <f t="shared" ref="I31" si="14">H31-G31</f>
        <v>720.1</v>
      </c>
      <c r="J31" s="10">
        <f t="shared" ref="J31" si="15">(E31*92.5%)-G31</f>
        <v>701.15</v>
      </c>
      <c r="K31" s="10">
        <f t="shared" ref="K31" si="16">(E31*0.9)-G31</f>
        <v>682.2</v>
      </c>
    </row>
    <row r="32" spans="2:19" ht="13.5" customHeight="1" x14ac:dyDescent="0.3">
      <c r="B32" s="16" t="s">
        <v>93</v>
      </c>
      <c r="C32" s="17"/>
      <c r="D32" s="17">
        <f t="shared" si="0"/>
        <v>1</v>
      </c>
      <c r="E32" s="18">
        <f t="shared" si="1"/>
        <v>302</v>
      </c>
      <c r="F32" s="19" cm="1">
        <f t="array" ref="F32">IFERROR(SUMPRODUCT(($E$6:$E$20=B32)*IFERROR($D$6:$D$20*$F$6:$F$20,0))/SUMPRODUCT(($E$6:$E$20=B32)*ISNUMBER($F$6:$F$20)*$D$6:$D$20),0)</f>
        <v>0</v>
      </c>
      <c r="G32" s="18">
        <f t="shared" ref="G32:G55" si="17">F32*E32</f>
        <v>0</v>
      </c>
      <c r="H32" s="18">
        <f t="shared" ref="H32:H55" si="18">E32*0.95</f>
        <v>286.89999999999998</v>
      </c>
      <c r="I32" s="10">
        <f t="shared" ref="I32:I55" si="19">H32-G32</f>
        <v>286.89999999999998</v>
      </c>
      <c r="J32" s="10">
        <f t="shared" ref="J32:J55" si="20">(E32*92.5%)-G32</f>
        <v>279.35000000000002</v>
      </c>
      <c r="K32" s="10">
        <f t="shared" ref="K32:K55" si="21">(E32*0.9)-G32</f>
        <v>271.8</v>
      </c>
    </row>
    <row r="33" spans="2:11" ht="13.5" customHeight="1" x14ac:dyDescent="0.3">
      <c r="B33" s="16" t="s">
        <v>40</v>
      </c>
      <c r="C33" s="17"/>
      <c r="D33" s="17">
        <f t="shared" si="0"/>
        <v>0</v>
      </c>
      <c r="E33" s="18">
        <f t="shared" si="1"/>
        <v>0</v>
      </c>
      <c r="F33" s="19" cm="1">
        <f t="array" ref="F33">IFERROR(SUMPRODUCT(($E$6:$E$20=B33)*IFERROR($D$6:$D$20*$F$6:$F$20,0))/SUMPRODUCT(($E$6:$E$20=B33)*ISNUMBER($F$6:$F$20)*$D$6:$D$20),0)</f>
        <v>0</v>
      </c>
      <c r="G33" s="18">
        <f t="shared" ref="G33" si="22">F33*E33</f>
        <v>0</v>
      </c>
      <c r="H33" s="18">
        <f t="shared" ref="H33" si="23">E33*0.95</f>
        <v>0</v>
      </c>
      <c r="I33" s="10">
        <f t="shared" ref="I33" si="24">H33-G33</f>
        <v>0</v>
      </c>
      <c r="J33" s="10">
        <f t="shared" ref="J33" si="25">(E33*92.5%)-G33</f>
        <v>0</v>
      </c>
      <c r="K33" s="10">
        <f t="shared" ref="K33" si="26">(E33*0.9)-G33</f>
        <v>0</v>
      </c>
    </row>
    <row r="34" spans="2:11" ht="13.5" customHeight="1" x14ac:dyDescent="0.3">
      <c r="B34" s="16" t="s">
        <v>41</v>
      </c>
      <c r="C34" s="17"/>
      <c r="D34" s="17">
        <f t="shared" si="0"/>
        <v>0</v>
      </c>
      <c r="E34" s="18">
        <f t="shared" si="1"/>
        <v>0</v>
      </c>
      <c r="F34" s="19" cm="1">
        <f t="array" ref="F34">IFERROR(SUMPRODUCT(($E$6:$E$20=B34)*IFERROR($D$6:$D$20*$F$6:$F$20,0))/SUMPRODUCT(($E$6:$E$20=B34)*ISNUMBER($F$6:$F$20)*$D$6:$D$20),0)</f>
        <v>0</v>
      </c>
      <c r="G34" s="18">
        <f t="shared" si="17"/>
        <v>0</v>
      </c>
      <c r="H34" s="18">
        <f t="shared" si="18"/>
        <v>0</v>
      </c>
      <c r="I34" s="10">
        <f t="shared" si="19"/>
        <v>0</v>
      </c>
      <c r="J34" s="10">
        <f t="shared" si="20"/>
        <v>0</v>
      </c>
      <c r="K34" s="10">
        <f t="shared" si="21"/>
        <v>0</v>
      </c>
    </row>
    <row r="35" spans="2:11" ht="13.5" customHeight="1" x14ac:dyDescent="0.3">
      <c r="B35" s="16" t="s">
        <v>42</v>
      </c>
      <c r="C35" s="17"/>
      <c r="D35" s="17">
        <f t="shared" si="0"/>
        <v>0</v>
      </c>
      <c r="E35" s="18">
        <f t="shared" si="1"/>
        <v>0</v>
      </c>
      <c r="F35" s="19" cm="1">
        <f t="array" ref="F35">IFERROR(SUMPRODUCT(($E$6:$E$20=B35)*IFERROR($D$6:$D$20*$F$6:$F$20,0))/SUMPRODUCT(($E$6:$E$20=B35)*ISNUMBER($F$6:$F$20)*$D$6:$D$20),0)</f>
        <v>0</v>
      </c>
      <c r="G35" s="18">
        <f t="shared" si="17"/>
        <v>0</v>
      </c>
      <c r="H35" s="18">
        <f t="shared" si="18"/>
        <v>0</v>
      </c>
      <c r="I35" s="10">
        <f t="shared" si="19"/>
        <v>0</v>
      </c>
      <c r="J35" s="10">
        <f t="shared" si="20"/>
        <v>0</v>
      </c>
      <c r="K35" s="10">
        <f t="shared" si="21"/>
        <v>0</v>
      </c>
    </row>
    <row r="36" spans="2:11" ht="13.5" customHeight="1" x14ac:dyDescent="0.3">
      <c r="B36" s="16" t="s">
        <v>43</v>
      </c>
      <c r="C36" s="17"/>
      <c r="D36" s="17">
        <f t="shared" si="0"/>
        <v>0</v>
      </c>
      <c r="E36" s="18">
        <f t="shared" si="1"/>
        <v>0</v>
      </c>
      <c r="F36" s="19" cm="1">
        <f t="array" ref="F36">IFERROR(SUMPRODUCT(($E$6:$E$20=B36)*IFERROR($D$6:$D$20*$F$6:$F$20,0))/SUMPRODUCT(($E$6:$E$20=B36)*ISNUMBER($F$6:$F$20)*$D$6:$D$20),0)</f>
        <v>0</v>
      </c>
      <c r="G36" s="18">
        <f t="shared" si="17"/>
        <v>0</v>
      </c>
      <c r="H36" s="18">
        <f t="shared" si="18"/>
        <v>0</v>
      </c>
      <c r="I36" s="10">
        <f t="shared" si="19"/>
        <v>0</v>
      </c>
      <c r="J36" s="10">
        <f t="shared" si="20"/>
        <v>0</v>
      </c>
      <c r="K36" s="10">
        <f t="shared" si="21"/>
        <v>0</v>
      </c>
    </row>
    <row r="37" spans="2:11" ht="13.5" customHeight="1" x14ac:dyDescent="0.3">
      <c r="B37" s="16" t="s">
        <v>17</v>
      </c>
      <c r="C37" s="17"/>
      <c r="D37" s="17">
        <f t="shared" si="0"/>
        <v>0</v>
      </c>
      <c r="E37" s="18">
        <f t="shared" si="1"/>
        <v>0</v>
      </c>
      <c r="F37" s="19" cm="1">
        <f t="array" ref="F37">IFERROR(SUMPRODUCT(($E$6:$E$20=B37)*IFERROR($D$6:$D$20*$F$6:$F$20,0))/SUMPRODUCT(($E$6:$E$20=B37)*ISNUMBER($F$6:$F$20)*$D$6:$D$20),0)</f>
        <v>0</v>
      </c>
      <c r="G37" s="18">
        <f t="shared" si="17"/>
        <v>0</v>
      </c>
      <c r="H37" s="18">
        <f t="shared" si="18"/>
        <v>0</v>
      </c>
      <c r="I37" s="10">
        <f t="shared" si="19"/>
        <v>0</v>
      </c>
      <c r="J37" s="10">
        <f t="shared" si="20"/>
        <v>0</v>
      </c>
      <c r="K37" s="10">
        <f t="shared" si="21"/>
        <v>0</v>
      </c>
    </row>
    <row r="38" spans="2:11" ht="13.5" customHeight="1" x14ac:dyDescent="0.3">
      <c r="B38" s="16" t="s">
        <v>16</v>
      </c>
      <c r="C38" s="17"/>
      <c r="D38" s="17">
        <f t="shared" si="0"/>
        <v>1</v>
      </c>
      <c r="E38" s="18">
        <f t="shared" si="1"/>
        <v>304</v>
      </c>
      <c r="F38" s="19" cm="1">
        <f t="array" ref="F38">IFERROR(SUMPRODUCT(($E$6:$E$20=B38)*IFERROR($D$6:$D$20*$F$6:$F$20,0))/SUMPRODUCT(($E$6:$E$20=B38)*ISNUMBER($F$6:$F$20)*$D$6:$D$20),0)</f>
        <v>0</v>
      </c>
      <c r="G38" s="18">
        <f t="shared" si="17"/>
        <v>0</v>
      </c>
      <c r="H38" s="18">
        <f t="shared" si="18"/>
        <v>288.8</v>
      </c>
      <c r="I38" s="10">
        <f t="shared" si="19"/>
        <v>288.8</v>
      </c>
      <c r="J38" s="10">
        <f t="shared" si="20"/>
        <v>281.2</v>
      </c>
      <c r="K38" s="10">
        <f t="shared" si="21"/>
        <v>273.60000000000002</v>
      </c>
    </row>
    <row r="39" spans="2:11" ht="13.5" customHeight="1" x14ac:dyDescent="0.3">
      <c r="B39" s="16" t="s">
        <v>44</v>
      </c>
      <c r="C39" s="17"/>
      <c r="D39" s="17">
        <f t="shared" si="0"/>
        <v>0</v>
      </c>
      <c r="E39" s="18">
        <f t="shared" si="1"/>
        <v>0</v>
      </c>
      <c r="F39" s="19" cm="1">
        <f t="array" ref="F39">IFERROR(SUMPRODUCT(($E$6:$E$20=B39)*IFERROR($D$6:$D$20*$F$6:$F$20,0))/SUMPRODUCT(($E$6:$E$20=B39)*ISNUMBER($F$6:$F$20)*$D$6:$D$20),0)</f>
        <v>0</v>
      </c>
      <c r="G39" s="18">
        <f t="shared" si="17"/>
        <v>0</v>
      </c>
      <c r="H39" s="18">
        <f t="shared" si="18"/>
        <v>0</v>
      </c>
      <c r="I39" s="10">
        <f t="shared" si="19"/>
        <v>0</v>
      </c>
      <c r="J39" s="10">
        <f t="shared" si="20"/>
        <v>0</v>
      </c>
      <c r="K39" s="10">
        <f t="shared" si="21"/>
        <v>0</v>
      </c>
    </row>
    <row r="40" spans="2:11" ht="13.5" customHeight="1" x14ac:dyDescent="0.3">
      <c r="B40" s="16" t="s">
        <v>45</v>
      </c>
      <c r="C40" s="17"/>
      <c r="D40" s="17">
        <f t="shared" si="0"/>
        <v>0</v>
      </c>
      <c r="E40" s="18">
        <f t="shared" si="1"/>
        <v>0</v>
      </c>
      <c r="F40" s="19" cm="1">
        <f t="array" ref="F40">IFERROR(SUMPRODUCT(($E$6:$E$20=B40)*IFERROR($D$6:$D$20*$F$6:$F$20,0))/SUMPRODUCT(($E$6:$E$20=B40)*ISNUMBER($F$6:$F$20)*$D$6:$D$20),0)</f>
        <v>0</v>
      </c>
      <c r="G40" s="18">
        <f t="shared" si="17"/>
        <v>0</v>
      </c>
      <c r="H40" s="18">
        <f t="shared" si="18"/>
        <v>0</v>
      </c>
      <c r="I40" s="10">
        <f t="shared" si="19"/>
        <v>0</v>
      </c>
      <c r="J40" s="10">
        <f t="shared" si="20"/>
        <v>0</v>
      </c>
      <c r="K40" s="10">
        <f t="shared" si="21"/>
        <v>0</v>
      </c>
    </row>
    <row r="41" spans="2:11" ht="13.5" customHeight="1" x14ac:dyDescent="0.3">
      <c r="B41" s="16" t="s">
        <v>15</v>
      </c>
      <c r="C41" s="17"/>
      <c r="D41" s="17">
        <f t="shared" si="0"/>
        <v>1</v>
      </c>
      <c r="E41" s="18">
        <f t="shared" si="1"/>
        <v>165</v>
      </c>
      <c r="F41" s="19" cm="1">
        <f t="array" ref="F41">IFERROR(SUMPRODUCT(($E$6:$E$20=B41)*IFERROR($D$6:$D$20*$F$6:$F$20,0))/SUMPRODUCT(($E$6:$E$20=B41)*ISNUMBER($F$6:$F$20)*$D$6:$D$20),0)</f>
        <v>0</v>
      </c>
      <c r="G41" s="18">
        <f t="shared" si="17"/>
        <v>0</v>
      </c>
      <c r="H41" s="18">
        <f t="shared" si="18"/>
        <v>156.75</v>
      </c>
      <c r="I41" s="10">
        <f t="shared" si="19"/>
        <v>156.75</v>
      </c>
      <c r="J41" s="10">
        <f t="shared" si="20"/>
        <v>152.625</v>
      </c>
      <c r="K41" s="10">
        <f t="shared" si="21"/>
        <v>148.5</v>
      </c>
    </row>
    <row r="42" spans="2:11" ht="15" customHeight="1" x14ac:dyDescent="0.3">
      <c r="B42" s="16" t="s">
        <v>14</v>
      </c>
      <c r="C42" s="17"/>
      <c r="D42" s="17">
        <f t="shared" si="0"/>
        <v>1</v>
      </c>
      <c r="E42" s="18">
        <f t="shared" si="1"/>
        <v>149</v>
      </c>
      <c r="F42" s="19" cm="1">
        <f t="array" ref="F42">IFERROR(SUMPRODUCT(($E$6:$E$20=B42)*IFERROR($D$6:$D$20*$F$6:$F$20,0))/SUMPRODUCT(($E$6:$E$20=B42)*ISNUMBER($F$6:$F$20)*$D$6:$D$20),0)</f>
        <v>3.4000000000000002E-2</v>
      </c>
      <c r="G42" s="18">
        <f t="shared" si="17"/>
        <v>5.0660000000000007</v>
      </c>
      <c r="H42" s="18">
        <f t="shared" si="18"/>
        <v>141.54999999999998</v>
      </c>
      <c r="I42" s="10">
        <f t="shared" si="19"/>
        <v>136.48399999999998</v>
      </c>
      <c r="J42" s="10">
        <f t="shared" si="20"/>
        <v>132.75900000000001</v>
      </c>
      <c r="K42" s="10">
        <f t="shared" si="21"/>
        <v>129.03399999999999</v>
      </c>
    </row>
    <row r="43" spans="2:11" ht="15" customHeight="1" x14ac:dyDescent="0.3">
      <c r="B43" s="16" t="s">
        <v>46</v>
      </c>
      <c r="C43" s="17"/>
      <c r="D43" s="17">
        <f t="shared" si="0"/>
        <v>1</v>
      </c>
      <c r="E43" s="18">
        <f t="shared" si="1"/>
        <v>519</v>
      </c>
      <c r="F43" s="19" cm="1">
        <f t="array" ref="F43">IFERROR(SUMPRODUCT(($E$6:$E$20=B43)*IFERROR($D$6:$D$20*$F$6:$F$20,0))/SUMPRODUCT(($E$6:$E$20=B43)*ISNUMBER($F$6:$F$20)*$D$6:$D$20),0)</f>
        <v>8.8999999999999996E-2</v>
      </c>
      <c r="G43" s="18">
        <f t="shared" si="17"/>
        <v>46.190999999999995</v>
      </c>
      <c r="H43" s="18">
        <f t="shared" si="18"/>
        <v>493.04999999999995</v>
      </c>
      <c r="I43" s="10">
        <f t="shared" si="19"/>
        <v>446.85899999999998</v>
      </c>
      <c r="J43" s="10">
        <f t="shared" si="20"/>
        <v>433.88400000000007</v>
      </c>
      <c r="K43" s="10">
        <f t="shared" si="21"/>
        <v>420.90900000000005</v>
      </c>
    </row>
    <row r="44" spans="2:11" ht="15" customHeight="1" x14ac:dyDescent="0.3">
      <c r="B44" s="16" t="s">
        <v>13</v>
      </c>
      <c r="C44" s="17"/>
      <c r="D44" s="17">
        <f t="shared" si="0"/>
        <v>1</v>
      </c>
      <c r="E44" s="18">
        <f t="shared" si="1"/>
        <v>9</v>
      </c>
      <c r="F44" s="19" cm="1">
        <f t="array" ref="F44">IFERROR(SUMPRODUCT(($E$6:$E$20=B44)*IFERROR($D$6:$D$20*$F$6:$F$20,0))/SUMPRODUCT(($E$6:$E$20=B44)*ISNUMBER($F$6:$F$20)*$D$6:$D$20),0)</f>
        <v>0.88890000000000002</v>
      </c>
      <c r="G44" s="18">
        <f t="shared" si="17"/>
        <v>8.0000999999999998</v>
      </c>
      <c r="H44" s="18">
        <f t="shared" si="18"/>
        <v>8.5499999999999989</v>
      </c>
      <c r="I44" s="10">
        <f t="shared" si="19"/>
        <v>0.54989999999999917</v>
      </c>
      <c r="J44" s="10">
        <f t="shared" si="20"/>
        <v>0.3249000000000013</v>
      </c>
      <c r="K44" s="10">
        <f t="shared" si="21"/>
        <v>9.9899999999999878E-2</v>
      </c>
    </row>
    <row r="45" spans="2:11" ht="13.5" customHeight="1" x14ac:dyDescent="0.3">
      <c r="B45" s="16" t="s">
        <v>12</v>
      </c>
      <c r="C45" s="17"/>
      <c r="D45" s="17">
        <f t="shared" si="0"/>
        <v>0</v>
      </c>
      <c r="E45" s="18">
        <f t="shared" si="1"/>
        <v>0</v>
      </c>
      <c r="F45" s="19" cm="1">
        <f t="array" ref="F45">IFERROR(SUMPRODUCT(($E$6:$E$20=B45)*IFERROR($D$6:$D$20*$F$6:$F$20,0))/SUMPRODUCT(($E$6:$E$20=B45)*ISNUMBER($F$6:$F$20)*$D$6:$D$20),0)</f>
        <v>0</v>
      </c>
      <c r="G45" s="18">
        <f t="shared" si="17"/>
        <v>0</v>
      </c>
      <c r="H45" s="18">
        <f t="shared" si="18"/>
        <v>0</v>
      </c>
      <c r="I45" s="10">
        <f t="shared" si="19"/>
        <v>0</v>
      </c>
      <c r="J45" s="10">
        <f t="shared" si="20"/>
        <v>0</v>
      </c>
      <c r="K45" s="10">
        <f t="shared" si="21"/>
        <v>0</v>
      </c>
    </row>
    <row r="46" spans="2:11" ht="13.5" customHeight="1" x14ac:dyDescent="0.3">
      <c r="B46" s="16" t="s">
        <v>11</v>
      </c>
      <c r="C46" s="17"/>
      <c r="D46" s="17">
        <f t="shared" si="0"/>
        <v>1</v>
      </c>
      <c r="E46" s="18">
        <f t="shared" si="1"/>
        <v>142</v>
      </c>
      <c r="F46" s="19" cm="1">
        <f t="array" ref="F46">IFERROR(SUMPRODUCT(($E$6:$E$20=B46)*IFERROR($D$6:$D$20*$F$6:$F$20,0))/SUMPRODUCT(($E$6:$E$20=B46)*ISNUMBER($F$6:$F$20)*$D$6:$D$20),0)</f>
        <v>0.87319999999999998</v>
      </c>
      <c r="G46" s="18">
        <f t="shared" si="17"/>
        <v>123.9944</v>
      </c>
      <c r="H46" s="18">
        <f t="shared" si="18"/>
        <v>134.9</v>
      </c>
      <c r="I46" s="10">
        <f t="shared" si="19"/>
        <v>10.905600000000007</v>
      </c>
      <c r="J46" s="10">
        <f t="shared" si="20"/>
        <v>7.3555999999999955</v>
      </c>
      <c r="K46" s="10">
        <f t="shared" si="21"/>
        <v>3.8055999999999983</v>
      </c>
    </row>
    <row r="47" spans="2:11" ht="12" customHeight="1" x14ac:dyDescent="0.3">
      <c r="B47" s="16" t="s">
        <v>10</v>
      </c>
      <c r="C47" s="17"/>
      <c r="D47" s="17">
        <f t="shared" si="0"/>
        <v>0</v>
      </c>
      <c r="E47" s="18">
        <f t="shared" si="1"/>
        <v>0</v>
      </c>
      <c r="F47" s="19" cm="1">
        <f t="array" ref="F47">IFERROR(SUMPRODUCT(($E$6:$E$20=B47)*IFERROR($D$6:$D$20*$F$6:$F$20,0))/SUMPRODUCT(($E$6:$E$20=B47)*ISNUMBER($F$6:$F$20)*$D$6:$D$20),0)</f>
        <v>0</v>
      </c>
      <c r="G47" s="18">
        <f t="shared" si="17"/>
        <v>0</v>
      </c>
      <c r="H47" s="18">
        <f t="shared" si="18"/>
        <v>0</v>
      </c>
      <c r="I47" s="10">
        <f t="shared" si="19"/>
        <v>0</v>
      </c>
      <c r="J47" s="10">
        <f t="shared" si="20"/>
        <v>0</v>
      </c>
      <c r="K47" s="10">
        <f t="shared" si="21"/>
        <v>0</v>
      </c>
    </row>
    <row r="48" spans="2:11" ht="17.55" customHeight="1" x14ac:dyDescent="0.3">
      <c r="B48" s="16" t="s">
        <v>47</v>
      </c>
      <c r="C48" s="17"/>
      <c r="D48" s="17">
        <f t="shared" si="0"/>
        <v>0</v>
      </c>
      <c r="E48" s="18">
        <f t="shared" si="1"/>
        <v>0</v>
      </c>
      <c r="F48" s="19" cm="1">
        <f t="array" ref="F48">IFERROR(SUMPRODUCT(($E$6:$E$20=B48)*IFERROR($D$6:$D$20*$F$6:$F$20,0))/SUMPRODUCT(($E$6:$E$20=B48)*ISNUMBER($F$6:$F$20)*$D$6:$D$20),0)</f>
        <v>0</v>
      </c>
      <c r="G48" s="18">
        <f t="shared" si="17"/>
        <v>0</v>
      </c>
      <c r="H48" s="18">
        <f t="shared" si="18"/>
        <v>0</v>
      </c>
      <c r="I48" s="10">
        <f t="shared" si="19"/>
        <v>0</v>
      </c>
      <c r="J48" s="10">
        <f t="shared" si="20"/>
        <v>0</v>
      </c>
      <c r="K48" s="10">
        <f t="shared" si="21"/>
        <v>0</v>
      </c>
    </row>
    <row r="49" spans="2:11" ht="13.5" customHeight="1" x14ac:dyDescent="0.3">
      <c r="B49" s="16" t="s">
        <v>48</v>
      </c>
      <c r="C49" s="17"/>
      <c r="D49" s="17">
        <f t="shared" si="0"/>
        <v>1</v>
      </c>
      <c r="E49" s="18">
        <f t="shared" si="1"/>
        <v>317</v>
      </c>
      <c r="F49" s="19" cm="1">
        <f t="array" ref="F49">IFERROR(SUMPRODUCT(($E$6:$E$20=B49)*IFERROR($D$6:$D$20*$F$6:$F$20,0))/SUMPRODUCT(($E$6:$E$20=B49)*ISNUMBER($F$6:$F$20)*$D$6:$D$20),0)</f>
        <v>0.78200000000000003</v>
      </c>
      <c r="G49" s="18">
        <f t="shared" si="17"/>
        <v>247.89400000000001</v>
      </c>
      <c r="H49" s="18">
        <f t="shared" si="18"/>
        <v>301.14999999999998</v>
      </c>
      <c r="I49" s="10">
        <f t="shared" si="19"/>
        <v>53.255999999999972</v>
      </c>
      <c r="J49" s="10">
        <f t="shared" si="20"/>
        <v>45.331000000000017</v>
      </c>
      <c r="K49" s="10">
        <f t="shared" si="21"/>
        <v>37.406000000000006</v>
      </c>
    </row>
    <row r="50" spans="2:11" ht="13.5" customHeight="1" x14ac:dyDescent="0.3">
      <c r="B50" s="16" t="s">
        <v>9</v>
      </c>
      <c r="C50" s="17"/>
      <c r="D50" s="17">
        <f t="shared" si="0"/>
        <v>0</v>
      </c>
      <c r="E50" s="18">
        <f t="shared" si="1"/>
        <v>0</v>
      </c>
      <c r="F50" s="19" cm="1">
        <f t="array" ref="F50">IFERROR(SUMPRODUCT(($E$6:$E$20=B50)*IFERROR($D$6:$D$20*$F$6:$F$20,0))/SUMPRODUCT(($E$6:$E$20=B50)*ISNUMBER($F$6:$F$20)*$D$6:$D$20),0)</f>
        <v>0</v>
      </c>
      <c r="G50" s="18">
        <f t="shared" si="17"/>
        <v>0</v>
      </c>
      <c r="H50" s="18">
        <f t="shared" si="18"/>
        <v>0</v>
      </c>
      <c r="I50" s="10">
        <f t="shared" si="19"/>
        <v>0</v>
      </c>
      <c r="J50" s="10">
        <f t="shared" si="20"/>
        <v>0</v>
      </c>
      <c r="K50" s="10">
        <f t="shared" si="21"/>
        <v>0</v>
      </c>
    </row>
    <row r="51" spans="2:11" ht="13.5" customHeight="1" x14ac:dyDescent="0.3">
      <c r="B51" s="16" t="s">
        <v>39</v>
      </c>
      <c r="C51" s="17"/>
      <c r="D51" s="17">
        <f t="shared" si="0"/>
        <v>0</v>
      </c>
      <c r="E51" s="18">
        <f t="shared" si="1"/>
        <v>0</v>
      </c>
      <c r="F51" s="19" cm="1">
        <f t="array" ref="F51">IFERROR(SUMPRODUCT(($E$6:$E$20=B51)*IFERROR($D$6:$D$20*$F$6:$F$20,0))/SUMPRODUCT(($E$6:$E$20=B51)*ISNUMBER($F$6:$F$20)*$D$6:$D$20),0)</f>
        <v>0</v>
      </c>
      <c r="G51" s="18">
        <f t="shared" si="17"/>
        <v>0</v>
      </c>
      <c r="H51" s="18">
        <f t="shared" si="18"/>
        <v>0</v>
      </c>
      <c r="I51" s="10">
        <f t="shared" si="19"/>
        <v>0</v>
      </c>
      <c r="J51" s="10">
        <f t="shared" si="20"/>
        <v>0</v>
      </c>
      <c r="K51" s="10">
        <f t="shared" si="21"/>
        <v>0</v>
      </c>
    </row>
    <row r="52" spans="2:11" ht="13.5" customHeight="1" x14ac:dyDescent="0.3">
      <c r="B52" s="16" t="s">
        <v>8</v>
      </c>
      <c r="C52" s="17"/>
      <c r="D52" s="17">
        <f t="shared" si="0"/>
        <v>1</v>
      </c>
      <c r="E52" s="18">
        <f t="shared" si="1"/>
        <v>245</v>
      </c>
      <c r="F52" s="19" cm="1">
        <f t="array" ref="F52">IFERROR(SUMPRODUCT(($E$6:$E$20=B52)*IFERROR($D$6:$D$20*$F$6:$F$20,0))/SUMPRODUCT(($E$6:$E$20=B52)*ISNUMBER($F$6:$F$20)*$D$6:$D$20),0)</f>
        <v>0.96299999999999997</v>
      </c>
      <c r="G52" s="18">
        <f t="shared" si="17"/>
        <v>235.935</v>
      </c>
      <c r="H52" s="18">
        <f t="shared" si="18"/>
        <v>232.75</v>
      </c>
      <c r="I52" s="10">
        <f t="shared" si="19"/>
        <v>-3.1850000000000023</v>
      </c>
      <c r="J52" s="10">
        <f t="shared" si="20"/>
        <v>-9.3100000000000023</v>
      </c>
      <c r="K52" s="10">
        <f t="shared" si="21"/>
        <v>-15.435000000000002</v>
      </c>
    </row>
    <row r="53" spans="2:11" ht="13.5" customHeight="1" x14ac:dyDescent="0.3">
      <c r="B53" s="16" t="s">
        <v>7</v>
      </c>
      <c r="C53" s="17"/>
      <c r="D53" s="17">
        <f t="shared" si="0"/>
        <v>1</v>
      </c>
      <c r="E53" s="18">
        <f t="shared" si="1"/>
        <v>89</v>
      </c>
      <c r="F53" s="19" cm="1">
        <f t="array" ref="F53">IFERROR(SUMPRODUCT(($E$6:$E$20=B53)*IFERROR($D$6:$D$20*$F$6:$F$20,0))/SUMPRODUCT(($E$6:$E$20=B53)*ISNUMBER($F$6:$F$20)*$D$6:$D$20),0)</f>
        <v>0.92100000000000004</v>
      </c>
      <c r="G53" s="18">
        <f t="shared" si="17"/>
        <v>81.969000000000008</v>
      </c>
      <c r="H53" s="18">
        <f t="shared" si="18"/>
        <v>84.55</v>
      </c>
      <c r="I53" s="10">
        <f t="shared" si="19"/>
        <v>2.5809999999999889</v>
      </c>
      <c r="J53" s="10">
        <f t="shared" si="20"/>
        <v>0.35599999999999454</v>
      </c>
      <c r="K53" s="10">
        <f t="shared" si="21"/>
        <v>-1.8689999999999998</v>
      </c>
    </row>
    <row r="54" spans="2:11" ht="13.5" customHeight="1" x14ac:dyDescent="0.3">
      <c r="B54" s="16" t="s">
        <v>38</v>
      </c>
      <c r="C54" s="17"/>
      <c r="D54" s="17">
        <f t="shared" si="0"/>
        <v>1</v>
      </c>
      <c r="E54" s="18">
        <f t="shared" si="1"/>
        <v>117</v>
      </c>
      <c r="F54" s="19" cm="1">
        <f t="array" ref="F54">IFERROR(SUMPRODUCT(($E$6:$E$20=B54)*IFERROR($D$6:$D$20*$F$6:$F$20,0))/SUMPRODUCT(($E$6:$E$20=B54)*ISNUMBER($F$6:$F$20)*$D$6:$D$20),0)</f>
        <v>0.86299999999999999</v>
      </c>
      <c r="G54" s="18">
        <f t="shared" si="17"/>
        <v>100.971</v>
      </c>
      <c r="H54" s="18">
        <f t="shared" si="18"/>
        <v>111.14999999999999</v>
      </c>
      <c r="I54" s="10">
        <f t="shared" si="19"/>
        <v>10.178999999999988</v>
      </c>
      <c r="J54" s="10">
        <f t="shared" si="20"/>
        <v>7.2540000000000049</v>
      </c>
      <c r="K54" s="10">
        <f t="shared" si="21"/>
        <v>4.3289999999999935</v>
      </c>
    </row>
    <row r="55" spans="2:11" ht="15.75" customHeight="1" x14ac:dyDescent="0.3">
      <c r="B55" s="16" t="s">
        <v>5</v>
      </c>
      <c r="C55" s="17"/>
      <c r="D55" s="17">
        <f t="shared" si="0"/>
        <v>0</v>
      </c>
      <c r="E55" s="18">
        <f t="shared" si="1"/>
        <v>0</v>
      </c>
      <c r="F55" s="19" cm="1">
        <f t="array" ref="F55">IFERROR(SUMPRODUCT(($E$6:$E$20=B55)*IFERROR($D$6:$D$20*$F$6:$F$20,0))/SUMPRODUCT(($E$6:$E$20=B55)*ISNUMBER($F$6:$F$20)*$D$6:$D$20),0)</f>
        <v>0</v>
      </c>
      <c r="G55" s="18">
        <f t="shared" si="17"/>
        <v>0</v>
      </c>
      <c r="H55" s="18">
        <f t="shared" si="18"/>
        <v>0</v>
      </c>
      <c r="I55" s="10">
        <f t="shared" si="19"/>
        <v>0</v>
      </c>
      <c r="J55" s="10">
        <f t="shared" si="20"/>
        <v>0</v>
      </c>
      <c r="K55" s="10">
        <f t="shared" si="21"/>
        <v>0</v>
      </c>
    </row>
    <row r="56" spans="2:11" ht="15.45" customHeight="1" x14ac:dyDescent="0.3">
      <c r="B56" s="85" t="s">
        <v>23</v>
      </c>
      <c r="C56" s="86"/>
      <c r="D56" s="11">
        <f>SUM(D32:D55)</f>
        <v>11</v>
      </c>
      <c r="E56" s="12">
        <f>SUM(E32:E55)</f>
        <v>2358</v>
      </c>
      <c r="F56" s="13">
        <f>SUMPRODUCT($E$32:$E$55,F32:F55)/$E$56</f>
        <v>0.36048367260390163</v>
      </c>
      <c r="G56" s="12">
        <f>SUM(G32:G55)</f>
        <v>850.02050000000008</v>
      </c>
      <c r="H56" s="12">
        <f>SUM(H32:H55)</f>
        <v>2240.1000000000004</v>
      </c>
      <c r="I56" s="14">
        <f>SUM(I32:I55)</f>
        <v>1390.0795000000001</v>
      </c>
      <c r="J56" s="12">
        <f>SUM(J32:J55)</f>
        <v>1331.1295000000002</v>
      </c>
      <c r="K56" s="12">
        <f>SUM(K32:K55)</f>
        <v>1272.1795</v>
      </c>
    </row>
    <row r="57" spans="2:11" ht="15.75" customHeight="1" x14ac:dyDescent="0.3"/>
    <row r="58" spans="2:11" ht="15.75" customHeight="1" x14ac:dyDescent="0.3">
      <c r="G58" s="77" t="s">
        <v>28</v>
      </c>
      <c r="H58" s="77"/>
      <c r="I58" s="6">
        <v>6162</v>
      </c>
      <c r="J58" s="6">
        <f>I58</f>
        <v>6162</v>
      </c>
      <c r="K58" s="6">
        <f>I58</f>
        <v>6162</v>
      </c>
    </row>
    <row r="59" spans="2:11" ht="13.5" customHeight="1" x14ac:dyDescent="0.3">
      <c r="G59" s="78" t="s">
        <v>24</v>
      </c>
      <c r="H59" s="78"/>
      <c r="I59" s="7">
        <f>IFERROR(I56/I58,0)</f>
        <v>0.22558901330736775</v>
      </c>
      <c r="J59" s="8">
        <f>IFERROR(J56/J58,0)</f>
        <v>0.21602231418370663</v>
      </c>
      <c r="K59" s="8">
        <f>IFERROR(K56/K58,0)</f>
        <v>0.20645561506004542</v>
      </c>
    </row>
    <row r="60" spans="2:11" x14ac:dyDescent="0.3">
      <c r="B60" s="15"/>
      <c r="C60" s="79" t="s">
        <v>49</v>
      </c>
      <c r="D60" s="79"/>
      <c r="E60" s="79"/>
      <c r="F60" s="79"/>
      <c r="G60" s="79"/>
      <c r="H60" s="79"/>
      <c r="I60" s="79"/>
      <c r="J60" s="5"/>
      <c r="K60" s="5"/>
    </row>
  </sheetData>
  <sortState xmlns:xlrd2="http://schemas.microsoft.com/office/spreadsheetml/2017/richdata2" ref="C12:J14">
    <sortCondition descending="1" ref="E12:E14"/>
  </sortState>
  <mergeCells count="8">
    <mergeCell ref="G58:H58"/>
    <mergeCell ref="G59:H59"/>
    <mergeCell ref="C60:I60"/>
    <mergeCell ref="C2:G2"/>
    <mergeCell ref="B4:C4"/>
    <mergeCell ref="B28:C28"/>
    <mergeCell ref="B56:C56"/>
    <mergeCell ref="B3:F3"/>
  </mergeCells>
  <conditionalFormatting sqref="F19:F21">
    <cfRule type="expression" dxfId="0" priority="5">
      <formula>AND(ISNUMBER(F19),F19&lt;0.85)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2"/>
  <sheetViews>
    <sheetView zoomScaleNormal="100" workbookViewId="0">
      <selection activeCell="C2" sqref="C2"/>
    </sheetView>
  </sheetViews>
  <sheetFormatPr defaultColWidth="8.5546875" defaultRowHeight="14.4" x14ac:dyDescent="0.3"/>
  <cols>
    <col min="1" max="1" width="35" customWidth="1"/>
    <col min="2" max="2" width="20" customWidth="1"/>
    <col min="3" max="3" width="40" customWidth="1"/>
  </cols>
  <sheetData>
    <row r="1" spans="1:3" ht="19.5" customHeight="1" x14ac:dyDescent="0.3">
      <c r="A1" s="88" t="s">
        <v>25</v>
      </c>
      <c r="B1" s="88"/>
      <c r="C1" s="88"/>
    </row>
    <row r="2" spans="1:3" x14ac:dyDescent="0.3">
      <c r="A2" s="2" t="s">
        <v>26</v>
      </c>
      <c r="B2" s="3">
        <v>0.95</v>
      </c>
      <c r="C2" s="4" t="s">
        <v>27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E492B20D-3249-445C-8770-7B1B1118F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fc072-d52f-4752-b8cb-46d6b725e756"/>
    <ds:schemaRef ds:uri="844a25e3-3ac4-400b-ae54-819e2dded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8771FB-E84B-460B-A0D9-69C5941F3A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3F4B38-6628-405B-AAC1-9683E859B15D}">
  <ds:schemaRefs>
    <ds:schemaRef ds:uri="f94fc072-d52f-4752-b8cb-46d6b725e756"/>
    <ds:schemaRef ds:uri="http://purl.org/dc/elements/1.1/"/>
    <ds:schemaRef ds:uri="http://schemas.openxmlformats.org/package/2006/metadata/core-properties"/>
    <ds:schemaRef ds:uri="844a25e3-3ac4-400b-ae54-819e2dded817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Competitive Analysis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Richard Ritter</cp:lastModifiedBy>
  <cp:revision>0</cp:revision>
  <dcterms:created xsi:type="dcterms:W3CDTF">2026-03-02T04:38:00Z</dcterms:created>
  <dcterms:modified xsi:type="dcterms:W3CDTF">2026-06-19T16:59:47Z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0x01010055F5894668395F49B017619C734C79A0</vt:lpwstr>
  </property>
</Properties>
</file>